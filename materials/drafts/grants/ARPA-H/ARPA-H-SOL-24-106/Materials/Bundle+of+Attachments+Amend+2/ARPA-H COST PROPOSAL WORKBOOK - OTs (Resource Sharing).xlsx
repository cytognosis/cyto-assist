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defaultThemeVersion="124226"/>
  <mc:AlternateContent xmlns:mc="http://schemas.openxmlformats.org/markup-compatibility/2006">
    <mc:Choice Requires="x15">
      <x15ac:absPath xmlns:x15ac="http://schemas.microsoft.com/office/spreadsheetml/2010/11/ac" url="https://nih.sharepoint.com/sites/OD-ARPA-HAcquisition-AwardFiles/Shared Documents/Award Files/FY24/ARPA-H-SOL-24-106 PHO ISO Office Wide/A07_ISO-Amend-2-Pending/4. Amend 2 - Final/"/>
    </mc:Choice>
  </mc:AlternateContent>
  <xr:revisionPtr revIDLastSave="0" documentId="8_{426CB0B7-DDE2-4B85-A48D-EFD0F84A8C62}" xr6:coauthVersionLast="47" xr6:coauthVersionMax="47" xr10:uidLastSave="{00000000-0000-0000-0000-000000000000}"/>
  <bookViews>
    <workbookView xWindow="-110" yWindow="-110" windowWidth="19420" windowHeight="11620" tabRatio="687" firstSheet="2" activeTab="2" xr2:uid="{00000000-000D-0000-FFFF-FFFF00000000}"/>
  </bookViews>
  <sheets>
    <sheet name="Change Notes" sheetId="40" state="hidden" r:id="rId1"/>
    <sheet name="Constants" sheetId="34" state="hidden" r:id="rId2"/>
    <sheet name="Instructions" sheetId="46" r:id="rId3"/>
    <sheet name="General" sheetId="18" r:id="rId4"/>
    <sheet name="Proposer Constants" sheetId="35" r:id="rId5"/>
    <sheet name="Summary Cost Table" sheetId="37" state="hidden" r:id="rId6"/>
    <sheet name="Labor Rates" sheetId="33" r:id="rId7"/>
    <sheet name="Phase 1 Costs" sheetId="1" r:id="rId8"/>
    <sheet name="Ph 1 Task $" sheetId="50" r:id="rId9"/>
    <sheet name="Task 1" sheetId="23" state="hidden" r:id="rId10"/>
    <sheet name="Task 2" sheetId="38" state="hidden" r:id="rId11"/>
    <sheet name="Phase 2 Costs " sheetId="22" r:id="rId12"/>
    <sheet name="Ph 2 Task $" sheetId="51" r:id="rId13"/>
    <sheet name="Option 2 (Phase 3) Old" sheetId="49" state="hidden" r:id="rId14"/>
    <sheet name="Phase 3 Costs" sheetId="26" r:id="rId15"/>
    <sheet name="Ph 3 Task $" sheetId="53" r:id="rId16"/>
    <sheet name="Phase 4 Costs" sheetId="27" r:id="rId17"/>
    <sheet name="Ph 4 Task $" sheetId="54" r:id="rId18"/>
    <sheet name="Phase 5 Costs" sheetId="28" r:id="rId19"/>
    <sheet name="Ph 5 Task $" sheetId="55" r:id="rId20"/>
    <sheet name="Phase 6 Costs" sheetId="29" r:id="rId21"/>
    <sheet name="Ph 6 Task $" sheetId="56" r:id="rId22"/>
    <sheet name="Total Amount" sheetId="21" r:id="rId23"/>
    <sheet name="Subproposer" sheetId="7" r:id="rId24"/>
    <sheet name="Consultants" sheetId="17" r:id="rId25"/>
    <sheet name="Travel" sheetId="47" r:id="rId26"/>
    <sheet name="Materials-Supplies" sheetId="16" r:id="rId27"/>
    <sheet name="Equipment" sheetId="14" r:id="rId28"/>
    <sheet name="ODC Details" sheetId="12" r:id="rId29"/>
    <sheet name="Expenditures by Month" sheetId="48" r:id="rId30"/>
    <sheet name="Animal-Human Use Y-N" sheetId="41" state="hidden" r:id="rId31"/>
    <sheet name="Animal Related" sheetId="42" state="hidden" r:id="rId32"/>
    <sheet name="Human Subjects Research" sheetId="43" state="hidden" r:id="rId33"/>
    <sheet name="Milestones and Deliverables" sheetId="45" state="hidden" r:id="rId34"/>
  </sheets>
  <externalReferences>
    <externalReference r:id="rId35"/>
    <externalReference r:id="rId36"/>
    <externalReference r:id="rId37"/>
    <externalReference r:id="rId38"/>
  </externalReferences>
  <definedNames>
    <definedName name="Academia">#REF!</definedName>
    <definedName name="Academia_Consultant">#REF!</definedName>
    <definedName name="Academia_Project_Management">#REF!</definedName>
    <definedName name="Academia_Science_and_Research">#REF!</definedName>
    <definedName name="Academia_Support">#REF!</definedName>
    <definedName name="AcademiaAdministrativeSupportCategories">Constants!$A$57:$A$58</definedName>
    <definedName name="AcademiaConsultantCategories">Constants!$A$54</definedName>
    <definedName name="AcademiaLaborGroups" localSheetId="31">[1]Constants!$A$18:$A$21</definedName>
    <definedName name="AcademiaLaborGroups" localSheetId="30">[1]Constants!$A$18:$A$21</definedName>
    <definedName name="AcademiaLaborGroups" localSheetId="29">[2]Constants!$A$21:$A$24</definedName>
    <definedName name="AcademiaLaborGroups" localSheetId="32">[1]Constants!$A$18:$A$21</definedName>
    <definedName name="AcademiaLaborGroups" localSheetId="2">[3]Constants!$A$21:$A$24</definedName>
    <definedName name="AcademiaLaborGroups" localSheetId="33">[1]Constants!$A$18:$A$21</definedName>
    <definedName name="AcademiaLaborGroups" localSheetId="25">[4]Constants!$A$21:$A$24</definedName>
    <definedName name="AcademiaLaborGroups">Constants!$A$21:$A$24</definedName>
    <definedName name="AcademiaProjectManagementCategories">Constants!$A$34:$A$37</definedName>
    <definedName name="AcademiaResearchCategories">Constants!$A$40:$A$51</definedName>
    <definedName name="ff.dlrs.Base">'Total Amount'!#REF!</definedName>
    <definedName name="ff.dlrs.Op1">'Total Amount'!#REF!</definedName>
    <definedName name="ff.dlrs.Op2">'Total Amount'!#REF!</definedName>
    <definedName name="ff.dlrs.Op3">'Total Amount'!#REF!</definedName>
    <definedName name="ff.dlrs.Op4">'Total Amount'!#REF!</definedName>
    <definedName name="ff.dlrs.Op5">'Total Amount'!#REF!</definedName>
    <definedName name="General">#REF!</definedName>
    <definedName name="General_Consultant">#REF!</definedName>
    <definedName name="General_Science_and_Research">#REF!</definedName>
    <definedName name="General_Software_Development">#REF!</definedName>
    <definedName name="General_Support">#REF!</definedName>
    <definedName name="GeneralConsultantCategories">Constants!$A$96</definedName>
    <definedName name="GeneralLaborGroups" localSheetId="31">[1]Constants!$A$24:$A$29</definedName>
    <definedName name="GeneralLaborGroups" localSheetId="30">[1]Constants!$A$24:$A$29</definedName>
    <definedName name="GeneralLaborGroups" localSheetId="29">[2]Constants!$A$27:$A$32</definedName>
    <definedName name="GeneralLaborGroups" localSheetId="32">[1]Constants!$A$24:$A$29</definedName>
    <definedName name="GeneralLaborGroups" localSheetId="2">[3]Constants!$A$27:$A$32</definedName>
    <definedName name="GeneralLaborGroups" localSheetId="33">[1]Constants!$A$24:$A$29</definedName>
    <definedName name="GeneralLaborGroups" localSheetId="25">[4]Constants!$A$27:$A$32</definedName>
    <definedName name="GeneralLaborGroups">Constants!$A$27:$A$31</definedName>
    <definedName name="GeneralManufacturingCategories">Constants!$A$85:$A$92</definedName>
    <definedName name="GeneralProjectManagementCategories">Constants!$A$67:$A$70</definedName>
    <definedName name="GeneralScienceandEngineeringCategories">Constants!$A$73:$A$76</definedName>
    <definedName name="GeneralSoftwareDevelopmentCategories">Constants!$A$79:$A$82</definedName>
    <definedName name="GeneralSupportCategories">Constants!$A$61:$A$64</definedName>
    <definedName name="Indirect.Rate.Table">#REF!</definedName>
    <definedName name="IndirectRateCategories" localSheetId="31">[1]Constants!$A$109:$A$124</definedName>
    <definedName name="IndirectRateCategories" localSheetId="30">[1]Constants!$A$109:$A$124</definedName>
    <definedName name="IndirectRateCategories" localSheetId="29">[2]Constants!$A$113:$A$129</definedName>
    <definedName name="IndirectRateCategories" localSheetId="32">[1]Constants!$A$109:$A$124</definedName>
    <definedName name="IndirectRateCategories" localSheetId="2">[3]Constants!$A$121:$A$138</definedName>
    <definedName name="IndirectRateCategories" localSheetId="33">[1]Constants!$A$109:$A$124</definedName>
    <definedName name="IndirectRateCategories" localSheetId="25">[4]Constants!$A$113:$A$128</definedName>
    <definedName name="IndirectRateCategories">Constants!$A$102:$A$118</definedName>
    <definedName name="Labor.Rates.Table">'Labor Rates'!$B$7:$AN$32</definedName>
    <definedName name="Labor_Cats_Sorted_Table">Constants!$A$100:$A$146</definedName>
    <definedName name="LaborCollection" localSheetId="31">[1]Constants!$A$12</definedName>
    <definedName name="LaborCollection" localSheetId="30">[1]Constants!$A$12</definedName>
    <definedName name="LaborCollection" localSheetId="29">[2]Constants!$A$15</definedName>
    <definedName name="LaborCollection" localSheetId="32">[1]Constants!$A$12</definedName>
    <definedName name="LaborCollection" localSheetId="2">[3]Constants!$A$15</definedName>
    <definedName name="LaborCollection" localSheetId="33">[1]Constants!$A$12</definedName>
    <definedName name="LaborCollection" localSheetId="25">[4]Constants!$A$15</definedName>
    <definedName name="LaborCollection">Constants!$A$15</definedName>
    <definedName name="NoBusinessTypeSelected" localSheetId="31">[1]Constants!$A$15</definedName>
    <definedName name="NoBusinessTypeSelected" localSheetId="30">[1]Constants!$A$15</definedName>
    <definedName name="NoBusinessTypeSelected" localSheetId="29">[2]Constants!$A$18</definedName>
    <definedName name="NoBusinessTypeSelected" localSheetId="32">[1]Constants!$A$15</definedName>
    <definedName name="NoBusinessTypeSelected" localSheetId="2">[3]Constants!$A$18</definedName>
    <definedName name="NoBusinessTypeSelected" localSheetId="33">[1]Constants!$A$15</definedName>
    <definedName name="NoBusinessTypeSelected" localSheetId="25">[4]Constants!$A$18</definedName>
    <definedName name="NoBusinessTypeSelected">Constants!$A$18</definedName>
    <definedName name="Offeror.Bus.Type" localSheetId="31">'[1]Proposer Constants'!$A$4</definedName>
    <definedName name="Offeror.Bus.Type" localSheetId="30">'[1]Proposer Constants'!$A$4</definedName>
    <definedName name="Offeror.Bus.Type" localSheetId="29">'[2]Proposer Constants'!$A$4</definedName>
    <definedName name="Offeror.Bus.Type" localSheetId="32">'[1]Proposer Constants'!$A$4</definedName>
    <definedName name="Offeror.Bus.Type" localSheetId="2">'[3]Proposer Constants'!$A$4</definedName>
    <definedName name="Offeror.Bus.Type" localSheetId="33">'[1]Proposer Constants'!$A$4</definedName>
    <definedName name="Offeror.Bus.Type" localSheetId="25">'[4]Proposer Constants'!$A$4</definedName>
    <definedName name="Offeror.Bus.Type">'Proposer Constants'!$B$5</definedName>
    <definedName name="OfferorBusinessTypes" localSheetId="31">[1]Constants!$A$5:$A$9</definedName>
    <definedName name="OfferorBusinessTypes" localSheetId="30">[1]Constants!$A$5:$A$9</definedName>
    <definedName name="OfferorBusinessTypes" localSheetId="29">[2]Constants!$A$8:$A$12</definedName>
    <definedName name="OfferorBusinessTypes" localSheetId="32">[1]Constants!$A$5:$A$9</definedName>
    <definedName name="OfferorBusinessTypes" localSheetId="2">[3]Constants!$A$8:$A$12</definedName>
    <definedName name="OfferorBusinessTypes" localSheetId="33">[1]Constants!$A$5:$A$9</definedName>
    <definedName name="OfferorBusinessTypes" localSheetId="25">[4]Constants!$A$8:$A$12</definedName>
    <definedName name="OfferorBusinessTypes">Constants!$A$8:$A$12</definedName>
    <definedName name="OfferorBusType">'Proposer Constants'!$B$5</definedName>
    <definedName name="Period1_Label" localSheetId="31">'[1]Proposer Constants'!$B$9</definedName>
    <definedName name="Period1_Label" localSheetId="30">'[1]Proposer Constants'!$B$9</definedName>
    <definedName name="Period1_Label" localSheetId="29">'[2]Proposer Constants'!$B$9</definedName>
    <definedName name="Period1_Label" localSheetId="32">'[1]Proposer Constants'!$B$9</definedName>
    <definedName name="Period1_Label" localSheetId="2">'[3]Proposer Constants'!$B$9</definedName>
    <definedName name="Period1_Label" localSheetId="33">'[1]Proposer Constants'!$B$9</definedName>
    <definedName name="Period1_Label" localSheetId="25">'[4]Proposer Constants'!$B$9</definedName>
    <definedName name="Period1_Label">'Proposer Constants'!$C$13</definedName>
    <definedName name="Period2_Label" localSheetId="31">'[1]Proposer Constants'!$C$9</definedName>
    <definedName name="Period2_Label" localSheetId="30">'[1]Proposer Constants'!$C$9</definedName>
    <definedName name="Period2_Label" localSheetId="29">'[2]Proposer Constants'!$C$9</definedName>
    <definedName name="Period2_Label" localSheetId="32">'[1]Proposer Constants'!$C$9</definedName>
    <definedName name="Period2_Label" localSheetId="2">'[3]Proposer Constants'!$C$9</definedName>
    <definedName name="Period2_Label" localSheetId="33">'[1]Proposer Constants'!$C$9</definedName>
    <definedName name="Period2_Label" localSheetId="25">'[4]Proposer Constants'!$C$9</definedName>
    <definedName name="Period2_Label">'Proposer Constants'!$D$13</definedName>
    <definedName name="Period3_Label" localSheetId="31">'[1]Proposer Constants'!$D$9</definedName>
    <definedName name="Period3_Label" localSheetId="30">'[1]Proposer Constants'!$D$9</definedName>
    <definedName name="Period3_Label" localSheetId="29">'[2]Proposer Constants'!$D$9</definedName>
    <definedName name="Period3_Label" localSheetId="32">'[1]Proposer Constants'!$D$9</definedName>
    <definedName name="Period3_Label" localSheetId="2">'[3]Proposer Constants'!$D$9</definedName>
    <definedName name="Period3_Label" localSheetId="33">'[1]Proposer Constants'!$D$9</definedName>
    <definedName name="Period3_Label" localSheetId="25">'[4]Proposer Constants'!$D$9</definedName>
    <definedName name="Period3_Label">'Proposer Constants'!$E$13</definedName>
    <definedName name="Period4_Label" localSheetId="31">'[1]Proposer Constants'!$E$9</definedName>
    <definedName name="Period4_Label" localSheetId="30">'[1]Proposer Constants'!$E$9</definedName>
    <definedName name="Period4_Label" localSheetId="29">'[2]Proposer Constants'!$E$9</definedName>
    <definedName name="Period4_Label" localSheetId="32">'[1]Proposer Constants'!$E$9</definedName>
    <definedName name="Period4_Label" localSheetId="2">'[3]Proposer Constants'!$E$9</definedName>
    <definedName name="Period4_Label" localSheetId="33">'[1]Proposer Constants'!$E$9</definedName>
    <definedName name="Period4_Label" localSheetId="25">'[4]Proposer Constants'!$E$9</definedName>
    <definedName name="Period4_Label">'Proposer Constants'!$F$13</definedName>
    <definedName name="Period5_Label" localSheetId="31">'[1]Proposer Constants'!$F$9</definedName>
    <definedName name="Period5_Label" localSheetId="30">'[1]Proposer Constants'!$F$9</definedName>
    <definedName name="Period5_Label" localSheetId="29">'[2]Proposer Constants'!$F$9</definedName>
    <definedName name="Period5_Label" localSheetId="32">'[1]Proposer Constants'!$F$9</definedName>
    <definedName name="Period5_Label" localSheetId="2">'[3]Proposer Constants'!$F$9</definedName>
    <definedName name="Period5_Label" localSheetId="33">'[1]Proposer Constants'!$F$9</definedName>
    <definedName name="Period5_Label" localSheetId="25">'[4]Proposer Constants'!$F$9</definedName>
    <definedName name="Period5_Label">'Proposer Constants'!$G$13</definedName>
    <definedName name="Period6_Label" localSheetId="31">'[1]Proposer Constants'!$G$9</definedName>
    <definedName name="Period6_Label" localSheetId="30">'[1]Proposer Constants'!$G$9</definedName>
    <definedName name="Period6_Label" localSheetId="29">'[2]Proposer Constants'!$G$9</definedName>
    <definedName name="Period6_Label" localSheetId="32">'[1]Proposer Constants'!$G$9</definedName>
    <definedName name="Period6_Label" localSheetId="2">'[3]Proposer Constants'!$G$9</definedName>
    <definedName name="Period6_Label" localSheetId="33">'[1]Proposer Constants'!$G$9</definedName>
    <definedName name="Period6_Label" localSheetId="25">'[4]Proposer Constants'!$G$9</definedName>
    <definedName name="Period6_Label">'Proposer Constants'!$H$13</definedName>
    <definedName name="_xlnm.Print_Area" localSheetId="3">General!$A$1:$Q$38</definedName>
    <definedName name="_xlnm.Print_Area" localSheetId="2">Instructions!$A$1:$D$39</definedName>
    <definedName name="_xlnm.Print_Area" localSheetId="6">'Labor Rates'!$A$1:$R$49</definedName>
    <definedName name="_xlnm.Print_Area" localSheetId="28">'ODC Details'!$A$1:$K$35</definedName>
    <definedName name="_xlnm.Print_Area" localSheetId="13">'Option 2 (Phase 3) Old'!$A$1:$W$80</definedName>
    <definedName name="_xlnm.Print_Area" localSheetId="7">'Phase 1 Costs'!$A$1:$AE$93</definedName>
    <definedName name="_xlnm.Print_Area" localSheetId="11">'Phase 2 Costs '!$A$1:$AE$93</definedName>
    <definedName name="_xlnm.Print_Area" localSheetId="14">'Phase 3 Costs'!$A$1:$AD$93</definedName>
    <definedName name="_xlnm.Print_Area" localSheetId="16">'Phase 4 Costs'!$A$1:$AE$93</definedName>
    <definedName name="_xlnm.Print_Area" localSheetId="18">'Phase 5 Costs'!$A$1:$AE$93</definedName>
    <definedName name="_xlnm.Print_Area" localSheetId="20">'Phase 6 Costs'!$A$1:$W$82</definedName>
    <definedName name="_xlnm.Print_Area" localSheetId="4">'Proposer Constants'!$A$1:$I$19</definedName>
    <definedName name="_xlnm.Print_Area" localSheetId="23">Subproposer!$A$1:$Q$18</definedName>
    <definedName name="_xlnm.Print_Area" localSheetId="9">'Task 1'!$A$1:$W$86</definedName>
    <definedName name="_xlnm.Print_Area" localSheetId="22">'Total Amount'!$B$2:$X$90</definedName>
    <definedName name="_xlnm.Print_Area" localSheetId="25">Travel!$B$2:$AO$45</definedName>
    <definedName name="_xlnm.Print_Titles" localSheetId="33">'Milestones and Deliverables'!$2:$4</definedName>
    <definedName name="_xlnm.Print_Titles" localSheetId="7">'Phase 1 Costs'!$1:$5</definedName>
    <definedName name="Project_Management">#REF!</definedName>
    <definedName name="SBIRSTTRPhaseChoices" localSheetId="29">[2]Constants!$A$135:$A$138</definedName>
    <definedName name="SBIRSTTRPhaseChoices" localSheetId="2">[3]Constants!$A$144:$A$147</definedName>
    <definedName name="SBIRSTTRPhaseChoices" localSheetId="25">[4]Constants!$A$134:$A$137</definedName>
    <definedName name="SBIRSTTRPhaseChoices">Constants!$A$124:$A$127</definedName>
    <definedName name="sc.dlrs.Base">'Total Amount'!$E$62</definedName>
    <definedName name="sc.dlrs.Op1">'Total Amount'!$H$62</definedName>
    <definedName name="sc.dlrs.Op2">'Total Amount'!$K$62</definedName>
    <definedName name="sc.dlrs.Op3">'Total Amount'!$N$62</definedName>
    <definedName name="sc.dlrs.Op4">'Total Amount'!$Q$62</definedName>
    <definedName name="sc.dlrs.Op5">'Total Amount'!$T$62</definedName>
    <definedName name="SmallBusinessSizeChoices" localSheetId="29">[2]Constants!$A$143:$A$146</definedName>
    <definedName name="SmallBusinessSizeChoices" localSheetId="2">[3]Constants!$A$152:$A$155</definedName>
    <definedName name="SmallBusinessSizeChoices" localSheetId="25">[4]Constants!$A$142:$A$145</definedName>
    <definedName name="SmallBusinessSizeChoices">Constants!$A$132:$A$136</definedName>
    <definedName name="SpecificAnnouncementNumber">Constants!$A$5</definedName>
    <definedName name="SpreadsheetVersionNumber">Constants!$A$2</definedName>
    <definedName name="tcc.dlrs.Base">'Total Amount'!$F$47</definedName>
    <definedName name="tcc.dlrs.Op1">'Total Amount'!$I$47</definedName>
    <definedName name="tcc.dlrs.Op2">'Total Amount'!$L$47</definedName>
    <definedName name="tcc.dlrs.Op3">'Total Amount'!$O$47</definedName>
    <definedName name="tcc.dlrs.Op4">'Total Amount'!$R$47</definedName>
    <definedName name="tcc.dlrs.Op5">'Total Amount'!$U$47</definedName>
    <definedName name="tcm.dlrs.Base">'Total Amount'!$E$75</definedName>
    <definedName name="tcm.dlrs.Op1">'Total Amount'!$H$75</definedName>
    <definedName name="tcm.dlrs.Op2">'Total Amount'!$K$75</definedName>
    <definedName name="tcm.dlrs.Op3">'Total Amount'!$N$75</definedName>
    <definedName name="tcm.dlrs.Op4">'Total Amount'!$Q$75</definedName>
    <definedName name="tcm.dlrs.Op5">'Total Amount'!$T$75</definedName>
    <definedName name="tdlc.dlrs.Base">'Total Amount'!$F$32</definedName>
    <definedName name="tdlc.dlrs.Op1">'Total Amount'!$I$32</definedName>
    <definedName name="tdlc.dlrs.Op2">'Total Amount'!$L$32</definedName>
    <definedName name="tdlc.dlrs.Op3">'Total Amount'!$O$32</definedName>
    <definedName name="tdlc.dlrs.Op4">'Total Amount'!$R$32</definedName>
    <definedName name="tdlc.dlrs.Op5">'Total Amount'!$U$32</definedName>
    <definedName name="tdlc.hrs.Base">'Total Amount'!$E$32</definedName>
    <definedName name="tdlc.hrs.Op1">'Total Amount'!$H$32</definedName>
    <definedName name="tdlc.hrs.Op2">'Total Amount'!$K$32</definedName>
    <definedName name="tdlc.hrs.Op3">'Total Amount'!$N$32</definedName>
    <definedName name="tdlc.hrs.Op4">'Total Amount'!$Q$32</definedName>
    <definedName name="tdlc.hrs.Op5">'Total Amount'!$T$32</definedName>
    <definedName name="tecpff.dlrs.Base">'Total Amount'!$E$78</definedName>
    <definedName name="tecpff.dlrs.Op1">'Total Amount'!$H$78</definedName>
    <definedName name="tecpff.dlrs.Op2">'Total Amount'!$K$78</definedName>
    <definedName name="tecpff.dlrs.Op3">'Total Amount'!$N$78</definedName>
    <definedName name="tecpff.dlrs.Op4">'Total Amount'!$Q$78</definedName>
    <definedName name="tecpff.dlrs.Op5">'Total Amount'!$T$78</definedName>
    <definedName name="tfbc.dlrs.Base">'Total Amount'!#REF!</definedName>
    <definedName name="tfbc.dlrs.Op1">'Total Amount'!#REF!</definedName>
    <definedName name="tfbc.dlrs.Op2">'Total Amount'!#REF!</definedName>
    <definedName name="tfbc.dlrs.Op3">'Total Amount'!#REF!</definedName>
    <definedName name="tfbc.dlrs.Op4">'Total Amount'!#REF!</definedName>
    <definedName name="tfbc.dlrs.Op5">'Total Amount'!#REF!</definedName>
    <definedName name="tgac.dlrs.Base">'Total Amount'!$E$67</definedName>
    <definedName name="tgac.dlrs.Op1">'Total Amount'!$H$67</definedName>
    <definedName name="tgac.dlrs.Op2">'Total Amount'!$K$67</definedName>
    <definedName name="tgac.dlrs.Op3">'Total Amount'!$N$67</definedName>
    <definedName name="tgac.dlrs.Op4">'Total Amount'!$Q$67</definedName>
    <definedName name="tgac.dlrs.Op5">'Total Amount'!$T$67</definedName>
    <definedName name="tloc.dlrs.Base">'Total Amount'!#REF!</definedName>
    <definedName name="tloc.dlrs.Op1">'Total Amount'!#REF!</definedName>
    <definedName name="tloc.dlrs.Op2">'Total Amount'!#REF!</definedName>
    <definedName name="tloc.dlrs.Op3">'Total Amount'!#REF!</definedName>
    <definedName name="tloc.dlrs.Op4">'Total Amount'!#REF!</definedName>
    <definedName name="tloc.dlrs.Op5">'Total Amount'!#REF!</definedName>
    <definedName name="tmhc.dlrs.Base">'Total Amount'!$E$59</definedName>
    <definedName name="tmhc.dlrs.Op1">'Total Amount'!$H$59</definedName>
    <definedName name="tmhc.dlrs.Op2">'Total Amount'!$K$59</definedName>
    <definedName name="tmhc.dlrs.Op3">'Total Amount'!$N$59</definedName>
    <definedName name="tmhc.dlrs.Op4">'Total Amount'!$Q$59</definedName>
    <definedName name="tmhc.dlrs.Op5">'Total Amount'!$T$59</definedName>
    <definedName name="tmmc.dlrs.Base">'Total Amount'!$E$59</definedName>
    <definedName name="tmmc.dlrs.Op1">'Total Amount'!$H$59</definedName>
    <definedName name="tmmc.dlrs.Op2">'Total Amount'!$K$59</definedName>
    <definedName name="tmmc.dlrs.Op3">'Total Amount'!$N$59</definedName>
    <definedName name="tmmc.dlrs.Op4">'Total Amount'!$Q$59</definedName>
    <definedName name="tmmc.dlrs.Op5">'Total Amount'!$T$59</definedName>
    <definedName name="todc.dlrs.Base">'Total Amount'!$E$54</definedName>
    <definedName name="todc.dlrs.Op1">'Total Amount'!$H$54</definedName>
    <definedName name="todc.dlrs.Op2">'Total Amount'!$K$54</definedName>
    <definedName name="todc.dlrs.Op3">'Total Amount'!$N$54</definedName>
    <definedName name="todc.dlrs.Op4">'Total Amount'!$Q$54</definedName>
    <definedName name="todc.dlrs.Op5">'Total Amount'!$T$54</definedName>
    <definedName name="tsc.dlrs.Base">'Total Amount'!$E$39</definedName>
    <definedName name="tsc.dlrs.Op1">'Total Amount'!$H$39</definedName>
    <definedName name="tsc.dlrs.Op2">'Total Amount'!$K$39</definedName>
    <definedName name="tsc.dlrs.Op3">'Total Amount'!$N$39</definedName>
    <definedName name="tsc.dlrs.Op4">'Total Amount'!$Q$39</definedName>
    <definedName name="tsc.dlrs.Op5">'Total Amount'!$T$39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85" i="29" l="1"/>
  <c r="AA85" i="29"/>
  <c r="AD85" i="29" s="1"/>
  <c r="W85" i="29"/>
  <c r="S85" i="29"/>
  <c r="O85" i="29"/>
  <c r="K85" i="29"/>
  <c r="G85" i="29"/>
  <c r="AC84" i="29"/>
  <c r="AA76" i="29"/>
  <c r="W76" i="29"/>
  <c r="S76" i="29"/>
  <c r="O76" i="29"/>
  <c r="K76" i="29"/>
  <c r="G76" i="29"/>
  <c r="AD76" i="29" s="1"/>
  <c r="AA75" i="29"/>
  <c r="AA77" i="29" s="1"/>
  <c r="W75" i="29"/>
  <c r="W77" i="29" s="1"/>
  <c r="S75" i="29"/>
  <c r="S77" i="29" s="1"/>
  <c r="O75" i="29"/>
  <c r="AD75" i="29" s="1"/>
  <c r="K75" i="29"/>
  <c r="K77" i="29" s="1"/>
  <c r="G75" i="29"/>
  <c r="G77" i="29" s="1"/>
  <c r="AA67" i="29"/>
  <c r="W67" i="29"/>
  <c r="S67" i="29"/>
  <c r="O67" i="29"/>
  <c r="K67" i="29"/>
  <c r="G67" i="29"/>
  <c r="AD67" i="29" s="1"/>
  <c r="T66" i="21" s="1"/>
  <c r="A66" i="29"/>
  <c r="AA58" i="29"/>
  <c r="W58" i="29"/>
  <c r="S58" i="29"/>
  <c r="O58" i="29"/>
  <c r="AD58" i="29" s="1"/>
  <c r="T58" i="21" s="1"/>
  <c r="K58" i="29"/>
  <c r="G58" i="29"/>
  <c r="AA57" i="29"/>
  <c r="AA59" i="29" s="1"/>
  <c r="W57" i="29"/>
  <c r="W59" i="29" s="1"/>
  <c r="S57" i="29"/>
  <c r="S59" i="29" s="1"/>
  <c r="O57" i="29"/>
  <c r="O59" i="29" s="1"/>
  <c r="K57" i="29"/>
  <c r="K59" i="29" s="1"/>
  <c r="G57" i="29"/>
  <c r="G59" i="29" s="1"/>
  <c r="AA54" i="29"/>
  <c r="W54" i="29"/>
  <c r="S54" i="29"/>
  <c r="O54" i="29"/>
  <c r="AD54" i="29" s="1"/>
  <c r="T54" i="21" s="1"/>
  <c r="K54" i="29"/>
  <c r="G54" i="29"/>
  <c r="AD53" i="29"/>
  <c r="AD52" i="29"/>
  <c r="AD51" i="29"/>
  <c r="AD50" i="29"/>
  <c r="T50" i="21" s="1"/>
  <c r="Y47" i="29"/>
  <c r="U47" i="29"/>
  <c r="Q47" i="29"/>
  <c r="M47" i="29"/>
  <c r="I47" i="29"/>
  <c r="E47" i="29"/>
  <c r="AD46" i="29"/>
  <c r="AC46" i="29"/>
  <c r="AA46" i="29"/>
  <c r="W46" i="29"/>
  <c r="S46" i="29"/>
  <c r="O46" i="29"/>
  <c r="K46" i="29"/>
  <c r="G46" i="29"/>
  <c r="G47" i="29" s="1"/>
  <c r="AD47" i="29" s="1"/>
  <c r="AC45" i="29"/>
  <c r="AA45" i="29"/>
  <c r="W45" i="29"/>
  <c r="S45" i="29"/>
  <c r="O45" i="29"/>
  <c r="K45" i="29"/>
  <c r="G45" i="29"/>
  <c r="AD45" i="29" s="1"/>
  <c r="AC44" i="29"/>
  <c r="T44" i="21" s="1"/>
  <c r="AA44" i="29"/>
  <c r="W44" i="29"/>
  <c r="S44" i="29"/>
  <c r="O44" i="29"/>
  <c r="AD44" i="29" s="1"/>
  <c r="U44" i="21" s="1"/>
  <c r="K44" i="29"/>
  <c r="G44" i="29"/>
  <c r="AC43" i="29"/>
  <c r="AC47" i="29" s="1"/>
  <c r="AC80" i="29" s="1"/>
  <c r="AA43" i="29"/>
  <c r="AA47" i="29" s="1"/>
  <c r="W43" i="29"/>
  <c r="W47" i="29" s="1"/>
  <c r="S43" i="29"/>
  <c r="S47" i="29" s="1"/>
  <c r="O43" i="29"/>
  <c r="O47" i="29" s="1"/>
  <c r="K43" i="29"/>
  <c r="K47" i="29" s="1"/>
  <c r="G43" i="29"/>
  <c r="AD43" i="29" s="1"/>
  <c r="AA40" i="29"/>
  <c r="W40" i="29"/>
  <c r="S40" i="29"/>
  <c r="AD40" i="29" s="1"/>
  <c r="T39" i="21" s="1"/>
  <c r="O40" i="29"/>
  <c r="K40" i="29"/>
  <c r="G40" i="29"/>
  <c r="AD39" i="29"/>
  <c r="AD38" i="29"/>
  <c r="AD37" i="29"/>
  <c r="T36" i="21" s="1"/>
  <c r="AD36" i="29"/>
  <c r="T35" i="21" s="1"/>
  <c r="Y33" i="29"/>
  <c r="U33" i="29"/>
  <c r="Q33" i="29"/>
  <c r="M33" i="29"/>
  <c r="I33" i="29"/>
  <c r="E33" i="29"/>
  <c r="AC32" i="29"/>
  <c r="T31" i="21" s="1"/>
  <c r="Z32" i="29"/>
  <c r="AA32" i="29" s="1"/>
  <c r="V32" i="29"/>
  <c r="W32" i="29" s="1"/>
  <c r="S32" i="29"/>
  <c r="R32" i="29"/>
  <c r="N32" i="29"/>
  <c r="O32" i="29" s="1"/>
  <c r="J32" i="29"/>
  <c r="K32" i="29" s="1"/>
  <c r="F32" i="29"/>
  <c r="G32" i="29" s="1"/>
  <c r="C32" i="29"/>
  <c r="A32" i="29"/>
  <c r="AC31" i="29"/>
  <c r="T30" i="21" s="1"/>
  <c r="Z31" i="29"/>
  <c r="AA31" i="29" s="1"/>
  <c r="W31" i="29"/>
  <c r="V31" i="29"/>
  <c r="R31" i="29"/>
  <c r="S31" i="29" s="1"/>
  <c r="N31" i="29"/>
  <c r="O31" i="29" s="1"/>
  <c r="J31" i="29"/>
  <c r="K31" i="29" s="1"/>
  <c r="F31" i="29"/>
  <c r="G31" i="29" s="1"/>
  <c r="C31" i="29"/>
  <c r="A31" i="29"/>
  <c r="AC30" i="29"/>
  <c r="T29" i="21" s="1"/>
  <c r="AA30" i="29"/>
  <c r="Z30" i="29"/>
  <c r="V30" i="29"/>
  <c r="W30" i="29" s="1"/>
  <c r="R30" i="29"/>
  <c r="S30" i="29" s="1"/>
  <c r="N30" i="29"/>
  <c r="O30" i="29" s="1"/>
  <c r="J30" i="29"/>
  <c r="K30" i="29" s="1"/>
  <c r="F30" i="29"/>
  <c r="G30" i="29" s="1"/>
  <c r="C30" i="29"/>
  <c r="A30" i="29"/>
  <c r="AC29" i="29"/>
  <c r="Z29" i="29"/>
  <c r="AA29" i="29" s="1"/>
  <c r="V29" i="29"/>
  <c r="W29" i="29" s="1"/>
  <c r="R29" i="29"/>
  <c r="S29" i="29" s="1"/>
  <c r="N29" i="29"/>
  <c r="O29" i="29" s="1"/>
  <c r="J29" i="29"/>
  <c r="K29" i="29" s="1"/>
  <c r="F29" i="29"/>
  <c r="G29" i="29" s="1"/>
  <c r="C29" i="29"/>
  <c r="A29" i="29"/>
  <c r="AC28" i="29"/>
  <c r="Z28" i="29"/>
  <c r="AA28" i="29" s="1"/>
  <c r="V28" i="29"/>
  <c r="W28" i="29" s="1"/>
  <c r="R28" i="29"/>
  <c r="S28" i="29" s="1"/>
  <c r="N28" i="29"/>
  <c r="O28" i="29" s="1"/>
  <c r="J28" i="29"/>
  <c r="K28" i="29" s="1"/>
  <c r="G28" i="29"/>
  <c r="AD28" i="29" s="1"/>
  <c r="F28" i="29"/>
  <c r="C28" i="29"/>
  <c r="A28" i="29"/>
  <c r="AC27" i="29"/>
  <c r="Z27" i="29"/>
  <c r="AA27" i="29" s="1"/>
  <c r="V27" i="29"/>
  <c r="W27" i="29" s="1"/>
  <c r="R27" i="29"/>
  <c r="S27" i="29" s="1"/>
  <c r="N27" i="29"/>
  <c r="O27" i="29" s="1"/>
  <c r="K27" i="29"/>
  <c r="J27" i="29"/>
  <c r="G27" i="29"/>
  <c r="F27" i="29"/>
  <c r="C27" i="29"/>
  <c r="A27" i="29"/>
  <c r="AC26" i="29"/>
  <c r="Z26" i="29"/>
  <c r="AA26" i="29" s="1"/>
  <c r="V26" i="29"/>
  <c r="W26" i="29" s="1"/>
  <c r="R26" i="29"/>
  <c r="S26" i="29" s="1"/>
  <c r="O26" i="29"/>
  <c r="N26" i="29"/>
  <c r="K26" i="29"/>
  <c r="J26" i="29"/>
  <c r="F26" i="29"/>
  <c r="G26" i="29" s="1"/>
  <c r="C26" i="29"/>
  <c r="A26" i="29"/>
  <c r="AC25" i="29"/>
  <c r="Z25" i="29"/>
  <c r="AA25" i="29" s="1"/>
  <c r="V25" i="29"/>
  <c r="W25" i="29" s="1"/>
  <c r="S25" i="29"/>
  <c r="R25" i="29"/>
  <c r="O25" i="29"/>
  <c r="N25" i="29"/>
  <c r="J25" i="29"/>
  <c r="K25" i="29" s="1"/>
  <c r="F25" i="29"/>
  <c r="G25" i="29" s="1"/>
  <c r="C25" i="29"/>
  <c r="A25" i="29"/>
  <c r="AC24" i="29"/>
  <c r="T23" i="21" s="1"/>
  <c r="Z24" i="29"/>
  <c r="AA24" i="29" s="1"/>
  <c r="W24" i="29"/>
  <c r="V24" i="29"/>
  <c r="S24" i="29"/>
  <c r="R24" i="29"/>
  <c r="N24" i="29"/>
  <c r="O24" i="29" s="1"/>
  <c r="J24" i="29"/>
  <c r="K24" i="29" s="1"/>
  <c r="F24" i="29"/>
  <c r="G24" i="29" s="1"/>
  <c r="C24" i="29"/>
  <c r="A24" i="29"/>
  <c r="AC23" i="29"/>
  <c r="T22" i="21" s="1"/>
  <c r="AA23" i="29"/>
  <c r="Z23" i="29"/>
  <c r="W23" i="29"/>
  <c r="V23" i="29"/>
  <c r="R23" i="29"/>
  <c r="S23" i="29" s="1"/>
  <c r="N23" i="29"/>
  <c r="O23" i="29" s="1"/>
  <c r="J23" i="29"/>
  <c r="K23" i="29" s="1"/>
  <c r="F23" i="29"/>
  <c r="G23" i="29" s="1"/>
  <c r="AD23" i="29" s="1"/>
  <c r="C23" i="29"/>
  <c r="A23" i="29"/>
  <c r="AC22" i="29"/>
  <c r="Z22" i="29"/>
  <c r="AA22" i="29" s="1"/>
  <c r="V22" i="29"/>
  <c r="W22" i="29" s="1"/>
  <c r="R22" i="29"/>
  <c r="S22" i="29" s="1"/>
  <c r="N22" i="29"/>
  <c r="O22" i="29" s="1"/>
  <c r="J22" i="29"/>
  <c r="K22" i="29" s="1"/>
  <c r="F22" i="29"/>
  <c r="G22" i="29" s="1"/>
  <c r="C22" i="29"/>
  <c r="A22" i="29"/>
  <c r="AC21" i="29"/>
  <c r="Z21" i="29"/>
  <c r="AA21" i="29" s="1"/>
  <c r="V21" i="29"/>
  <c r="W21" i="29" s="1"/>
  <c r="R21" i="29"/>
  <c r="S21" i="29" s="1"/>
  <c r="N21" i="29"/>
  <c r="O21" i="29" s="1"/>
  <c r="J21" i="29"/>
  <c r="K21" i="29" s="1"/>
  <c r="G21" i="29"/>
  <c r="F21" i="29"/>
  <c r="C21" i="29"/>
  <c r="A21" i="29"/>
  <c r="AC20" i="29"/>
  <c r="Z20" i="29"/>
  <c r="AA20" i="29" s="1"/>
  <c r="V20" i="29"/>
  <c r="W20" i="29" s="1"/>
  <c r="R20" i="29"/>
  <c r="S20" i="29" s="1"/>
  <c r="N20" i="29"/>
  <c r="O20" i="29" s="1"/>
  <c r="K20" i="29"/>
  <c r="J20" i="29"/>
  <c r="F20" i="29"/>
  <c r="G20" i="29" s="1"/>
  <c r="AD20" i="29" s="1"/>
  <c r="C20" i="29"/>
  <c r="A20" i="29"/>
  <c r="AC19" i="29"/>
  <c r="Z19" i="29"/>
  <c r="AA19" i="29" s="1"/>
  <c r="V19" i="29"/>
  <c r="W19" i="29" s="1"/>
  <c r="R19" i="29"/>
  <c r="S19" i="29" s="1"/>
  <c r="O19" i="29"/>
  <c r="N19" i="29"/>
  <c r="J19" i="29"/>
  <c r="K19" i="29" s="1"/>
  <c r="F19" i="29"/>
  <c r="G19" i="29" s="1"/>
  <c r="C19" i="29"/>
  <c r="A19" i="29"/>
  <c r="AC18" i="29"/>
  <c r="T17" i="21" s="1"/>
  <c r="Z18" i="29"/>
  <c r="AA18" i="29" s="1"/>
  <c r="V18" i="29"/>
  <c r="W18" i="29" s="1"/>
  <c r="S18" i="29"/>
  <c r="R18" i="29"/>
  <c r="N18" i="29"/>
  <c r="O18" i="29" s="1"/>
  <c r="J18" i="29"/>
  <c r="K18" i="29" s="1"/>
  <c r="F18" i="29"/>
  <c r="G18" i="29" s="1"/>
  <c r="C18" i="29"/>
  <c r="A18" i="29"/>
  <c r="AC17" i="29"/>
  <c r="T16" i="21" s="1"/>
  <c r="Z17" i="29"/>
  <c r="AA17" i="29" s="1"/>
  <c r="W17" i="29"/>
  <c r="V17" i="29"/>
  <c r="R17" i="29"/>
  <c r="S17" i="29" s="1"/>
  <c r="N17" i="29"/>
  <c r="O17" i="29" s="1"/>
  <c r="J17" i="29"/>
  <c r="K17" i="29" s="1"/>
  <c r="F17" i="29"/>
  <c r="G17" i="29" s="1"/>
  <c r="C17" i="29"/>
  <c r="A17" i="29"/>
  <c r="AC16" i="29"/>
  <c r="T15" i="21" s="1"/>
  <c r="AA16" i="29"/>
  <c r="Z16" i="29"/>
  <c r="V16" i="29"/>
  <c r="W16" i="29" s="1"/>
  <c r="R16" i="29"/>
  <c r="S16" i="29" s="1"/>
  <c r="N16" i="29"/>
  <c r="O16" i="29" s="1"/>
  <c r="J16" i="29"/>
  <c r="K16" i="29" s="1"/>
  <c r="F16" i="29"/>
  <c r="G16" i="29" s="1"/>
  <c r="AD16" i="29" s="1"/>
  <c r="C16" i="29"/>
  <c r="A16" i="29"/>
  <c r="AC15" i="29"/>
  <c r="Z15" i="29"/>
  <c r="AA15" i="29" s="1"/>
  <c r="V15" i="29"/>
  <c r="W15" i="29" s="1"/>
  <c r="R15" i="29"/>
  <c r="S15" i="29" s="1"/>
  <c r="N15" i="29"/>
  <c r="O15" i="29" s="1"/>
  <c r="J15" i="29"/>
  <c r="K15" i="29" s="1"/>
  <c r="F15" i="29"/>
  <c r="G15" i="29" s="1"/>
  <c r="AD15" i="29" s="1"/>
  <c r="C15" i="29"/>
  <c r="A15" i="29"/>
  <c r="AC14" i="29"/>
  <c r="Z14" i="29"/>
  <c r="AA14" i="29" s="1"/>
  <c r="V14" i="29"/>
  <c r="W14" i="29" s="1"/>
  <c r="R14" i="29"/>
  <c r="S14" i="29" s="1"/>
  <c r="N14" i="29"/>
  <c r="O14" i="29" s="1"/>
  <c r="J14" i="29"/>
  <c r="K14" i="29" s="1"/>
  <c r="G14" i="29"/>
  <c r="F14" i="29"/>
  <c r="C14" i="29"/>
  <c r="A14" i="29"/>
  <c r="AC13" i="29"/>
  <c r="Z13" i="29"/>
  <c r="AA13" i="29" s="1"/>
  <c r="V13" i="29"/>
  <c r="W13" i="29" s="1"/>
  <c r="R13" i="29"/>
  <c r="S13" i="29" s="1"/>
  <c r="N13" i="29"/>
  <c r="O13" i="29" s="1"/>
  <c r="K13" i="29"/>
  <c r="J13" i="29"/>
  <c r="F13" i="29"/>
  <c r="G13" i="29" s="1"/>
  <c r="C13" i="29"/>
  <c r="A13" i="29"/>
  <c r="AC12" i="29"/>
  <c r="T11" i="21" s="1"/>
  <c r="Z12" i="29"/>
  <c r="AA12" i="29" s="1"/>
  <c r="V12" i="29"/>
  <c r="W12" i="29" s="1"/>
  <c r="R12" i="29"/>
  <c r="S12" i="29" s="1"/>
  <c r="O12" i="29"/>
  <c r="N12" i="29"/>
  <c r="J12" i="29"/>
  <c r="K12" i="29" s="1"/>
  <c r="F12" i="29"/>
  <c r="G12" i="29" s="1"/>
  <c r="C12" i="29"/>
  <c r="A12" i="29"/>
  <c r="AC11" i="29"/>
  <c r="Z11" i="29"/>
  <c r="AA11" i="29" s="1"/>
  <c r="V11" i="29"/>
  <c r="W11" i="29" s="1"/>
  <c r="S11" i="29"/>
  <c r="R11" i="29"/>
  <c r="N11" i="29"/>
  <c r="O11" i="29" s="1"/>
  <c r="J11" i="29"/>
  <c r="K11" i="29" s="1"/>
  <c r="F11" i="29"/>
  <c r="G11" i="29" s="1"/>
  <c r="C11" i="29"/>
  <c r="A11" i="29"/>
  <c r="AC10" i="29"/>
  <c r="T9" i="21" s="1"/>
  <c r="Z10" i="29"/>
  <c r="AA10" i="29" s="1"/>
  <c r="W10" i="29"/>
  <c r="V10" i="29"/>
  <c r="R10" i="29"/>
  <c r="S10" i="29" s="1"/>
  <c r="N10" i="29"/>
  <c r="O10" i="29" s="1"/>
  <c r="J10" i="29"/>
  <c r="K10" i="29" s="1"/>
  <c r="F10" i="29"/>
  <c r="G10" i="29" s="1"/>
  <c r="AD10" i="29" s="1"/>
  <c r="C10" i="29"/>
  <c r="A10" i="29"/>
  <c r="AC9" i="29"/>
  <c r="AC33" i="29" s="1"/>
  <c r="AA9" i="29"/>
  <c r="Z9" i="29"/>
  <c r="V9" i="29"/>
  <c r="W9" i="29" s="1"/>
  <c r="R9" i="29"/>
  <c r="S9" i="29" s="1"/>
  <c r="N9" i="29"/>
  <c r="O9" i="29" s="1"/>
  <c r="J9" i="29"/>
  <c r="K9" i="29" s="1"/>
  <c r="F9" i="29"/>
  <c r="G9" i="29" s="1"/>
  <c r="C9" i="29"/>
  <c r="A9" i="29"/>
  <c r="Y7" i="29"/>
  <c r="U7" i="29"/>
  <c r="Q7" i="29"/>
  <c r="M7" i="29"/>
  <c r="I7" i="29"/>
  <c r="E7" i="29"/>
  <c r="Y6" i="29"/>
  <c r="U6" i="29"/>
  <c r="Q6" i="29"/>
  <c r="M6" i="29"/>
  <c r="I6" i="29"/>
  <c r="E6" i="29"/>
  <c r="B5" i="29"/>
  <c r="B4" i="29"/>
  <c r="AC85" i="28"/>
  <c r="AA85" i="28"/>
  <c r="AD85" i="28" s="1"/>
  <c r="W85" i="28"/>
  <c r="S85" i="28"/>
  <c r="O85" i="28"/>
  <c r="K85" i="28"/>
  <c r="G85" i="28"/>
  <c r="AC84" i="28"/>
  <c r="W77" i="28"/>
  <c r="S77" i="28"/>
  <c r="O77" i="28"/>
  <c r="AA76" i="28"/>
  <c r="W76" i="28"/>
  <c r="S76" i="28"/>
  <c r="O76" i="28"/>
  <c r="AD76" i="28" s="1"/>
  <c r="Q74" i="21" s="1"/>
  <c r="K76" i="28"/>
  <c r="G76" i="28"/>
  <c r="AA75" i="28"/>
  <c r="AA77" i="28" s="1"/>
  <c r="W75" i="28"/>
  <c r="S75" i="28"/>
  <c r="O75" i="28"/>
  <c r="AD75" i="28" s="1"/>
  <c r="Q73" i="21" s="1"/>
  <c r="K75" i="28"/>
  <c r="K77" i="28" s="1"/>
  <c r="G75" i="28"/>
  <c r="G77" i="28" s="1"/>
  <c r="AA67" i="28"/>
  <c r="W67" i="28"/>
  <c r="S67" i="28"/>
  <c r="O67" i="28"/>
  <c r="AD67" i="28" s="1"/>
  <c r="Q66" i="21" s="1"/>
  <c r="K67" i="28"/>
  <c r="G67" i="28"/>
  <c r="A66" i="28"/>
  <c r="AA58" i="28"/>
  <c r="W58" i="28"/>
  <c r="W59" i="28" s="1"/>
  <c r="S58" i="28"/>
  <c r="O58" i="28"/>
  <c r="AD58" i="28" s="1"/>
  <c r="Q58" i="21" s="1"/>
  <c r="K58" i="28"/>
  <c r="G58" i="28"/>
  <c r="AA57" i="28"/>
  <c r="AA59" i="28" s="1"/>
  <c r="W57" i="28"/>
  <c r="S57" i="28"/>
  <c r="S59" i="28" s="1"/>
  <c r="O57" i="28"/>
  <c r="O59" i="28" s="1"/>
  <c r="K57" i="28"/>
  <c r="K59" i="28" s="1"/>
  <c r="G57" i="28"/>
  <c r="G59" i="28" s="1"/>
  <c r="AD59" i="28" s="1"/>
  <c r="AA54" i="28"/>
  <c r="W54" i="28"/>
  <c r="S54" i="28"/>
  <c r="O54" i="28"/>
  <c r="AD54" i="28" s="1"/>
  <c r="Q54" i="21" s="1"/>
  <c r="K54" i="28"/>
  <c r="G54" i="28"/>
  <c r="AD53" i="28"/>
  <c r="AD52" i="28"/>
  <c r="AD51" i="28"/>
  <c r="Q51" i="21" s="1"/>
  <c r="AD50" i="28"/>
  <c r="Q50" i="21" s="1"/>
  <c r="Y47" i="28"/>
  <c r="U47" i="28"/>
  <c r="Q47" i="28"/>
  <c r="M47" i="28"/>
  <c r="I47" i="28"/>
  <c r="E47" i="28"/>
  <c r="AC46" i="28"/>
  <c r="AA46" i="28"/>
  <c r="W46" i="28"/>
  <c r="S46" i="28"/>
  <c r="O46" i="28"/>
  <c r="K46" i="28"/>
  <c r="G46" i="28"/>
  <c r="G47" i="28" s="1"/>
  <c r="AC45" i="28"/>
  <c r="AA45" i="28"/>
  <c r="W45" i="28"/>
  <c r="S45" i="28"/>
  <c r="O45" i="28"/>
  <c r="K45" i="28"/>
  <c r="AD45" i="28" s="1"/>
  <c r="R45" i="21" s="1"/>
  <c r="G45" i="28"/>
  <c r="AC44" i="28"/>
  <c r="Q44" i="21" s="1"/>
  <c r="AA44" i="28"/>
  <c r="W44" i="28"/>
  <c r="S44" i="28"/>
  <c r="S47" i="28" s="1"/>
  <c r="O44" i="28"/>
  <c r="O47" i="28" s="1"/>
  <c r="K44" i="28"/>
  <c r="G44" i="28"/>
  <c r="AD44" i="28" s="1"/>
  <c r="AC43" i="28"/>
  <c r="AC47" i="28" s="1"/>
  <c r="AA43" i="28"/>
  <c r="AA47" i="28" s="1"/>
  <c r="W43" i="28"/>
  <c r="W47" i="28" s="1"/>
  <c r="S43" i="28"/>
  <c r="O43" i="28"/>
  <c r="K43" i="28"/>
  <c r="G43" i="28"/>
  <c r="AD43" i="28" s="1"/>
  <c r="AA40" i="28"/>
  <c r="W40" i="28"/>
  <c r="S40" i="28"/>
  <c r="AD40" i="28" s="1"/>
  <c r="Q39" i="21" s="1"/>
  <c r="O40" i="28"/>
  <c r="K40" i="28"/>
  <c r="G40" i="28"/>
  <c r="AD39" i="28"/>
  <c r="AD38" i="28"/>
  <c r="AD37" i="28"/>
  <c r="Q36" i="21" s="1"/>
  <c r="AD36" i="28"/>
  <c r="Q35" i="21" s="1"/>
  <c r="Y33" i="28"/>
  <c r="U33" i="28"/>
  <c r="Q33" i="28"/>
  <c r="M33" i="28"/>
  <c r="I33" i="28"/>
  <c r="E33" i="28"/>
  <c r="AC32" i="28"/>
  <c r="Z32" i="28"/>
  <c r="AA32" i="28" s="1"/>
  <c r="V32" i="28"/>
  <c r="W32" i="28" s="1"/>
  <c r="S32" i="28"/>
  <c r="R32" i="28"/>
  <c r="N32" i="28"/>
  <c r="O32" i="28" s="1"/>
  <c r="J32" i="28"/>
  <c r="K32" i="28" s="1"/>
  <c r="F32" i="28"/>
  <c r="G32" i="28" s="1"/>
  <c r="C32" i="28"/>
  <c r="A32" i="28"/>
  <c r="AC31" i="28"/>
  <c r="Z31" i="28"/>
  <c r="AA31" i="28" s="1"/>
  <c r="W31" i="28"/>
  <c r="V31" i="28"/>
  <c r="R31" i="28"/>
  <c r="S31" i="28" s="1"/>
  <c r="N31" i="28"/>
  <c r="O31" i="28" s="1"/>
  <c r="J31" i="28"/>
  <c r="K31" i="28" s="1"/>
  <c r="F31" i="28"/>
  <c r="G31" i="28" s="1"/>
  <c r="AD31" i="28" s="1"/>
  <c r="C31" i="28"/>
  <c r="A31" i="28"/>
  <c r="AC30" i="28"/>
  <c r="AA30" i="28"/>
  <c r="Z30" i="28"/>
  <c r="V30" i="28"/>
  <c r="W30" i="28" s="1"/>
  <c r="R30" i="28"/>
  <c r="S30" i="28" s="1"/>
  <c r="N30" i="28"/>
  <c r="O30" i="28" s="1"/>
  <c r="J30" i="28"/>
  <c r="K30" i="28" s="1"/>
  <c r="F30" i="28"/>
  <c r="G30" i="28" s="1"/>
  <c r="C30" i="28"/>
  <c r="A30" i="28"/>
  <c r="AC29" i="28"/>
  <c r="Z29" i="28"/>
  <c r="AA29" i="28" s="1"/>
  <c r="V29" i="28"/>
  <c r="W29" i="28" s="1"/>
  <c r="R29" i="28"/>
  <c r="S29" i="28" s="1"/>
  <c r="N29" i="28"/>
  <c r="O29" i="28" s="1"/>
  <c r="J29" i="28"/>
  <c r="K29" i="28" s="1"/>
  <c r="F29" i="28"/>
  <c r="G29" i="28" s="1"/>
  <c r="C29" i="28"/>
  <c r="A29" i="28"/>
  <c r="AC28" i="28"/>
  <c r="Z28" i="28"/>
  <c r="AA28" i="28" s="1"/>
  <c r="V28" i="28"/>
  <c r="W28" i="28" s="1"/>
  <c r="R28" i="28"/>
  <c r="S28" i="28" s="1"/>
  <c r="N28" i="28"/>
  <c r="O28" i="28" s="1"/>
  <c r="J28" i="28"/>
  <c r="K28" i="28" s="1"/>
  <c r="G28" i="28"/>
  <c r="AD28" i="28" s="1"/>
  <c r="F28" i="28"/>
  <c r="C28" i="28"/>
  <c r="A28" i="28"/>
  <c r="AC27" i="28"/>
  <c r="Q26" i="21" s="1"/>
  <c r="Z27" i="28"/>
  <c r="AA27" i="28" s="1"/>
  <c r="V27" i="28"/>
  <c r="W27" i="28" s="1"/>
  <c r="R27" i="28"/>
  <c r="S27" i="28" s="1"/>
  <c r="N27" i="28"/>
  <c r="O27" i="28" s="1"/>
  <c r="K27" i="28"/>
  <c r="J27" i="28"/>
  <c r="F27" i="28"/>
  <c r="G27" i="28" s="1"/>
  <c r="C27" i="28"/>
  <c r="A27" i="28"/>
  <c r="AC26" i="28"/>
  <c r="Q25" i="21" s="1"/>
  <c r="Z26" i="28"/>
  <c r="AA26" i="28" s="1"/>
  <c r="V26" i="28"/>
  <c r="W26" i="28" s="1"/>
  <c r="R26" i="28"/>
  <c r="S26" i="28" s="1"/>
  <c r="O26" i="28"/>
  <c r="N26" i="28"/>
  <c r="J26" i="28"/>
  <c r="K26" i="28" s="1"/>
  <c r="F26" i="28"/>
  <c r="G26" i="28" s="1"/>
  <c r="C26" i="28"/>
  <c r="A26" i="28"/>
  <c r="AC25" i="28"/>
  <c r="Z25" i="28"/>
  <c r="AA25" i="28" s="1"/>
  <c r="V25" i="28"/>
  <c r="W25" i="28" s="1"/>
  <c r="S25" i="28"/>
  <c r="R25" i="28"/>
  <c r="N25" i="28"/>
  <c r="O25" i="28" s="1"/>
  <c r="J25" i="28"/>
  <c r="K25" i="28" s="1"/>
  <c r="F25" i="28"/>
  <c r="G25" i="28" s="1"/>
  <c r="C25" i="28"/>
  <c r="A25" i="28"/>
  <c r="AC24" i="28"/>
  <c r="Q23" i="21" s="1"/>
  <c r="Z24" i="28"/>
  <c r="AA24" i="28" s="1"/>
  <c r="W24" i="28"/>
  <c r="V24" i="28"/>
  <c r="R24" i="28"/>
  <c r="S24" i="28" s="1"/>
  <c r="N24" i="28"/>
  <c r="O24" i="28" s="1"/>
  <c r="J24" i="28"/>
  <c r="K24" i="28" s="1"/>
  <c r="F24" i="28"/>
  <c r="G24" i="28" s="1"/>
  <c r="AD24" i="28" s="1"/>
  <c r="C24" i="28"/>
  <c r="A24" i="28"/>
  <c r="AC23" i="28"/>
  <c r="Q22" i="21" s="1"/>
  <c r="AA23" i="28"/>
  <c r="Z23" i="28"/>
  <c r="V23" i="28"/>
  <c r="W23" i="28" s="1"/>
  <c r="R23" i="28"/>
  <c r="S23" i="28" s="1"/>
  <c r="N23" i="28"/>
  <c r="O23" i="28" s="1"/>
  <c r="J23" i="28"/>
  <c r="K23" i="28" s="1"/>
  <c r="F23" i="28"/>
  <c r="G23" i="28" s="1"/>
  <c r="C23" i="28"/>
  <c r="A23" i="28"/>
  <c r="AC22" i="28"/>
  <c r="Z22" i="28"/>
  <c r="AA22" i="28" s="1"/>
  <c r="V22" i="28"/>
  <c r="W22" i="28" s="1"/>
  <c r="R22" i="28"/>
  <c r="S22" i="28" s="1"/>
  <c r="N22" i="28"/>
  <c r="O22" i="28" s="1"/>
  <c r="J22" i="28"/>
  <c r="K22" i="28" s="1"/>
  <c r="F22" i="28"/>
  <c r="G22" i="28" s="1"/>
  <c r="C22" i="28"/>
  <c r="A22" i="28"/>
  <c r="AC21" i="28"/>
  <c r="Z21" i="28"/>
  <c r="AA21" i="28" s="1"/>
  <c r="V21" i="28"/>
  <c r="W21" i="28" s="1"/>
  <c r="R21" i="28"/>
  <c r="S21" i="28" s="1"/>
  <c r="N21" i="28"/>
  <c r="O21" i="28" s="1"/>
  <c r="J21" i="28"/>
  <c r="K21" i="28" s="1"/>
  <c r="G21" i="28"/>
  <c r="AD21" i="28" s="1"/>
  <c r="F21" i="28"/>
  <c r="C21" i="28"/>
  <c r="A21" i="28"/>
  <c r="AC20" i="28"/>
  <c r="Z20" i="28"/>
  <c r="AA20" i="28" s="1"/>
  <c r="V20" i="28"/>
  <c r="W20" i="28" s="1"/>
  <c r="R20" i="28"/>
  <c r="S20" i="28" s="1"/>
  <c r="N20" i="28"/>
  <c r="O20" i="28" s="1"/>
  <c r="K20" i="28"/>
  <c r="J20" i="28"/>
  <c r="F20" i="28"/>
  <c r="G20" i="28" s="1"/>
  <c r="C20" i="28"/>
  <c r="A20" i="28"/>
  <c r="AC19" i="28"/>
  <c r="Q18" i="21" s="1"/>
  <c r="Z19" i="28"/>
  <c r="AA19" i="28" s="1"/>
  <c r="V19" i="28"/>
  <c r="W19" i="28" s="1"/>
  <c r="R19" i="28"/>
  <c r="S19" i="28" s="1"/>
  <c r="O19" i="28"/>
  <c r="N19" i="28"/>
  <c r="J19" i="28"/>
  <c r="K19" i="28" s="1"/>
  <c r="F19" i="28"/>
  <c r="G19" i="28" s="1"/>
  <c r="C19" i="28"/>
  <c r="A19" i="28"/>
  <c r="AC18" i="28"/>
  <c r="Z18" i="28"/>
  <c r="AA18" i="28" s="1"/>
  <c r="V18" i="28"/>
  <c r="W18" i="28" s="1"/>
  <c r="S18" i="28"/>
  <c r="R18" i="28"/>
  <c r="N18" i="28"/>
  <c r="O18" i="28" s="1"/>
  <c r="J18" i="28"/>
  <c r="K18" i="28" s="1"/>
  <c r="F18" i="28"/>
  <c r="G18" i="28" s="1"/>
  <c r="C18" i="28"/>
  <c r="A18" i="28"/>
  <c r="AC17" i="28"/>
  <c r="Q16" i="21" s="1"/>
  <c r="Z17" i="28"/>
  <c r="AA17" i="28" s="1"/>
  <c r="W17" i="28"/>
  <c r="V17" i="28"/>
  <c r="R17" i="28"/>
  <c r="S17" i="28" s="1"/>
  <c r="N17" i="28"/>
  <c r="O17" i="28" s="1"/>
  <c r="J17" i="28"/>
  <c r="K17" i="28" s="1"/>
  <c r="F17" i="28"/>
  <c r="G17" i="28" s="1"/>
  <c r="AD17" i="28" s="1"/>
  <c r="C17" i="28"/>
  <c r="A17" i="28"/>
  <c r="AC16" i="28"/>
  <c r="Q15" i="21" s="1"/>
  <c r="AA16" i="28"/>
  <c r="Z16" i="28"/>
  <c r="V16" i="28"/>
  <c r="W16" i="28" s="1"/>
  <c r="R16" i="28"/>
  <c r="S16" i="28" s="1"/>
  <c r="N16" i="28"/>
  <c r="O16" i="28" s="1"/>
  <c r="J16" i="28"/>
  <c r="K16" i="28" s="1"/>
  <c r="F16" i="28"/>
  <c r="G16" i="28" s="1"/>
  <c r="C16" i="28"/>
  <c r="A16" i="28"/>
  <c r="AC15" i="28"/>
  <c r="Z15" i="28"/>
  <c r="AA15" i="28" s="1"/>
  <c r="V15" i="28"/>
  <c r="W15" i="28" s="1"/>
  <c r="R15" i="28"/>
  <c r="S15" i="28" s="1"/>
  <c r="N15" i="28"/>
  <c r="O15" i="28" s="1"/>
  <c r="J15" i="28"/>
  <c r="K15" i="28" s="1"/>
  <c r="F15" i="28"/>
  <c r="G15" i="28" s="1"/>
  <c r="C15" i="28"/>
  <c r="A15" i="28"/>
  <c r="AC14" i="28"/>
  <c r="Z14" i="28"/>
  <c r="AA14" i="28" s="1"/>
  <c r="V14" i="28"/>
  <c r="W14" i="28" s="1"/>
  <c r="R14" i="28"/>
  <c r="S14" i="28" s="1"/>
  <c r="N14" i="28"/>
  <c r="O14" i="28" s="1"/>
  <c r="J14" i="28"/>
  <c r="K14" i="28" s="1"/>
  <c r="G14" i="28"/>
  <c r="AD14" i="28" s="1"/>
  <c r="F14" i="28"/>
  <c r="C14" i="28"/>
  <c r="A14" i="28"/>
  <c r="AC13" i="28"/>
  <c r="Z13" i="28"/>
  <c r="AA13" i="28" s="1"/>
  <c r="V13" i="28"/>
  <c r="W13" i="28" s="1"/>
  <c r="R13" i="28"/>
  <c r="S13" i="28" s="1"/>
  <c r="N13" i="28"/>
  <c r="O13" i="28" s="1"/>
  <c r="K13" i="28"/>
  <c r="J13" i="28"/>
  <c r="F13" i="28"/>
  <c r="G13" i="28" s="1"/>
  <c r="C13" i="28"/>
  <c r="A13" i="28"/>
  <c r="AC12" i="28"/>
  <c r="Q11" i="21" s="1"/>
  <c r="Z12" i="28"/>
  <c r="AA12" i="28" s="1"/>
  <c r="V12" i="28"/>
  <c r="W12" i="28" s="1"/>
  <c r="R12" i="28"/>
  <c r="S12" i="28" s="1"/>
  <c r="O12" i="28"/>
  <c r="N12" i="28"/>
  <c r="J12" i="28"/>
  <c r="K12" i="28" s="1"/>
  <c r="F12" i="28"/>
  <c r="G12" i="28" s="1"/>
  <c r="C12" i="28"/>
  <c r="A12" i="28"/>
  <c r="AC11" i="28"/>
  <c r="Z11" i="28"/>
  <c r="AA11" i="28" s="1"/>
  <c r="V11" i="28"/>
  <c r="W11" i="28" s="1"/>
  <c r="S11" i="28"/>
  <c r="R11" i="28"/>
  <c r="N11" i="28"/>
  <c r="O11" i="28" s="1"/>
  <c r="J11" i="28"/>
  <c r="K11" i="28" s="1"/>
  <c r="F11" i="28"/>
  <c r="G11" i="28" s="1"/>
  <c r="C11" i="28"/>
  <c r="A11" i="28"/>
  <c r="AC10" i="28"/>
  <c r="Z10" i="28"/>
  <c r="AA10" i="28" s="1"/>
  <c r="W10" i="28"/>
  <c r="V10" i="28"/>
  <c r="R10" i="28"/>
  <c r="S10" i="28" s="1"/>
  <c r="N10" i="28"/>
  <c r="O10" i="28" s="1"/>
  <c r="J10" i="28"/>
  <c r="K10" i="28" s="1"/>
  <c r="F10" i="28"/>
  <c r="G10" i="28" s="1"/>
  <c r="AD10" i="28" s="1"/>
  <c r="C10" i="28"/>
  <c r="A10" i="28"/>
  <c r="AC9" i="28"/>
  <c r="AC33" i="28" s="1"/>
  <c r="AA9" i="28"/>
  <c r="Z9" i="28"/>
  <c r="V9" i="28"/>
  <c r="W9" i="28" s="1"/>
  <c r="R9" i="28"/>
  <c r="S9" i="28" s="1"/>
  <c r="N9" i="28"/>
  <c r="O9" i="28" s="1"/>
  <c r="J9" i="28"/>
  <c r="K9" i="28" s="1"/>
  <c r="F9" i="28"/>
  <c r="G9" i="28" s="1"/>
  <c r="C9" i="28"/>
  <c r="A9" i="28"/>
  <c r="Y7" i="28"/>
  <c r="U7" i="28"/>
  <c r="Q7" i="28"/>
  <c r="M7" i="28"/>
  <c r="I7" i="28"/>
  <c r="E7" i="28"/>
  <c r="Y6" i="28"/>
  <c r="U6" i="28"/>
  <c r="Q6" i="28"/>
  <c r="M6" i="28"/>
  <c r="I6" i="28"/>
  <c r="E6" i="28"/>
  <c r="B5" i="28"/>
  <c r="B4" i="28"/>
  <c r="AC85" i="27"/>
  <c r="AA85" i="27"/>
  <c r="AD85" i="27" s="1"/>
  <c r="W85" i="27"/>
  <c r="S85" i="27"/>
  <c r="O85" i="27"/>
  <c r="K85" i="27"/>
  <c r="G85" i="27"/>
  <c r="AC84" i="27"/>
  <c r="AA76" i="27"/>
  <c r="W76" i="27"/>
  <c r="S76" i="27"/>
  <c r="O76" i="27"/>
  <c r="K76" i="27"/>
  <c r="G76" i="27"/>
  <c r="AD76" i="27" s="1"/>
  <c r="N74" i="21" s="1"/>
  <c r="AA75" i="27"/>
  <c r="AA77" i="27" s="1"/>
  <c r="W75" i="27"/>
  <c r="W77" i="27" s="1"/>
  <c r="S75" i="27"/>
  <c r="S77" i="27" s="1"/>
  <c r="O75" i="27"/>
  <c r="O77" i="27" s="1"/>
  <c r="K75" i="27"/>
  <c r="K77" i="27" s="1"/>
  <c r="G75" i="27"/>
  <c r="AD75" i="27" s="1"/>
  <c r="N73" i="21" s="1"/>
  <c r="AA67" i="27"/>
  <c r="W67" i="27"/>
  <c r="S67" i="27"/>
  <c r="O67" i="27"/>
  <c r="K67" i="27"/>
  <c r="G67" i="27"/>
  <c r="AD67" i="27" s="1"/>
  <c r="N66" i="21" s="1"/>
  <c r="A66" i="27"/>
  <c r="W59" i="27"/>
  <c r="S59" i="27"/>
  <c r="O59" i="27"/>
  <c r="G59" i="27"/>
  <c r="AA58" i="27"/>
  <c r="W58" i="27"/>
  <c r="S58" i="27"/>
  <c r="O58" i="27"/>
  <c r="K58" i="27"/>
  <c r="G58" i="27"/>
  <c r="AD58" i="27" s="1"/>
  <c r="N58" i="21" s="1"/>
  <c r="AA57" i="27"/>
  <c r="AA59" i="27" s="1"/>
  <c r="W57" i="27"/>
  <c r="S57" i="27"/>
  <c r="O57" i="27"/>
  <c r="K57" i="27"/>
  <c r="K59" i="27" s="1"/>
  <c r="G57" i="27"/>
  <c r="AD57" i="27" s="1"/>
  <c r="AA54" i="27"/>
  <c r="W54" i="27"/>
  <c r="S54" i="27"/>
  <c r="O54" i="27"/>
  <c r="K54" i="27"/>
  <c r="G54" i="27"/>
  <c r="AD54" i="27" s="1"/>
  <c r="N54" i="21" s="1"/>
  <c r="AD53" i="27"/>
  <c r="AD52" i="27"/>
  <c r="AD51" i="27"/>
  <c r="N51" i="21" s="1"/>
  <c r="AD50" i="27"/>
  <c r="N50" i="21" s="1"/>
  <c r="Y47" i="27"/>
  <c r="U47" i="27"/>
  <c r="Q47" i="27"/>
  <c r="M47" i="27"/>
  <c r="I47" i="27"/>
  <c r="G47" i="27"/>
  <c r="E47" i="27"/>
  <c r="AD46" i="27"/>
  <c r="AC46" i="27"/>
  <c r="AA46" i="27"/>
  <c r="W46" i="27"/>
  <c r="S46" i="27"/>
  <c r="O46" i="27"/>
  <c r="K46" i="27"/>
  <c r="G46" i="27"/>
  <c r="AC45" i="27"/>
  <c r="AA45" i="27"/>
  <c r="W45" i="27"/>
  <c r="S45" i="27"/>
  <c r="O45" i="27"/>
  <c r="K45" i="27"/>
  <c r="AD45" i="27" s="1"/>
  <c r="O45" i="21" s="1"/>
  <c r="G45" i="27"/>
  <c r="AD44" i="27"/>
  <c r="AC44" i="27"/>
  <c r="AA44" i="27"/>
  <c r="W44" i="27"/>
  <c r="S44" i="27"/>
  <c r="O44" i="27"/>
  <c r="O47" i="27" s="1"/>
  <c r="K44" i="27"/>
  <c r="G44" i="27"/>
  <c r="AC43" i="27"/>
  <c r="AC47" i="27" s="1"/>
  <c r="AA43" i="27"/>
  <c r="AA47" i="27" s="1"/>
  <c r="W43" i="27"/>
  <c r="W47" i="27" s="1"/>
  <c r="S43" i="27"/>
  <c r="S47" i="27" s="1"/>
  <c r="O43" i="27"/>
  <c r="K43" i="27"/>
  <c r="K47" i="27" s="1"/>
  <c r="G43" i="27"/>
  <c r="AA40" i="27"/>
  <c r="W40" i="27"/>
  <c r="S40" i="27"/>
  <c r="O40" i="27"/>
  <c r="K40" i="27"/>
  <c r="G40" i="27"/>
  <c r="AD40" i="27" s="1"/>
  <c r="N39" i="21" s="1"/>
  <c r="AD39" i="27"/>
  <c r="AD38" i="27"/>
  <c r="N37" i="21" s="1"/>
  <c r="AD37" i="27"/>
  <c r="N36" i="21" s="1"/>
  <c r="AD36" i="27"/>
  <c r="N35" i="21" s="1"/>
  <c r="Y33" i="27"/>
  <c r="U33" i="27"/>
  <c r="Q33" i="27"/>
  <c r="M33" i="27"/>
  <c r="I33" i="27"/>
  <c r="E33" i="27"/>
  <c r="AC32" i="27"/>
  <c r="Z32" i="27"/>
  <c r="AA32" i="27" s="1"/>
  <c r="V32" i="27"/>
  <c r="W32" i="27" s="1"/>
  <c r="R32" i="27"/>
  <c r="S32" i="27" s="1"/>
  <c r="N32" i="27"/>
  <c r="O32" i="27" s="1"/>
  <c r="J32" i="27"/>
  <c r="K32" i="27" s="1"/>
  <c r="F32" i="27"/>
  <c r="G32" i="27" s="1"/>
  <c r="AD32" i="27" s="1"/>
  <c r="C32" i="27"/>
  <c r="A32" i="27"/>
  <c r="AC31" i="27"/>
  <c r="Z31" i="27"/>
  <c r="AA31" i="27" s="1"/>
  <c r="V31" i="27"/>
  <c r="W31" i="27" s="1"/>
  <c r="R31" i="27"/>
  <c r="S31" i="27" s="1"/>
  <c r="N31" i="27"/>
  <c r="O31" i="27" s="1"/>
  <c r="J31" i="27"/>
  <c r="K31" i="27" s="1"/>
  <c r="F31" i="27"/>
  <c r="G31" i="27" s="1"/>
  <c r="C31" i="27"/>
  <c r="A31" i="27"/>
  <c r="AC30" i="27"/>
  <c r="Z30" i="27"/>
  <c r="AA30" i="27" s="1"/>
  <c r="V30" i="27"/>
  <c r="W30" i="27" s="1"/>
  <c r="R30" i="27"/>
  <c r="S30" i="27" s="1"/>
  <c r="N30" i="27"/>
  <c r="O30" i="27" s="1"/>
  <c r="J30" i="27"/>
  <c r="K30" i="27" s="1"/>
  <c r="F30" i="27"/>
  <c r="G30" i="27" s="1"/>
  <c r="C30" i="27"/>
  <c r="A30" i="27"/>
  <c r="AC29" i="27"/>
  <c r="Z29" i="27"/>
  <c r="AA29" i="27" s="1"/>
  <c r="V29" i="27"/>
  <c r="W29" i="27" s="1"/>
  <c r="R29" i="27"/>
  <c r="S29" i="27" s="1"/>
  <c r="N29" i="27"/>
  <c r="O29" i="27" s="1"/>
  <c r="J29" i="27"/>
  <c r="K29" i="27" s="1"/>
  <c r="F29" i="27"/>
  <c r="G29" i="27" s="1"/>
  <c r="AD29" i="27" s="1"/>
  <c r="C29" i="27"/>
  <c r="A29" i="27"/>
  <c r="AC28" i="27"/>
  <c r="Z28" i="27"/>
  <c r="AA28" i="27" s="1"/>
  <c r="V28" i="27"/>
  <c r="W28" i="27" s="1"/>
  <c r="R28" i="27"/>
  <c r="S28" i="27" s="1"/>
  <c r="N28" i="27"/>
  <c r="O28" i="27" s="1"/>
  <c r="J28" i="27"/>
  <c r="K28" i="27" s="1"/>
  <c r="F28" i="27"/>
  <c r="G28" i="27" s="1"/>
  <c r="C28" i="27"/>
  <c r="A28" i="27"/>
  <c r="AC27" i="27"/>
  <c r="N26" i="21" s="1"/>
  <c r="Z27" i="27"/>
  <c r="AA27" i="27" s="1"/>
  <c r="V27" i="27"/>
  <c r="W27" i="27" s="1"/>
  <c r="R27" i="27"/>
  <c r="S27" i="27" s="1"/>
  <c r="N27" i="27"/>
  <c r="O27" i="27" s="1"/>
  <c r="J27" i="27"/>
  <c r="K27" i="27" s="1"/>
  <c r="F27" i="27"/>
  <c r="G27" i="27" s="1"/>
  <c r="C27" i="27"/>
  <c r="A27" i="27"/>
  <c r="AC26" i="27"/>
  <c r="N25" i="21" s="1"/>
  <c r="Z26" i="27"/>
  <c r="AA26" i="27" s="1"/>
  <c r="V26" i="27"/>
  <c r="W26" i="27" s="1"/>
  <c r="R26" i="27"/>
  <c r="S26" i="27" s="1"/>
  <c r="N26" i="27"/>
  <c r="O26" i="27" s="1"/>
  <c r="J26" i="27"/>
  <c r="K26" i="27" s="1"/>
  <c r="F26" i="27"/>
  <c r="G26" i="27" s="1"/>
  <c r="AD26" i="27" s="1"/>
  <c r="C26" i="27"/>
  <c r="A26" i="27"/>
  <c r="AC25" i="27"/>
  <c r="Z25" i="27"/>
  <c r="AA25" i="27" s="1"/>
  <c r="V25" i="27"/>
  <c r="W25" i="27" s="1"/>
  <c r="R25" i="27"/>
  <c r="S25" i="27" s="1"/>
  <c r="N25" i="27"/>
  <c r="O25" i="27" s="1"/>
  <c r="J25" i="27"/>
  <c r="K25" i="27" s="1"/>
  <c r="F25" i="27"/>
  <c r="G25" i="27" s="1"/>
  <c r="C25" i="27"/>
  <c r="A25" i="27"/>
  <c r="AC24" i="27"/>
  <c r="Z24" i="27"/>
  <c r="AA24" i="27" s="1"/>
  <c r="V24" i="27"/>
  <c r="W24" i="27" s="1"/>
  <c r="R24" i="27"/>
  <c r="S24" i="27" s="1"/>
  <c r="N24" i="27"/>
  <c r="O24" i="27" s="1"/>
  <c r="J24" i="27"/>
  <c r="K24" i="27" s="1"/>
  <c r="F24" i="27"/>
  <c r="G24" i="27" s="1"/>
  <c r="C24" i="27"/>
  <c r="A24" i="27"/>
  <c r="AC23" i="27"/>
  <c r="Z23" i="27"/>
  <c r="AA23" i="27" s="1"/>
  <c r="V23" i="27"/>
  <c r="W23" i="27" s="1"/>
  <c r="R23" i="27"/>
  <c r="S23" i="27" s="1"/>
  <c r="N23" i="27"/>
  <c r="O23" i="27" s="1"/>
  <c r="J23" i="27"/>
  <c r="K23" i="27" s="1"/>
  <c r="F23" i="27"/>
  <c r="G23" i="27" s="1"/>
  <c r="C23" i="27"/>
  <c r="A23" i="27"/>
  <c r="AC22" i="27"/>
  <c r="Z22" i="27"/>
  <c r="AA22" i="27" s="1"/>
  <c r="V22" i="27"/>
  <c r="W22" i="27" s="1"/>
  <c r="R22" i="27"/>
  <c r="S22" i="27" s="1"/>
  <c r="N22" i="27"/>
  <c r="O22" i="27" s="1"/>
  <c r="J22" i="27"/>
  <c r="K22" i="27" s="1"/>
  <c r="F22" i="27"/>
  <c r="G22" i="27" s="1"/>
  <c r="C22" i="27"/>
  <c r="A22" i="27"/>
  <c r="AC21" i="27"/>
  <c r="Z21" i="27"/>
  <c r="AA21" i="27" s="1"/>
  <c r="V21" i="27"/>
  <c r="W21" i="27" s="1"/>
  <c r="R21" i="27"/>
  <c r="S21" i="27" s="1"/>
  <c r="N21" i="27"/>
  <c r="O21" i="27" s="1"/>
  <c r="J21" i="27"/>
  <c r="K21" i="27" s="1"/>
  <c r="F21" i="27"/>
  <c r="G21" i="27" s="1"/>
  <c r="AD21" i="27" s="1"/>
  <c r="C21" i="27"/>
  <c r="A21" i="27"/>
  <c r="AC20" i="27"/>
  <c r="Z20" i="27"/>
  <c r="AA20" i="27" s="1"/>
  <c r="V20" i="27"/>
  <c r="W20" i="27" s="1"/>
  <c r="R20" i="27"/>
  <c r="S20" i="27" s="1"/>
  <c r="N20" i="27"/>
  <c r="O20" i="27" s="1"/>
  <c r="J20" i="27"/>
  <c r="K20" i="27" s="1"/>
  <c r="F20" i="27"/>
  <c r="G20" i="27" s="1"/>
  <c r="C20" i="27"/>
  <c r="A20" i="27"/>
  <c r="AC19" i="27"/>
  <c r="Z19" i="27"/>
  <c r="AA19" i="27" s="1"/>
  <c r="V19" i="27"/>
  <c r="W19" i="27" s="1"/>
  <c r="R19" i="27"/>
  <c r="S19" i="27" s="1"/>
  <c r="N19" i="27"/>
  <c r="O19" i="27" s="1"/>
  <c r="J19" i="27"/>
  <c r="K19" i="27" s="1"/>
  <c r="F19" i="27"/>
  <c r="G19" i="27" s="1"/>
  <c r="C19" i="27"/>
  <c r="A19" i="27"/>
  <c r="AC18" i="27"/>
  <c r="N17" i="21" s="1"/>
  <c r="Z18" i="27"/>
  <c r="AA18" i="27" s="1"/>
  <c r="V18" i="27"/>
  <c r="W18" i="27" s="1"/>
  <c r="R18" i="27"/>
  <c r="S18" i="27" s="1"/>
  <c r="N18" i="27"/>
  <c r="O18" i="27" s="1"/>
  <c r="J18" i="27"/>
  <c r="K18" i="27" s="1"/>
  <c r="F18" i="27"/>
  <c r="G18" i="27" s="1"/>
  <c r="AD18" i="27" s="1"/>
  <c r="C18" i="27"/>
  <c r="A18" i="27"/>
  <c r="AC17" i="27"/>
  <c r="Z17" i="27"/>
  <c r="AA17" i="27" s="1"/>
  <c r="V17" i="27"/>
  <c r="W17" i="27" s="1"/>
  <c r="R17" i="27"/>
  <c r="S17" i="27" s="1"/>
  <c r="N17" i="27"/>
  <c r="O17" i="27" s="1"/>
  <c r="J17" i="27"/>
  <c r="K17" i="27" s="1"/>
  <c r="F17" i="27"/>
  <c r="G17" i="27" s="1"/>
  <c r="C17" i="27"/>
  <c r="A17" i="27"/>
  <c r="AC16" i="27"/>
  <c r="Z16" i="27"/>
  <c r="AA16" i="27" s="1"/>
  <c r="V16" i="27"/>
  <c r="W16" i="27" s="1"/>
  <c r="R16" i="27"/>
  <c r="S16" i="27" s="1"/>
  <c r="N16" i="27"/>
  <c r="O16" i="27" s="1"/>
  <c r="J16" i="27"/>
  <c r="K16" i="27" s="1"/>
  <c r="F16" i="27"/>
  <c r="G16" i="27" s="1"/>
  <c r="C16" i="27"/>
  <c r="A16" i="27"/>
  <c r="AC15" i="27"/>
  <c r="Z15" i="27"/>
  <c r="AA15" i="27" s="1"/>
  <c r="V15" i="27"/>
  <c r="W15" i="27" s="1"/>
  <c r="R15" i="27"/>
  <c r="S15" i="27" s="1"/>
  <c r="N15" i="27"/>
  <c r="O15" i="27" s="1"/>
  <c r="J15" i="27"/>
  <c r="K15" i="27" s="1"/>
  <c r="F15" i="27"/>
  <c r="G15" i="27" s="1"/>
  <c r="AD15" i="27" s="1"/>
  <c r="C15" i="27"/>
  <c r="A15" i="27"/>
  <c r="AC14" i="27"/>
  <c r="Z14" i="27"/>
  <c r="AA14" i="27" s="1"/>
  <c r="V14" i="27"/>
  <c r="W14" i="27" s="1"/>
  <c r="R14" i="27"/>
  <c r="S14" i="27" s="1"/>
  <c r="N14" i="27"/>
  <c r="O14" i="27" s="1"/>
  <c r="J14" i="27"/>
  <c r="K14" i="27" s="1"/>
  <c r="F14" i="27"/>
  <c r="G14" i="27" s="1"/>
  <c r="C14" i="27"/>
  <c r="A14" i="27"/>
  <c r="AC13" i="27"/>
  <c r="N12" i="21" s="1"/>
  <c r="Z13" i="27"/>
  <c r="AA13" i="27" s="1"/>
  <c r="V13" i="27"/>
  <c r="W13" i="27" s="1"/>
  <c r="R13" i="27"/>
  <c r="S13" i="27" s="1"/>
  <c r="N13" i="27"/>
  <c r="O13" i="27" s="1"/>
  <c r="J13" i="27"/>
  <c r="K13" i="27" s="1"/>
  <c r="F13" i="27"/>
  <c r="G13" i="27" s="1"/>
  <c r="C13" i="27"/>
  <c r="A13" i="27"/>
  <c r="AC12" i="27"/>
  <c r="N11" i="21" s="1"/>
  <c r="Z12" i="27"/>
  <c r="AA12" i="27" s="1"/>
  <c r="V12" i="27"/>
  <c r="W12" i="27" s="1"/>
  <c r="R12" i="27"/>
  <c r="S12" i="27" s="1"/>
  <c r="N12" i="27"/>
  <c r="O12" i="27" s="1"/>
  <c r="J12" i="27"/>
  <c r="K12" i="27" s="1"/>
  <c r="F12" i="27"/>
  <c r="G12" i="27" s="1"/>
  <c r="AD12" i="27" s="1"/>
  <c r="C12" i="27"/>
  <c r="A12" i="27"/>
  <c r="AC11" i="27"/>
  <c r="AC33" i="27" s="1"/>
  <c r="Z11" i="27"/>
  <c r="AA11" i="27" s="1"/>
  <c r="V11" i="27"/>
  <c r="W11" i="27" s="1"/>
  <c r="R11" i="27"/>
  <c r="S11" i="27" s="1"/>
  <c r="N11" i="27"/>
  <c r="O11" i="27" s="1"/>
  <c r="J11" i="27"/>
  <c r="K11" i="27" s="1"/>
  <c r="F11" i="27"/>
  <c r="G11" i="27" s="1"/>
  <c r="C11" i="27"/>
  <c r="A11" i="27"/>
  <c r="AC10" i="27"/>
  <c r="Z10" i="27"/>
  <c r="AA10" i="27" s="1"/>
  <c r="V10" i="27"/>
  <c r="W10" i="27" s="1"/>
  <c r="R10" i="27"/>
  <c r="S10" i="27" s="1"/>
  <c r="N10" i="27"/>
  <c r="O10" i="27" s="1"/>
  <c r="J10" i="27"/>
  <c r="K10" i="27" s="1"/>
  <c r="F10" i="27"/>
  <c r="G10" i="27" s="1"/>
  <c r="C10" i="27"/>
  <c r="A10" i="27"/>
  <c r="AC9" i="27"/>
  <c r="Z9" i="27"/>
  <c r="AA9" i="27" s="1"/>
  <c r="V9" i="27"/>
  <c r="W9" i="27" s="1"/>
  <c r="R9" i="27"/>
  <c r="S9" i="27" s="1"/>
  <c r="N9" i="27"/>
  <c r="O9" i="27" s="1"/>
  <c r="J9" i="27"/>
  <c r="K9" i="27" s="1"/>
  <c r="F9" i="27"/>
  <c r="G9" i="27" s="1"/>
  <c r="C9" i="27"/>
  <c r="A9" i="27"/>
  <c r="Y7" i="27"/>
  <c r="U7" i="27"/>
  <c r="Q7" i="27"/>
  <c r="M7" i="27"/>
  <c r="I7" i="27"/>
  <c r="E7" i="27"/>
  <c r="Y6" i="27"/>
  <c r="U6" i="27"/>
  <c r="Q6" i="27"/>
  <c r="M6" i="27"/>
  <c r="I6" i="27"/>
  <c r="E6" i="27"/>
  <c r="B5" i="27"/>
  <c r="B4" i="27"/>
  <c r="AC85" i="26"/>
  <c r="AA85" i="26"/>
  <c r="AD85" i="26" s="1"/>
  <c r="W85" i="26"/>
  <c r="S85" i="26"/>
  <c r="O85" i="26"/>
  <c r="K85" i="26"/>
  <c r="G85" i="26"/>
  <c r="AC84" i="26"/>
  <c r="G77" i="26"/>
  <c r="AA76" i="26"/>
  <c r="W76" i="26"/>
  <c r="S76" i="26"/>
  <c r="O76" i="26"/>
  <c r="AD76" i="26" s="1"/>
  <c r="K74" i="21" s="1"/>
  <c r="K76" i="26"/>
  <c r="G76" i="26"/>
  <c r="AA75" i="26"/>
  <c r="AA77" i="26" s="1"/>
  <c r="W75" i="26"/>
  <c r="AD75" i="26" s="1"/>
  <c r="S75" i="26"/>
  <c r="S77" i="26" s="1"/>
  <c r="O75" i="26"/>
  <c r="O77" i="26" s="1"/>
  <c r="K75" i="26"/>
  <c r="K77" i="26" s="1"/>
  <c r="G75" i="26"/>
  <c r="AA67" i="26"/>
  <c r="W67" i="26"/>
  <c r="S67" i="26"/>
  <c r="O67" i="26"/>
  <c r="AD67" i="26" s="1"/>
  <c r="K66" i="21" s="1"/>
  <c r="K67" i="26"/>
  <c r="G67" i="26"/>
  <c r="A66" i="26"/>
  <c r="S59" i="26"/>
  <c r="AA58" i="26"/>
  <c r="AA59" i="26" s="1"/>
  <c r="W58" i="26"/>
  <c r="AD58" i="26" s="1"/>
  <c r="K58" i="21" s="1"/>
  <c r="S58" i="26"/>
  <c r="O58" i="26"/>
  <c r="K58" i="26"/>
  <c r="G58" i="26"/>
  <c r="AA57" i="26"/>
  <c r="W57" i="26"/>
  <c r="W59" i="26" s="1"/>
  <c r="S57" i="26"/>
  <c r="O57" i="26"/>
  <c r="O59" i="26" s="1"/>
  <c r="K57" i="26"/>
  <c r="K59" i="26" s="1"/>
  <c r="G57" i="26"/>
  <c r="G59" i="26" s="1"/>
  <c r="AD59" i="26" s="1"/>
  <c r="AA54" i="26"/>
  <c r="W54" i="26"/>
  <c r="AD54" i="26" s="1"/>
  <c r="K54" i="21" s="1"/>
  <c r="S54" i="26"/>
  <c r="O54" i="26"/>
  <c r="K54" i="26"/>
  <c r="G54" i="26"/>
  <c r="AD53" i="26"/>
  <c r="AD52" i="26"/>
  <c r="K52" i="21" s="1"/>
  <c r="AD51" i="26"/>
  <c r="K51" i="21" s="1"/>
  <c r="AD50" i="26"/>
  <c r="K50" i="21" s="1"/>
  <c r="Y47" i="26"/>
  <c r="U47" i="26"/>
  <c r="Q47" i="26"/>
  <c r="M47" i="26"/>
  <c r="I47" i="26"/>
  <c r="G47" i="26"/>
  <c r="E47" i="26"/>
  <c r="AD46" i="26"/>
  <c r="AC46" i="26"/>
  <c r="AA46" i="26"/>
  <c r="W46" i="26"/>
  <c r="S46" i="26"/>
  <c r="O46" i="26"/>
  <c r="K46" i="26"/>
  <c r="G46" i="26"/>
  <c r="AC45" i="26"/>
  <c r="AA45" i="26"/>
  <c r="W45" i="26"/>
  <c r="S45" i="26"/>
  <c r="O45" i="26"/>
  <c r="K45" i="26"/>
  <c r="K47" i="26" s="1"/>
  <c r="G45" i="26"/>
  <c r="AC44" i="26"/>
  <c r="AA44" i="26"/>
  <c r="W44" i="26"/>
  <c r="AD44" i="26" s="1"/>
  <c r="L44" i="21" s="1"/>
  <c r="S44" i="26"/>
  <c r="O44" i="26"/>
  <c r="O47" i="26" s="1"/>
  <c r="K44" i="26"/>
  <c r="G44" i="26"/>
  <c r="AC43" i="26"/>
  <c r="AC47" i="26" s="1"/>
  <c r="AA43" i="26"/>
  <c r="AA47" i="26" s="1"/>
  <c r="W43" i="26"/>
  <c r="W47" i="26" s="1"/>
  <c r="S43" i="26"/>
  <c r="S47" i="26" s="1"/>
  <c r="O43" i="26"/>
  <c r="K43" i="26"/>
  <c r="G43" i="26"/>
  <c r="AD43" i="26" s="1"/>
  <c r="L43" i="21" s="1"/>
  <c r="AA40" i="26"/>
  <c r="AD40" i="26" s="1"/>
  <c r="K39" i="21" s="1"/>
  <c r="W40" i="26"/>
  <c r="S40" i="26"/>
  <c r="O40" i="26"/>
  <c r="K40" i="26"/>
  <c r="G40" i="26"/>
  <c r="AD39" i="26"/>
  <c r="AD38" i="26"/>
  <c r="K37" i="21" s="1"/>
  <c r="AD37" i="26"/>
  <c r="K36" i="21" s="1"/>
  <c r="AD36" i="26"/>
  <c r="K35" i="21" s="1"/>
  <c r="Y33" i="26"/>
  <c r="U33" i="26"/>
  <c r="Q33" i="26"/>
  <c r="M33" i="26"/>
  <c r="I33" i="26"/>
  <c r="E33" i="26"/>
  <c r="AC32" i="26"/>
  <c r="K31" i="21" s="1"/>
  <c r="Z32" i="26"/>
  <c r="AA32" i="26" s="1"/>
  <c r="W32" i="26"/>
  <c r="V32" i="26"/>
  <c r="R32" i="26"/>
  <c r="S32" i="26" s="1"/>
  <c r="N32" i="26"/>
  <c r="O32" i="26" s="1"/>
  <c r="J32" i="26"/>
  <c r="K32" i="26" s="1"/>
  <c r="F32" i="26"/>
  <c r="G32" i="26" s="1"/>
  <c r="AD32" i="26" s="1"/>
  <c r="C32" i="26"/>
  <c r="A32" i="26"/>
  <c r="AC31" i="26"/>
  <c r="K30" i="21" s="1"/>
  <c r="AA31" i="26"/>
  <c r="Z31" i="26"/>
  <c r="V31" i="26"/>
  <c r="W31" i="26" s="1"/>
  <c r="R31" i="26"/>
  <c r="S31" i="26" s="1"/>
  <c r="N31" i="26"/>
  <c r="O31" i="26" s="1"/>
  <c r="J31" i="26"/>
  <c r="K31" i="26" s="1"/>
  <c r="F31" i="26"/>
  <c r="G31" i="26" s="1"/>
  <c r="C31" i="26"/>
  <c r="A31" i="26"/>
  <c r="AC30" i="26"/>
  <c r="Z30" i="26"/>
  <c r="AA30" i="26" s="1"/>
  <c r="V30" i="26"/>
  <c r="W30" i="26" s="1"/>
  <c r="R30" i="26"/>
  <c r="S30" i="26" s="1"/>
  <c r="N30" i="26"/>
  <c r="O30" i="26" s="1"/>
  <c r="J30" i="26"/>
  <c r="K30" i="26" s="1"/>
  <c r="F30" i="26"/>
  <c r="G30" i="26" s="1"/>
  <c r="C30" i="26"/>
  <c r="A30" i="26"/>
  <c r="AC29" i="26"/>
  <c r="Z29" i="26"/>
  <c r="AA29" i="26" s="1"/>
  <c r="V29" i="26"/>
  <c r="W29" i="26" s="1"/>
  <c r="R29" i="26"/>
  <c r="S29" i="26" s="1"/>
  <c r="N29" i="26"/>
  <c r="O29" i="26" s="1"/>
  <c r="J29" i="26"/>
  <c r="K29" i="26" s="1"/>
  <c r="G29" i="26"/>
  <c r="AD29" i="26" s="1"/>
  <c r="F29" i="26"/>
  <c r="C29" i="26"/>
  <c r="A29" i="26"/>
  <c r="AC28" i="26"/>
  <c r="K27" i="21" s="1"/>
  <c r="Z28" i="26"/>
  <c r="AA28" i="26" s="1"/>
  <c r="V28" i="26"/>
  <c r="W28" i="26" s="1"/>
  <c r="R28" i="26"/>
  <c r="S28" i="26" s="1"/>
  <c r="N28" i="26"/>
  <c r="O28" i="26" s="1"/>
  <c r="K28" i="26"/>
  <c r="J28" i="26"/>
  <c r="F28" i="26"/>
  <c r="G28" i="26" s="1"/>
  <c r="C28" i="26"/>
  <c r="A28" i="26"/>
  <c r="AC27" i="26"/>
  <c r="Z27" i="26"/>
  <c r="AA27" i="26" s="1"/>
  <c r="V27" i="26"/>
  <c r="W27" i="26" s="1"/>
  <c r="R27" i="26"/>
  <c r="S27" i="26" s="1"/>
  <c r="O27" i="26"/>
  <c r="N27" i="26"/>
  <c r="J27" i="26"/>
  <c r="K27" i="26" s="1"/>
  <c r="F27" i="26"/>
  <c r="G27" i="26" s="1"/>
  <c r="AD27" i="26" s="1"/>
  <c r="C27" i="26"/>
  <c r="A27" i="26"/>
  <c r="AC26" i="26"/>
  <c r="K25" i="21" s="1"/>
  <c r="Z26" i="26"/>
  <c r="AA26" i="26" s="1"/>
  <c r="V26" i="26"/>
  <c r="W26" i="26" s="1"/>
  <c r="S26" i="26"/>
  <c r="R26" i="26"/>
  <c r="N26" i="26"/>
  <c r="O26" i="26" s="1"/>
  <c r="J26" i="26"/>
  <c r="K26" i="26" s="1"/>
  <c r="F26" i="26"/>
  <c r="G26" i="26" s="1"/>
  <c r="C26" i="26"/>
  <c r="A26" i="26"/>
  <c r="AC25" i="26"/>
  <c r="Z25" i="26"/>
  <c r="AA25" i="26" s="1"/>
  <c r="W25" i="26"/>
  <c r="V25" i="26"/>
  <c r="R25" i="26"/>
  <c r="S25" i="26" s="1"/>
  <c r="N25" i="26"/>
  <c r="O25" i="26" s="1"/>
  <c r="J25" i="26"/>
  <c r="K25" i="26" s="1"/>
  <c r="F25" i="26"/>
  <c r="G25" i="26" s="1"/>
  <c r="C25" i="26"/>
  <c r="A25" i="26"/>
  <c r="AC24" i="26"/>
  <c r="K23" i="21" s="1"/>
  <c r="AA24" i="26"/>
  <c r="Z24" i="26"/>
  <c r="V24" i="26"/>
  <c r="W24" i="26" s="1"/>
  <c r="R24" i="26"/>
  <c r="S24" i="26" s="1"/>
  <c r="N24" i="26"/>
  <c r="O24" i="26" s="1"/>
  <c r="J24" i="26"/>
  <c r="K24" i="26" s="1"/>
  <c r="F24" i="26"/>
  <c r="G24" i="26" s="1"/>
  <c r="C24" i="26"/>
  <c r="A24" i="26"/>
  <c r="AC23" i="26"/>
  <c r="Z23" i="26"/>
  <c r="AA23" i="26" s="1"/>
  <c r="V23" i="26"/>
  <c r="W23" i="26" s="1"/>
  <c r="R23" i="26"/>
  <c r="S23" i="26" s="1"/>
  <c r="N23" i="26"/>
  <c r="O23" i="26" s="1"/>
  <c r="J23" i="26"/>
  <c r="K23" i="26" s="1"/>
  <c r="F23" i="26"/>
  <c r="G23" i="26" s="1"/>
  <c r="C23" i="26"/>
  <c r="A23" i="26"/>
  <c r="AC22" i="26"/>
  <c r="Z22" i="26"/>
  <c r="AA22" i="26" s="1"/>
  <c r="V22" i="26"/>
  <c r="W22" i="26" s="1"/>
  <c r="R22" i="26"/>
  <c r="S22" i="26" s="1"/>
  <c r="N22" i="26"/>
  <c r="O22" i="26" s="1"/>
  <c r="J22" i="26"/>
  <c r="K22" i="26" s="1"/>
  <c r="G22" i="26"/>
  <c r="AD22" i="26" s="1"/>
  <c r="F22" i="26"/>
  <c r="C22" i="26"/>
  <c r="A22" i="26"/>
  <c r="AC21" i="26"/>
  <c r="Z21" i="26"/>
  <c r="AA21" i="26" s="1"/>
  <c r="V21" i="26"/>
  <c r="W21" i="26" s="1"/>
  <c r="R21" i="26"/>
  <c r="S21" i="26" s="1"/>
  <c r="N21" i="26"/>
  <c r="O21" i="26" s="1"/>
  <c r="K21" i="26"/>
  <c r="J21" i="26"/>
  <c r="F21" i="26"/>
  <c r="G21" i="26" s="1"/>
  <c r="C21" i="26"/>
  <c r="A21" i="26"/>
  <c r="AC20" i="26"/>
  <c r="K19" i="21" s="1"/>
  <c r="Z20" i="26"/>
  <c r="AA20" i="26" s="1"/>
  <c r="V20" i="26"/>
  <c r="W20" i="26" s="1"/>
  <c r="R20" i="26"/>
  <c r="S20" i="26" s="1"/>
  <c r="O20" i="26"/>
  <c r="N20" i="26"/>
  <c r="J20" i="26"/>
  <c r="K20" i="26" s="1"/>
  <c r="F20" i="26"/>
  <c r="G20" i="26" s="1"/>
  <c r="C20" i="26"/>
  <c r="A20" i="26"/>
  <c r="AC19" i="26"/>
  <c r="K18" i="21" s="1"/>
  <c r="Z19" i="26"/>
  <c r="AA19" i="26" s="1"/>
  <c r="V19" i="26"/>
  <c r="W19" i="26" s="1"/>
  <c r="S19" i="26"/>
  <c r="R19" i="26"/>
  <c r="N19" i="26"/>
  <c r="O19" i="26" s="1"/>
  <c r="J19" i="26"/>
  <c r="K19" i="26" s="1"/>
  <c r="F19" i="26"/>
  <c r="G19" i="26" s="1"/>
  <c r="C19" i="26"/>
  <c r="A19" i="26"/>
  <c r="AC18" i="26"/>
  <c r="K17" i="21" s="1"/>
  <c r="Z18" i="26"/>
  <c r="AA18" i="26" s="1"/>
  <c r="W18" i="26"/>
  <c r="V18" i="26"/>
  <c r="R18" i="26"/>
  <c r="S18" i="26" s="1"/>
  <c r="N18" i="26"/>
  <c r="O18" i="26" s="1"/>
  <c r="J18" i="26"/>
  <c r="K18" i="26" s="1"/>
  <c r="F18" i="26"/>
  <c r="G18" i="26" s="1"/>
  <c r="C18" i="26"/>
  <c r="A18" i="26"/>
  <c r="AC17" i="26"/>
  <c r="AA17" i="26"/>
  <c r="Z17" i="26"/>
  <c r="V17" i="26"/>
  <c r="W17" i="26" s="1"/>
  <c r="R17" i="26"/>
  <c r="S17" i="26" s="1"/>
  <c r="N17" i="26"/>
  <c r="O17" i="26" s="1"/>
  <c r="J17" i="26"/>
  <c r="K17" i="26" s="1"/>
  <c r="F17" i="26"/>
  <c r="G17" i="26" s="1"/>
  <c r="C17" i="26"/>
  <c r="A17" i="26"/>
  <c r="AC16" i="26"/>
  <c r="Z16" i="26"/>
  <c r="AA16" i="26" s="1"/>
  <c r="V16" i="26"/>
  <c r="W16" i="26" s="1"/>
  <c r="R16" i="26"/>
  <c r="S16" i="26" s="1"/>
  <c r="N16" i="26"/>
  <c r="O16" i="26" s="1"/>
  <c r="J16" i="26"/>
  <c r="K16" i="26" s="1"/>
  <c r="F16" i="26"/>
  <c r="G16" i="26" s="1"/>
  <c r="C16" i="26"/>
  <c r="A16" i="26"/>
  <c r="AC15" i="26"/>
  <c r="Z15" i="26"/>
  <c r="AA15" i="26" s="1"/>
  <c r="V15" i="26"/>
  <c r="W15" i="26" s="1"/>
  <c r="R15" i="26"/>
  <c r="S15" i="26" s="1"/>
  <c r="N15" i="26"/>
  <c r="O15" i="26" s="1"/>
  <c r="J15" i="26"/>
  <c r="K15" i="26" s="1"/>
  <c r="G15" i="26"/>
  <c r="F15" i="26"/>
  <c r="C15" i="26"/>
  <c r="A15" i="26"/>
  <c r="AC14" i="26"/>
  <c r="Z14" i="26"/>
  <c r="AA14" i="26" s="1"/>
  <c r="V14" i="26"/>
  <c r="W14" i="26" s="1"/>
  <c r="R14" i="26"/>
  <c r="S14" i="26" s="1"/>
  <c r="N14" i="26"/>
  <c r="O14" i="26" s="1"/>
  <c r="K14" i="26"/>
  <c r="J14" i="26"/>
  <c r="F14" i="26"/>
  <c r="G14" i="26" s="1"/>
  <c r="C14" i="26"/>
  <c r="A14" i="26"/>
  <c r="AC13" i="26"/>
  <c r="Z13" i="26"/>
  <c r="AA13" i="26" s="1"/>
  <c r="V13" i="26"/>
  <c r="W13" i="26" s="1"/>
  <c r="R13" i="26"/>
  <c r="S13" i="26" s="1"/>
  <c r="O13" i="26"/>
  <c r="N13" i="26"/>
  <c r="J13" i="26"/>
  <c r="K13" i="26" s="1"/>
  <c r="F13" i="26"/>
  <c r="G13" i="26" s="1"/>
  <c r="C13" i="26"/>
  <c r="A13" i="26"/>
  <c r="AC12" i="26"/>
  <c r="K11" i="21" s="1"/>
  <c r="Z12" i="26"/>
  <c r="AA12" i="26" s="1"/>
  <c r="V12" i="26"/>
  <c r="W12" i="26" s="1"/>
  <c r="S12" i="26"/>
  <c r="R12" i="26"/>
  <c r="N12" i="26"/>
  <c r="O12" i="26" s="1"/>
  <c r="J12" i="26"/>
  <c r="K12" i="26" s="1"/>
  <c r="F12" i="26"/>
  <c r="G12" i="26" s="1"/>
  <c r="AD12" i="26" s="1"/>
  <c r="C12" i="26"/>
  <c r="A12" i="26"/>
  <c r="AC11" i="26"/>
  <c r="K10" i="21" s="1"/>
  <c r="Z11" i="26"/>
  <c r="AA11" i="26" s="1"/>
  <c r="W11" i="26"/>
  <c r="V11" i="26"/>
  <c r="R11" i="26"/>
  <c r="S11" i="26" s="1"/>
  <c r="N11" i="26"/>
  <c r="O11" i="26" s="1"/>
  <c r="J11" i="26"/>
  <c r="K11" i="26" s="1"/>
  <c r="F11" i="26"/>
  <c r="G11" i="26" s="1"/>
  <c r="C11" i="26"/>
  <c r="A11" i="26"/>
  <c r="AC10" i="26"/>
  <c r="AC33" i="26" s="1"/>
  <c r="AA10" i="26"/>
  <c r="Z10" i="26"/>
  <c r="V10" i="26"/>
  <c r="W10" i="26" s="1"/>
  <c r="R10" i="26"/>
  <c r="S10" i="26" s="1"/>
  <c r="N10" i="26"/>
  <c r="O10" i="26" s="1"/>
  <c r="J10" i="26"/>
  <c r="K10" i="26" s="1"/>
  <c r="F10" i="26"/>
  <c r="G10" i="26" s="1"/>
  <c r="AD10" i="26" s="1"/>
  <c r="C10" i="26"/>
  <c r="A10" i="26"/>
  <c r="AC9" i="26"/>
  <c r="Z9" i="26"/>
  <c r="AA9" i="26" s="1"/>
  <c r="V9" i="26"/>
  <c r="W9" i="26" s="1"/>
  <c r="R9" i="26"/>
  <c r="S9" i="26" s="1"/>
  <c r="N9" i="26"/>
  <c r="O9" i="26" s="1"/>
  <c r="J9" i="26"/>
  <c r="K9" i="26" s="1"/>
  <c r="F9" i="26"/>
  <c r="G9" i="26" s="1"/>
  <c r="C9" i="26"/>
  <c r="A9" i="26"/>
  <c r="Y7" i="26"/>
  <c r="U7" i="26"/>
  <c r="Q7" i="26"/>
  <c r="M7" i="26"/>
  <c r="I7" i="26"/>
  <c r="E7" i="26"/>
  <c r="Y6" i="26"/>
  <c r="U6" i="26"/>
  <c r="Q6" i="26"/>
  <c r="M6" i="26"/>
  <c r="I6" i="26"/>
  <c r="E6" i="26"/>
  <c r="B5" i="26"/>
  <c r="B4" i="26"/>
  <c r="AC85" i="22"/>
  <c r="AA85" i="22"/>
  <c r="AD85" i="22" s="1"/>
  <c r="W85" i="22"/>
  <c r="S85" i="22"/>
  <c r="O85" i="22"/>
  <c r="K85" i="22"/>
  <c r="G85" i="22"/>
  <c r="AC84" i="22"/>
  <c r="W77" i="22"/>
  <c r="AA76" i="22"/>
  <c r="W76" i="22"/>
  <c r="S76" i="22"/>
  <c r="O76" i="22"/>
  <c r="O77" i="22" s="1"/>
  <c r="K76" i="22"/>
  <c r="G76" i="22"/>
  <c r="AA75" i="22"/>
  <c r="AA77" i="22" s="1"/>
  <c r="W75" i="22"/>
  <c r="S75" i="22"/>
  <c r="S77" i="22" s="1"/>
  <c r="O75" i="22"/>
  <c r="K75" i="22"/>
  <c r="K77" i="22" s="1"/>
  <c r="G75" i="22"/>
  <c r="AD75" i="22" s="1"/>
  <c r="AA67" i="22"/>
  <c r="W67" i="22"/>
  <c r="S67" i="22"/>
  <c r="O67" i="22"/>
  <c r="AD67" i="22" s="1"/>
  <c r="K67" i="22"/>
  <c r="G67" i="22"/>
  <c r="A66" i="22"/>
  <c r="AA59" i="22"/>
  <c r="AA58" i="22"/>
  <c r="W58" i="22"/>
  <c r="S58" i="22"/>
  <c r="O58" i="22"/>
  <c r="K58" i="22"/>
  <c r="G58" i="22"/>
  <c r="AD58" i="22" s="1"/>
  <c r="AA57" i="22"/>
  <c r="W57" i="22"/>
  <c r="W59" i="22" s="1"/>
  <c r="S57" i="22"/>
  <c r="S59" i="22" s="1"/>
  <c r="O57" i="22"/>
  <c r="O59" i="22" s="1"/>
  <c r="K57" i="22"/>
  <c r="K59" i="22" s="1"/>
  <c r="G57" i="22"/>
  <c r="G59" i="22" s="1"/>
  <c r="AD59" i="22" s="1"/>
  <c r="AA54" i="22"/>
  <c r="W54" i="22"/>
  <c r="S54" i="22"/>
  <c r="O54" i="22"/>
  <c r="K54" i="22"/>
  <c r="G54" i="22"/>
  <c r="AD54" i="22" s="1"/>
  <c r="AD53" i="22"/>
  <c r="AD52" i="22"/>
  <c r="AD51" i="22"/>
  <c r="H51" i="21" s="1"/>
  <c r="AD50" i="22"/>
  <c r="H50" i="21" s="1"/>
  <c r="Y47" i="22"/>
  <c r="U47" i="22"/>
  <c r="Q47" i="22"/>
  <c r="M47" i="22"/>
  <c r="I47" i="22"/>
  <c r="E47" i="22"/>
  <c r="AD46" i="22"/>
  <c r="AC46" i="22"/>
  <c r="AA46" i="22"/>
  <c r="W46" i="22"/>
  <c r="S46" i="22"/>
  <c r="O46" i="22"/>
  <c r="K46" i="22"/>
  <c r="G46" i="22"/>
  <c r="G47" i="22" s="1"/>
  <c r="AC45" i="22"/>
  <c r="AA45" i="22"/>
  <c r="W45" i="22"/>
  <c r="S45" i="22"/>
  <c r="O45" i="22"/>
  <c r="K45" i="22"/>
  <c r="G45" i="22"/>
  <c r="AD45" i="22" s="1"/>
  <c r="AC44" i="22"/>
  <c r="AA44" i="22"/>
  <c r="W44" i="22"/>
  <c r="S44" i="22"/>
  <c r="O44" i="22"/>
  <c r="AD44" i="22" s="1"/>
  <c r="K44" i="22"/>
  <c r="G44" i="22"/>
  <c r="AC43" i="22"/>
  <c r="AC47" i="22" s="1"/>
  <c r="AA43" i="22"/>
  <c r="AA47" i="22" s="1"/>
  <c r="W43" i="22"/>
  <c r="W47" i="22" s="1"/>
  <c r="S43" i="22"/>
  <c r="S47" i="22" s="1"/>
  <c r="O43" i="22"/>
  <c r="O47" i="22" s="1"/>
  <c r="K43" i="22"/>
  <c r="K47" i="22" s="1"/>
  <c r="G43" i="22"/>
  <c r="AD43" i="22" s="1"/>
  <c r="AA40" i="22"/>
  <c r="W40" i="22"/>
  <c r="S40" i="22"/>
  <c r="AD40" i="22" s="1"/>
  <c r="O40" i="22"/>
  <c r="K40" i="22"/>
  <c r="G40" i="22"/>
  <c r="AD39" i="22"/>
  <c r="AD38" i="22"/>
  <c r="H37" i="21" s="1"/>
  <c r="AD37" i="22"/>
  <c r="AD36" i="22"/>
  <c r="H35" i="21" s="1"/>
  <c r="Y33" i="22"/>
  <c r="U33" i="22"/>
  <c r="Q33" i="22"/>
  <c r="M33" i="22"/>
  <c r="I33" i="22"/>
  <c r="E33" i="22"/>
  <c r="AC32" i="22"/>
  <c r="Z32" i="22"/>
  <c r="AA32" i="22" s="1"/>
  <c r="V32" i="22"/>
  <c r="W32" i="22" s="1"/>
  <c r="S32" i="22"/>
  <c r="R32" i="22"/>
  <c r="N32" i="22"/>
  <c r="O32" i="22" s="1"/>
  <c r="J32" i="22"/>
  <c r="K32" i="22" s="1"/>
  <c r="F32" i="22"/>
  <c r="G32" i="22" s="1"/>
  <c r="C32" i="22"/>
  <c r="A32" i="22"/>
  <c r="AC31" i="22"/>
  <c r="Z31" i="22"/>
  <c r="AA31" i="22" s="1"/>
  <c r="W31" i="22"/>
  <c r="V31" i="22"/>
  <c r="R31" i="22"/>
  <c r="S31" i="22" s="1"/>
  <c r="N31" i="22"/>
  <c r="O31" i="22" s="1"/>
  <c r="J31" i="22"/>
  <c r="K31" i="22" s="1"/>
  <c r="F31" i="22"/>
  <c r="G31" i="22" s="1"/>
  <c r="C31" i="22"/>
  <c r="A31" i="22"/>
  <c r="AC30" i="22"/>
  <c r="H29" i="21" s="1"/>
  <c r="AA30" i="22"/>
  <c r="Z30" i="22"/>
  <c r="V30" i="22"/>
  <c r="W30" i="22" s="1"/>
  <c r="R30" i="22"/>
  <c r="S30" i="22" s="1"/>
  <c r="N30" i="22"/>
  <c r="O30" i="22" s="1"/>
  <c r="J30" i="22"/>
  <c r="K30" i="22" s="1"/>
  <c r="F30" i="22"/>
  <c r="G30" i="22" s="1"/>
  <c r="C30" i="22"/>
  <c r="A30" i="22"/>
  <c r="AC29" i="22"/>
  <c r="Z29" i="22"/>
  <c r="AA29" i="22" s="1"/>
  <c r="V29" i="22"/>
  <c r="W29" i="22" s="1"/>
  <c r="R29" i="22"/>
  <c r="S29" i="22" s="1"/>
  <c r="N29" i="22"/>
  <c r="O29" i="22" s="1"/>
  <c r="J29" i="22"/>
  <c r="K29" i="22" s="1"/>
  <c r="F29" i="22"/>
  <c r="G29" i="22" s="1"/>
  <c r="AD29" i="22" s="1"/>
  <c r="C29" i="22"/>
  <c r="A29" i="22"/>
  <c r="AC28" i="22"/>
  <c r="Z28" i="22"/>
  <c r="AA28" i="22" s="1"/>
  <c r="V28" i="22"/>
  <c r="W28" i="22" s="1"/>
  <c r="R28" i="22"/>
  <c r="S28" i="22" s="1"/>
  <c r="N28" i="22"/>
  <c r="O28" i="22" s="1"/>
  <c r="J28" i="22"/>
  <c r="K28" i="22" s="1"/>
  <c r="G28" i="22"/>
  <c r="F28" i="22"/>
  <c r="C28" i="22"/>
  <c r="A28" i="22"/>
  <c r="AC27" i="22"/>
  <c r="Z27" i="22"/>
  <c r="AA27" i="22" s="1"/>
  <c r="V27" i="22"/>
  <c r="W27" i="22" s="1"/>
  <c r="R27" i="22"/>
  <c r="S27" i="22" s="1"/>
  <c r="N27" i="22"/>
  <c r="O27" i="22" s="1"/>
  <c r="K27" i="22"/>
  <c r="J27" i="22"/>
  <c r="F27" i="22"/>
  <c r="G27" i="22" s="1"/>
  <c r="C27" i="22"/>
  <c r="A27" i="22"/>
  <c r="AC26" i="22"/>
  <c r="H25" i="21" s="1"/>
  <c r="Z26" i="22"/>
  <c r="AA26" i="22" s="1"/>
  <c r="V26" i="22"/>
  <c r="W26" i="22" s="1"/>
  <c r="R26" i="22"/>
  <c r="S26" i="22" s="1"/>
  <c r="O26" i="22"/>
  <c r="N26" i="22"/>
  <c r="J26" i="22"/>
  <c r="K26" i="22" s="1"/>
  <c r="F26" i="22"/>
  <c r="G26" i="22" s="1"/>
  <c r="C26" i="22"/>
  <c r="A26" i="22"/>
  <c r="AC25" i="22"/>
  <c r="Z25" i="22"/>
  <c r="AA25" i="22" s="1"/>
  <c r="V25" i="22"/>
  <c r="W25" i="22" s="1"/>
  <c r="S25" i="22"/>
  <c r="R25" i="22"/>
  <c r="N25" i="22"/>
  <c r="O25" i="22" s="1"/>
  <c r="J25" i="22"/>
  <c r="K25" i="22" s="1"/>
  <c r="F25" i="22"/>
  <c r="G25" i="22" s="1"/>
  <c r="C25" i="22"/>
  <c r="A25" i="22"/>
  <c r="AC24" i="22"/>
  <c r="Z24" i="22"/>
  <c r="AA24" i="22" s="1"/>
  <c r="W24" i="22"/>
  <c r="V24" i="22"/>
  <c r="R24" i="22"/>
  <c r="S24" i="22" s="1"/>
  <c r="N24" i="22"/>
  <c r="O24" i="22" s="1"/>
  <c r="J24" i="22"/>
  <c r="K24" i="22" s="1"/>
  <c r="F24" i="22"/>
  <c r="G24" i="22" s="1"/>
  <c r="AD24" i="22" s="1"/>
  <c r="C24" i="22"/>
  <c r="A24" i="22"/>
  <c r="AC23" i="22"/>
  <c r="H22" i="21" s="1"/>
  <c r="AA23" i="22"/>
  <c r="Z23" i="22"/>
  <c r="V23" i="22"/>
  <c r="W23" i="22" s="1"/>
  <c r="R23" i="22"/>
  <c r="S23" i="22" s="1"/>
  <c r="N23" i="22"/>
  <c r="O23" i="22" s="1"/>
  <c r="J23" i="22"/>
  <c r="K23" i="22" s="1"/>
  <c r="F23" i="22"/>
  <c r="G23" i="22" s="1"/>
  <c r="C23" i="22"/>
  <c r="A23" i="22"/>
  <c r="AC22" i="22"/>
  <c r="Z22" i="22"/>
  <c r="AA22" i="22" s="1"/>
  <c r="V22" i="22"/>
  <c r="W22" i="22" s="1"/>
  <c r="R22" i="22"/>
  <c r="S22" i="22" s="1"/>
  <c r="N22" i="22"/>
  <c r="O22" i="22" s="1"/>
  <c r="J22" i="22"/>
  <c r="K22" i="22" s="1"/>
  <c r="F22" i="22"/>
  <c r="G22" i="22" s="1"/>
  <c r="C22" i="22"/>
  <c r="A22" i="22"/>
  <c r="AC21" i="22"/>
  <c r="Z21" i="22"/>
  <c r="AA21" i="22" s="1"/>
  <c r="V21" i="22"/>
  <c r="W21" i="22" s="1"/>
  <c r="R21" i="22"/>
  <c r="S21" i="22" s="1"/>
  <c r="N21" i="22"/>
  <c r="O21" i="22" s="1"/>
  <c r="J21" i="22"/>
  <c r="K21" i="22" s="1"/>
  <c r="G21" i="22"/>
  <c r="AD21" i="22" s="1"/>
  <c r="F21" i="22"/>
  <c r="C21" i="22"/>
  <c r="A21" i="22"/>
  <c r="AC20" i="22"/>
  <c r="H19" i="21" s="1"/>
  <c r="Z20" i="22"/>
  <c r="AA20" i="22" s="1"/>
  <c r="V20" i="22"/>
  <c r="W20" i="22" s="1"/>
  <c r="R20" i="22"/>
  <c r="S20" i="22" s="1"/>
  <c r="N20" i="22"/>
  <c r="O20" i="22" s="1"/>
  <c r="K20" i="22"/>
  <c r="J20" i="22"/>
  <c r="F20" i="22"/>
  <c r="G20" i="22" s="1"/>
  <c r="C20" i="22"/>
  <c r="A20" i="22"/>
  <c r="AC19" i="22"/>
  <c r="H18" i="21" s="1"/>
  <c r="Z19" i="22"/>
  <c r="AA19" i="22" s="1"/>
  <c r="V19" i="22"/>
  <c r="W19" i="22" s="1"/>
  <c r="R19" i="22"/>
  <c r="S19" i="22" s="1"/>
  <c r="O19" i="22"/>
  <c r="N19" i="22"/>
  <c r="J19" i="22"/>
  <c r="K19" i="22" s="1"/>
  <c r="F19" i="22"/>
  <c r="G19" i="22" s="1"/>
  <c r="AD19" i="22" s="1"/>
  <c r="C19" i="22"/>
  <c r="A19" i="22"/>
  <c r="AC18" i="22"/>
  <c r="Z18" i="22"/>
  <c r="AA18" i="22" s="1"/>
  <c r="V18" i="22"/>
  <c r="W18" i="22" s="1"/>
  <c r="S18" i="22"/>
  <c r="R18" i="22"/>
  <c r="N18" i="22"/>
  <c r="O18" i="22" s="1"/>
  <c r="J18" i="22"/>
  <c r="K18" i="22" s="1"/>
  <c r="F18" i="22"/>
  <c r="G18" i="22" s="1"/>
  <c r="C18" i="22"/>
  <c r="A18" i="22"/>
  <c r="AC17" i="22"/>
  <c r="Z17" i="22"/>
  <c r="AA17" i="22" s="1"/>
  <c r="W17" i="22"/>
  <c r="V17" i="22"/>
  <c r="R17" i="22"/>
  <c r="S17" i="22" s="1"/>
  <c r="N17" i="22"/>
  <c r="O17" i="22" s="1"/>
  <c r="J17" i="22"/>
  <c r="K17" i="22" s="1"/>
  <c r="F17" i="22"/>
  <c r="G17" i="22" s="1"/>
  <c r="C17" i="22"/>
  <c r="A17" i="22"/>
  <c r="AC16" i="22"/>
  <c r="AA16" i="22"/>
  <c r="Z16" i="22"/>
  <c r="V16" i="22"/>
  <c r="W16" i="22" s="1"/>
  <c r="R16" i="22"/>
  <c r="S16" i="22" s="1"/>
  <c r="N16" i="22"/>
  <c r="O16" i="22" s="1"/>
  <c r="J16" i="22"/>
  <c r="K16" i="22" s="1"/>
  <c r="F16" i="22"/>
  <c r="G16" i="22" s="1"/>
  <c r="C16" i="22"/>
  <c r="A16" i="22"/>
  <c r="AC15" i="22"/>
  <c r="Z15" i="22"/>
  <c r="AA15" i="22" s="1"/>
  <c r="V15" i="22"/>
  <c r="W15" i="22" s="1"/>
  <c r="R15" i="22"/>
  <c r="S15" i="22" s="1"/>
  <c r="N15" i="22"/>
  <c r="O15" i="22" s="1"/>
  <c r="J15" i="22"/>
  <c r="K15" i="22" s="1"/>
  <c r="F15" i="22"/>
  <c r="G15" i="22" s="1"/>
  <c r="C15" i="22"/>
  <c r="A15" i="22"/>
  <c r="AC14" i="22"/>
  <c r="Z14" i="22"/>
  <c r="AA14" i="22" s="1"/>
  <c r="V14" i="22"/>
  <c r="W14" i="22" s="1"/>
  <c r="R14" i="22"/>
  <c r="S14" i="22" s="1"/>
  <c r="N14" i="22"/>
  <c r="O14" i="22" s="1"/>
  <c r="J14" i="22"/>
  <c r="K14" i="22" s="1"/>
  <c r="G14" i="22"/>
  <c r="AD14" i="22" s="1"/>
  <c r="F14" i="22"/>
  <c r="C14" i="22"/>
  <c r="A14" i="22"/>
  <c r="AC13" i="22"/>
  <c r="H12" i="21" s="1"/>
  <c r="Z13" i="22"/>
  <c r="AA13" i="22" s="1"/>
  <c r="V13" i="22"/>
  <c r="W13" i="22" s="1"/>
  <c r="R13" i="22"/>
  <c r="S13" i="22" s="1"/>
  <c r="N13" i="22"/>
  <c r="O13" i="22" s="1"/>
  <c r="K13" i="22"/>
  <c r="J13" i="22"/>
  <c r="F13" i="22"/>
  <c r="G13" i="22" s="1"/>
  <c r="C13" i="22"/>
  <c r="A13" i="22"/>
  <c r="AC12" i="22"/>
  <c r="Z12" i="22"/>
  <c r="AA12" i="22" s="1"/>
  <c r="V12" i="22"/>
  <c r="W12" i="22" s="1"/>
  <c r="R12" i="22"/>
  <c r="S12" i="22" s="1"/>
  <c r="O12" i="22"/>
  <c r="N12" i="22"/>
  <c r="J12" i="22"/>
  <c r="K12" i="22" s="1"/>
  <c r="F12" i="22"/>
  <c r="G12" i="22" s="1"/>
  <c r="AD12" i="22" s="1"/>
  <c r="C12" i="22"/>
  <c r="A12" i="22"/>
  <c r="AC11" i="22"/>
  <c r="Z11" i="22"/>
  <c r="AA11" i="22" s="1"/>
  <c r="V11" i="22"/>
  <c r="W11" i="22" s="1"/>
  <c r="S11" i="22"/>
  <c r="R11" i="22"/>
  <c r="N11" i="22"/>
  <c r="O11" i="22" s="1"/>
  <c r="J11" i="22"/>
  <c r="K11" i="22" s="1"/>
  <c r="F11" i="22"/>
  <c r="G11" i="22" s="1"/>
  <c r="C11" i="22"/>
  <c r="A11" i="22"/>
  <c r="AC10" i="22"/>
  <c r="H9" i="21" s="1"/>
  <c r="Z10" i="22"/>
  <c r="AA10" i="22" s="1"/>
  <c r="W10" i="22"/>
  <c r="V10" i="22"/>
  <c r="R10" i="22"/>
  <c r="S10" i="22" s="1"/>
  <c r="N10" i="22"/>
  <c r="O10" i="22" s="1"/>
  <c r="J10" i="22"/>
  <c r="K10" i="22" s="1"/>
  <c r="F10" i="22"/>
  <c r="G10" i="22" s="1"/>
  <c r="C10" i="22"/>
  <c r="A10" i="22"/>
  <c r="AC9" i="22"/>
  <c r="AC33" i="22" s="1"/>
  <c r="AA9" i="22"/>
  <c r="Z9" i="22"/>
  <c r="V9" i="22"/>
  <c r="W9" i="22" s="1"/>
  <c r="R9" i="22"/>
  <c r="S9" i="22" s="1"/>
  <c r="N9" i="22"/>
  <c r="O9" i="22" s="1"/>
  <c r="J9" i="22"/>
  <c r="K9" i="22" s="1"/>
  <c r="K33" i="22" s="1"/>
  <c r="F9" i="22"/>
  <c r="G9" i="22" s="1"/>
  <c r="C9" i="22"/>
  <c r="A9" i="22"/>
  <c r="Y7" i="22"/>
  <c r="U7" i="22"/>
  <c r="Q7" i="22"/>
  <c r="M7" i="22"/>
  <c r="I7" i="22"/>
  <c r="E7" i="22"/>
  <c r="Y6" i="22"/>
  <c r="U6" i="22"/>
  <c r="Q6" i="22"/>
  <c r="M6" i="22"/>
  <c r="I6" i="22"/>
  <c r="E6" i="22"/>
  <c r="B5" i="22"/>
  <c r="B4" i="22"/>
  <c r="T51" i="21"/>
  <c r="U46" i="21"/>
  <c r="T28" i="21"/>
  <c r="T26" i="21"/>
  <c r="T25" i="21"/>
  <c r="T14" i="21"/>
  <c r="Q29" i="21"/>
  <c r="Q28" i="21"/>
  <c r="Q21" i="21"/>
  <c r="Q19" i="21"/>
  <c r="Q14" i="21"/>
  <c r="N53" i="21"/>
  <c r="N52" i="21"/>
  <c r="N38" i="21"/>
  <c r="N27" i="21"/>
  <c r="N22" i="21"/>
  <c r="N20" i="21"/>
  <c r="N19" i="21"/>
  <c r="N18" i="21"/>
  <c r="N15" i="21"/>
  <c r="N13" i="21"/>
  <c r="K26" i="21"/>
  <c r="K22" i="21"/>
  <c r="K21" i="21"/>
  <c r="K16" i="21"/>
  <c r="K15" i="21"/>
  <c r="K14" i="21"/>
  <c r="H28" i="21"/>
  <c r="H23" i="21"/>
  <c r="H21" i="21"/>
  <c r="H16" i="21"/>
  <c r="H14" i="21"/>
  <c r="H11" i="21"/>
  <c r="AC85" i="1"/>
  <c r="E82" i="21" s="1"/>
  <c r="AC84" i="1"/>
  <c r="E81" i="21" s="1"/>
  <c r="T82" i="21"/>
  <c r="T81" i="21"/>
  <c r="Q82" i="21"/>
  <c r="Q81" i="21"/>
  <c r="N82" i="21"/>
  <c r="N81" i="21"/>
  <c r="K82" i="21"/>
  <c r="K81" i="21"/>
  <c r="H82" i="21"/>
  <c r="H81" i="21"/>
  <c r="T53" i="21"/>
  <c r="T52" i="21"/>
  <c r="T45" i="21"/>
  <c r="T43" i="21"/>
  <c r="T38" i="21"/>
  <c r="T27" i="21"/>
  <c r="T21" i="21"/>
  <c r="T20" i="21"/>
  <c r="T13" i="21"/>
  <c r="Q53" i="21"/>
  <c r="Q52" i="21"/>
  <c r="Q45" i="21"/>
  <c r="Q38" i="21"/>
  <c r="Q31" i="21"/>
  <c r="Q30" i="21"/>
  <c r="Q27" i="21"/>
  <c r="Q24" i="21"/>
  <c r="Q20" i="21"/>
  <c r="Q17" i="21"/>
  <c r="Q10" i="21"/>
  <c r="Q9" i="21"/>
  <c r="N45" i="21"/>
  <c r="N31" i="21"/>
  <c r="N23" i="21"/>
  <c r="N10" i="21"/>
  <c r="N9" i="21"/>
  <c r="K53" i="21"/>
  <c r="K45" i="21"/>
  <c r="K44" i="21"/>
  <c r="K38" i="21"/>
  <c r="K28" i="21"/>
  <c r="K24" i="21"/>
  <c r="K20" i="21"/>
  <c r="K13" i="21"/>
  <c r="K12" i="21"/>
  <c r="K9" i="21"/>
  <c r="H31" i="21"/>
  <c r="H30" i="21"/>
  <c r="H24" i="21"/>
  <c r="H15" i="21"/>
  <c r="T24" i="21"/>
  <c r="T12" i="21"/>
  <c r="Q37" i="21"/>
  <c r="N46" i="21"/>
  <c r="N24" i="21"/>
  <c r="N21" i="21"/>
  <c r="N14" i="21"/>
  <c r="H46" i="21"/>
  <c r="T19" i="21"/>
  <c r="T18" i="21"/>
  <c r="T37" i="21"/>
  <c r="N28" i="21"/>
  <c r="N8" i="21"/>
  <c r="K29" i="21"/>
  <c r="H36" i="21"/>
  <c r="H13" i="21"/>
  <c r="Q46" i="21"/>
  <c r="Q13" i="21"/>
  <c r="Q12" i="21"/>
  <c r="N30" i="21"/>
  <c r="N29" i="21"/>
  <c r="N16" i="21"/>
  <c r="H27" i="21"/>
  <c r="H26" i="21"/>
  <c r="H20" i="21"/>
  <c r="H17" i="21"/>
  <c r="H10" i="21"/>
  <c r="H38" i="21"/>
  <c r="K46" i="21"/>
  <c r="H53" i="21"/>
  <c r="H52" i="21"/>
  <c r="H45" i="21"/>
  <c r="H44" i="21"/>
  <c r="AC46" i="1"/>
  <c r="E46" i="21" s="1"/>
  <c r="AC45" i="1"/>
  <c r="E45" i="21" s="1"/>
  <c r="AC44" i="1"/>
  <c r="E44" i="21" s="1"/>
  <c r="AA76" i="1"/>
  <c r="W76" i="1"/>
  <c r="S76" i="1"/>
  <c r="O76" i="1"/>
  <c r="K76" i="1"/>
  <c r="G76" i="1"/>
  <c r="AA75" i="1"/>
  <c r="W75" i="1"/>
  <c r="S75" i="1"/>
  <c r="O75" i="1"/>
  <c r="K75" i="1"/>
  <c r="G75" i="1"/>
  <c r="AA67" i="1"/>
  <c r="W67" i="1"/>
  <c r="S67" i="1"/>
  <c r="O67" i="1"/>
  <c r="K67" i="1"/>
  <c r="G67" i="1"/>
  <c r="A66" i="1"/>
  <c r="AA58" i="1"/>
  <c r="W58" i="1"/>
  <c r="S58" i="1"/>
  <c r="O58" i="1"/>
  <c r="K58" i="1"/>
  <c r="G58" i="1"/>
  <c r="AA57" i="1"/>
  <c r="W57" i="1"/>
  <c r="S57" i="1"/>
  <c r="O57" i="1"/>
  <c r="K57" i="1"/>
  <c r="G57" i="1"/>
  <c r="AA54" i="1"/>
  <c r="W54" i="1"/>
  <c r="S54" i="1"/>
  <c r="O54" i="1"/>
  <c r="K54" i="1"/>
  <c r="G54" i="1"/>
  <c r="AD53" i="1"/>
  <c r="E53" i="21" s="1"/>
  <c r="AD52" i="1"/>
  <c r="E52" i="21" s="1"/>
  <c r="AD51" i="1"/>
  <c r="E51" i="21" s="1"/>
  <c r="AD50" i="1"/>
  <c r="E50" i="21" s="1"/>
  <c r="Y47" i="1"/>
  <c r="U47" i="1"/>
  <c r="Q47" i="1"/>
  <c r="M47" i="1"/>
  <c r="I47" i="1"/>
  <c r="E47" i="1"/>
  <c r="AA46" i="1"/>
  <c r="W46" i="1"/>
  <c r="S46" i="1"/>
  <c r="O46" i="1"/>
  <c r="K46" i="1"/>
  <c r="G46" i="1"/>
  <c r="AA45" i="1"/>
  <c r="W45" i="1"/>
  <c r="S45" i="1"/>
  <c r="O45" i="1"/>
  <c r="K45" i="1"/>
  <c r="G45" i="1"/>
  <c r="AA44" i="1"/>
  <c r="W44" i="1"/>
  <c r="S44" i="1"/>
  <c r="O44" i="1"/>
  <c r="K44" i="1"/>
  <c r="G44" i="1"/>
  <c r="AC43" i="1"/>
  <c r="E43" i="21" s="1"/>
  <c r="AA43" i="1"/>
  <c r="W43" i="1"/>
  <c r="S43" i="1"/>
  <c r="O43" i="1"/>
  <c r="K43" i="1"/>
  <c r="G43" i="1"/>
  <c r="AA40" i="1"/>
  <c r="W40" i="1"/>
  <c r="S40" i="1"/>
  <c r="O40" i="1"/>
  <c r="K40" i="1"/>
  <c r="G40" i="1"/>
  <c r="AD39" i="1"/>
  <c r="E38" i="21" s="1"/>
  <c r="AD38" i="1"/>
  <c r="AD37" i="1"/>
  <c r="AD36" i="1"/>
  <c r="Y33" i="1"/>
  <c r="U33" i="1"/>
  <c r="Q33" i="1"/>
  <c r="M33" i="1"/>
  <c r="I33" i="1"/>
  <c r="E33" i="1"/>
  <c r="AC32" i="1"/>
  <c r="C32" i="1"/>
  <c r="A32" i="1"/>
  <c r="AC31" i="1"/>
  <c r="C31" i="1"/>
  <c r="A31" i="1"/>
  <c r="AC30" i="1"/>
  <c r="C30" i="1"/>
  <c r="A30" i="1"/>
  <c r="AC29" i="1"/>
  <c r="C29" i="1"/>
  <c r="A29" i="1"/>
  <c r="AC28" i="1"/>
  <c r="C28" i="1"/>
  <c r="A28" i="1"/>
  <c r="AC27" i="1"/>
  <c r="C27" i="1"/>
  <c r="A27" i="1"/>
  <c r="AC26" i="1"/>
  <c r="C26" i="1"/>
  <c r="A26" i="1"/>
  <c r="AC25" i="1"/>
  <c r="C25" i="1"/>
  <c r="A25" i="1"/>
  <c r="AC24" i="1"/>
  <c r="C24" i="1"/>
  <c r="A24" i="1"/>
  <c r="AC23" i="1"/>
  <c r="C23" i="1"/>
  <c r="A23" i="1"/>
  <c r="AC22" i="1"/>
  <c r="C22" i="1"/>
  <c r="A22" i="1"/>
  <c r="AC21" i="1"/>
  <c r="C21" i="1"/>
  <c r="A21" i="1"/>
  <c r="AC20" i="1"/>
  <c r="C20" i="1"/>
  <c r="A20" i="1"/>
  <c r="AC19" i="1"/>
  <c r="C19" i="1"/>
  <c r="A19" i="1"/>
  <c r="AC18" i="1"/>
  <c r="C18" i="1"/>
  <c r="A18" i="1"/>
  <c r="AC17" i="1"/>
  <c r="C17" i="1"/>
  <c r="A17" i="1"/>
  <c r="AC16" i="1"/>
  <c r="C16" i="1"/>
  <c r="A16" i="1"/>
  <c r="AC15" i="1"/>
  <c r="C15" i="1"/>
  <c r="A15" i="1"/>
  <c r="AC14" i="1"/>
  <c r="C14" i="1"/>
  <c r="A14" i="1"/>
  <c r="AC13" i="1"/>
  <c r="C13" i="1"/>
  <c r="A13" i="1"/>
  <c r="AC12" i="1"/>
  <c r="C12" i="1"/>
  <c r="A12" i="1"/>
  <c r="AC11" i="1"/>
  <c r="C11" i="1"/>
  <c r="A11" i="1"/>
  <c r="AC10" i="1"/>
  <c r="F10" i="1"/>
  <c r="G10" i="1" s="1"/>
  <c r="C10" i="1"/>
  <c r="A10" i="1"/>
  <c r="AC9" i="1"/>
  <c r="F9" i="1"/>
  <c r="G9" i="1" s="1"/>
  <c r="C9" i="1"/>
  <c r="A9" i="1"/>
  <c r="E7" i="1"/>
  <c r="Y6" i="1"/>
  <c r="U6" i="1"/>
  <c r="Q6" i="1"/>
  <c r="M6" i="1"/>
  <c r="I6" i="1"/>
  <c r="E6" i="1"/>
  <c r="B5" i="1"/>
  <c r="B4" i="1"/>
  <c r="H53" i="17"/>
  <c r="G53" i="17"/>
  <c r="F52" i="17"/>
  <c r="F51" i="17"/>
  <c r="I51" i="17" s="1"/>
  <c r="F50" i="17"/>
  <c r="I50" i="17" s="1"/>
  <c r="F49" i="17"/>
  <c r="I49" i="17" s="1"/>
  <c r="F48" i="17"/>
  <c r="I48" i="17" s="1"/>
  <c r="H45" i="17"/>
  <c r="G45" i="17"/>
  <c r="F44" i="17"/>
  <c r="I44" i="17" s="1"/>
  <c r="F43" i="17"/>
  <c r="I43" i="17" s="1"/>
  <c r="F42" i="17"/>
  <c r="I42" i="17" s="1"/>
  <c r="F41" i="17"/>
  <c r="I41" i="17" s="1"/>
  <c r="F40" i="17"/>
  <c r="H38" i="17"/>
  <c r="G38" i="17"/>
  <c r="F37" i="17"/>
  <c r="I37" i="17" s="1"/>
  <c r="F36" i="17"/>
  <c r="I36" i="17" s="1"/>
  <c r="F35" i="17"/>
  <c r="I35" i="17" s="1"/>
  <c r="F34" i="17"/>
  <c r="I34" i="17" s="1"/>
  <c r="F33" i="17"/>
  <c r="H30" i="17"/>
  <c r="G30" i="17"/>
  <c r="F29" i="17"/>
  <c r="I29" i="17" s="1"/>
  <c r="F28" i="17"/>
  <c r="I28" i="17" s="1"/>
  <c r="F27" i="17"/>
  <c r="I27" i="17" s="1"/>
  <c r="F26" i="17"/>
  <c r="I26" i="17" s="1"/>
  <c r="F25" i="17"/>
  <c r="I25" i="17" s="1"/>
  <c r="D23" i="18"/>
  <c r="T6" i="21"/>
  <c r="Q6" i="21"/>
  <c r="N6" i="21"/>
  <c r="K6" i="21"/>
  <c r="H6" i="21"/>
  <c r="G12" i="12"/>
  <c r="G11" i="12"/>
  <c r="G10" i="12"/>
  <c r="G9" i="12"/>
  <c r="G8" i="12"/>
  <c r="G7" i="12"/>
  <c r="G6" i="12"/>
  <c r="G5" i="12"/>
  <c r="G21" i="12"/>
  <c r="G20" i="12"/>
  <c r="G19" i="12"/>
  <c r="G18" i="12"/>
  <c r="G17" i="12"/>
  <c r="G16" i="12"/>
  <c r="J10" i="14"/>
  <c r="J17" i="14"/>
  <c r="J16" i="14"/>
  <c r="J15" i="14"/>
  <c r="J14" i="14"/>
  <c r="J13" i="14"/>
  <c r="J12" i="14"/>
  <c r="J9" i="14"/>
  <c r="J8" i="14"/>
  <c r="J7" i="14"/>
  <c r="J6" i="14"/>
  <c r="AD29" i="29" l="1"/>
  <c r="AD59" i="29"/>
  <c r="AD18" i="29"/>
  <c r="AD11" i="29"/>
  <c r="AD21" i="29"/>
  <c r="AD32" i="29"/>
  <c r="W33" i="29"/>
  <c r="AA33" i="29"/>
  <c r="AD25" i="29"/>
  <c r="AD14" i="29"/>
  <c r="AD17" i="29"/>
  <c r="AD24" i="29"/>
  <c r="O33" i="29"/>
  <c r="AD12" i="29"/>
  <c r="AD30" i="29"/>
  <c r="AD13" i="29"/>
  <c r="AD31" i="29"/>
  <c r="AD9" i="29"/>
  <c r="G33" i="29"/>
  <c r="K33" i="29"/>
  <c r="AD19" i="29"/>
  <c r="S33" i="29"/>
  <c r="AD22" i="29"/>
  <c r="AD26" i="29"/>
  <c r="AD27" i="29"/>
  <c r="AD57" i="29"/>
  <c r="T57" i="21" s="1"/>
  <c r="O77" i="29"/>
  <c r="AD77" i="29" s="1"/>
  <c r="T75" i="21" s="1"/>
  <c r="AD12" i="28"/>
  <c r="S33" i="28"/>
  <c r="AD32" i="28"/>
  <c r="W33" i="28"/>
  <c r="AD15" i="28"/>
  <c r="AD25" i="28"/>
  <c r="K33" i="28"/>
  <c r="O33" i="28"/>
  <c r="AD29" i="28"/>
  <c r="AD22" i="28"/>
  <c r="AD18" i="28"/>
  <c r="AC80" i="28"/>
  <c r="AD19" i="28"/>
  <c r="AA33" i="28"/>
  <c r="AD11" i="28"/>
  <c r="AD47" i="28"/>
  <c r="AD77" i="28"/>
  <c r="AD13" i="28"/>
  <c r="AD23" i="28"/>
  <c r="AD20" i="28"/>
  <c r="AD30" i="28"/>
  <c r="AD16" i="28"/>
  <c r="AD27" i="28"/>
  <c r="AD9" i="28"/>
  <c r="G33" i="28"/>
  <c r="AD26" i="28"/>
  <c r="AD46" i="28"/>
  <c r="R46" i="21" s="1"/>
  <c r="Q8" i="21"/>
  <c r="K47" i="28"/>
  <c r="AD57" i="28"/>
  <c r="Q57" i="21" s="1"/>
  <c r="Q43" i="21"/>
  <c r="AC80" i="27"/>
  <c r="AD9" i="27"/>
  <c r="G33" i="27"/>
  <c r="AD23" i="27"/>
  <c r="K33" i="27"/>
  <c r="AD20" i="27"/>
  <c r="AD17" i="27"/>
  <c r="AD31" i="27"/>
  <c r="S33" i="27"/>
  <c r="AD14" i="27"/>
  <c r="AD28" i="27"/>
  <c r="O33" i="27"/>
  <c r="W33" i="27"/>
  <c r="AD11" i="27"/>
  <c r="AD25" i="27"/>
  <c r="AD19" i="27"/>
  <c r="AD22" i="27"/>
  <c r="AD16" i="27"/>
  <c r="AD30" i="27"/>
  <c r="AD47" i="27"/>
  <c r="AA33" i="27"/>
  <c r="AD13" i="27"/>
  <c r="AD27" i="27"/>
  <c r="AD10" i="27"/>
  <c r="AD24" i="27"/>
  <c r="AD59" i="27"/>
  <c r="AD43" i="27"/>
  <c r="G77" i="27"/>
  <c r="AD77" i="27" s="1"/>
  <c r="N75" i="21" s="1"/>
  <c r="K33" i="26"/>
  <c r="AD25" i="26"/>
  <c r="AA33" i="26"/>
  <c r="AD28" i="26"/>
  <c r="AD21" i="26"/>
  <c r="AD31" i="26"/>
  <c r="S33" i="26"/>
  <c r="W33" i="26"/>
  <c r="AD15" i="26"/>
  <c r="AD18" i="26"/>
  <c r="AD14" i="26"/>
  <c r="AD24" i="26"/>
  <c r="O33" i="26"/>
  <c r="AC80" i="26"/>
  <c r="AD11" i="26"/>
  <c r="AD17" i="26"/>
  <c r="AD77" i="26"/>
  <c r="K75" i="21" s="1"/>
  <c r="AD20" i="26"/>
  <c r="AD30" i="26"/>
  <c r="AD16" i="26"/>
  <c r="AD26" i="26"/>
  <c r="AD47" i="26"/>
  <c r="AD13" i="26"/>
  <c r="AD23" i="26"/>
  <c r="AD9" i="26"/>
  <c r="G33" i="26"/>
  <c r="AD19" i="26"/>
  <c r="AD45" i="26"/>
  <c r="L45" i="21" s="1"/>
  <c r="AD57" i="26"/>
  <c r="W77" i="26"/>
  <c r="AD18" i="22"/>
  <c r="AC80" i="22"/>
  <c r="O33" i="22"/>
  <c r="S33" i="22"/>
  <c r="AD32" i="22"/>
  <c r="W33" i="22"/>
  <c r="AA33" i="22"/>
  <c r="AD11" i="22"/>
  <c r="AD47" i="22"/>
  <c r="AD22" i="22"/>
  <c r="AD15" i="22"/>
  <c r="AD25" i="22"/>
  <c r="AD28" i="22"/>
  <c r="AD31" i="22"/>
  <c r="AD13" i="22"/>
  <c r="AD23" i="22"/>
  <c r="AD16" i="22"/>
  <c r="I63" i="22"/>
  <c r="I66" i="22"/>
  <c r="K66" i="22" s="1"/>
  <c r="K68" i="22" s="1"/>
  <c r="AD17" i="22"/>
  <c r="AD10" i="22"/>
  <c r="AD27" i="22"/>
  <c r="AD20" i="22"/>
  <c r="AD30" i="22"/>
  <c r="AD9" i="22"/>
  <c r="G33" i="22"/>
  <c r="AD26" i="22"/>
  <c r="AD57" i="22"/>
  <c r="AD76" i="22"/>
  <c r="H74" i="21" s="1"/>
  <c r="G77" i="22"/>
  <c r="AD77" i="22" s="1"/>
  <c r="H43" i="21"/>
  <c r="U47" i="21"/>
  <c r="T8" i="21"/>
  <c r="Q59" i="21"/>
  <c r="R43" i="21"/>
  <c r="N59" i="21"/>
  <c r="N43" i="21"/>
  <c r="O43" i="21"/>
  <c r="N57" i="21"/>
  <c r="O47" i="21"/>
  <c r="L46" i="21"/>
  <c r="K8" i="21"/>
  <c r="H57" i="21"/>
  <c r="H8" i="21"/>
  <c r="H75" i="21"/>
  <c r="F11" i="1"/>
  <c r="G11" i="1" s="1"/>
  <c r="W82" i="21"/>
  <c r="W81" i="21"/>
  <c r="T74" i="21"/>
  <c r="T73" i="21"/>
  <c r="T32" i="21"/>
  <c r="Q75" i="21"/>
  <c r="R44" i="21"/>
  <c r="K73" i="21"/>
  <c r="H73" i="21"/>
  <c r="I43" i="21"/>
  <c r="K57" i="21"/>
  <c r="AC33" i="1"/>
  <c r="E32" i="21" s="1"/>
  <c r="AA77" i="1"/>
  <c r="U45" i="21"/>
  <c r="T10" i="21"/>
  <c r="T46" i="21"/>
  <c r="U43" i="21"/>
  <c r="R47" i="21"/>
  <c r="N44" i="21"/>
  <c r="H59" i="21"/>
  <c r="K59" i="1"/>
  <c r="O59" i="1"/>
  <c r="S59" i="1"/>
  <c r="W77" i="1"/>
  <c r="W59" i="1"/>
  <c r="W47" i="1"/>
  <c r="Q47" i="21"/>
  <c r="Q32" i="21"/>
  <c r="N47" i="21"/>
  <c r="O44" i="21"/>
  <c r="N32" i="21"/>
  <c r="O46" i="21"/>
  <c r="K47" i="21"/>
  <c r="K32" i="21"/>
  <c r="K43" i="21"/>
  <c r="H66" i="21"/>
  <c r="H58" i="21"/>
  <c r="H54" i="21"/>
  <c r="I46" i="21"/>
  <c r="H47" i="21"/>
  <c r="I45" i="21"/>
  <c r="I44" i="21"/>
  <c r="H39" i="21"/>
  <c r="AA47" i="1"/>
  <c r="AD45" i="1"/>
  <c r="F45" i="21" s="1"/>
  <c r="O47" i="1"/>
  <c r="AD46" i="1"/>
  <c r="F46" i="21" s="1"/>
  <c r="K47" i="1"/>
  <c r="AD43" i="1"/>
  <c r="F43" i="21" s="1"/>
  <c r="AD54" i="1"/>
  <c r="E54" i="21" s="1"/>
  <c r="AA59" i="1"/>
  <c r="AD58" i="1"/>
  <c r="E58" i="21" s="1"/>
  <c r="AD67" i="1"/>
  <c r="E66" i="21" s="1"/>
  <c r="S77" i="1"/>
  <c r="O77" i="1"/>
  <c r="AD76" i="1"/>
  <c r="E74" i="21" s="1"/>
  <c r="K77" i="1"/>
  <c r="AD75" i="1"/>
  <c r="E73" i="21" s="1"/>
  <c r="G59" i="1"/>
  <c r="G47" i="1"/>
  <c r="AC47" i="1"/>
  <c r="AD44" i="1"/>
  <c r="F44" i="21" s="1"/>
  <c r="H32" i="21"/>
  <c r="AD57" i="1"/>
  <c r="E57" i="21" s="1"/>
  <c r="AD40" i="1"/>
  <c r="E39" i="21" s="1"/>
  <c r="S47" i="1"/>
  <c r="G77" i="1"/>
  <c r="F53" i="17"/>
  <c r="I52" i="17"/>
  <c r="I53" i="17" s="1"/>
  <c r="F45" i="17"/>
  <c r="F38" i="17"/>
  <c r="I40" i="17"/>
  <c r="I45" i="17" s="1"/>
  <c r="I33" i="17"/>
  <c r="I38" i="17" s="1"/>
  <c r="F30" i="17"/>
  <c r="I30" i="17"/>
  <c r="G13" i="12"/>
  <c r="M63" i="29" l="1"/>
  <c r="M66" i="29"/>
  <c r="O66" i="29" s="1"/>
  <c r="O68" i="29" s="1"/>
  <c r="Q63" i="29"/>
  <c r="Q72" i="29" s="1"/>
  <c r="Q80" i="29" s="1"/>
  <c r="Q84" i="29" s="1"/>
  <c r="S84" i="29" s="1"/>
  <c r="Q66" i="29"/>
  <c r="S66" i="29" s="1"/>
  <c r="S68" i="29" s="1"/>
  <c r="Y63" i="29"/>
  <c r="Y66" i="29"/>
  <c r="AA66" i="29" s="1"/>
  <c r="AA68" i="29" s="1"/>
  <c r="I63" i="29"/>
  <c r="I72" i="29" s="1"/>
  <c r="I80" i="29" s="1"/>
  <c r="I84" i="29" s="1"/>
  <c r="K84" i="29" s="1"/>
  <c r="I66" i="29"/>
  <c r="K66" i="29" s="1"/>
  <c r="K68" i="29" s="1"/>
  <c r="U63" i="29"/>
  <c r="U72" i="29" s="1"/>
  <c r="U80" i="29" s="1"/>
  <c r="U84" i="29" s="1"/>
  <c r="W84" i="29" s="1"/>
  <c r="U66" i="29"/>
  <c r="W66" i="29" s="1"/>
  <c r="W68" i="29" s="1"/>
  <c r="E66" i="29"/>
  <c r="G66" i="29" s="1"/>
  <c r="E63" i="29"/>
  <c r="AD33" i="29"/>
  <c r="AD33" i="28"/>
  <c r="E66" i="28"/>
  <c r="G66" i="28" s="1"/>
  <c r="E63" i="28"/>
  <c r="M63" i="28"/>
  <c r="M66" i="28"/>
  <c r="O66" i="28" s="1"/>
  <c r="O68" i="28" s="1"/>
  <c r="Y63" i="28"/>
  <c r="Y66" i="28"/>
  <c r="AA66" i="28" s="1"/>
  <c r="AA68" i="28" s="1"/>
  <c r="I63" i="28"/>
  <c r="I72" i="28" s="1"/>
  <c r="I80" i="28" s="1"/>
  <c r="I84" i="28" s="1"/>
  <c r="K84" i="28" s="1"/>
  <c r="I66" i="28"/>
  <c r="K66" i="28" s="1"/>
  <c r="K68" i="28" s="1"/>
  <c r="U63" i="28"/>
  <c r="U66" i="28"/>
  <c r="W66" i="28" s="1"/>
  <c r="W68" i="28" s="1"/>
  <c r="Q63" i="28"/>
  <c r="Q66" i="28"/>
  <c r="S66" i="28" s="1"/>
  <c r="S68" i="28" s="1"/>
  <c r="M63" i="27"/>
  <c r="M72" i="27" s="1"/>
  <c r="M80" i="27" s="1"/>
  <c r="M84" i="27" s="1"/>
  <c r="O84" i="27" s="1"/>
  <c r="M66" i="27"/>
  <c r="O66" i="27" s="1"/>
  <c r="O68" i="27" s="1"/>
  <c r="U63" i="27"/>
  <c r="U66" i="27"/>
  <c r="W66" i="27" s="1"/>
  <c r="W68" i="27" s="1"/>
  <c r="Q63" i="27"/>
  <c r="Q66" i="27"/>
  <c r="S66" i="27" s="1"/>
  <c r="S68" i="27" s="1"/>
  <c r="Y63" i="27"/>
  <c r="Y66" i="27"/>
  <c r="AA66" i="27" s="1"/>
  <c r="AA68" i="27" s="1"/>
  <c r="E66" i="27"/>
  <c r="G66" i="27" s="1"/>
  <c r="E63" i="27"/>
  <c r="I63" i="27"/>
  <c r="I66" i="27"/>
  <c r="K66" i="27" s="1"/>
  <c r="K68" i="27" s="1"/>
  <c r="AD33" i="27"/>
  <c r="E66" i="26"/>
  <c r="G66" i="26" s="1"/>
  <c r="E63" i="26"/>
  <c r="AD33" i="26"/>
  <c r="U63" i="26"/>
  <c r="U66" i="26"/>
  <c r="W66" i="26" s="1"/>
  <c r="W68" i="26" s="1"/>
  <c r="M63" i="26"/>
  <c r="M72" i="26" s="1"/>
  <c r="M80" i="26" s="1"/>
  <c r="M84" i="26" s="1"/>
  <c r="O84" i="26" s="1"/>
  <c r="M66" i="26"/>
  <c r="O66" i="26" s="1"/>
  <c r="O68" i="26" s="1"/>
  <c r="Q63" i="26"/>
  <c r="Q66" i="26"/>
  <c r="S66" i="26" s="1"/>
  <c r="S68" i="26" s="1"/>
  <c r="Y63" i="26"/>
  <c r="Y66" i="26"/>
  <c r="AA66" i="26" s="1"/>
  <c r="AA68" i="26" s="1"/>
  <c r="I66" i="26"/>
  <c r="K66" i="26" s="1"/>
  <c r="K68" i="26" s="1"/>
  <c r="I63" i="26"/>
  <c r="I72" i="26" s="1"/>
  <c r="I80" i="26" s="1"/>
  <c r="I84" i="26" s="1"/>
  <c r="K84" i="26" s="1"/>
  <c r="Q63" i="22"/>
  <c r="Q66" i="22"/>
  <c r="S66" i="22" s="1"/>
  <c r="S68" i="22" s="1"/>
  <c r="Y63" i="22"/>
  <c r="Y66" i="22"/>
  <c r="AA66" i="22" s="1"/>
  <c r="AA68" i="22" s="1"/>
  <c r="I72" i="22"/>
  <c r="I80" i="22" s="1"/>
  <c r="I84" i="22" s="1"/>
  <c r="K84" i="22" s="1"/>
  <c r="E66" i="22"/>
  <c r="G66" i="22" s="1"/>
  <c r="E63" i="22"/>
  <c r="AD33" i="22"/>
  <c r="U66" i="22"/>
  <c r="W66" i="22" s="1"/>
  <c r="W68" i="22" s="1"/>
  <c r="U63" i="22"/>
  <c r="U72" i="22" s="1"/>
  <c r="U80" i="22" s="1"/>
  <c r="U84" i="22" s="1"/>
  <c r="W84" i="22" s="1"/>
  <c r="M63" i="22"/>
  <c r="M66" i="22"/>
  <c r="O66" i="22" s="1"/>
  <c r="O68" i="22" s="1"/>
  <c r="T47" i="21"/>
  <c r="K59" i="21"/>
  <c r="F12" i="1"/>
  <c r="G12" i="1" s="1"/>
  <c r="AC80" i="1"/>
  <c r="L47" i="21"/>
  <c r="AD59" i="1"/>
  <c r="E59" i="21" s="1"/>
  <c r="T59" i="21"/>
  <c r="I47" i="21"/>
  <c r="AD77" i="1"/>
  <c r="E75" i="21" s="1"/>
  <c r="AD47" i="1"/>
  <c r="F47" i="21" s="1"/>
  <c r="H22" i="17"/>
  <c r="G22" i="17"/>
  <c r="F17" i="17"/>
  <c r="H14" i="17"/>
  <c r="G14" i="17"/>
  <c r="L20" i="47"/>
  <c r="L19" i="47"/>
  <c r="Y72" i="29" l="1"/>
  <c r="Y80" i="29" s="1"/>
  <c r="Y84" i="29" s="1"/>
  <c r="AA84" i="29" s="1"/>
  <c r="AD66" i="29"/>
  <c r="G68" i="29"/>
  <c r="AD68" i="29" s="1"/>
  <c r="E72" i="29"/>
  <c r="AD63" i="29"/>
  <c r="M72" i="29"/>
  <c r="M80" i="29" s="1"/>
  <c r="M84" i="29" s="1"/>
  <c r="O84" i="29" s="1"/>
  <c r="AD63" i="28"/>
  <c r="AD66" i="28"/>
  <c r="G68" i="28"/>
  <c r="AD68" i="28" s="1"/>
  <c r="Q72" i="28"/>
  <c r="Q80" i="28" s="1"/>
  <c r="Q84" i="28" s="1"/>
  <c r="S84" i="28" s="1"/>
  <c r="U72" i="28"/>
  <c r="U80" i="28" s="1"/>
  <c r="U84" i="28" s="1"/>
  <c r="W84" i="28" s="1"/>
  <c r="Y72" i="28"/>
  <c r="Y80" i="28" s="1"/>
  <c r="Y84" i="28" s="1"/>
  <c r="AA84" i="28" s="1"/>
  <c r="M72" i="28"/>
  <c r="M80" i="28" s="1"/>
  <c r="M84" i="28" s="1"/>
  <c r="O84" i="28" s="1"/>
  <c r="I72" i="27"/>
  <c r="I80" i="27" s="1"/>
  <c r="I84" i="27" s="1"/>
  <c r="K84" i="27" s="1"/>
  <c r="AD66" i="27"/>
  <c r="G68" i="27"/>
  <c r="AD68" i="27" s="1"/>
  <c r="Y72" i="27"/>
  <c r="Y80" i="27" s="1"/>
  <c r="Y84" i="27" s="1"/>
  <c r="AA84" i="27" s="1"/>
  <c r="U72" i="27"/>
  <c r="U80" i="27" s="1"/>
  <c r="U84" i="27" s="1"/>
  <c r="W84" i="27" s="1"/>
  <c r="E72" i="27"/>
  <c r="AD63" i="27"/>
  <c r="Q72" i="27"/>
  <c r="Q80" i="27" s="1"/>
  <c r="Q84" i="27" s="1"/>
  <c r="S84" i="27" s="1"/>
  <c r="Y72" i="26"/>
  <c r="Y80" i="26" s="1"/>
  <c r="Y84" i="26" s="1"/>
  <c r="AA84" i="26" s="1"/>
  <c r="Q72" i="26"/>
  <c r="Q80" i="26" s="1"/>
  <c r="Q84" i="26" s="1"/>
  <c r="S84" i="26" s="1"/>
  <c r="U72" i="26"/>
  <c r="U80" i="26" s="1"/>
  <c r="U84" i="26" s="1"/>
  <c r="W84" i="26" s="1"/>
  <c r="AD63" i="26"/>
  <c r="AD66" i="26"/>
  <c r="G68" i="26"/>
  <c r="AD68" i="26" s="1"/>
  <c r="Y72" i="22"/>
  <c r="Y80" i="22" s="1"/>
  <c r="Y84" i="22" s="1"/>
  <c r="AA84" i="22" s="1"/>
  <c r="M72" i="22"/>
  <c r="M80" i="22" s="1"/>
  <c r="M84" i="22" s="1"/>
  <c r="O84" i="22" s="1"/>
  <c r="AD63" i="22"/>
  <c r="AD66" i="22"/>
  <c r="G68" i="22"/>
  <c r="AD68" i="22" s="1"/>
  <c r="Q72" i="22"/>
  <c r="Q80" i="22" s="1"/>
  <c r="Q84" i="22" s="1"/>
  <c r="S84" i="22" s="1"/>
  <c r="F13" i="1"/>
  <c r="G13" i="1" s="1"/>
  <c r="I17" i="17"/>
  <c r="C9" i="33"/>
  <c r="C10" i="33"/>
  <c r="C11" i="33"/>
  <c r="E80" i="29" l="1"/>
  <c r="AD72" i="29"/>
  <c r="E72" i="28"/>
  <c r="E80" i="27"/>
  <c r="AD72" i="27"/>
  <c r="E72" i="26"/>
  <c r="E72" i="22"/>
  <c r="F14" i="1"/>
  <c r="G14" i="1" s="1"/>
  <c r="C12" i="33"/>
  <c r="C15" i="33"/>
  <c r="C22" i="33"/>
  <c r="C14" i="33"/>
  <c r="C20" i="33"/>
  <c r="C18" i="33"/>
  <c r="C17" i="33"/>
  <c r="C16" i="33"/>
  <c r="C31" i="33"/>
  <c r="C30" i="33"/>
  <c r="C29" i="33"/>
  <c r="C28" i="33"/>
  <c r="C27" i="33"/>
  <c r="C26" i="33"/>
  <c r="C25" i="33"/>
  <c r="C24" i="33"/>
  <c r="C23" i="33"/>
  <c r="C21" i="33"/>
  <c r="C19" i="33"/>
  <c r="C13" i="33"/>
  <c r="E84" i="29" l="1"/>
  <c r="G84" i="29" s="1"/>
  <c r="AD84" i="29" s="1"/>
  <c r="AD80" i="29"/>
  <c r="E80" i="28"/>
  <c r="AD72" i="28"/>
  <c r="E84" i="27"/>
  <c r="G84" i="27" s="1"/>
  <c r="AD84" i="27" s="1"/>
  <c r="AD80" i="27"/>
  <c r="E80" i="26"/>
  <c r="AD72" i="26"/>
  <c r="E80" i="22"/>
  <c r="AD72" i="22"/>
  <c r="F15" i="1"/>
  <c r="G15" i="1" s="1"/>
  <c r="AE28" i="47"/>
  <c r="AE29" i="47"/>
  <c r="AE30" i="47"/>
  <c r="AE31" i="47"/>
  <c r="AE32" i="47"/>
  <c r="AE33" i="47"/>
  <c r="AE34" i="47"/>
  <c r="AE35" i="47"/>
  <c r="S18" i="47"/>
  <c r="U18" i="47" s="1"/>
  <c r="S19" i="47"/>
  <c r="U19" i="47" s="1"/>
  <c r="S20" i="47"/>
  <c r="U20" i="47" s="1"/>
  <c r="AJ35" i="47"/>
  <c r="AJ34" i="47"/>
  <c r="AJ33" i="47"/>
  <c r="AJ32" i="47"/>
  <c r="AH32" i="47" s="1"/>
  <c r="AI32" i="47" s="1"/>
  <c r="AJ31" i="47"/>
  <c r="AJ30" i="47"/>
  <c r="AH30" i="47" s="1"/>
  <c r="AI30" i="47" s="1"/>
  <c r="AJ29" i="47"/>
  <c r="AJ28" i="47"/>
  <c r="AJ24" i="47"/>
  <c r="AJ23" i="47"/>
  <c r="AJ22" i="47"/>
  <c r="AJ21" i="47"/>
  <c r="AH21" i="47" s="1"/>
  <c r="AJ20" i="47"/>
  <c r="AK20" i="47" s="1"/>
  <c r="AJ19" i="47"/>
  <c r="AJ18" i="47"/>
  <c r="AH35" i="47"/>
  <c r="AI35" i="47" s="1"/>
  <c r="AH34" i="47"/>
  <c r="AI34" i="47" s="1"/>
  <c r="AH33" i="47"/>
  <c r="AI33" i="47" s="1"/>
  <c r="AH31" i="47"/>
  <c r="AI31" i="47" s="1"/>
  <c r="AH29" i="47"/>
  <c r="AI29" i="47" s="1"/>
  <c r="AH28" i="47"/>
  <c r="AI28" i="47" s="1"/>
  <c r="AH24" i="47"/>
  <c r="AH23" i="47"/>
  <c r="AH22" i="47"/>
  <c r="AI22" i="47" s="1"/>
  <c r="AH20" i="47"/>
  <c r="AI20" i="47" s="1"/>
  <c r="AH18" i="47"/>
  <c r="AI18" i="47" s="1"/>
  <c r="AE24" i="47"/>
  <c r="AE23" i="47"/>
  <c r="AE22" i="47"/>
  <c r="AE21" i="47"/>
  <c r="AE20" i="47"/>
  <c r="AE19" i="47"/>
  <c r="AE18" i="47"/>
  <c r="AE17" i="47"/>
  <c r="Z35" i="47"/>
  <c r="AB35" i="47" s="1"/>
  <c r="Z34" i="47"/>
  <c r="AB34" i="47" s="1"/>
  <c r="Z33" i="47"/>
  <c r="AB33" i="47" s="1"/>
  <c r="Z32" i="47"/>
  <c r="AB32" i="47" s="1"/>
  <c r="Z31" i="47"/>
  <c r="AB31" i="47" s="1"/>
  <c r="Z30" i="47"/>
  <c r="AB30" i="47" s="1"/>
  <c r="Z29" i="47"/>
  <c r="AB29" i="47" s="1"/>
  <c r="Z28" i="47"/>
  <c r="Z24" i="47"/>
  <c r="AB24" i="47" s="1"/>
  <c r="Z23" i="47"/>
  <c r="AB23" i="47" s="1"/>
  <c r="Z22" i="47"/>
  <c r="AB22" i="47" s="1"/>
  <c r="Z21" i="47"/>
  <c r="AB21" i="47" s="1"/>
  <c r="Z20" i="47"/>
  <c r="AB20" i="47" s="1"/>
  <c r="Z19" i="47"/>
  <c r="AB19" i="47" s="1"/>
  <c r="Z18" i="47"/>
  <c r="AB18" i="47" s="1"/>
  <c r="S35" i="47"/>
  <c r="U35" i="47" s="1"/>
  <c r="S34" i="47"/>
  <c r="U34" i="47" s="1"/>
  <c r="S33" i="47"/>
  <c r="U33" i="47" s="1"/>
  <c r="S32" i="47"/>
  <c r="U32" i="47" s="1"/>
  <c r="S31" i="47"/>
  <c r="U31" i="47" s="1"/>
  <c r="S30" i="47"/>
  <c r="U30" i="47" s="1"/>
  <c r="S29" i="47"/>
  <c r="U29" i="47" s="1"/>
  <c r="S28" i="47"/>
  <c r="U28" i="47" s="1"/>
  <c r="S24" i="47"/>
  <c r="U24" i="47" s="1"/>
  <c r="S23" i="47"/>
  <c r="U23" i="47" s="1"/>
  <c r="S22" i="47"/>
  <c r="U22" i="47" s="1"/>
  <c r="S21" i="47"/>
  <c r="U21" i="47" s="1"/>
  <c r="S17" i="47"/>
  <c r="U17" i="47" s="1"/>
  <c r="N35" i="47"/>
  <c r="P35" i="47" s="1"/>
  <c r="N34" i="47"/>
  <c r="P34" i="47" s="1"/>
  <c r="N33" i="47"/>
  <c r="P33" i="47" s="1"/>
  <c r="N32" i="47"/>
  <c r="P32" i="47" s="1"/>
  <c r="N31" i="47"/>
  <c r="P31" i="47" s="1"/>
  <c r="N30" i="47"/>
  <c r="P30" i="47" s="1"/>
  <c r="N29" i="47"/>
  <c r="P29" i="47" s="1"/>
  <c r="N28" i="47"/>
  <c r="P28" i="47" s="1"/>
  <c r="N24" i="47"/>
  <c r="P24" i="47" s="1"/>
  <c r="N23" i="47"/>
  <c r="P23" i="47" s="1"/>
  <c r="N22" i="47"/>
  <c r="P22" i="47" s="1"/>
  <c r="N21" i="47"/>
  <c r="P21" i="47" s="1"/>
  <c r="N20" i="47"/>
  <c r="P20" i="47" s="1"/>
  <c r="N19" i="47"/>
  <c r="P19" i="47" s="1"/>
  <c r="N18" i="47"/>
  <c r="P18" i="47" s="1"/>
  <c r="N17" i="47"/>
  <c r="P17" i="47" s="1"/>
  <c r="E84" i="28" l="1"/>
  <c r="G84" i="28" s="1"/>
  <c r="AD84" i="28" s="1"/>
  <c r="AD80" i="28"/>
  <c r="AD80" i="26"/>
  <c r="E84" i="26"/>
  <c r="G84" i="26" s="1"/>
  <c r="AD84" i="26" s="1"/>
  <c r="E84" i="22"/>
  <c r="G84" i="22" s="1"/>
  <c r="AD84" i="22" s="1"/>
  <c r="AD80" i="22"/>
  <c r="F16" i="1"/>
  <c r="G16" i="1" s="1"/>
  <c r="AH19" i="47"/>
  <c r="AI19" i="47" s="1"/>
  <c r="AK19" i="47"/>
  <c r="AL20" i="47"/>
  <c r="AE36" i="47"/>
  <c r="AE25" i="47"/>
  <c r="F17" i="1" l="1"/>
  <c r="G17" i="1" s="1"/>
  <c r="AD38" i="47"/>
  <c r="F18" i="1" l="1"/>
  <c r="G18" i="1" s="1"/>
  <c r="L34" i="47"/>
  <c r="L33" i="47"/>
  <c r="L32" i="47"/>
  <c r="L31" i="47"/>
  <c r="L30" i="47"/>
  <c r="L29" i="47"/>
  <c r="L24" i="47"/>
  <c r="L23" i="47"/>
  <c r="L22" i="47"/>
  <c r="L21" i="47"/>
  <c r="L18" i="47"/>
  <c r="L28" i="47"/>
  <c r="L17" i="47"/>
  <c r="AK33" i="47"/>
  <c r="AL33" i="47" s="1"/>
  <c r="AK32" i="47"/>
  <c r="AL32" i="47" s="1"/>
  <c r="AK31" i="47"/>
  <c r="AL31" i="47" s="1"/>
  <c r="AK30" i="47"/>
  <c r="AL30" i="47" s="1"/>
  <c r="AK22" i="47"/>
  <c r="AL22" i="47" s="1"/>
  <c r="AK21" i="47"/>
  <c r="AL19" i="47"/>
  <c r="K56" i="54"/>
  <c r="J56" i="54"/>
  <c r="I56" i="54"/>
  <c r="H56" i="54"/>
  <c r="M56" i="54" s="1"/>
  <c r="L55" i="54"/>
  <c r="L54" i="54"/>
  <c r="L53" i="54"/>
  <c r="L52" i="54"/>
  <c r="L51" i="54"/>
  <c r="L50" i="54"/>
  <c r="L49" i="54"/>
  <c r="L48" i="54"/>
  <c r="L47" i="54"/>
  <c r="K44" i="54"/>
  <c r="J44" i="54"/>
  <c r="I44" i="54"/>
  <c r="H44" i="54"/>
  <c r="M44" i="54" s="1"/>
  <c r="L43" i="54"/>
  <c r="L42" i="54"/>
  <c r="L41" i="54"/>
  <c r="L40" i="54"/>
  <c r="L39" i="54"/>
  <c r="L38" i="54"/>
  <c r="K35" i="54"/>
  <c r="J35" i="54"/>
  <c r="J58" i="54" s="1"/>
  <c r="I35" i="54"/>
  <c r="H35" i="54"/>
  <c r="L34" i="54"/>
  <c r="L33" i="54"/>
  <c r="L32" i="54"/>
  <c r="L31" i="54"/>
  <c r="L30" i="54"/>
  <c r="L29" i="54"/>
  <c r="L28" i="54"/>
  <c r="K25" i="54"/>
  <c r="K58" i="54" s="1"/>
  <c r="J25" i="54"/>
  <c r="I25" i="54"/>
  <c r="I58" i="54" s="1"/>
  <c r="H25" i="54"/>
  <c r="M25" i="54" s="1"/>
  <c r="L24" i="54"/>
  <c r="L23" i="54"/>
  <c r="L22" i="54"/>
  <c r="L21" i="54"/>
  <c r="L20" i="54"/>
  <c r="L19" i="54"/>
  <c r="L18" i="54"/>
  <c r="K15" i="54"/>
  <c r="J15" i="54"/>
  <c r="I15" i="54"/>
  <c r="H15" i="54"/>
  <c r="M15" i="54" s="1"/>
  <c r="L14" i="54"/>
  <c r="L13" i="54"/>
  <c r="L59" i="54" s="1"/>
  <c r="L12" i="54"/>
  <c r="L11" i="54"/>
  <c r="L10" i="54"/>
  <c r="L9" i="54"/>
  <c r="L8" i="54"/>
  <c r="B6" i="54"/>
  <c r="K56" i="53"/>
  <c r="J56" i="53"/>
  <c r="I56" i="53"/>
  <c r="H56" i="53"/>
  <c r="M56" i="53" s="1"/>
  <c r="L55" i="53"/>
  <c r="L54" i="53"/>
  <c r="L53" i="53"/>
  <c r="L52" i="53"/>
  <c r="L51" i="53"/>
  <c r="L50" i="53"/>
  <c r="L49" i="53"/>
  <c r="L48" i="53"/>
  <c r="L47" i="53"/>
  <c r="K44" i="53"/>
  <c r="J44" i="53"/>
  <c r="I44" i="53"/>
  <c r="H44" i="53"/>
  <c r="M44" i="53" s="1"/>
  <c r="L43" i="53"/>
  <c r="L42" i="53"/>
  <c r="L41" i="53"/>
  <c r="L40" i="53"/>
  <c r="L39" i="53"/>
  <c r="L38" i="53"/>
  <c r="K35" i="53"/>
  <c r="K58" i="53" s="1"/>
  <c r="J35" i="53"/>
  <c r="J58" i="53" s="1"/>
  <c r="I35" i="53"/>
  <c r="H35" i="53"/>
  <c r="L34" i="53"/>
  <c r="L33" i="53"/>
  <c r="L32" i="53"/>
  <c r="L31" i="53"/>
  <c r="L30" i="53"/>
  <c r="L29" i="53"/>
  <c r="L28" i="53"/>
  <c r="K25" i="53"/>
  <c r="J25" i="53"/>
  <c r="I25" i="53"/>
  <c r="I58" i="53" s="1"/>
  <c r="H25" i="53"/>
  <c r="H58" i="53" s="1"/>
  <c r="L24" i="53"/>
  <c r="L23" i="53"/>
  <c r="L22" i="53"/>
  <c r="L21" i="53"/>
  <c r="L20" i="53"/>
  <c r="L19" i="53"/>
  <c r="L18" i="53"/>
  <c r="K15" i="53"/>
  <c r="J15" i="53"/>
  <c r="I15" i="53"/>
  <c r="H15" i="53"/>
  <c r="M15" i="53" s="1"/>
  <c r="L14" i="53"/>
  <c r="L13" i="53"/>
  <c r="L12" i="53"/>
  <c r="L11" i="53"/>
  <c r="L10" i="53"/>
  <c r="L9" i="53"/>
  <c r="L8" i="53"/>
  <c r="L59" i="53" s="1"/>
  <c r="B6" i="53"/>
  <c r="AA36" i="47"/>
  <c r="L35" i="47"/>
  <c r="AA25" i="47"/>
  <c r="K56" i="56"/>
  <c r="K58" i="56" s="1"/>
  <c r="J56" i="56"/>
  <c r="I56" i="56"/>
  <c r="H56" i="56"/>
  <c r="M56" i="56" s="1"/>
  <c r="L55" i="56"/>
  <c r="L54" i="56"/>
  <c r="L53" i="56"/>
  <c r="L52" i="56"/>
  <c r="L51" i="56"/>
  <c r="L50" i="56"/>
  <c r="L49" i="56"/>
  <c r="L48" i="56"/>
  <c r="L47" i="56"/>
  <c r="K44" i="56"/>
  <c r="J44" i="56"/>
  <c r="I44" i="56"/>
  <c r="H44" i="56"/>
  <c r="M44" i="56" s="1"/>
  <c r="L43" i="56"/>
  <c r="L42" i="56"/>
  <c r="L41" i="56"/>
  <c r="L40" i="56"/>
  <c r="L39" i="56"/>
  <c r="L38" i="56"/>
  <c r="K35" i="56"/>
  <c r="M35" i="56" s="1"/>
  <c r="J35" i="56"/>
  <c r="I35" i="56"/>
  <c r="H35" i="56"/>
  <c r="H58" i="56" s="1"/>
  <c r="L34" i="56"/>
  <c r="L33" i="56"/>
  <c r="L32" i="56"/>
  <c r="L31" i="56"/>
  <c r="L30" i="56"/>
  <c r="L29" i="56"/>
  <c r="L28" i="56"/>
  <c r="K25" i="56"/>
  <c r="J25" i="56"/>
  <c r="J58" i="56" s="1"/>
  <c r="I25" i="56"/>
  <c r="I58" i="56" s="1"/>
  <c r="H25" i="56"/>
  <c r="M25" i="56" s="1"/>
  <c r="L24" i="56"/>
  <c r="L23" i="56"/>
  <c r="L22" i="56"/>
  <c r="L21" i="56"/>
  <c r="L20" i="56"/>
  <c r="L19" i="56"/>
  <c r="L18" i="56"/>
  <c r="K15" i="56"/>
  <c r="J15" i="56"/>
  <c r="I15" i="56"/>
  <c r="H15" i="56"/>
  <c r="M15" i="56" s="1"/>
  <c r="L14" i="56"/>
  <c r="L13" i="56"/>
  <c r="L12" i="56"/>
  <c r="L11" i="56"/>
  <c r="L10" i="56"/>
  <c r="L9" i="56"/>
  <c r="L59" i="56" s="1"/>
  <c r="L8" i="56"/>
  <c r="B6" i="56"/>
  <c r="K56" i="55"/>
  <c r="J56" i="55"/>
  <c r="I56" i="55"/>
  <c r="H56" i="55"/>
  <c r="L55" i="55"/>
  <c r="L54" i="55"/>
  <c r="L53" i="55"/>
  <c r="L52" i="55"/>
  <c r="L51" i="55"/>
  <c r="L50" i="55"/>
  <c r="L49" i="55"/>
  <c r="L48" i="55"/>
  <c r="L47" i="55"/>
  <c r="K44" i="55"/>
  <c r="J44" i="55"/>
  <c r="I44" i="55"/>
  <c r="H44" i="55"/>
  <c r="L43" i="55"/>
  <c r="L42" i="55"/>
  <c r="L41" i="55"/>
  <c r="L40" i="55"/>
  <c r="L39" i="55"/>
  <c r="L38" i="55"/>
  <c r="K35" i="55"/>
  <c r="J35" i="55"/>
  <c r="I35" i="55"/>
  <c r="H35" i="55"/>
  <c r="L34" i="55"/>
  <c r="L33" i="55"/>
  <c r="L32" i="55"/>
  <c r="L31" i="55"/>
  <c r="L30" i="55"/>
  <c r="L29" i="55"/>
  <c r="L28" i="55"/>
  <c r="K25" i="55"/>
  <c r="J25" i="55"/>
  <c r="I25" i="55"/>
  <c r="M25" i="55" s="1"/>
  <c r="H25" i="55"/>
  <c r="L24" i="55"/>
  <c r="L23" i="55"/>
  <c r="L22" i="55"/>
  <c r="L21" i="55"/>
  <c r="L20" i="55"/>
  <c r="L19" i="55"/>
  <c r="L18" i="55"/>
  <c r="K15" i="55"/>
  <c r="J15" i="55"/>
  <c r="I15" i="55"/>
  <c r="H15" i="55"/>
  <c r="M15" i="55" s="1"/>
  <c r="L14" i="55"/>
  <c r="L13" i="55"/>
  <c r="L12" i="55"/>
  <c r="L11" i="55"/>
  <c r="L10" i="55"/>
  <c r="L9" i="55"/>
  <c r="L8" i="55"/>
  <c r="B6" i="55"/>
  <c r="K56" i="51"/>
  <c r="J56" i="51"/>
  <c r="J58" i="51" s="1"/>
  <c r="I56" i="51"/>
  <c r="I58" i="51" s="1"/>
  <c r="H56" i="51"/>
  <c r="H58" i="51" s="1"/>
  <c r="L55" i="51"/>
  <c r="L54" i="51"/>
  <c r="L53" i="51"/>
  <c r="L52" i="51"/>
  <c r="L51" i="51"/>
  <c r="L50" i="51"/>
  <c r="L49" i="51"/>
  <c r="L48" i="51"/>
  <c r="L47" i="51"/>
  <c r="K44" i="51"/>
  <c r="J44" i="51"/>
  <c r="I44" i="51"/>
  <c r="H44" i="51"/>
  <c r="M44" i="51" s="1"/>
  <c r="L43" i="51"/>
  <c r="L42" i="51"/>
  <c r="L41" i="51"/>
  <c r="L40" i="51"/>
  <c r="L39" i="51"/>
  <c r="L38" i="51"/>
  <c r="K35" i="51"/>
  <c r="J35" i="51"/>
  <c r="I35" i="51"/>
  <c r="M35" i="51" s="1"/>
  <c r="H35" i="51"/>
  <c r="L34" i="51"/>
  <c r="L33" i="51"/>
  <c r="L32" i="51"/>
  <c r="L31" i="51"/>
  <c r="L30" i="51"/>
  <c r="L29" i="51"/>
  <c r="L28" i="51"/>
  <c r="K25" i="51"/>
  <c r="K58" i="51" s="1"/>
  <c r="J25" i="51"/>
  <c r="I25" i="51"/>
  <c r="H25" i="51"/>
  <c r="M25" i="51" s="1"/>
  <c r="L24" i="51"/>
  <c r="L23" i="51"/>
  <c r="L22" i="51"/>
  <c r="L21" i="51"/>
  <c r="L20" i="51"/>
  <c r="L19" i="51"/>
  <c r="L18" i="51"/>
  <c r="K15" i="51"/>
  <c r="J15" i="51"/>
  <c r="I15" i="51"/>
  <c r="H15" i="51"/>
  <c r="M15" i="51" s="1"/>
  <c r="L14" i="51"/>
  <c r="L13" i="51"/>
  <c r="L12" i="51"/>
  <c r="L11" i="51"/>
  <c r="L10" i="51"/>
  <c r="L9" i="51"/>
  <c r="L8" i="51"/>
  <c r="L59" i="51" s="1"/>
  <c r="B6" i="51"/>
  <c r="F19" i="1" l="1"/>
  <c r="G19" i="1" s="1"/>
  <c r="M35" i="55"/>
  <c r="I58" i="55"/>
  <c r="J58" i="55"/>
  <c r="H58" i="55"/>
  <c r="M44" i="55"/>
  <c r="L59" i="55"/>
  <c r="K58" i="55"/>
  <c r="AN33" i="47"/>
  <c r="AN31" i="47"/>
  <c r="AN30" i="47"/>
  <c r="AN19" i="47"/>
  <c r="AN32" i="47"/>
  <c r="AN20" i="47"/>
  <c r="AN22" i="47"/>
  <c r="L36" i="47"/>
  <c r="L25" i="47"/>
  <c r="H58" i="54"/>
  <c r="N58" i="54" s="1"/>
  <c r="M35" i="54"/>
  <c r="M59" i="54" s="1"/>
  <c r="N58" i="53"/>
  <c r="M25" i="53"/>
  <c r="M35" i="53"/>
  <c r="M59" i="53" s="1"/>
  <c r="U36" i="47"/>
  <c r="N58" i="56"/>
  <c r="M59" i="56"/>
  <c r="N58" i="55"/>
  <c r="M56" i="55"/>
  <c r="N58" i="51"/>
  <c r="M56" i="51"/>
  <c r="M59" i="51" s="1"/>
  <c r="F20" i="1" l="1"/>
  <c r="G20" i="1" s="1"/>
  <c r="M59" i="55"/>
  <c r="J38" i="47"/>
  <c r="F21" i="1" l="1"/>
  <c r="G21" i="1" s="1"/>
  <c r="K44" i="50"/>
  <c r="J44" i="50"/>
  <c r="I44" i="50"/>
  <c r="H44" i="50"/>
  <c r="H15" i="50"/>
  <c r="I15" i="50"/>
  <c r="J15" i="50"/>
  <c r="K15" i="50"/>
  <c r="H25" i="50"/>
  <c r="I25" i="50"/>
  <c r="J25" i="50"/>
  <c r="K25" i="50"/>
  <c r="H35" i="50"/>
  <c r="I35" i="50"/>
  <c r="J35" i="50"/>
  <c r="K35" i="50"/>
  <c r="H56" i="50"/>
  <c r="I56" i="50"/>
  <c r="J56" i="50"/>
  <c r="K56" i="50"/>
  <c r="H17" i="33"/>
  <c r="H16" i="33"/>
  <c r="H15" i="33"/>
  <c r="H14" i="33"/>
  <c r="H13" i="33"/>
  <c r="H12" i="33"/>
  <c r="H11" i="33"/>
  <c r="H10" i="33"/>
  <c r="H9" i="33"/>
  <c r="H8" i="33"/>
  <c r="J16" i="1" l="1"/>
  <c r="K16" i="1" s="1"/>
  <c r="J18" i="1"/>
  <c r="K18" i="1" s="1"/>
  <c r="F22" i="1"/>
  <c r="G22" i="1" s="1"/>
  <c r="J17" i="1"/>
  <c r="K17" i="1" s="1"/>
  <c r="J15" i="1"/>
  <c r="K15" i="1" s="1"/>
  <c r="J11" i="1"/>
  <c r="K11" i="1" s="1"/>
  <c r="J12" i="1"/>
  <c r="K12" i="1" s="1"/>
  <c r="J13" i="1"/>
  <c r="K13" i="1" s="1"/>
  <c r="J14" i="1"/>
  <c r="K14" i="1" s="1"/>
  <c r="J10" i="1"/>
  <c r="K10" i="1" s="1"/>
  <c r="J9" i="1"/>
  <c r="K9" i="1" s="1"/>
  <c r="J13" i="33"/>
  <c r="J14" i="33"/>
  <c r="J16" i="33"/>
  <c r="J17" i="33"/>
  <c r="J15" i="33"/>
  <c r="H18" i="33"/>
  <c r="J8" i="33"/>
  <c r="J12" i="33"/>
  <c r="J9" i="33"/>
  <c r="J10" i="33"/>
  <c r="L15" i="33"/>
  <c r="J11" i="33"/>
  <c r="H58" i="50"/>
  <c r="K58" i="50"/>
  <c r="J58" i="50"/>
  <c r="I58" i="50"/>
  <c r="J19" i="1" l="1"/>
  <c r="K19" i="1" s="1"/>
  <c r="N16" i="1"/>
  <c r="O16" i="1" s="1"/>
  <c r="N18" i="1"/>
  <c r="O18" i="1" s="1"/>
  <c r="R16" i="1"/>
  <c r="S16" i="1" s="1"/>
  <c r="L16" i="33"/>
  <c r="N17" i="1"/>
  <c r="O17" i="1" s="1"/>
  <c r="F23" i="1"/>
  <c r="G23" i="1" s="1"/>
  <c r="N15" i="1"/>
  <c r="O15" i="1" s="1"/>
  <c r="N14" i="1"/>
  <c r="O14" i="1" s="1"/>
  <c r="N12" i="1"/>
  <c r="O12" i="1" s="1"/>
  <c r="N11" i="1"/>
  <c r="O11" i="1" s="1"/>
  <c r="N13" i="1"/>
  <c r="O13" i="1" s="1"/>
  <c r="N10" i="1"/>
  <c r="O10" i="1" s="1"/>
  <c r="N9" i="1"/>
  <c r="O9" i="1" s="1"/>
  <c r="L13" i="33"/>
  <c r="L12" i="33"/>
  <c r="H19" i="33"/>
  <c r="L8" i="33"/>
  <c r="L17" i="33"/>
  <c r="J18" i="33"/>
  <c r="L14" i="33"/>
  <c r="L9" i="33"/>
  <c r="N15" i="33"/>
  <c r="L11" i="33"/>
  <c r="L10" i="33"/>
  <c r="N58" i="50"/>
  <c r="B6" i="50"/>
  <c r="B74" i="21"/>
  <c r="B73" i="21"/>
  <c r="B66" i="21"/>
  <c r="B58" i="21"/>
  <c r="B57" i="21"/>
  <c r="B46" i="21"/>
  <c r="B45" i="21"/>
  <c r="B44" i="21"/>
  <c r="B43" i="21"/>
  <c r="B38" i="21"/>
  <c r="B37" i="21"/>
  <c r="B36" i="21"/>
  <c r="B35" i="21"/>
  <c r="N16" i="33" l="1"/>
  <c r="P16" i="33" s="1"/>
  <c r="F24" i="1"/>
  <c r="G24" i="1" s="1"/>
  <c r="N19" i="1"/>
  <c r="O19" i="1" s="1"/>
  <c r="R18" i="1"/>
  <c r="S18" i="1" s="1"/>
  <c r="J20" i="1"/>
  <c r="K20" i="1" s="1"/>
  <c r="V16" i="1"/>
  <c r="W16" i="1" s="1"/>
  <c r="N17" i="33"/>
  <c r="R17" i="1"/>
  <c r="S17" i="1" s="1"/>
  <c r="R15" i="1"/>
  <c r="S15" i="1" s="1"/>
  <c r="N13" i="33"/>
  <c r="R14" i="1"/>
  <c r="S14" i="1" s="1"/>
  <c r="R13" i="1"/>
  <c r="S13" i="1" s="1"/>
  <c r="R11" i="1"/>
  <c r="S11" i="1" s="1"/>
  <c r="R12" i="1"/>
  <c r="S12" i="1" s="1"/>
  <c r="R10" i="1"/>
  <c r="S10" i="1" s="1"/>
  <c r="R9" i="1"/>
  <c r="S9" i="1" s="1"/>
  <c r="N14" i="33"/>
  <c r="H20" i="33"/>
  <c r="L18" i="33"/>
  <c r="N8" i="33"/>
  <c r="N12" i="33"/>
  <c r="J19" i="33"/>
  <c r="N9" i="33"/>
  <c r="N11" i="33"/>
  <c r="N10" i="33"/>
  <c r="P15" i="33"/>
  <c r="W45" i="21"/>
  <c r="L55" i="50"/>
  <c r="L54" i="50"/>
  <c r="L53" i="50"/>
  <c r="L52" i="50"/>
  <c r="L51" i="50"/>
  <c r="L50" i="50"/>
  <c r="L49" i="50"/>
  <c r="L48" i="50"/>
  <c r="L47" i="50"/>
  <c r="L43" i="50"/>
  <c r="L42" i="50"/>
  <c r="L41" i="50"/>
  <c r="L40" i="50"/>
  <c r="L39" i="50"/>
  <c r="L38" i="50"/>
  <c r="L34" i="50"/>
  <c r="L33" i="50"/>
  <c r="L32" i="50"/>
  <c r="L31" i="50"/>
  <c r="L30" i="50"/>
  <c r="L29" i="50"/>
  <c r="L28" i="50"/>
  <c r="L24" i="50"/>
  <c r="L23" i="50"/>
  <c r="L22" i="50"/>
  <c r="L21" i="50"/>
  <c r="L20" i="50"/>
  <c r="L19" i="50"/>
  <c r="L18" i="50"/>
  <c r="L14" i="50"/>
  <c r="L13" i="50"/>
  <c r="L12" i="50"/>
  <c r="L11" i="50"/>
  <c r="L10" i="50"/>
  <c r="L9" i="50"/>
  <c r="L8" i="50"/>
  <c r="R15" i="21" l="1"/>
  <c r="O15" i="21"/>
  <c r="I15" i="21"/>
  <c r="L15" i="21"/>
  <c r="U15" i="21"/>
  <c r="L16" i="21"/>
  <c r="P17" i="33"/>
  <c r="V17" i="1"/>
  <c r="W17" i="1" s="1"/>
  <c r="R19" i="1"/>
  <c r="S19" i="1" s="1"/>
  <c r="N20" i="1"/>
  <c r="O20" i="1" s="1"/>
  <c r="J21" i="1"/>
  <c r="K21" i="1" s="1"/>
  <c r="F25" i="1"/>
  <c r="G25" i="1" s="1"/>
  <c r="V18" i="1"/>
  <c r="W18" i="1" s="1"/>
  <c r="V14" i="1"/>
  <c r="W14" i="1" s="1"/>
  <c r="Z17" i="1"/>
  <c r="AA17" i="1" s="1"/>
  <c r="Z16" i="1"/>
  <c r="AA16" i="1" s="1"/>
  <c r="AD16" i="1" s="1"/>
  <c r="P14" i="33"/>
  <c r="V15" i="1"/>
  <c r="W15" i="1" s="1"/>
  <c r="P13" i="33"/>
  <c r="V12" i="1"/>
  <c r="W12" i="1" s="1"/>
  <c r="V13" i="1"/>
  <c r="W13" i="1" s="1"/>
  <c r="V11" i="1"/>
  <c r="W11" i="1" s="1"/>
  <c r="V10" i="1"/>
  <c r="W10" i="1" s="1"/>
  <c r="V9" i="1"/>
  <c r="W9" i="1" s="1"/>
  <c r="E25" i="21"/>
  <c r="W46" i="21"/>
  <c r="E31" i="21"/>
  <c r="E27" i="21"/>
  <c r="W44" i="21"/>
  <c r="E22" i="21"/>
  <c r="E13" i="21"/>
  <c r="E18" i="21"/>
  <c r="E20" i="21"/>
  <c r="E17" i="21"/>
  <c r="E23" i="21"/>
  <c r="E26" i="21"/>
  <c r="E14" i="21"/>
  <c r="E28" i="21"/>
  <c r="E21" i="21"/>
  <c r="E19" i="21"/>
  <c r="E11" i="21"/>
  <c r="E16" i="21"/>
  <c r="E10" i="21"/>
  <c r="E24" i="21"/>
  <c r="E30" i="21"/>
  <c r="E12" i="21"/>
  <c r="E8" i="21"/>
  <c r="E15" i="21"/>
  <c r="E29" i="21"/>
  <c r="J20" i="33"/>
  <c r="H21" i="33"/>
  <c r="P12" i="33"/>
  <c r="P8" i="33"/>
  <c r="N18" i="33"/>
  <c r="L19" i="33"/>
  <c r="W43" i="21"/>
  <c r="P10" i="33"/>
  <c r="P9" i="33"/>
  <c r="P11" i="33"/>
  <c r="M35" i="50"/>
  <c r="M25" i="50"/>
  <c r="M15" i="50"/>
  <c r="L59" i="50"/>
  <c r="M44" i="50"/>
  <c r="E9" i="21"/>
  <c r="M56" i="50"/>
  <c r="I16" i="21" l="1"/>
  <c r="R16" i="21"/>
  <c r="O16" i="21"/>
  <c r="U16" i="21"/>
  <c r="U12" i="21"/>
  <c r="R12" i="21"/>
  <c r="L12" i="21"/>
  <c r="O12" i="21"/>
  <c r="I12" i="21"/>
  <c r="L13" i="21"/>
  <c r="U13" i="21"/>
  <c r="O13" i="21"/>
  <c r="I13" i="21"/>
  <c r="R13" i="21"/>
  <c r="I11" i="21"/>
  <c r="O11" i="21"/>
  <c r="R11" i="21"/>
  <c r="U11" i="21"/>
  <c r="L11" i="21"/>
  <c r="O14" i="21"/>
  <c r="L14" i="21"/>
  <c r="R14" i="21"/>
  <c r="U14" i="21"/>
  <c r="I14" i="21"/>
  <c r="O17" i="21"/>
  <c r="I17" i="21"/>
  <c r="U17" i="21"/>
  <c r="L17" i="21"/>
  <c r="R17" i="21"/>
  <c r="L10" i="21"/>
  <c r="I10" i="21"/>
  <c r="R10" i="21"/>
  <c r="O10" i="21"/>
  <c r="AD17" i="1"/>
  <c r="Z18" i="1"/>
  <c r="AA18" i="1" s="1"/>
  <c r="AD18" i="1" s="1"/>
  <c r="R9" i="21"/>
  <c r="L9" i="21"/>
  <c r="O9" i="21"/>
  <c r="I9" i="21"/>
  <c r="U9" i="21"/>
  <c r="R20" i="1"/>
  <c r="S20" i="1" s="1"/>
  <c r="V19" i="1"/>
  <c r="W19" i="1" s="1"/>
  <c r="J22" i="1"/>
  <c r="K22" i="1" s="1"/>
  <c r="F26" i="1"/>
  <c r="G26" i="1" s="1"/>
  <c r="N21" i="1"/>
  <c r="O21" i="1" s="1"/>
  <c r="U10" i="21"/>
  <c r="Z14" i="1"/>
  <c r="AA14" i="1" s="1"/>
  <c r="AD14" i="1" s="1"/>
  <c r="Z15" i="1"/>
  <c r="AA15" i="1" s="1"/>
  <c r="AD15" i="1" s="1"/>
  <c r="Z11" i="1"/>
  <c r="AA11" i="1" s="1"/>
  <c r="AD11" i="1" s="1"/>
  <c r="Z13" i="1"/>
  <c r="AA13" i="1" s="1"/>
  <c r="AD13" i="1" s="1"/>
  <c r="Z12" i="1"/>
  <c r="AA12" i="1" s="1"/>
  <c r="AD12" i="1" s="1"/>
  <c r="Z10" i="1"/>
  <c r="AA10" i="1" s="1"/>
  <c r="AD10" i="1" s="1"/>
  <c r="Z9" i="1"/>
  <c r="AA9" i="1" s="1"/>
  <c r="H22" i="33"/>
  <c r="P18" i="33"/>
  <c r="L20" i="33"/>
  <c r="J21" i="33"/>
  <c r="N19" i="33"/>
  <c r="E47" i="21"/>
  <c r="W47" i="21" s="1"/>
  <c r="M59" i="50"/>
  <c r="N22" i="1" l="1"/>
  <c r="O22" i="1" s="1"/>
  <c r="R21" i="1"/>
  <c r="S21" i="1" s="1"/>
  <c r="J23" i="1"/>
  <c r="K23" i="1" s="1"/>
  <c r="U18" i="21"/>
  <c r="R18" i="21"/>
  <c r="Z19" i="1"/>
  <c r="AA19" i="1" s="1"/>
  <c r="AD19" i="1" s="1"/>
  <c r="F27" i="1"/>
  <c r="G27" i="1" s="1"/>
  <c r="V20" i="1"/>
  <c r="W20" i="1" s="1"/>
  <c r="AD9" i="1"/>
  <c r="N20" i="33"/>
  <c r="H23" i="33"/>
  <c r="J22" i="33"/>
  <c r="P19" i="33"/>
  <c r="L21" i="33"/>
  <c r="L18" i="21" l="1"/>
  <c r="J24" i="1"/>
  <c r="K24" i="1" s="1"/>
  <c r="V21" i="1"/>
  <c r="W21" i="1" s="1"/>
  <c r="F28" i="1"/>
  <c r="G28" i="1" s="1"/>
  <c r="I18" i="21"/>
  <c r="U19" i="21"/>
  <c r="R19" i="21"/>
  <c r="I19" i="21"/>
  <c r="L19" i="21"/>
  <c r="Z20" i="1"/>
  <c r="AA20" i="1" s="1"/>
  <c r="AD20" i="1" s="1"/>
  <c r="N23" i="1"/>
  <c r="O23" i="1" s="1"/>
  <c r="R22" i="1"/>
  <c r="S22" i="1" s="1"/>
  <c r="I8" i="21"/>
  <c r="U8" i="21"/>
  <c r="O8" i="21"/>
  <c r="R8" i="21"/>
  <c r="L8" i="21"/>
  <c r="H24" i="33"/>
  <c r="L22" i="33"/>
  <c r="N21" i="33"/>
  <c r="P20" i="33"/>
  <c r="J23" i="33"/>
  <c r="O18" i="21" l="1"/>
  <c r="N24" i="1"/>
  <c r="O24" i="1" s="1"/>
  <c r="F29" i="1"/>
  <c r="G29" i="1" s="1"/>
  <c r="Z21" i="1"/>
  <c r="AA21" i="1" s="1"/>
  <c r="O20" i="21"/>
  <c r="I20" i="21"/>
  <c r="U20" i="21"/>
  <c r="V22" i="1"/>
  <c r="W22" i="1" s="1"/>
  <c r="R23" i="1"/>
  <c r="S23" i="1" s="1"/>
  <c r="J25" i="1"/>
  <c r="K25" i="1" s="1"/>
  <c r="O19" i="21"/>
  <c r="P21" i="33"/>
  <c r="L23" i="33"/>
  <c r="N22" i="33"/>
  <c r="H25" i="33"/>
  <c r="J24" i="33"/>
  <c r="L82" i="21" l="1"/>
  <c r="L81" i="21"/>
  <c r="I82" i="21"/>
  <c r="I81" i="21"/>
  <c r="R20" i="21"/>
  <c r="L20" i="21"/>
  <c r="F30" i="1"/>
  <c r="G30" i="1" s="1"/>
  <c r="N25" i="1"/>
  <c r="O25" i="1" s="1"/>
  <c r="J26" i="1"/>
  <c r="K26" i="1" s="1"/>
  <c r="AD21" i="1"/>
  <c r="V23" i="1"/>
  <c r="W23" i="1" s="1"/>
  <c r="Z22" i="1"/>
  <c r="AA22" i="1" s="1"/>
  <c r="AD22" i="1" s="1"/>
  <c r="R24" i="1"/>
  <c r="S24" i="1" s="1"/>
  <c r="H26" i="33"/>
  <c r="J25" i="33"/>
  <c r="N23" i="33"/>
  <c r="L24" i="33"/>
  <c r="P22" i="33"/>
  <c r="O61" i="53"/>
  <c r="O61" i="55"/>
  <c r="U81" i="21" l="1"/>
  <c r="U82" i="21"/>
  <c r="O21" i="21"/>
  <c r="R25" i="1"/>
  <c r="S25" i="1" s="1"/>
  <c r="V24" i="1"/>
  <c r="W24" i="1" s="1"/>
  <c r="F31" i="1"/>
  <c r="G31" i="1" s="1"/>
  <c r="U22" i="21"/>
  <c r="I22" i="21"/>
  <c r="Z23" i="1"/>
  <c r="AA23" i="1" s="1"/>
  <c r="AD23" i="1" s="1"/>
  <c r="R22" i="21"/>
  <c r="N26" i="1"/>
  <c r="O26" i="1" s="1"/>
  <c r="J27" i="1"/>
  <c r="K27" i="1" s="1"/>
  <c r="N24" i="33"/>
  <c r="L25" i="33"/>
  <c r="H27" i="33"/>
  <c r="J26" i="33"/>
  <c r="P23" i="33"/>
  <c r="O61" i="51"/>
  <c r="O61" i="54"/>
  <c r="O61" i="56"/>
  <c r="R81" i="21" l="1"/>
  <c r="R82" i="21"/>
  <c r="O22" i="21"/>
  <c r="L22" i="21"/>
  <c r="U21" i="21"/>
  <c r="I23" i="21"/>
  <c r="Z24" i="1"/>
  <c r="AA24" i="1" s="1"/>
  <c r="L23" i="21"/>
  <c r="O23" i="21"/>
  <c r="N27" i="1"/>
  <c r="O27" i="1" s="1"/>
  <c r="J28" i="1"/>
  <c r="K28" i="1" s="1"/>
  <c r="R21" i="21"/>
  <c r="F32" i="1"/>
  <c r="G32" i="1" s="1"/>
  <c r="L21" i="21"/>
  <c r="R26" i="1"/>
  <c r="S26" i="1" s="1"/>
  <c r="V25" i="1"/>
  <c r="W25" i="1" s="1"/>
  <c r="I21" i="21"/>
  <c r="J27" i="33"/>
  <c r="N25" i="33"/>
  <c r="L26" i="33"/>
  <c r="H28" i="33"/>
  <c r="P24" i="33"/>
  <c r="AY69" i="38"/>
  <c r="AQ69" i="38"/>
  <c r="AI69" i="38"/>
  <c r="AA69" i="38"/>
  <c r="S69" i="38"/>
  <c r="K69" i="38"/>
  <c r="BA69" i="38" s="1"/>
  <c r="BA68" i="38"/>
  <c r="AY68" i="38"/>
  <c r="AY70" i="38" s="1"/>
  <c r="AQ68" i="38"/>
  <c r="AQ70" i="38" s="1"/>
  <c r="AI68" i="38"/>
  <c r="AI70" i="38" s="1"/>
  <c r="AA68" i="38"/>
  <c r="AA70" i="38" s="1"/>
  <c r="S68" i="38"/>
  <c r="K68" i="38"/>
  <c r="AQ64" i="38"/>
  <c r="AI64" i="38"/>
  <c r="AA64" i="38"/>
  <c r="S64" i="38"/>
  <c r="K64" i="38"/>
  <c r="AA60" i="38"/>
  <c r="S60" i="38"/>
  <c r="K60" i="38"/>
  <c r="AY59" i="38"/>
  <c r="AQ59" i="38"/>
  <c r="AI59" i="38"/>
  <c r="AA59" i="38"/>
  <c r="S59" i="38"/>
  <c r="K59" i="38"/>
  <c r="BA59" i="38" s="1"/>
  <c r="AY58" i="38"/>
  <c r="AY60" i="38" s="1"/>
  <c r="AQ58" i="38"/>
  <c r="AQ60" i="38" s="1"/>
  <c r="AI58" i="38"/>
  <c r="AI60" i="38" s="1"/>
  <c r="AA58" i="38"/>
  <c r="S58" i="38"/>
  <c r="K58" i="38"/>
  <c r="BA58" i="38" s="1"/>
  <c r="AY56" i="38"/>
  <c r="AQ56" i="38"/>
  <c r="AI56" i="38"/>
  <c r="AA56" i="38"/>
  <c r="S56" i="38"/>
  <c r="K56" i="38"/>
  <c r="BA56" i="38" s="1"/>
  <c r="BA55" i="38"/>
  <c r="BA54" i="38"/>
  <c r="BA53" i="38"/>
  <c r="BA52" i="38"/>
  <c r="AZ50" i="38"/>
  <c r="AY50" i="38"/>
  <c r="AZ49" i="38"/>
  <c r="AY49" i="38"/>
  <c r="AQ49" i="38"/>
  <c r="AI49" i="38"/>
  <c r="AA49" i="38"/>
  <c r="S49" i="38"/>
  <c r="K49" i="38"/>
  <c r="BA49" i="38" s="1"/>
  <c r="BA48" i="38"/>
  <c r="AZ48" i="38"/>
  <c r="AY48" i="38"/>
  <c r="AQ48" i="38"/>
  <c r="AI48" i="38"/>
  <c r="AA48" i="38"/>
  <c r="S48" i="38"/>
  <c r="K48" i="38"/>
  <c r="K50" i="38" s="1"/>
  <c r="AZ47" i="38"/>
  <c r="AY47" i="38"/>
  <c r="AQ47" i="38"/>
  <c r="AI47" i="38"/>
  <c r="AA47" i="38"/>
  <c r="S47" i="38"/>
  <c r="K47" i="38"/>
  <c r="AZ46" i="38"/>
  <c r="AY46" i="38"/>
  <c r="AQ46" i="38"/>
  <c r="AQ50" i="38" s="1"/>
  <c r="AI46" i="38"/>
  <c r="AI50" i="38" s="1"/>
  <c r="AA46" i="38"/>
  <c r="S46" i="38"/>
  <c r="K46" i="38"/>
  <c r="BA46" i="38" s="1"/>
  <c r="AY44" i="38"/>
  <c r="AQ44" i="38"/>
  <c r="AI44" i="38"/>
  <c r="AA44" i="38"/>
  <c r="S44" i="38"/>
  <c r="K44" i="38"/>
  <c r="BA43" i="38"/>
  <c r="BA42" i="38"/>
  <c r="BA41" i="38"/>
  <c r="BA40" i="38"/>
  <c r="AR32" i="38"/>
  <c r="AJ32" i="38"/>
  <c r="AB32" i="38"/>
  <c r="T32" i="38"/>
  <c r="L32" i="38"/>
  <c r="D32" i="38"/>
  <c r="AZ31" i="38"/>
  <c r="AW31" i="38"/>
  <c r="AU31" i="38"/>
  <c r="AO31" i="38"/>
  <c r="AM31" i="38"/>
  <c r="AG31" i="38"/>
  <c r="AE31" i="38"/>
  <c r="Y31" i="38"/>
  <c r="W31" i="38"/>
  <c r="Q31" i="38"/>
  <c r="O31" i="38"/>
  <c r="I31" i="38"/>
  <c r="G31" i="38"/>
  <c r="E31" i="38"/>
  <c r="F31" i="38" s="1"/>
  <c r="C31" i="38"/>
  <c r="B31" i="38"/>
  <c r="AZ30" i="38"/>
  <c r="AW30" i="38"/>
  <c r="AU30" i="38"/>
  <c r="AO30" i="38"/>
  <c r="AM30" i="38"/>
  <c r="AG30" i="38"/>
  <c r="AE30" i="38"/>
  <c r="Y30" i="38"/>
  <c r="W30" i="38"/>
  <c r="Q30" i="38"/>
  <c r="O30" i="38"/>
  <c r="I30" i="38"/>
  <c r="G30" i="38"/>
  <c r="E30" i="38"/>
  <c r="F30" i="38" s="1"/>
  <c r="C30" i="38"/>
  <c r="B30" i="38"/>
  <c r="AZ29" i="38"/>
  <c r="AW29" i="38"/>
  <c r="AU29" i="38"/>
  <c r="AO29" i="38"/>
  <c r="AM29" i="38"/>
  <c r="AG29" i="38"/>
  <c r="AE29" i="38"/>
  <c r="Y29" i="38"/>
  <c r="W29" i="38"/>
  <c r="Q29" i="38"/>
  <c r="O29" i="38"/>
  <c r="I29" i="38"/>
  <c r="G29" i="38"/>
  <c r="E29" i="38"/>
  <c r="F29" i="38" s="1"/>
  <c r="C29" i="38"/>
  <c r="B29" i="38"/>
  <c r="AZ28" i="38"/>
  <c r="AW28" i="38"/>
  <c r="AU28" i="38"/>
  <c r="AO28" i="38"/>
  <c r="AM28" i="38"/>
  <c r="AG28" i="38"/>
  <c r="AE28" i="38"/>
  <c r="Y28" i="38"/>
  <c r="W28" i="38"/>
  <c r="Q28" i="38"/>
  <c r="O28" i="38"/>
  <c r="I28" i="38"/>
  <c r="G28" i="38"/>
  <c r="E28" i="38"/>
  <c r="F28" i="38" s="1"/>
  <c r="C28" i="38"/>
  <c r="B28" i="38"/>
  <c r="AZ27" i="38"/>
  <c r="AW27" i="38"/>
  <c r="AU27" i="38"/>
  <c r="AO27" i="38"/>
  <c r="AM27" i="38"/>
  <c r="AG27" i="38"/>
  <c r="AE27" i="38"/>
  <c r="Y27" i="38"/>
  <c r="W27" i="38"/>
  <c r="Q27" i="38"/>
  <c r="O27" i="38"/>
  <c r="I27" i="38"/>
  <c r="G27" i="38"/>
  <c r="E27" i="38"/>
  <c r="F27" i="38" s="1"/>
  <c r="C27" i="38"/>
  <c r="B27" i="38"/>
  <c r="AZ26" i="38"/>
  <c r="AW26" i="38"/>
  <c r="AU26" i="38"/>
  <c r="AO26" i="38"/>
  <c r="AM26" i="38"/>
  <c r="AG26" i="38"/>
  <c r="AE26" i="38"/>
  <c r="Y26" i="38"/>
  <c r="W26" i="38"/>
  <c r="Q26" i="38"/>
  <c r="O26" i="38"/>
  <c r="I26" i="38"/>
  <c r="G26" i="38"/>
  <c r="E26" i="38"/>
  <c r="F26" i="38" s="1"/>
  <c r="C26" i="38"/>
  <c r="B26" i="38"/>
  <c r="AZ25" i="38"/>
  <c r="AW25" i="38"/>
  <c r="AU25" i="38"/>
  <c r="AO25" i="38"/>
  <c r="AM25" i="38"/>
  <c r="AG25" i="38"/>
  <c r="AE25" i="38"/>
  <c r="Y25" i="38"/>
  <c r="W25" i="38"/>
  <c r="Q25" i="38"/>
  <c r="O25" i="38"/>
  <c r="I25" i="38"/>
  <c r="G25" i="38"/>
  <c r="E25" i="38"/>
  <c r="F25" i="38" s="1"/>
  <c r="C25" i="38"/>
  <c r="B25" i="38"/>
  <c r="AZ24" i="38"/>
  <c r="AW24" i="38"/>
  <c r="AU24" i="38"/>
  <c r="AO24" i="38"/>
  <c r="AM24" i="38"/>
  <c r="AG24" i="38"/>
  <c r="AE24" i="38"/>
  <c r="Y24" i="38"/>
  <c r="W24" i="38"/>
  <c r="Q24" i="38"/>
  <c r="O24" i="38"/>
  <c r="I24" i="38"/>
  <c r="G24" i="38"/>
  <c r="E24" i="38"/>
  <c r="F24" i="38" s="1"/>
  <c r="C24" i="38"/>
  <c r="B24" i="38"/>
  <c r="AZ23" i="38"/>
  <c r="AW23" i="38"/>
  <c r="AU23" i="38"/>
  <c r="AO23" i="38"/>
  <c r="AM23" i="38"/>
  <c r="AG23" i="38"/>
  <c r="AE23" i="38"/>
  <c r="Y23" i="38"/>
  <c r="W23" i="38"/>
  <c r="Q23" i="38"/>
  <c r="O23" i="38"/>
  <c r="I23" i="38"/>
  <c r="G23" i="38"/>
  <c r="E23" i="38"/>
  <c r="F23" i="38" s="1"/>
  <c r="C23" i="38"/>
  <c r="B23" i="38"/>
  <c r="AZ22" i="38"/>
  <c r="AW22" i="38"/>
  <c r="AU22" i="38"/>
  <c r="AO22" i="38"/>
  <c r="AM22" i="38"/>
  <c r="AG22" i="38"/>
  <c r="AE22" i="38"/>
  <c r="Y22" i="38"/>
  <c r="W22" i="38"/>
  <c r="Q22" i="38"/>
  <c r="O22" i="38"/>
  <c r="I22" i="38"/>
  <c r="G22" i="38"/>
  <c r="E22" i="38"/>
  <c r="F22" i="38" s="1"/>
  <c r="C22" i="38"/>
  <c r="B22" i="38"/>
  <c r="AZ21" i="38"/>
  <c r="AW21" i="38"/>
  <c r="AU21" i="38"/>
  <c r="AO21" i="38"/>
  <c r="AM21" i="38"/>
  <c r="AG21" i="38"/>
  <c r="AE21" i="38"/>
  <c r="Y21" i="38"/>
  <c r="W21" i="38"/>
  <c r="Q21" i="38"/>
  <c r="O21" i="38"/>
  <c r="I21" i="38"/>
  <c r="G21" i="38"/>
  <c r="E21" i="38"/>
  <c r="F21" i="38" s="1"/>
  <c r="C21" i="38"/>
  <c r="B21" i="38"/>
  <c r="AZ20" i="38"/>
  <c r="AW20" i="38"/>
  <c r="AU20" i="38"/>
  <c r="AO20" i="38"/>
  <c r="AM20" i="38"/>
  <c r="AG20" i="38"/>
  <c r="AE20" i="38"/>
  <c r="Y20" i="38"/>
  <c r="W20" i="38"/>
  <c r="Q20" i="38"/>
  <c r="O20" i="38"/>
  <c r="I20" i="38"/>
  <c r="G20" i="38"/>
  <c r="E20" i="38"/>
  <c r="F20" i="38" s="1"/>
  <c r="C20" i="38"/>
  <c r="B20" i="38"/>
  <c r="AZ19" i="38"/>
  <c r="AW19" i="38"/>
  <c r="AU19" i="38"/>
  <c r="AO19" i="38"/>
  <c r="AM19" i="38"/>
  <c r="AG19" i="38"/>
  <c r="AE19" i="38"/>
  <c r="Y19" i="38"/>
  <c r="W19" i="38"/>
  <c r="Q19" i="38"/>
  <c r="O19" i="38"/>
  <c r="I19" i="38"/>
  <c r="G19" i="38"/>
  <c r="E19" i="38"/>
  <c r="F19" i="38" s="1"/>
  <c r="C19" i="38"/>
  <c r="B19" i="38"/>
  <c r="AZ18" i="38"/>
  <c r="AW18" i="38"/>
  <c r="AU18" i="38"/>
  <c r="AO18" i="38"/>
  <c r="AM18" i="38"/>
  <c r="AG18" i="38"/>
  <c r="AE18" i="38"/>
  <c r="Y18" i="38"/>
  <c r="W18" i="38"/>
  <c r="Q18" i="38"/>
  <c r="O18" i="38"/>
  <c r="I18" i="38"/>
  <c r="G18" i="38"/>
  <c r="E18" i="38"/>
  <c r="F18" i="38" s="1"/>
  <c r="C18" i="38"/>
  <c r="B18" i="38"/>
  <c r="AZ17" i="38"/>
  <c r="AW17" i="38"/>
  <c r="AU17" i="38"/>
  <c r="AO17" i="38"/>
  <c r="AM17" i="38"/>
  <c r="AG17" i="38"/>
  <c r="AE17" i="38"/>
  <c r="Y17" i="38"/>
  <c r="W17" i="38"/>
  <c r="Q17" i="38"/>
  <c r="O17" i="38"/>
  <c r="I17" i="38"/>
  <c r="G17" i="38"/>
  <c r="E17" i="38"/>
  <c r="F17" i="38" s="1"/>
  <c r="C17" i="38"/>
  <c r="B17" i="38"/>
  <c r="AZ16" i="38"/>
  <c r="AW16" i="38"/>
  <c r="AU16" i="38"/>
  <c r="AO16" i="38"/>
  <c r="AM16" i="38"/>
  <c r="AG16" i="38"/>
  <c r="AE16" i="38"/>
  <c r="Y16" i="38"/>
  <c r="W16" i="38"/>
  <c r="Q16" i="38"/>
  <c r="O16" i="38"/>
  <c r="I16" i="38"/>
  <c r="G16" i="38"/>
  <c r="E16" i="38"/>
  <c r="F16" i="38" s="1"/>
  <c r="C16" i="38"/>
  <c r="B16" i="38"/>
  <c r="AZ15" i="38"/>
  <c r="AW15" i="38"/>
  <c r="AU15" i="38"/>
  <c r="AO15" i="38"/>
  <c r="AM15" i="38"/>
  <c r="AG15" i="38"/>
  <c r="AE15" i="38"/>
  <c r="Y15" i="38"/>
  <c r="W15" i="38"/>
  <c r="Q15" i="38"/>
  <c r="O15" i="38"/>
  <c r="I15" i="38"/>
  <c r="G15" i="38"/>
  <c r="E15" i="38"/>
  <c r="F15" i="38" s="1"/>
  <c r="C15" i="38"/>
  <c r="B15" i="38"/>
  <c r="AZ14" i="38"/>
  <c r="AW14" i="38"/>
  <c r="AU14" i="38"/>
  <c r="AO14" i="38"/>
  <c r="AM14" i="38"/>
  <c r="AG14" i="38"/>
  <c r="AE14" i="38"/>
  <c r="Y14" i="38"/>
  <c r="W14" i="38"/>
  <c r="Q14" i="38"/>
  <c r="O14" i="38"/>
  <c r="I14" i="38"/>
  <c r="G14" i="38"/>
  <c r="E14" i="38"/>
  <c r="F14" i="38" s="1"/>
  <c r="C14" i="38"/>
  <c r="B14" i="38"/>
  <c r="AZ13" i="38"/>
  <c r="AW13" i="38"/>
  <c r="AU13" i="38"/>
  <c r="AO13" i="38"/>
  <c r="AM13" i="38"/>
  <c r="AG13" i="38"/>
  <c r="AE13" i="38"/>
  <c r="Y13" i="38"/>
  <c r="W13" i="38"/>
  <c r="Q13" i="38"/>
  <c r="O13" i="38"/>
  <c r="I13" i="38"/>
  <c r="G13" i="38"/>
  <c r="E13" i="38"/>
  <c r="F13" i="38" s="1"/>
  <c r="C13" i="38"/>
  <c r="B13" i="38"/>
  <c r="AZ12" i="38"/>
  <c r="AW12" i="38"/>
  <c r="AU12" i="38"/>
  <c r="AO12" i="38"/>
  <c r="AM12" i="38"/>
  <c r="AG12" i="38"/>
  <c r="AE12" i="38"/>
  <c r="Y12" i="38"/>
  <c r="W12" i="38"/>
  <c r="Q12" i="38"/>
  <c r="O12" i="38"/>
  <c r="I12" i="38"/>
  <c r="G12" i="38"/>
  <c r="E12" i="38"/>
  <c r="F12" i="38" s="1"/>
  <c r="C12" i="38"/>
  <c r="B12" i="38"/>
  <c r="AZ11" i="38"/>
  <c r="AW11" i="38"/>
  <c r="AU11" i="38"/>
  <c r="AO11" i="38"/>
  <c r="AM11" i="38"/>
  <c r="AG11" i="38"/>
  <c r="AE11" i="38"/>
  <c r="Y11" i="38"/>
  <c r="W11" i="38"/>
  <c r="Q11" i="38"/>
  <c r="O11" i="38"/>
  <c r="I11" i="38"/>
  <c r="G11" i="38"/>
  <c r="E11" i="38"/>
  <c r="F11" i="38" s="1"/>
  <c r="C11" i="38"/>
  <c r="B11" i="38"/>
  <c r="AZ10" i="38"/>
  <c r="AW10" i="38"/>
  <c r="AU10" i="38"/>
  <c r="AO10" i="38"/>
  <c r="AM10" i="38"/>
  <c r="AG10" i="38"/>
  <c r="AE10" i="38"/>
  <c r="Y10" i="38"/>
  <c r="W10" i="38"/>
  <c r="Q10" i="38"/>
  <c r="O10" i="38"/>
  <c r="I10" i="38"/>
  <c r="G10" i="38"/>
  <c r="E10" i="38"/>
  <c r="F10" i="38" s="1"/>
  <c r="C10" i="38"/>
  <c r="B10" i="38"/>
  <c r="AZ9" i="38"/>
  <c r="AW9" i="38"/>
  <c r="AU9" i="38"/>
  <c r="AO9" i="38"/>
  <c r="AM9" i="38"/>
  <c r="AG9" i="38"/>
  <c r="AE9" i="38"/>
  <c r="Y9" i="38"/>
  <c r="W9" i="38"/>
  <c r="Q9" i="38"/>
  <c r="O9" i="38"/>
  <c r="I9" i="38"/>
  <c r="G9" i="38"/>
  <c r="E9" i="38"/>
  <c r="F9" i="38" s="1"/>
  <c r="C9" i="38"/>
  <c r="B9" i="38"/>
  <c r="AZ8" i="38"/>
  <c r="AW8" i="38"/>
  <c r="AU8" i="38"/>
  <c r="AO8" i="38"/>
  <c r="AM8" i="38"/>
  <c r="AG8" i="38"/>
  <c r="AE8" i="38"/>
  <c r="Y8" i="38"/>
  <c r="W8" i="38"/>
  <c r="Q8" i="38"/>
  <c r="O8" i="38"/>
  <c r="I8" i="38"/>
  <c r="G8" i="38"/>
  <c r="E8" i="38"/>
  <c r="F8" i="38" s="1"/>
  <c r="C8" i="38"/>
  <c r="B8" i="38"/>
  <c r="G6" i="38"/>
  <c r="AR5" i="38"/>
  <c r="AJ5" i="38"/>
  <c r="AB5" i="38"/>
  <c r="T5" i="38"/>
  <c r="L5" i="38"/>
  <c r="D5" i="38"/>
  <c r="B3" i="38"/>
  <c r="B2" i="38"/>
  <c r="AY76" i="23"/>
  <c r="AQ76" i="23"/>
  <c r="AI76" i="23"/>
  <c r="AA76" i="23"/>
  <c r="S76" i="23"/>
  <c r="K76" i="23"/>
  <c r="AY75" i="23"/>
  <c r="AY77" i="23" s="1"/>
  <c r="AQ75" i="23"/>
  <c r="AQ77" i="23" s="1"/>
  <c r="AI75" i="23"/>
  <c r="AA75" i="23"/>
  <c r="S75" i="23"/>
  <c r="K75" i="23"/>
  <c r="AQ71" i="23"/>
  <c r="AI71" i="23"/>
  <c r="AA71" i="23"/>
  <c r="S71" i="23"/>
  <c r="K71" i="23"/>
  <c r="AA67" i="23"/>
  <c r="S67" i="23"/>
  <c r="AY66" i="23"/>
  <c r="AQ66" i="23"/>
  <c r="AI66" i="23"/>
  <c r="AI67" i="23" s="1"/>
  <c r="AA66" i="23"/>
  <c r="S66" i="23"/>
  <c r="K66" i="23"/>
  <c r="AY65" i="23"/>
  <c r="AQ65" i="23"/>
  <c r="AI65" i="23"/>
  <c r="AA65" i="23"/>
  <c r="S65" i="23"/>
  <c r="K65" i="23"/>
  <c r="BA65" i="23" s="1"/>
  <c r="AY63" i="23"/>
  <c r="AQ63" i="23"/>
  <c r="AI63" i="23"/>
  <c r="AA63" i="23"/>
  <c r="S63" i="23"/>
  <c r="K63" i="23"/>
  <c r="BA62" i="23"/>
  <c r="BA61" i="23"/>
  <c r="BA60" i="23"/>
  <c r="BA59" i="23"/>
  <c r="AZ56" i="23"/>
  <c r="AY56" i="23"/>
  <c r="AQ56" i="23"/>
  <c r="AI56" i="23"/>
  <c r="AA56" i="23"/>
  <c r="S56" i="23"/>
  <c r="K56" i="23"/>
  <c r="AZ55" i="23"/>
  <c r="AY55" i="23"/>
  <c r="AQ55" i="23"/>
  <c r="AI55" i="23"/>
  <c r="AA55" i="23"/>
  <c r="S55" i="23"/>
  <c r="K55" i="23"/>
  <c r="AZ54" i="23"/>
  <c r="AY54" i="23"/>
  <c r="AQ54" i="23"/>
  <c r="AI54" i="23"/>
  <c r="AA54" i="23"/>
  <c r="S54" i="23"/>
  <c r="K54" i="23"/>
  <c r="AZ53" i="23"/>
  <c r="AY53" i="23"/>
  <c r="AQ53" i="23"/>
  <c r="AI53" i="23"/>
  <c r="AA53" i="23"/>
  <c r="S53" i="23"/>
  <c r="K53" i="23"/>
  <c r="AY51" i="23"/>
  <c r="AQ51" i="23"/>
  <c r="AI51" i="23"/>
  <c r="AA51" i="23"/>
  <c r="S51" i="23"/>
  <c r="K51" i="23"/>
  <c r="BA50" i="23"/>
  <c r="BA49" i="23"/>
  <c r="BA48" i="23"/>
  <c r="BA47" i="23"/>
  <c r="AR39" i="23"/>
  <c r="AJ39" i="23"/>
  <c r="AB39" i="23"/>
  <c r="T39" i="23"/>
  <c r="L39" i="23"/>
  <c r="D39" i="23"/>
  <c r="AZ38" i="23"/>
  <c r="AW38" i="23"/>
  <c r="AU38" i="23"/>
  <c r="AO38" i="23"/>
  <c r="AM38" i="23"/>
  <c r="AG38" i="23"/>
  <c r="AE38" i="23"/>
  <c r="Y38" i="23"/>
  <c r="W38" i="23"/>
  <c r="Q38" i="23"/>
  <c r="O38" i="23"/>
  <c r="I38" i="23"/>
  <c r="G38" i="23"/>
  <c r="E38" i="23"/>
  <c r="F38" i="23" s="1"/>
  <c r="C38" i="23"/>
  <c r="B38" i="23"/>
  <c r="AZ37" i="23"/>
  <c r="AW37" i="23"/>
  <c r="AU37" i="23"/>
  <c r="AO37" i="23"/>
  <c r="AM37" i="23"/>
  <c r="AG37" i="23"/>
  <c r="AE37" i="23"/>
  <c r="Y37" i="23"/>
  <c r="W37" i="23"/>
  <c r="Q37" i="23"/>
  <c r="O37" i="23"/>
  <c r="I37" i="23"/>
  <c r="G37" i="23"/>
  <c r="E37" i="23"/>
  <c r="F37" i="23" s="1"/>
  <c r="C37" i="23"/>
  <c r="B37" i="23"/>
  <c r="AZ36" i="23"/>
  <c r="AW36" i="23"/>
  <c r="AU36" i="23"/>
  <c r="AO36" i="23"/>
  <c r="AM36" i="23"/>
  <c r="AG36" i="23"/>
  <c r="AE36" i="23"/>
  <c r="Y36" i="23"/>
  <c r="W36" i="23"/>
  <c r="Q36" i="23"/>
  <c r="O36" i="23"/>
  <c r="I36" i="23"/>
  <c r="G36" i="23"/>
  <c r="E36" i="23"/>
  <c r="F36" i="23" s="1"/>
  <c r="C36" i="23"/>
  <c r="B36" i="23"/>
  <c r="AZ35" i="23"/>
  <c r="AW35" i="23"/>
  <c r="AU35" i="23"/>
  <c r="AO35" i="23"/>
  <c r="AM35" i="23"/>
  <c r="AG35" i="23"/>
  <c r="AE35" i="23"/>
  <c r="Y35" i="23"/>
  <c r="W35" i="23"/>
  <c r="Q35" i="23"/>
  <c r="O35" i="23"/>
  <c r="I35" i="23"/>
  <c r="G35" i="23"/>
  <c r="E35" i="23"/>
  <c r="F35" i="23" s="1"/>
  <c r="C35" i="23"/>
  <c r="B35" i="23"/>
  <c r="AZ34" i="23"/>
  <c r="AW34" i="23"/>
  <c r="AU34" i="23"/>
  <c r="AO34" i="23"/>
  <c r="AM34" i="23"/>
  <c r="AG34" i="23"/>
  <c r="AE34" i="23"/>
  <c r="Y34" i="23"/>
  <c r="W34" i="23"/>
  <c r="Q34" i="23"/>
  <c r="O34" i="23"/>
  <c r="I34" i="23"/>
  <c r="G34" i="23"/>
  <c r="E34" i="23"/>
  <c r="F34" i="23" s="1"/>
  <c r="C34" i="23"/>
  <c r="B34" i="23"/>
  <c r="AZ33" i="23"/>
  <c r="AW33" i="23"/>
  <c r="AU33" i="23"/>
  <c r="AO33" i="23"/>
  <c r="AM33" i="23"/>
  <c r="AG33" i="23"/>
  <c r="AE33" i="23"/>
  <c r="Y33" i="23"/>
  <c r="W33" i="23"/>
  <c r="Q33" i="23"/>
  <c r="O33" i="23"/>
  <c r="I33" i="23"/>
  <c r="G33" i="23"/>
  <c r="E33" i="23"/>
  <c r="F33" i="23" s="1"/>
  <c r="C33" i="23"/>
  <c r="B33" i="23"/>
  <c r="AZ32" i="23"/>
  <c r="AW32" i="23"/>
  <c r="AU32" i="23"/>
  <c r="AO32" i="23"/>
  <c r="AM32" i="23"/>
  <c r="AG32" i="23"/>
  <c r="AE32" i="23"/>
  <c r="Y32" i="23"/>
  <c r="W32" i="23"/>
  <c r="Q32" i="23"/>
  <c r="O32" i="23"/>
  <c r="I32" i="23"/>
  <c r="G32" i="23"/>
  <c r="E32" i="23"/>
  <c r="F32" i="23" s="1"/>
  <c r="C32" i="23"/>
  <c r="B32" i="23"/>
  <c r="AZ31" i="23"/>
  <c r="AW31" i="23"/>
  <c r="AU31" i="23"/>
  <c r="AO31" i="23"/>
  <c r="AM31" i="23"/>
  <c r="AG31" i="23"/>
  <c r="AE31" i="23"/>
  <c r="Y31" i="23"/>
  <c r="W31" i="23"/>
  <c r="Q31" i="23"/>
  <c r="O31" i="23"/>
  <c r="I31" i="23"/>
  <c r="G31" i="23"/>
  <c r="E31" i="23"/>
  <c r="F31" i="23" s="1"/>
  <c r="C31" i="23"/>
  <c r="B31" i="23"/>
  <c r="AZ30" i="23"/>
  <c r="AW30" i="23"/>
  <c r="AU30" i="23"/>
  <c r="AO30" i="23"/>
  <c r="AM30" i="23"/>
  <c r="AG30" i="23"/>
  <c r="AE30" i="23"/>
  <c r="Y30" i="23"/>
  <c r="W30" i="23"/>
  <c r="Q30" i="23"/>
  <c r="O30" i="23"/>
  <c r="I30" i="23"/>
  <c r="G30" i="23"/>
  <c r="E30" i="23"/>
  <c r="F30" i="23" s="1"/>
  <c r="C30" i="23"/>
  <c r="B30" i="23"/>
  <c r="AZ29" i="23"/>
  <c r="AW29" i="23"/>
  <c r="AU29" i="23"/>
  <c r="AO29" i="23"/>
  <c r="AM29" i="23"/>
  <c r="AG29" i="23"/>
  <c r="AE29" i="23"/>
  <c r="Y29" i="23"/>
  <c r="W29" i="23"/>
  <c r="Q29" i="23"/>
  <c r="O29" i="23"/>
  <c r="I29" i="23"/>
  <c r="G29" i="23"/>
  <c r="E29" i="23"/>
  <c r="F29" i="23" s="1"/>
  <c r="C29" i="23"/>
  <c r="B29" i="23"/>
  <c r="AZ28" i="23"/>
  <c r="AW28" i="23"/>
  <c r="AU28" i="23"/>
  <c r="AO28" i="23"/>
  <c r="AM28" i="23"/>
  <c r="AG28" i="23"/>
  <c r="AE28" i="23"/>
  <c r="Y28" i="23"/>
  <c r="W28" i="23"/>
  <c r="Q28" i="23"/>
  <c r="O28" i="23"/>
  <c r="I28" i="23"/>
  <c r="G28" i="23"/>
  <c r="E28" i="23"/>
  <c r="F28" i="23" s="1"/>
  <c r="C28" i="23"/>
  <c r="B28" i="23"/>
  <c r="AZ23" i="23"/>
  <c r="AW23" i="23"/>
  <c r="AU23" i="23"/>
  <c r="AO23" i="23"/>
  <c r="AM23" i="23"/>
  <c r="AG23" i="23"/>
  <c r="AE23" i="23"/>
  <c r="Y23" i="23"/>
  <c r="W23" i="23"/>
  <c r="Q23" i="23"/>
  <c r="O23" i="23"/>
  <c r="I23" i="23"/>
  <c r="G23" i="23"/>
  <c r="E23" i="23"/>
  <c r="F23" i="23" s="1"/>
  <c r="C23" i="23"/>
  <c r="B23" i="23"/>
  <c r="AZ22" i="23"/>
  <c r="AW22" i="23"/>
  <c r="AU22" i="23"/>
  <c r="AO22" i="23"/>
  <c r="AM22" i="23"/>
  <c r="AG22" i="23"/>
  <c r="AE22" i="23"/>
  <c r="Y22" i="23"/>
  <c r="W22" i="23"/>
  <c r="Q22" i="23"/>
  <c r="O22" i="23"/>
  <c r="I22" i="23"/>
  <c r="G22" i="23"/>
  <c r="E22" i="23"/>
  <c r="F22" i="23" s="1"/>
  <c r="C22" i="23"/>
  <c r="B22" i="23"/>
  <c r="AZ21" i="23"/>
  <c r="AW21" i="23"/>
  <c r="AU21" i="23"/>
  <c r="AO21" i="23"/>
  <c r="AM21" i="23"/>
  <c r="AG21" i="23"/>
  <c r="AE21" i="23"/>
  <c r="Y21" i="23"/>
  <c r="W21" i="23"/>
  <c r="Q21" i="23"/>
  <c r="O21" i="23"/>
  <c r="I21" i="23"/>
  <c r="G21" i="23"/>
  <c r="E21" i="23"/>
  <c r="F21" i="23" s="1"/>
  <c r="C21" i="23"/>
  <c r="B21" i="23"/>
  <c r="AZ20" i="23"/>
  <c r="AW20" i="23"/>
  <c r="AU20" i="23"/>
  <c r="AO20" i="23"/>
  <c r="AM20" i="23"/>
  <c r="AG20" i="23"/>
  <c r="AE20" i="23"/>
  <c r="Y20" i="23"/>
  <c r="W20" i="23"/>
  <c r="Q20" i="23"/>
  <c r="O20" i="23"/>
  <c r="I20" i="23"/>
  <c r="G20" i="23"/>
  <c r="E20" i="23"/>
  <c r="F20" i="23" s="1"/>
  <c r="C20" i="23"/>
  <c r="B20" i="23"/>
  <c r="AZ19" i="23"/>
  <c r="AW19" i="23"/>
  <c r="AU19" i="23"/>
  <c r="AO19" i="23"/>
  <c r="AM19" i="23"/>
  <c r="AG19" i="23"/>
  <c r="AE19" i="23"/>
  <c r="Y19" i="23"/>
  <c r="W19" i="23"/>
  <c r="Q19" i="23"/>
  <c r="O19" i="23"/>
  <c r="I19" i="23"/>
  <c r="G19" i="23"/>
  <c r="E19" i="23"/>
  <c r="F19" i="23" s="1"/>
  <c r="C19" i="23"/>
  <c r="B19" i="23"/>
  <c r="AZ18" i="23"/>
  <c r="AW18" i="23"/>
  <c r="AU18" i="23"/>
  <c r="AO18" i="23"/>
  <c r="AM18" i="23"/>
  <c r="AG18" i="23"/>
  <c r="AE18" i="23"/>
  <c r="Y18" i="23"/>
  <c r="W18" i="23"/>
  <c r="Q18" i="23"/>
  <c r="O18" i="23"/>
  <c r="I18" i="23"/>
  <c r="G18" i="23"/>
  <c r="E18" i="23"/>
  <c r="F18" i="23" s="1"/>
  <c r="C18" i="23"/>
  <c r="B18" i="23"/>
  <c r="AZ17" i="23"/>
  <c r="AW17" i="23"/>
  <c r="AU17" i="23"/>
  <c r="AO17" i="23"/>
  <c r="AM17" i="23"/>
  <c r="AG17" i="23"/>
  <c r="AE17" i="23"/>
  <c r="Y17" i="23"/>
  <c r="W17" i="23"/>
  <c r="Q17" i="23"/>
  <c r="O17" i="23"/>
  <c r="I17" i="23"/>
  <c r="G17" i="23"/>
  <c r="E17" i="23"/>
  <c r="F17" i="23" s="1"/>
  <c r="C17" i="23"/>
  <c r="B17" i="23"/>
  <c r="AZ16" i="23"/>
  <c r="AW16" i="23"/>
  <c r="AU16" i="23"/>
  <c r="AO16" i="23"/>
  <c r="AM16" i="23"/>
  <c r="AG16" i="23"/>
  <c r="AE16" i="23"/>
  <c r="Y16" i="23"/>
  <c r="W16" i="23"/>
  <c r="Q16" i="23"/>
  <c r="O16" i="23"/>
  <c r="I16" i="23"/>
  <c r="G16" i="23"/>
  <c r="E16" i="23"/>
  <c r="F16" i="23" s="1"/>
  <c r="C16" i="23"/>
  <c r="B16" i="23"/>
  <c r="AZ12" i="23"/>
  <c r="AW12" i="23"/>
  <c r="AU12" i="23"/>
  <c r="AO12" i="23"/>
  <c r="AM12" i="23"/>
  <c r="AG12" i="23"/>
  <c r="AE12" i="23"/>
  <c r="Y12" i="23"/>
  <c r="W12" i="23"/>
  <c r="Q12" i="23"/>
  <c r="O12" i="23"/>
  <c r="I12" i="23"/>
  <c r="G12" i="23"/>
  <c r="E12" i="23"/>
  <c r="F12" i="23" s="1"/>
  <c r="C12" i="23"/>
  <c r="B12" i="23"/>
  <c r="AZ11" i="23"/>
  <c r="AW11" i="23"/>
  <c r="AU11" i="23"/>
  <c r="AO11" i="23"/>
  <c r="AM11" i="23"/>
  <c r="AG11" i="23"/>
  <c r="AE11" i="23"/>
  <c r="Y11" i="23"/>
  <c r="W11" i="23"/>
  <c r="Q11" i="23"/>
  <c r="O11" i="23"/>
  <c r="I11" i="23"/>
  <c r="G11" i="23"/>
  <c r="E11" i="23"/>
  <c r="F11" i="23" s="1"/>
  <c r="C11" i="23"/>
  <c r="B11" i="23"/>
  <c r="AZ10" i="23"/>
  <c r="AW10" i="23"/>
  <c r="AU10" i="23"/>
  <c r="AO10" i="23"/>
  <c r="AM10" i="23"/>
  <c r="AG10" i="23"/>
  <c r="AE10" i="23"/>
  <c r="Y10" i="23"/>
  <c r="W10" i="23"/>
  <c r="Q10" i="23"/>
  <c r="O10" i="23"/>
  <c r="I10" i="23"/>
  <c r="G10" i="23"/>
  <c r="E10" i="23"/>
  <c r="F10" i="23" s="1"/>
  <c r="C10" i="23"/>
  <c r="B10" i="23"/>
  <c r="AZ9" i="23"/>
  <c r="AW9" i="23"/>
  <c r="AU9" i="23"/>
  <c r="AO9" i="23"/>
  <c r="AM9" i="23"/>
  <c r="AG9" i="23"/>
  <c r="AE9" i="23"/>
  <c r="Y9" i="23"/>
  <c r="W9" i="23"/>
  <c r="Q9" i="23"/>
  <c r="O9" i="23"/>
  <c r="I9" i="23"/>
  <c r="G9" i="23"/>
  <c r="E9" i="23"/>
  <c r="F9" i="23" s="1"/>
  <c r="C9" i="23"/>
  <c r="B9" i="23"/>
  <c r="AZ8" i="23"/>
  <c r="AW8" i="23"/>
  <c r="AU8" i="23"/>
  <c r="AO8" i="23"/>
  <c r="AM8" i="23"/>
  <c r="AG8" i="23"/>
  <c r="AE8" i="23"/>
  <c r="Y8" i="23"/>
  <c r="W8" i="23"/>
  <c r="Q8" i="23"/>
  <c r="O8" i="23"/>
  <c r="I8" i="23"/>
  <c r="G8" i="23"/>
  <c r="E8" i="23"/>
  <c r="F8" i="23" s="1"/>
  <c r="C8" i="23"/>
  <c r="B8" i="23"/>
  <c r="G6" i="23"/>
  <c r="AR5" i="23"/>
  <c r="AJ5" i="23"/>
  <c r="AB5" i="23"/>
  <c r="T5" i="23"/>
  <c r="L5" i="23"/>
  <c r="D5" i="23"/>
  <c r="B3" i="23"/>
  <c r="B2" i="23"/>
  <c r="M25" i="38"/>
  <c r="N25" i="38" s="1"/>
  <c r="M24" i="38"/>
  <c r="M30" i="23"/>
  <c r="N30" i="23" s="1"/>
  <c r="M22" i="38"/>
  <c r="N22" i="38" s="1"/>
  <c r="M21" i="49"/>
  <c r="N21" i="49" s="1"/>
  <c r="M20" i="38"/>
  <c r="M19" i="38"/>
  <c r="N19" i="38" s="1"/>
  <c r="M18" i="38"/>
  <c r="M17" i="38"/>
  <c r="M16" i="38"/>
  <c r="N16" i="38" s="1"/>
  <c r="M11" i="23"/>
  <c r="N11" i="23" s="1"/>
  <c r="M9" i="23"/>
  <c r="M8" i="23"/>
  <c r="N8" i="23" s="1"/>
  <c r="F15" i="35"/>
  <c r="AY70" i="49"/>
  <c r="AQ70" i="49"/>
  <c r="AI70" i="49"/>
  <c r="AY69" i="49"/>
  <c r="AQ69" i="49"/>
  <c r="AI69" i="49"/>
  <c r="AA69" i="49"/>
  <c r="S69" i="49"/>
  <c r="K69" i="49"/>
  <c r="BA69" i="49" s="1"/>
  <c r="B69" i="49"/>
  <c r="BA68" i="49"/>
  <c r="AY68" i="49"/>
  <c r="AQ68" i="49"/>
  <c r="AI68" i="49"/>
  <c r="AA68" i="49"/>
  <c r="AA70" i="49" s="1"/>
  <c r="S68" i="49"/>
  <c r="S70" i="49" s="1"/>
  <c r="K68" i="49"/>
  <c r="B68" i="49"/>
  <c r="AY64" i="49"/>
  <c r="AQ64" i="49"/>
  <c r="BA64" i="49" s="1"/>
  <c r="AI64" i="49"/>
  <c r="AA64" i="49"/>
  <c r="S64" i="49"/>
  <c r="K64" i="49"/>
  <c r="B64" i="49"/>
  <c r="AY59" i="49"/>
  <c r="AQ59" i="49"/>
  <c r="BA59" i="49" s="1"/>
  <c r="AI59" i="49"/>
  <c r="AA59" i="49"/>
  <c r="S59" i="49"/>
  <c r="K59" i="49"/>
  <c r="B59" i="49"/>
  <c r="AY58" i="49"/>
  <c r="AQ58" i="49"/>
  <c r="AI58" i="49"/>
  <c r="AI60" i="49" s="1"/>
  <c r="AA58" i="49"/>
  <c r="AA60" i="49" s="1"/>
  <c r="S58" i="49"/>
  <c r="S60" i="49" s="1"/>
  <c r="K58" i="49"/>
  <c r="B58" i="49"/>
  <c r="AY56" i="49"/>
  <c r="AQ56" i="49"/>
  <c r="AI56" i="49"/>
  <c r="AA56" i="49"/>
  <c r="S56" i="49"/>
  <c r="K56" i="49"/>
  <c r="BA56" i="49" s="1"/>
  <c r="BA55" i="49"/>
  <c r="B55" i="49"/>
  <c r="BA54" i="49"/>
  <c r="B54" i="49"/>
  <c r="BA53" i="49"/>
  <c r="B53" i="49"/>
  <c r="BA52" i="49"/>
  <c r="B52" i="49"/>
  <c r="AQ50" i="49"/>
  <c r="AZ49" i="49"/>
  <c r="AY49" i="49"/>
  <c r="AQ49" i="49"/>
  <c r="AI49" i="49"/>
  <c r="AA49" i="49"/>
  <c r="S49" i="49"/>
  <c r="K49" i="49"/>
  <c r="BA49" i="49" s="1"/>
  <c r="B49" i="49"/>
  <c r="BA48" i="49"/>
  <c r="AZ48" i="49"/>
  <c r="AY48" i="49"/>
  <c r="AQ48" i="49"/>
  <c r="AI48" i="49"/>
  <c r="AA48" i="49"/>
  <c r="S48" i="49"/>
  <c r="K48" i="49"/>
  <c r="B48" i="49"/>
  <c r="AZ47" i="49"/>
  <c r="AY47" i="49"/>
  <c r="AY50" i="49" s="1"/>
  <c r="AQ47" i="49"/>
  <c r="AI47" i="49"/>
  <c r="AA47" i="49"/>
  <c r="AA50" i="49" s="1"/>
  <c r="S47" i="49"/>
  <c r="K47" i="49"/>
  <c r="B47" i="49"/>
  <c r="AZ46" i="49"/>
  <c r="AY46" i="49"/>
  <c r="AQ46" i="49"/>
  <c r="AI46" i="49"/>
  <c r="AA46" i="49"/>
  <c r="S46" i="49"/>
  <c r="S50" i="49" s="1"/>
  <c r="K46" i="49"/>
  <c r="BA46" i="49" s="1"/>
  <c r="B46" i="49"/>
  <c r="AY44" i="49"/>
  <c r="AQ44" i="49"/>
  <c r="AI44" i="49"/>
  <c r="AA44" i="49"/>
  <c r="S44" i="49"/>
  <c r="K44" i="49"/>
  <c r="BA44" i="49" s="1"/>
  <c r="BA43" i="49"/>
  <c r="B43" i="49"/>
  <c r="BA42" i="49"/>
  <c r="B42" i="49"/>
  <c r="BA41" i="49"/>
  <c r="B41" i="49"/>
  <c r="BA40" i="49"/>
  <c r="B40" i="49"/>
  <c r="B37" i="49"/>
  <c r="B34" i="49"/>
  <c r="AR32" i="49"/>
  <c r="AJ32" i="49"/>
  <c r="AB32" i="49"/>
  <c r="T32" i="49"/>
  <c r="L32" i="49"/>
  <c r="D32" i="49"/>
  <c r="AZ31" i="49"/>
  <c r="AW31" i="49"/>
  <c r="AU31" i="49"/>
  <c r="AO31" i="49"/>
  <c r="AM31" i="49"/>
  <c r="AG31" i="49"/>
  <c r="AE31" i="49"/>
  <c r="Y31" i="49"/>
  <c r="W31" i="49"/>
  <c r="Q31" i="49"/>
  <c r="O31" i="49"/>
  <c r="I31" i="49"/>
  <c r="G31" i="49"/>
  <c r="E31" i="49"/>
  <c r="F31" i="49" s="1"/>
  <c r="C31" i="49"/>
  <c r="B31" i="49"/>
  <c r="AZ30" i="49"/>
  <c r="AW30" i="49"/>
  <c r="AU30" i="49"/>
  <c r="AO30" i="49"/>
  <c r="AM30" i="49"/>
  <c r="AG30" i="49"/>
  <c r="AE30" i="49"/>
  <c r="Y30" i="49"/>
  <c r="W30" i="49"/>
  <c r="Q30" i="49"/>
  <c r="O30" i="49"/>
  <c r="I30" i="49"/>
  <c r="G30" i="49"/>
  <c r="E30" i="49"/>
  <c r="F30" i="49" s="1"/>
  <c r="C30" i="49"/>
  <c r="B30" i="49"/>
  <c r="AZ29" i="49"/>
  <c r="AW29" i="49"/>
  <c r="AU29" i="49"/>
  <c r="AO29" i="49"/>
  <c r="AM29" i="49"/>
  <c r="AG29" i="49"/>
  <c r="AE29" i="49"/>
  <c r="Y29" i="49"/>
  <c r="W29" i="49"/>
  <c r="Q29" i="49"/>
  <c r="O29" i="49"/>
  <c r="I29" i="49"/>
  <c r="G29" i="49"/>
  <c r="E29" i="49"/>
  <c r="F29" i="49" s="1"/>
  <c r="C29" i="49"/>
  <c r="B29" i="49"/>
  <c r="AZ28" i="49"/>
  <c r="AW28" i="49"/>
  <c r="AU28" i="49"/>
  <c r="AO28" i="49"/>
  <c r="AM28" i="49"/>
  <c r="AG28" i="49"/>
  <c r="AE28" i="49"/>
  <c r="Y28" i="49"/>
  <c r="W28" i="49"/>
  <c r="Q28" i="49"/>
  <c r="O28" i="49"/>
  <c r="I28" i="49"/>
  <c r="G28" i="49"/>
  <c r="E28" i="49"/>
  <c r="F28" i="49" s="1"/>
  <c r="C28" i="49"/>
  <c r="B28" i="49"/>
  <c r="AZ27" i="49"/>
  <c r="AW27" i="49"/>
  <c r="AU27" i="49"/>
  <c r="AO27" i="49"/>
  <c r="AM27" i="49"/>
  <c r="AG27" i="49"/>
  <c r="AE27" i="49"/>
  <c r="Y27" i="49"/>
  <c r="W27" i="49"/>
  <c r="Q27" i="49"/>
  <c r="O27" i="49"/>
  <c r="I27" i="49"/>
  <c r="G27" i="49"/>
  <c r="E27" i="49"/>
  <c r="F27" i="49" s="1"/>
  <c r="C27" i="49"/>
  <c r="B27" i="49"/>
  <c r="AZ26" i="49"/>
  <c r="AW26" i="49"/>
  <c r="AU26" i="49"/>
  <c r="AO26" i="49"/>
  <c r="AM26" i="49"/>
  <c r="AG26" i="49"/>
  <c r="AE26" i="49"/>
  <c r="Y26" i="49"/>
  <c r="W26" i="49"/>
  <c r="Q26" i="49"/>
  <c r="O26" i="49"/>
  <c r="I26" i="49"/>
  <c r="G26" i="49"/>
  <c r="E26" i="49"/>
  <c r="F26" i="49" s="1"/>
  <c r="C26" i="49"/>
  <c r="B26" i="49"/>
  <c r="AZ25" i="49"/>
  <c r="AW25" i="49"/>
  <c r="AU25" i="49"/>
  <c r="AO25" i="49"/>
  <c r="AM25" i="49"/>
  <c r="AG25" i="49"/>
  <c r="AE25" i="49"/>
  <c r="Y25" i="49"/>
  <c r="W25" i="49"/>
  <c r="Q25" i="49"/>
  <c r="O25" i="49"/>
  <c r="I25" i="49"/>
  <c r="G25" i="49"/>
  <c r="E25" i="49"/>
  <c r="F25" i="49" s="1"/>
  <c r="C25" i="49"/>
  <c r="B25" i="49"/>
  <c r="AZ24" i="49"/>
  <c r="AW24" i="49"/>
  <c r="AU24" i="49"/>
  <c r="AO24" i="49"/>
  <c r="AM24" i="49"/>
  <c r="AG24" i="49"/>
  <c r="AE24" i="49"/>
  <c r="Y24" i="49"/>
  <c r="W24" i="49"/>
  <c r="Q24" i="49"/>
  <c r="O24" i="49"/>
  <c r="I24" i="49"/>
  <c r="G24" i="49"/>
  <c r="E24" i="49"/>
  <c r="F24" i="49" s="1"/>
  <c r="C24" i="49"/>
  <c r="B24" i="49"/>
  <c r="AZ23" i="49"/>
  <c r="AW23" i="49"/>
  <c r="AU23" i="49"/>
  <c r="AO23" i="49"/>
  <c r="AM23" i="49"/>
  <c r="AG23" i="49"/>
  <c r="AE23" i="49"/>
  <c r="Y23" i="49"/>
  <c r="W23" i="49"/>
  <c r="Q23" i="49"/>
  <c r="O23" i="49"/>
  <c r="I23" i="49"/>
  <c r="G23" i="49"/>
  <c r="E23" i="49"/>
  <c r="F23" i="49" s="1"/>
  <c r="C23" i="49"/>
  <c r="B23" i="49"/>
  <c r="AZ22" i="49"/>
  <c r="AW22" i="49"/>
  <c r="AU22" i="49"/>
  <c r="AO22" i="49"/>
  <c r="AM22" i="49"/>
  <c r="AG22" i="49"/>
  <c r="AE22" i="49"/>
  <c r="Y22" i="49"/>
  <c r="W22" i="49"/>
  <c r="Q22" i="49"/>
  <c r="O22" i="49"/>
  <c r="M22" i="49"/>
  <c r="N22" i="49" s="1"/>
  <c r="I22" i="49"/>
  <c r="G22" i="49"/>
  <c r="E22" i="49"/>
  <c r="F22" i="49" s="1"/>
  <c r="C22" i="49"/>
  <c r="B22" i="49"/>
  <c r="AZ21" i="49"/>
  <c r="AW21" i="49"/>
  <c r="AU21" i="49"/>
  <c r="AO21" i="49"/>
  <c r="AM21" i="49"/>
  <c r="AG21" i="49"/>
  <c r="AE21" i="49"/>
  <c r="Y21" i="49"/>
  <c r="W21" i="49"/>
  <c r="Q21" i="49"/>
  <c r="O21" i="49"/>
  <c r="I21" i="49"/>
  <c r="G21" i="49"/>
  <c r="E21" i="49"/>
  <c r="F21" i="49" s="1"/>
  <c r="C21" i="49"/>
  <c r="B21" i="49"/>
  <c r="AZ20" i="49"/>
  <c r="AW20" i="49"/>
  <c r="AU20" i="49"/>
  <c r="AO20" i="49"/>
  <c r="AM20" i="49"/>
  <c r="AG20" i="49"/>
  <c r="AE20" i="49"/>
  <c r="Y20" i="49"/>
  <c r="W20" i="49"/>
  <c r="Q20" i="49"/>
  <c r="O20" i="49"/>
  <c r="I20" i="49"/>
  <c r="G20" i="49"/>
  <c r="E20" i="49"/>
  <c r="F20" i="49" s="1"/>
  <c r="C20" i="49"/>
  <c r="B20" i="49"/>
  <c r="AZ19" i="49"/>
  <c r="AW19" i="49"/>
  <c r="AU19" i="49"/>
  <c r="AO19" i="49"/>
  <c r="AM19" i="49"/>
  <c r="AG19" i="49"/>
  <c r="AE19" i="49"/>
  <c r="Y19" i="49"/>
  <c r="W19" i="49"/>
  <c r="Q19" i="49"/>
  <c r="O19" i="49"/>
  <c r="I19" i="49"/>
  <c r="G19" i="49"/>
  <c r="E19" i="49"/>
  <c r="F19" i="49" s="1"/>
  <c r="C19" i="49"/>
  <c r="B19" i="49"/>
  <c r="AZ18" i="49"/>
  <c r="AW18" i="49"/>
  <c r="AU18" i="49"/>
  <c r="AO18" i="49"/>
  <c r="AM18" i="49"/>
  <c r="AG18" i="49"/>
  <c r="AE18" i="49"/>
  <c r="Y18" i="49"/>
  <c r="W18" i="49"/>
  <c r="Q18" i="49"/>
  <c r="O18" i="49"/>
  <c r="I18" i="49"/>
  <c r="G18" i="49"/>
  <c r="E18" i="49"/>
  <c r="F18" i="49" s="1"/>
  <c r="C18" i="49"/>
  <c r="B18" i="49"/>
  <c r="AZ17" i="49"/>
  <c r="AW17" i="49"/>
  <c r="AU17" i="49"/>
  <c r="AO17" i="49"/>
  <c r="AM17" i="49"/>
  <c r="AG17" i="49"/>
  <c r="AE17" i="49"/>
  <c r="Y17" i="49"/>
  <c r="W17" i="49"/>
  <c r="Q17" i="49"/>
  <c r="O17" i="49"/>
  <c r="I17" i="49"/>
  <c r="G17" i="49"/>
  <c r="E17" i="49"/>
  <c r="F17" i="49" s="1"/>
  <c r="C17" i="49"/>
  <c r="B17" i="49"/>
  <c r="AZ16" i="49"/>
  <c r="AW16" i="49"/>
  <c r="AU16" i="49"/>
  <c r="AO16" i="49"/>
  <c r="AM16" i="49"/>
  <c r="AG16" i="49"/>
  <c r="AE16" i="49"/>
  <c r="Y16" i="49"/>
  <c r="W16" i="49"/>
  <c r="Q16" i="49"/>
  <c r="O16" i="49"/>
  <c r="I16" i="49"/>
  <c r="G16" i="49"/>
  <c r="E16" i="49"/>
  <c r="F16" i="49" s="1"/>
  <c r="C16" i="49"/>
  <c r="B16" i="49"/>
  <c r="AZ15" i="49"/>
  <c r="AW15" i="49"/>
  <c r="AU15" i="49"/>
  <c r="AO15" i="49"/>
  <c r="AM15" i="49"/>
  <c r="AG15" i="49"/>
  <c r="AE15" i="49"/>
  <c r="Y15" i="49"/>
  <c r="W15" i="49"/>
  <c r="Q15" i="49"/>
  <c r="O15" i="49"/>
  <c r="I15" i="49"/>
  <c r="G15" i="49"/>
  <c r="E15" i="49"/>
  <c r="F15" i="49" s="1"/>
  <c r="C15" i="49"/>
  <c r="B15" i="49"/>
  <c r="AZ14" i="49"/>
  <c r="AW14" i="49"/>
  <c r="AU14" i="49"/>
  <c r="AO14" i="49"/>
  <c r="AM14" i="49"/>
  <c r="AG14" i="49"/>
  <c r="AE14" i="49"/>
  <c r="Y14" i="49"/>
  <c r="W14" i="49"/>
  <c r="Q14" i="49"/>
  <c r="O14" i="49"/>
  <c r="I14" i="49"/>
  <c r="G14" i="49"/>
  <c r="E14" i="49"/>
  <c r="F14" i="49" s="1"/>
  <c r="C14" i="49"/>
  <c r="B14" i="49"/>
  <c r="AZ13" i="49"/>
  <c r="AW13" i="49"/>
  <c r="AU13" i="49"/>
  <c r="AO13" i="49"/>
  <c r="AM13" i="49"/>
  <c r="AG13" i="49"/>
  <c r="AE13" i="49"/>
  <c r="Y13" i="49"/>
  <c r="W13" i="49"/>
  <c r="Q13" i="49"/>
  <c r="O13" i="49"/>
  <c r="I13" i="49"/>
  <c r="G13" i="49"/>
  <c r="E13" i="49"/>
  <c r="F13" i="49" s="1"/>
  <c r="C13" i="49"/>
  <c r="B13" i="49"/>
  <c r="AZ12" i="49"/>
  <c r="AW12" i="49"/>
  <c r="AU12" i="49"/>
  <c r="AO12" i="49"/>
  <c r="AM12" i="49"/>
  <c r="AG12" i="49"/>
  <c r="AE12" i="49"/>
  <c r="Y12" i="49"/>
  <c r="W12" i="49"/>
  <c r="Q12" i="49"/>
  <c r="O12" i="49"/>
  <c r="I12" i="49"/>
  <c r="G12" i="49"/>
  <c r="E12" i="49"/>
  <c r="F12" i="49" s="1"/>
  <c r="C12" i="49"/>
  <c r="B12" i="49"/>
  <c r="AZ11" i="49"/>
  <c r="AW11" i="49"/>
  <c r="AU11" i="49"/>
  <c r="AO11" i="49"/>
  <c r="AM11" i="49"/>
  <c r="AG11" i="49"/>
  <c r="AE11" i="49"/>
  <c r="Y11" i="49"/>
  <c r="W11" i="49"/>
  <c r="Q11" i="49"/>
  <c r="O11" i="49"/>
  <c r="I11" i="49"/>
  <c r="G11" i="49"/>
  <c r="E11" i="49"/>
  <c r="F11" i="49" s="1"/>
  <c r="C11" i="49"/>
  <c r="B11" i="49"/>
  <c r="AZ10" i="49"/>
  <c r="AW10" i="49"/>
  <c r="AU10" i="49"/>
  <c r="AO10" i="49"/>
  <c r="AM10" i="49"/>
  <c r="AG10" i="49"/>
  <c r="AE10" i="49"/>
  <c r="Y10" i="49"/>
  <c r="W10" i="49"/>
  <c r="Q10" i="49"/>
  <c r="O10" i="49"/>
  <c r="I10" i="49"/>
  <c r="G10" i="49"/>
  <c r="E10" i="49"/>
  <c r="F10" i="49" s="1"/>
  <c r="C10" i="49"/>
  <c r="B10" i="49"/>
  <c r="AZ9" i="49"/>
  <c r="AW9" i="49"/>
  <c r="AU9" i="49"/>
  <c r="AO9" i="49"/>
  <c r="AM9" i="49"/>
  <c r="AG9" i="49"/>
  <c r="AE9" i="49"/>
  <c r="Y9" i="49"/>
  <c r="W9" i="49"/>
  <c r="Q9" i="49"/>
  <c r="O9" i="49"/>
  <c r="I9" i="49"/>
  <c r="G9" i="49"/>
  <c r="E9" i="49"/>
  <c r="F9" i="49" s="1"/>
  <c r="C9" i="49"/>
  <c r="B9" i="49"/>
  <c r="AZ8" i="49"/>
  <c r="AW8" i="49"/>
  <c r="AU8" i="49"/>
  <c r="AO8" i="49"/>
  <c r="AM8" i="49"/>
  <c r="AG8" i="49"/>
  <c r="AE8" i="49"/>
  <c r="Y8" i="49"/>
  <c r="W8" i="49"/>
  <c r="Q8" i="49"/>
  <c r="O8" i="49"/>
  <c r="M8" i="49"/>
  <c r="N8" i="49" s="1"/>
  <c r="I8" i="49"/>
  <c r="G8" i="49"/>
  <c r="E8" i="49"/>
  <c r="F8" i="49" s="1"/>
  <c r="C8" i="49"/>
  <c r="B8" i="49"/>
  <c r="G6" i="49"/>
  <c r="AV5" i="49"/>
  <c r="AM5" i="49"/>
  <c r="AE5" i="49"/>
  <c r="W5" i="49"/>
  <c r="O5" i="49"/>
  <c r="G5" i="49"/>
  <c r="B3" i="49"/>
  <c r="B2" i="49"/>
  <c r="N8" i="48"/>
  <c r="N9" i="48"/>
  <c r="N10" i="48"/>
  <c r="N16" i="48"/>
  <c r="N17" i="48"/>
  <c r="N18" i="48"/>
  <c r="N24" i="48"/>
  <c r="N25" i="48"/>
  <c r="N26" i="48"/>
  <c r="D14" i="35"/>
  <c r="O82" i="21" l="1"/>
  <c r="O81" i="21"/>
  <c r="R23" i="21"/>
  <c r="U23" i="21"/>
  <c r="R27" i="1"/>
  <c r="S27" i="1" s="1"/>
  <c r="V26" i="1"/>
  <c r="W26" i="1" s="1"/>
  <c r="N28" i="1"/>
  <c r="O28" i="1" s="1"/>
  <c r="AD24" i="1"/>
  <c r="G33" i="1"/>
  <c r="O24" i="21"/>
  <c r="U24" i="21"/>
  <c r="Z25" i="1"/>
  <c r="AA25" i="1" s="1"/>
  <c r="AD25" i="1" s="1"/>
  <c r="J29" i="1"/>
  <c r="K29" i="1" s="1"/>
  <c r="N19" i="48"/>
  <c r="L27" i="33"/>
  <c r="P25" i="33"/>
  <c r="H29" i="33"/>
  <c r="J28" i="33"/>
  <c r="N26" i="33"/>
  <c r="S17" i="38"/>
  <c r="E14" i="35"/>
  <c r="S18" i="38"/>
  <c r="N11" i="48"/>
  <c r="N27" i="48"/>
  <c r="P16" i="38"/>
  <c r="R16" i="38" s="1"/>
  <c r="M12" i="23"/>
  <c r="N12" i="23" s="1"/>
  <c r="M25" i="49"/>
  <c r="N25" i="49" s="1"/>
  <c r="U8" i="49"/>
  <c r="AA8" i="49" s="1"/>
  <c r="U9" i="49"/>
  <c r="AA9" i="49" s="1"/>
  <c r="U21" i="49"/>
  <c r="AA21" i="49" s="1"/>
  <c r="P19" i="38"/>
  <c r="R19" i="38" s="1"/>
  <c r="M8" i="38"/>
  <c r="N8" i="38" s="1"/>
  <c r="P8" i="38" s="1"/>
  <c r="M19" i="49"/>
  <c r="N19" i="49" s="1"/>
  <c r="P19" i="49" s="1"/>
  <c r="M29" i="23"/>
  <c r="N29" i="23" s="1"/>
  <c r="P29" i="23" s="1"/>
  <c r="R29" i="23" s="1"/>
  <c r="M19" i="23"/>
  <c r="N19" i="23" s="1"/>
  <c r="P19" i="23" s="1"/>
  <c r="R19" i="23" s="1"/>
  <c r="M20" i="49"/>
  <c r="N20" i="49" s="1"/>
  <c r="P20" i="49" s="1"/>
  <c r="U20" i="38"/>
  <c r="V20" i="38" s="1"/>
  <c r="M26" i="49"/>
  <c r="S26" i="49" s="1"/>
  <c r="M31" i="23"/>
  <c r="S31" i="23" s="1"/>
  <c r="M23" i="38"/>
  <c r="S23" i="38" s="1"/>
  <c r="M35" i="23"/>
  <c r="S35" i="23" s="1"/>
  <c r="M21" i="23"/>
  <c r="N21" i="23" s="1"/>
  <c r="P21" i="23" s="1"/>
  <c r="R21" i="23" s="1"/>
  <c r="M23" i="49"/>
  <c r="N23" i="49" s="1"/>
  <c r="M37" i="23"/>
  <c r="N37" i="23" s="1"/>
  <c r="P37" i="23" s="1"/>
  <c r="R37" i="23" s="1"/>
  <c r="U19" i="38"/>
  <c r="V19" i="38" s="1"/>
  <c r="X19" i="38" s="1"/>
  <c r="Z19" i="38" s="1"/>
  <c r="H9" i="23"/>
  <c r="J9" i="23" s="1"/>
  <c r="K9" i="23" s="1"/>
  <c r="M17" i="23"/>
  <c r="S17" i="23" s="1"/>
  <c r="M31" i="38"/>
  <c r="S31" i="38" s="1"/>
  <c r="M23" i="23"/>
  <c r="N23" i="23" s="1"/>
  <c r="M13" i="49"/>
  <c r="S13" i="49" s="1"/>
  <c r="U22" i="49"/>
  <c r="AA22" i="49" s="1"/>
  <c r="M33" i="23"/>
  <c r="S33" i="23" s="1"/>
  <c r="M9" i="49"/>
  <c r="S9" i="49" s="1"/>
  <c r="U35" i="23"/>
  <c r="V35" i="23" s="1"/>
  <c r="M10" i="23"/>
  <c r="N10" i="23" s="1"/>
  <c r="H13" i="49"/>
  <c r="J13" i="49" s="1"/>
  <c r="K13" i="49" s="1"/>
  <c r="H19" i="38"/>
  <c r="J19" i="38" s="1"/>
  <c r="K19" i="38" s="1"/>
  <c r="H22" i="49"/>
  <c r="J22" i="49" s="1"/>
  <c r="K22" i="49" s="1"/>
  <c r="U30" i="49"/>
  <c r="V30" i="49" s="1"/>
  <c r="U30" i="38"/>
  <c r="AA30" i="38" s="1"/>
  <c r="U37" i="23"/>
  <c r="AA37" i="23" s="1"/>
  <c r="U29" i="49"/>
  <c r="V29" i="49" s="1"/>
  <c r="X29" i="49" s="1"/>
  <c r="Z29" i="49" s="1"/>
  <c r="U36" i="23"/>
  <c r="V36" i="23" s="1"/>
  <c r="X36" i="23" s="1"/>
  <c r="Z36" i="23" s="1"/>
  <c r="U29" i="38"/>
  <c r="V29" i="38" s="1"/>
  <c r="X29" i="38" s="1"/>
  <c r="Z29" i="38" s="1"/>
  <c r="U10" i="49"/>
  <c r="AA10" i="49" s="1"/>
  <c r="U10" i="38"/>
  <c r="AA10" i="38" s="1"/>
  <c r="U10" i="23"/>
  <c r="AA10" i="23" s="1"/>
  <c r="S24" i="38"/>
  <c r="N24" i="38"/>
  <c r="P24" i="38" s="1"/>
  <c r="R24" i="38" s="1"/>
  <c r="U26" i="49"/>
  <c r="V26" i="49" s="1"/>
  <c r="X26" i="49" s="1"/>
  <c r="Z26" i="49" s="1"/>
  <c r="U26" i="38"/>
  <c r="V26" i="38" s="1"/>
  <c r="X26" i="38" s="1"/>
  <c r="Z26" i="38" s="1"/>
  <c r="U33" i="23"/>
  <c r="V33" i="23" s="1"/>
  <c r="X33" i="23" s="1"/>
  <c r="Z33" i="23" s="1"/>
  <c r="U27" i="49"/>
  <c r="V27" i="49" s="1"/>
  <c r="X27" i="49" s="1"/>
  <c r="U27" i="38"/>
  <c r="AA27" i="38" s="1"/>
  <c r="U34" i="23"/>
  <c r="AA34" i="23" s="1"/>
  <c r="U12" i="49"/>
  <c r="V12" i="49" s="1"/>
  <c r="X12" i="49" s="1"/>
  <c r="Z12" i="49" s="1"/>
  <c r="U12" i="38"/>
  <c r="V12" i="38" s="1"/>
  <c r="X12" i="38" s="1"/>
  <c r="Z12" i="38" s="1"/>
  <c r="U12" i="23"/>
  <c r="V12" i="23" s="1"/>
  <c r="X12" i="23" s="1"/>
  <c r="N18" i="38"/>
  <c r="M29" i="49"/>
  <c r="N29" i="49" s="1"/>
  <c r="P29" i="49" s="1"/>
  <c r="R29" i="49" s="1"/>
  <c r="M18" i="49"/>
  <c r="N18" i="49" s="1"/>
  <c r="P18" i="49" s="1"/>
  <c r="R18" i="49" s="1"/>
  <c r="M12" i="38"/>
  <c r="N12" i="38" s="1"/>
  <c r="P12" i="38" s="1"/>
  <c r="R12" i="38" s="1"/>
  <c r="M13" i="38"/>
  <c r="S21" i="49"/>
  <c r="M10" i="38"/>
  <c r="M11" i="38"/>
  <c r="N11" i="38" s="1"/>
  <c r="P11" i="38" s="1"/>
  <c r="M28" i="38"/>
  <c r="S28" i="38" s="1"/>
  <c r="S19" i="38"/>
  <c r="M15" i="49"/>
  <c r="N15" i="49" s="1"/>
  <c r="M16" i="49"/>
  <c r="N16" i="49" s="1"/>
  <c r="P16" i="49" s="1"/>
  <c r="R16" i="49" s="1"/>
  <c r="S16" i="38"/>
  <c r="M26" i="38"/>
  <c r="N26" i="38" s="1"/>
  <c r="P26" i="38" s="1"/>
  <c r="R26" i="38" s="1"/>
  <c r="M27" i="38"/>
  <c r="M16" i="23"/>
  <c r="N16" i="23" s="1"/>
  <c r="P16" i="23" s="1"/>
  <c r="R16" i="23" s="1"/>
  <c r="M18" i="23"/>
  <c r="N18" i="23" s="1"/>
  <c r="M20" i="23"/>
  <c r="S20" i="23" s="1"/>
  <c r="M22" i="23"/>
  <c r="S22" i="23" s="1"/>
  <c r="M28" i="23"/>
  <c r="M32" i="23"/>
  <c r="N32" i="23" s="1"/>
  <c r="P32" i="23" s="1"/>
  <c r="M34" i="23"/>
  <c r="N34" i="23" s="1"/>
  <c r="P34" i="23" s="1"/>
  <c r="M36" i="23"/>
  <c r="S36" i="23" s="1"/>
  <c r="M38" i="23"/>
  <c r="S38" i="23" s="1"/>
  <c r="H25" i="49"/>
  <c r="J25" i="49" s="1"/>
  <c r="K25" i="49" s="1"/>
  <c r="M15" i="38"/>
  <c r="M30" i="38"/>
  <c r="N30" i="38" s="1"/>
  <c r="P30" i="38" s="1"/>
  <c r="M31" i="49"/>
  <c r="N31" i="49" s="1"/>
  <c r="P31" i="49" s="1"/>
  <c r="M10" i="49"/>
  <c r="N10" i="49" s="1"/>
  <c r="P10" i="49" s="1"/>
  <c r="R10" i="49" s="1"/>
  <c r="M24" i="49"/>
  <c r="S24" i="49" s="1"/>
  <c r="M9" i="38"/>
  <c r="N9" i="38" s="1"/>
  <c r="S25" i="38"/>
  <c r="M11" i="49"/>
  <c r="S11" i="49" s="1"/>
  <c r="U9" i="23"/>
  <c r="V9" i="23" s="1"/>
  <c r="X9" i="23" s="1"/>
  <c r="Z9" i="23" s="1"/>
  <c r="M12" i="49"/>
  <c r="M21" i="38"/>
  <c r="S21" i="38" s="1"/>
  <c r="M29" i="38"/>
  <c r="M30" i="49"/>
  <c r="P8" i="49"/>
  <c r="R8" i="49" s="1"/>
  <c r="M17" i="49"/>
  <c r="M27" i="49"/>
  <c r="S27" i="49" s="1"/>
  <c r="U9" i="38"/>
  <c r="V9" i="38" s="1"/>
  <c r="X9" i="38" s="1"/>
  <c r="M14" i="49"/>
  <c r="N14" i="49" s="1"/>
  <c r="M28" i="49"/>
  <c r="S28" i="49" s="1"/>
  <c r="M14" i="38"/>
  <c r="K67" i="23"/>
  <c r="H12" i="23"/>
  <c r="J12" i="23" s="1"/>
  <c r="K12" i="23" s="1"/>
  <c r="BA53" i="23"/>
  <c r="BA55" i="23"/>
  <c r="H11" i="23"/>
  <c r="J11" i="23" s="1"/>
  <c r="K11" i="23" s="1"/>
  <c r="AY57" i="23"/>
  <c r="AQ67" i="23"/>
  <c r="BA67" i="23" s="1"/>
  <c r="AY67" i="23"/>
  <c r="AZ57" i="23"/>
  <c r="BA75" i="23"/>
  <c r="H36" i="23"/>
  <c r="J36" i="23" s="1"/>
  <c r="H20" i="23"/>
  <c r="J20" i="23" s="1"/>
  <c r="K20" i="23" s="1"/>
  <c r="H23" i="23"/>
  <c r="J23" i="23" s="1"/>
  <c r="K23" i="23" s="1"/>
  <c r="BA76" i="23"/>
  <c r="BA66" i="23"/>
  <c r="S30" i="23"/>
  <c r="S9" i="23"/>
  <c r="BA63" i="23"/>
  <c r="S11" i="23"/>
  <c r="AA57" i="23"/>
  <c r="S8" i="23"/>
  <c r="BA56" i="23"/>
  <c r="AI57" i="23"/>
  <c r="H24" i="38"/>
  <c r="H21" i="38"/>
  <c r="J21" i="38" s="1"/>
  <c r="H13" i="38"/>
  <c r="J13" i="38" s="1"/>
  <c r="K13" i="38" s="1"/>
  <c r="N17" i="38"/>
  <c r="S50" i="38"/>
  <c r="BA50" i="38" s="1"/>
  <c r="BA47" i="38"/>
  <c r="H28" i="38"/>
  <c r="H14" i="38"/>
  <c r="H23" i="38"/>
  <c r="H16" i="38"/>
  <c r="J16" i="38" s="1"/>
  <c r="K16" i="38" s="1"/>
  <c r="S20" i="38"/>
  <c r="N20" i="38"/>
  <c r="P25" i="38"/>
  <c r="R25" i="38" s="1"/>
  <c r="H27" i="38"/>
  <c r="H12" i="38"/>
  <c r="J12" i="38" s="1"/>
  <c r="H15" i="38"/>
  <c r="J15" i="38" s="1"/>
  <c r="K15" i="38" s="1"/>
  <c r="AZ32" i="38"/>
  <c r="H18" i="38"/>
  <c r="J18" i="38" s="1"/>
  <c r="H22" i="38"/>
  <c r="BA44" i="38"/>
  <c r="F32" i="38"/>
  <c r="H8" i="38"/>
  <c r="J8" i="38" s="1"/>
  <c r="H9" i="38"/>
  <c r="H10" i="38"/>
  <c r="J10" i="38" s="1"/>
  <c r="H31" i="38"/>
  <c r="J31" i="38" s="1"/>
  <c r="K31" i="38" s="1"/>
  <c r="BA60" i="38"/>
  <c r="K70" i="38"/>
  <c r="H20" i="38"/>
  <c r="H30" i="38"/>
  <c r="S70" i="38"/>
  <c r="S22" i="38"/>
  <c r="H26" i="38"/>
  <c r="H29" i="38"/>
  <c r="P22" i="38"/>
  <c r="R22" i="38" s="1"/>
  <c r="AA50" i="38"/>
  <c r="H11" i="38"/>
  <c r="J11" i="38" s="1"/>
  <c r="K11" i="38" s="1"/>
  <c r="H25" i="38"/>
  <c r="H17" i="38"/>
  <c r="J17" i="38" s="1"/>
  <c r="H28" i="23"/>
  <c r="J28" i="23" s="1"/>
  <c r="H31" i="23"/>
  <c r="J31" i="23" s="1"/>
  <c r="H10" i="23"/>
  <c r="J10" i="23" s="1"/>
  <c r="K10" i="23" s="1"/>
  <c r="H16" i="23"/>
  <c r="J16" i="23" s="1"/>
  <c r="K16" i="23" s="1"/>
  <c r="H34" i="23"/>
  <c r="N9" i="23"/>
  <c r="P11" i="23"/>
  <c r="R11" i="23" s="1"/>
  <c r="AQ57" i="23"/>
  <c r="K77" i="23"/>
  <c r="S12" i="23"/>
  <c r="P8" i="23"/>
  <c r="H29" i="23"/>
  <c r="H30" i="23"/>
  <c r="J30" i="23" s="1"/>
  <c r="H17" i="23"/>
  <c r="J17" i="23" s="1"/>
  <c r="H37" i="23"/>
  <c r="S77" i="23"/>
  <c r="H33" i="23"/>
  <c r="J33" i="23" s="1"/>
  <c r="K33" i="23" s="1"/>
  <c r="H22" i="23"/>
  <c r="H18" i="23"/>
  <c r="H35" i="23"/>
  <c r="AA77" i="23"/>
  <c r="AZ39" i="23"/>
  <c r="P30" i="23"/>
  <c r="R30" i="23" s="1"/>
  <c r="H38" i="23"/>
  <c r="J38" i="23" s="1"/>
  <c r="K38" i="23" s="1"/>
  <c r="AI77" i="23"/>
  <c r="F39" i="23"/>
  <c r="H8" i="23"/>
  <c r="H19" i="23"/>
  <c r="S57" i="23"/>
  <c r="BA54" i="23"/>
  <c r="H21" i="23"/>
  <c r="J21" i="23" s="1"/>
  <c r="H32" i="23"/>
  <c r="BA51" i="23"/>
  <c r="K57" i="23"/>
  <c r="H23" i="49"/>
  <c r="J23" i="49" s="1"/>
  <c r="H21" i="49"/>
  <c r="J21" i="49" s="1"/>
  <c r="K21" i="49" s="1"/>
  <c r="H10" i="49"/>
  <c r="J10" i="49" s="1"/>
  <c r="K10" i="49" s="1"/>
  <c r="H20" i="49"/>
  <c r="J20" i="49" s="1"/>
  <c r="K20" i="49" s="1"/>
  <c r="H31" i="49"/>
  <c r="J31" i="49" s="1"/>
  <c r="AQ60" i="49"/>
  <c r="BA47" i="49"/>
  <c r="K50" i="49"/>
  <c r="BA50" i="49" s="1"/>
  <c r="AY60" i="49"/>
  <c r="H17" i="49"/>
  <c r="H11" i="49"/>
  <c r="J11" i="49" s="1"/>
  <c r="K11" i="49" s="1"/>
  <c r="AZ50" i="49"/>
  <c r="H9" i="49"/>
  <c r="J9" i="49" s="1"/>
  <c r="H8" i="49"/>
  <c r="F32" i="49"/>
  <c r="H16" i="49"/>
  <c r="J16" i="49" s="1"/>
  <c r="S8" i="49"/>
  <c r="H24" i="49"/>
  <c r="H27" i="49"/>
  <c r="P22" i="49"/>
  <c r="R22" i="49" s="1"/>
  <c r="H12" i="49"/>
  <c r="J12" i="49" s="1"/>
  <c r="K12" i="49" s="1"/>
  <c r="H15" i="49"/>
  <c r="H19" i="49"/>
  <c r="J19" i="49" s="1"/>
  <c r="H29" i="49"/>
  <c r="J29" i="49" s="1"/>
  <c r="AI50" i="49"/>
  <c r="BA58" i="49"/>
  <c r="K60" i="49"/>
  <c r="AZ32" i="49"/>
  <c r="H18" i="49"/>
  <c r="J18" i="49" s="1"/>
  <c r="H28" i="49"/>
  <c r="J28" i="49" s="1"/>
  <c r="H30" i="49"/>
  <c r="K70" i="49"/>
  <c r="BA70" i="49" s="1"/>
  <c r="H14" i="49"/>
  <c r="J14" i="49" s="1"/>
  <c r="P21" i="49"/>
  <c r="R21" i="49" s="1"/>
  <c r="H26" i="49"/>
  <c r="J26" i="49" s="1"/>
  <c r="S22" i="49"/>
  <c r="R24" i="21" l="1"/>
  <c r="L24" i="21"/>
  <c r="I24" i="21"/>
  <c r="V27" i="1"/>
  <c r="W27" i="1" s="1"/>
  <c r="E66" i="1"/>
  <c r="G66" i="1" s="1"/>
  <c r="E63" i="1"/>
  <c r="N29" i="1"/>
  <c r="O29" i="1" s="1"/>
  <c r="J30" i="1"/>
  <c r="K30" i="1" s="1"/>
  <c r="I25" i="21"/>
  <c r="O25" i="21"/>
  <c r="R25" i="21"/>
  <c r="L25" i="21"/>
  <c r="U25" i="21"/>
  <c r="Z26" i="1"/>
  <c r="AA26" i="1" s="1"/>
  <c r="R28" i="1"/>
  <c r="S28" i="1" s="1"/>
  <c r="M7" i="1"/>
  <c r="V21" i="49"/>
  <c r="V9" i="49"/>
  <c r="J29" i="33"/>
  <c r="P26" i="33"/>
  <c r="N27" i="33"/>
  <c r="H30" i="33"/>
  <c r="L28" i="33"/>
  <c r="S20" i="49"/>
  <c r="S25" i="49"/>
  <c r="V10" i="23"/>
  <c r="X10" i="23" s="1"/>
  <c r="Z10" i="23" s="1"/>
  <c r="F14" i="35"/>
  <c r="W6" i="38"/>
  <c r="W6" i="23"/>
  <c r="AA30" i="49"/>
  <c r="AA36" i="23"/>
  <c r="AA12" i="49"/>
  <c r="U28" i="23"/>
  <c r="V28" i="23" s="1"/>
  <c r="X28" i="23" s="1"/>
  <c r="Z28" i="23" s="1"/>
  <c r="U21" i="38"/>
  <c r="AA21" i="38" s="1"/>
  <c r="AA27" i="49"/>
  <c r="V8" i="49"/>
  <c r="S10" i="23"/>
  <c r="U8" i="23"/>
  <c r="AA8" i="23" s="1"/>
  <c r="AA29" i="38"/>
  <c r="S29" i="23"/>
  <c r="U8" i="38"/>
  <c r="AA8" i="38" s="1"/>
  <c r="AC8" i="49"/>
  <c r="S16" i="49"/>
  <c r="U14" i="49"/>
  <c r="V14" i="49" s="1"/>
  <c r="X14" i="49" s="1"/>
  <c r="U20" i="49"/>
  <c r="V20" i="49" s="1"/>
  <c r="X20" i="49" s="1"/>
  <c r="Z20" i="49" s="1"/>
  <c r="U23" i="23"/>
  <c r="V23" i="23" s="1"/>
  <c r="X23" i="23" s="1"/>
  <c r="Z23" i="23" s="1"/>
  <c r="S23" i="49"/>
  <c r="AC22" i="23"/>
  <c r="U14" i="38"/>
  <c r="AA14" i="38" s="1"/>
  <c r="S18" i="23"/>
  <c r="S21" i="23"/>
  <c r="AA19" i="38"/>
  <c r="R8" i="38"/>
  <c r="U30" i="23"/>
  <c r="V30" i="23" s="1"/>
  <c r="X30" i="23" s="1"/>
  <c r="Z30" i="23" s="1"/>
  <c r="U17" i="23"/>
  <c r="V17" i="23" s="1"/>
  <c r="X17" i="23" s="1"/>
  <c r="Z17" i="23" s="1"/>
  <c r="N21" i="38"/>
  <c r="P21" i="38" s="1"/>
  <c r="R21" i="38" s="1"/>
  <c r="U22" i="23"/>
  <c r="V22" i="23" s="1"/>
  <c r="X22" i="23" s="1"/>
  <c r="Z22" i="23" s="1"/>
  <c r="S19" i="49"/>
  <c r="S8" i="38"/>
  <c r="R19" i="49"/>
  <c r="N35" i="23"/>
  <c r="P35" i="23" s="1"/>
  <c r="R35" i="23" s="1"/>
  <c r="N9" i="49"/>
  <c r="P9" i="49" s="1"/>
  <c r="R9" i="49" s="1"/>
  <c r="S18" i="49"/>
  <c r="V10" i="49"/>
  <c r="AA26" i="49"/>
  <c r="N33" i="23"/>
  <c r="P33" i="23" s="1"/>
  <c r="R33" i="23" s="1"/>
  <c r="S19" i="23"/>
  <c r="N17" i="23"/>
  <c r="P17" i="23" s="1"/>
  <c r="R17" i="23" s="1"/>
  <c r="X20" i="38"/>
  <c r="Z20" i="38" s="1"/>
  <c r="AA20" i="38"/>
  <c r="N22" i="23"/>
  <c r="P22" i="23" s="1"/>
  <c r="R22" i="23" s="1"/>
  <c r="N20" i="23"/>
  <c r="P20" i="23" s="1"/>
  <c r="R20" i="23" s="1"/>
  <c r="S30" i="38"/>
  <c r="S12" i="38"/>
  <c r="R31" i="49"/>
  <c r="S31" i="49"/>
  <c r="N26" i="49"/>
  <c r="P26" i="49" s="1"/>
  <c r="R26" i="49" s="1"/>
  <c r="R20" i="49"/>
  <c r="S14" i="49"/>
  <c r="S37" i="23"/>
  <c r="R34" i="23"/>
  <c r="K23" i="49"/>
  <c r="N24" i="49"/>
  <c r="P24" i="49" s="1"/>
  <c r="R24" i="49" s="1"/>
  <c r="S23" i="23"/>
  <c r="U29" i="23"/>
  <c r="V27" i="38"/>
  <c r="X27" i="38" s="1"/>
  <c r="Z27" i="38" s="1"/>
  <c r="N23" i="38"/>
  <c r="P23" i="38" s="1"/>
  <c r="R23" i="38" s="1"/>
  <c r="Z9" i="38"/>
  <c r="U22" i="38"/>
  <c r="R30" i="38"/>
  <c r="V22" i="49"/>
  <c r="X22" i="49" s="1"/>
  <c r="Z22" i="49" s="1"/>
  <c r="N31" i="23"/>
  <c r="P31" i="23" s="1"/>
  <c r="R31" i="23" s="1"/>
  <c r="S26" i="38"/>
  <c r="AC22" i="38"/>
  <c r="U19" i="49"/>
  <c r="N38" i="23"/>
  <c r="P38" i="23" s="1"/>
  <c r="R38" i="23" s="1"/>
  <c r="V10" i="38"/>
  <c r="X10" i="38" s="1"/>
  <c r="Z10" i="38" s="1"/>
  <c r="AA35" i="23"/>
  <c r="S29" i="49"/>
  <c r="AA33" i="23"/>
  <c r="S32" i="23"/>
  <c r="U28" i="38"/>
  <c r="U28" i="49"/>
  <c r="U23" i="38"/>
  <c r="U23" i="49"/>
  <c r="N27" i="49"/>
  <c r="P27" i="49" s="1"/>
  <c r="R27" i="49" s="1"/>
  <c r="N31" i="38"/>
  <c r="P31" i="38" s="1"/>
  <c r="R31" i="38" s="1"/>
  <c r="N11" i="49"/>
  <c r="P11" i="49" s="1"/>
  <c r="R11" i="49" s="1"/>
  <c r="S15" i="49"/>
  <c r="V37" i="23"/>
  <c r="X37" i="23" s="1"/>
  <c r="Z37" i="23" s="1"/>
  <c r="AA12" i="38"/>
  <c r="S9" i="38"/>
  <c r="N13" i="49"/>
  <c r="P13" i="49" s="1"/>
  <c r="R13" i="49" s="1"/>
  <c r="AA29" i="49"/>
  <c r="R32" i="23"/>
  <c r="N36" i="23"/>
  <c r="P36" i="23" s="1"/>
  <c r="R36" i="23" s="1"/>
  <c r="S10" i="49"/>
  <c r="S34" i="23"/>
  <c r="AC28" i="49"/>
  <c r="R11" i="38"/>
  <c r="Z12" i="23"/>
  <c r="AA12" i="23"/>
  <c r="S11" i="38"/>
  <c r="N28" i="49"/>
  <c r="P28" i="49" s="1"/>
  <c r="R28" i="49" s="1"/>
  <c r="S16" i="23"/>
  <c r="N28" i="38"/>
  <c r="P28" i="38" s="1"/>
  <c r="R28" i="38" s="1"/>
  <c r="V30" i="38"/>
  <c r="X30" i="38" s="1"/>
  <c r="Z30" i="38" s="1"/>
  <c r="AA26" i="38"/>
  <c r="S12" i="49"/>
  <c r="N12" i="49"/>
  <c r="N27" i="38"/>
  <c r="S27" i="38"/>
  <c r="AA9" i="38"/>
  <c r="J26" i="38"/>
  <c r="K26" i="38" s="1"/>
  <c r="AA9" i="23"/>
  <c r="N14" i="38"/>
  <c r="P14" i="38" s="1"/>
  <c r="R14" i="38" s="1"/>
  <c r="S14" i="38"/>
  <c r="N30" i="49"/>
  <c r="S30" i="49"/>
  <c r="AC11" i="49"/>
  <c r="AC11" i="23"/>
  <c r="AC11" i="38"/>
  <c r="P18" i="38"/>
  <c r="R18" i="38" s="1"/>
  <c r="S28" i="23"/>
  <c r="N28" i="23"/>
  <c r="V34" i="23"/>
  <c r="X34" i="23" s="1"/>
  <c r="Z34" i="23" s="1"/>
  <c r="U31" i="49"/>
  <c r="U38" i="23"/>
  <c r="U31" i="38"/>
  <c r="N17" i="49"/>
  <c r="P17" i="49" s="1"/>
  <c r="R17" i="49" s="1"/>
  <c r="S17" i="49"/>
  <c r="S15" i="38"/>
  <c r="N15" i="38"/>
  <c r="J9" i="38"/>
  <c r="K9" i="38" s="1"/>
  <c r="U17" i="49"/>
  <c r="U20" i="23"/>
  <c r="U17" i="38"/>
  <c r="K21" i="38"/>
  <c r="S10" i="38"/>
  <c r="N10" i="38"/>
  <c r="U13" i="49"/>
  <c r="U16" i="23"/>
  <c r="U13" i="38"/>
  <c r="U25" i="49"/>
  <c r="U25" i="38"/>
  <c r="U32" i="23"/>
  <c r="U24" i="38"/>
  <c r="U24" i="49"/>
  <c r="U31" i="23"/>
  <c r="AC12" i="49"/>
  <c r="AC12" i="38"/>
  <c r="AC12" i="23"/>
  <c r="AC8" i="23"/>
  <c r="U11" i="49"/>
  <c r="U11" i="23"/>
  <c r="U11" i="38"/>
  <c r="AC30" i="49"/>
  <c r="AC37" i="23"/>
  <c r="AC30" i="38"/>
  <c r="U18" i="49"/>
  <c r="U18" i="38"/>
  <c r="U21" i="23"/>
  <c r="S29" i="38"/>
  <c r="N29" i="38"/>
  <c r="AC20" i="49"/>
  <c r="AC23" i="23"/>
  <c r="N13" i="38"/>
  <c r="S13" i="38"/>
  <c r="AC29" i="49"/>
  <c r="AC36" i="23"/>
  <c r="AC29" i="38"/>
  <c r="U15" i="49"/>
  <c r="U15" i="38"/>
  <c r="U18" i="23"/>
  <c r="AC10" i="38"/>
  <c r="AC10" i="23"/>
  <c r="AC10" i="49"/>
  <c r="AC28" i="23"/>
  <c r="AC21" i="49"/>
  <c r="AC21" i="38"/>
  <c r="AC26" i="49"/>
  <c r="AC33" i="23"/>
  <c r="AC26" i="38"/>
  <c r="U16" i="49"/>
  <c r="U16" i="38"/>
  <c r="U19" i="23"/>
  <c r="AC27" i="49"/>
  <c r="AC27" i="38"/>
  <c r="AC34" i="23"/>
  <c r="K36" i="23"/>
  <c r="K30" i="23"/>
  <c r="K28" i="23"/>
  <c r="P10" i="23"/>
  <c r="R10" i="23" s="1"/>
  <c r="H33" i="38"/>
  <c r="K33" i="38" s="1"/>
  <c r="K18" i="38"/>
  <c r="J22" i="38"/>
  <c r="K22" i="38" s="1"/>
  <c r="K10" i="38"/>
  <c r="P20" i="38"/>
  <c r="R20" i="38" s="1"/>
  <c r="J25" i="38"/>
  <c r="K25" i="38" s="1"/>
  <c r="J30" i="38"/>
  <c r="K30" i="38" s="1"/>
  <c r="P17" i="38"/>
  <c r="R17" i="38" s="1"/>
  <c r="J29" i="38"/>
  <c r="K29" i="38" s="1"/>
  <c r="K8" i="38"/>
  <c r="J14" i="38"/>
  <c r="K14" i="38" s="1"/>
  <c r="J24" i="38"/>
  <c r="K24" i="38" s="1"/>
  <c r="BA70" i="38"/>
  <c r="K12" i="38"/>
  <c r="P9" i="38"/>
  <c r="D34" i="38"/>
  <c r="K34" i="38" s="1"/>
  <c r="J23" i="38"/>
  <c r="K23" i="38" s="1"/>
  <c r="K17" i="38"/>
  <c r="J27" i="38"/>
  <c r="K27" i="38" s="1"/>
  <c r="J28" i="38"/>
  <c r="K28" i="38" s="1"/>
  <c r="J20" i="38"/>
  <c r="K20" i="38" s="1"/>
  <c r="J32" i="23"/>
  <c r="K32" i="23" s="1"/>
  <c r="J37" i="23"/>
  <c r="K37" i="23" s="1"/>
  <c r="K17" i="23"/>
  <c r="K31" i="23"/>
  <c r="P12" i="23"/>
  <c r="R12" i="23" s="1"/>
  <c r="D41" i="23"/>
  <c r="K41" i="23" s="1"/>
  <c r="J22" i="23"/>
  <c r="K22" i="23" s="1"/>
  <c r="BA57" i="23"/>
  <c r="J19" i="23"/>
  <c r="K19" i="23" s="1"/>
  <c r="J35" i="23"/>
  <c r="K35" i="23" s="1"/>
  <c r="P23" i="23"/>
  <c r="R23" i="23" s="1"/>
  <c r="X35" i="23"/>
  <c r="Z35" i="23" s="1"/>
  <c r="K21" i="23"/>
  <c r="J18" i="23"/>
  <c r="K18" i="23" s="1"/>
  <c r="J29" i="23"/>
  <c r="K29" i="23" s="1"/>
  <c r="BA77" i="23"/>
  <c r="P9" i="23"/>
  <c r="R9" i="23" s="1"/>
  <c r="H40" i="23"/>
  <c r="K40" i="23" s="1"/>
  <c r="J34" i="23"/>
  <c r="K34" i="23" s="1"/>
  <c r="P18" i="23"/>
  <c r="R18" i="23" s="1"/>
  <c r="J8" i="23"/>
  <c r="R8" i="23"/>
  <c r="Z27" i="49"/>
  <c r="J30" i="49"/>
  <c r="K30" i="49" s="1"/>
  <c r="K28" i="49"/>
  <c r="K9" i="49"/>
  <c r="K31" i="49"/>
  <c r="J24" i="49"/>
  <c r="K24" i="49" s="1"/>
  <c r="BA60" i="49"/>
  <c r="X8" i="49"/>
  <c r="Z8" i="49" s="1"/>
  <c r="K26" i="49"/>
  <c r="D34" i="49"/>
  <c r="K34" i="49" s="1"/>
  <c r="K18" i="49"/>
  <c r="J27" i="49"/>
  <c r="K27" i="49" s="1"/>
  <c r="K16" i="49"/>
  <c r="H33" i="49"/>
  <c r="K33" i="49" s="1"/>
  <c r="P14" i="49"/>
  <c r="R14" i="49" s="1"/>
  <c r="X21" i="49"/>
  <c r="Z21" i="49" s="1"/>
  <c r="K19" i="49"/>
  <c r="P15" i="49"/>
  <c r="R15" i="49" s="1"/>
  <c r="K29" i="49"/>
  <c r="J8" i="49"/>
  <c r="J17" i="49"/>
  <c r="K17" i="49" s="1"/>
  <c r="K14" i="49"/>
  <c r="X10" i="49"/>
  <c r="Z10" i="49" s="1"/>
  <c r="J15" i="49"/>
  <c r="K15" i="49" s="1"/>
  <c r="X9" i="49"/>
  <c r="Z9" i="49" s="1"/>
  <c r="X30" i="49"/>
  <c r="Z30" i="49" s="1"/>
  <c r="P23" i="49"/>
  <c r="R23" i="49" s="1"/>
  <c r="P25" i="49"/>
  <c r="R25" i="49" s="1"/>
  <c r="C2" i="21"/>
  <c r="D24" i="18"/>
  <c r="D15" i="35"/>
  <c r="R29" i="1" l="1"/>
  <c r="S29" i="1" s="1"/>
  <c r="G68" i="1"/>
  <c r="N30" i="1"/>
  <c r="O30" i="1" s="1"/>
  <c r="J31" i="1"/>
  <c r="K31" i="1" s="1"/>
  <c r="V28" i="1"/>
  <c r="W28" i="1" s="1"/>
  <c r="AD26" i="1"/>
  <c r="O26" i="21"/>
  <c r="U26" i="21"/>
  <c r="Z27" i="1"/>
  <c r="AA27" i="1" s="1"/>
  <c r="AD27" i="1" s="1"/>
  <c r="I26" i="21"/>
  <c r="L26" i="21"/>
  <c r="R26" i="21"/>
  <c r="I7" i="1"/>
  <c r="Q7" i="1"/>
  <c r="AA28" i="23"/>
  <c r="L29" i="33"/>
  <c r="N28" i="33"/>
  <c r="H31" i="33"/>
  <c r="J30" i="33"/>
  <c r="P27" i="33"/>
  <c r="O6" i="23"/>
  <c r="O6" i="38"/>
  <c r="V21" i="38"/>
  <c r="X21" i="38" s="1"/>
  <c r="Z21" i="38" s="1"/>
  <c r="AE6" i="38"/>
  <c r="AE6" i="23"/>
  <c r="V8" i="38"/>
  <c r="X8" i="38" s="1"/>
  <c r="Z14" i="49"/>
  <c r="V8" i="23"/>
  <c r="X8" i="23" s="1"/>
  <c r="AC9" i="23"/>
  <c r="AI9" i="23" s="1"/>
  <c r="AC20" i="38"/>
  <c r="AD20" i="38" s="1"/>
  <c r="AA17" i="23"/>
  <c r="AC19" i="49"/>
  <c r="AD19" i="49" s="1"/>
  <c r="AC8" i="38"/>
  <c r="AD8" i="38" s="1"/>
  <c r="AC9" i="49"/>
  <c r="AC9" i="38"/>
  <c r="AD9" i="38" s="1"/>
  <c r="AF9" i="38" s="1"/>
  <c r="AH9" i="38" s="1"/>
  <c r="V14" i="38"/>
  <c r="X14" i="38" s="1"/>
  <c r="Z14" i="38" s="1"/>
  <c r="AC30" i="23"/>
  <c r="AI30" i="23" s="1"/>
  <c r="AA20" i="49"/>
  <c r="AC19" i="38"/>
  <c r="AI19" i="38" s="1"/>
  <c r="AA23" i="23"/>
  <c r="AA14" i="49"/>
  <c r="AC23" i="38"/>
  <c r="AI23" i="38" s="1"/>
  <c r="AA22" i="23"/>
  <c r="AC22" i="49"/>
  <c r="AD22" i="49" s="1"/>
  <c r="AK22" i="49"/>
  <c r="AC29" i="23"/>
  <c r="AD29" i="23" s="1"/>
  <c r="AC35" i="23"/>
  <c r="AI35" i="23" s="1"/>
  <c r="AC28" i="38"/>
  <c r="AD28" i="38" s="1"/>
  <c r="AA30" i="23"/>
  <c r="AC23" i="49"/>
  <c r="AI23" i="49" s="1"/>
  <c r="N39" i="23"/>
  <c r="L41" i="23" s="1"/>
  <c r="S41" i="23" s="1"/>
  <c r="AA22" i="38"/>
  <c r="V22" i="38"/>
  <c r="X22" i="38" s="1"/>
  <c r="Z22" i="38" s="1"/>
  <c r="AA19" i="49"/>
  <c r="V19" i="49"/>
  <c r="X19" i="49" s="1"/>
  <c r="Z19" i="49" s="1"/>
  <c r="V29" i="23"/>
  <c r="X29" i="23" s="1"/>
  <c r="Z29" i="23" s="1"/>
  <c r="AA29" i="23"/>
  <c r="AA28" i="38"/>
  <c r="V28" i="38"/>
  <c r="X28" i="38" s="1"/>
  <c r="Z28" i="38" s="1"/>
  <c r="P28" i="23"/>
  <c r="R28" i="23" s="1"/>
  <c r="N32" i="49"/>
  <c r="L34" i="49" s="1"/>
  <c r="S34" i="49" s="1"/>
  <c r="V23" i="49"/>
  <c r="X23" i="49" s="1"/>
  <c r="Z23" i="49" s="1"/>
  <c r="AA23" i="49"/>
  <c r="V23" i="38"/>
  <c r="AA23" i="38"/>
  <c r="V28" i="49"/>
  <c r="X28" i="49" s="1"/>
  <c r="Z28" i="49" s="1"/>
  <c r="AA28" i="49"/>
  <c r="AC14" i="49"/>
  <c r="AC14" i="38"/>
  <c r="AC17" i="23"/>
  <c r="AD10" i="38"/>
  <c r="AI10" i="38"/>
  <c r="V24" i="49"/>
  <c r="AA24" i="49"/>
  <c r="AI27" i="49"/>
  <c r="AD27" i="49"/>
  <c r="AD26" i="49"/>
  <c r="AI26" i="49"/>
  <c r="AD20" i="49"/>
  <c r="AI20" i="49"/>
  <c r="V11" i="49"/>
  <c r="AA11" i="49"/>
  <c r="AA17" i="38"/>
  <c r="V17" i="38"/>
  <c r="AD11" i="49"/>
  <c r="AF11" i="49" s="1"/>
  <c r="AH11" i="49" s="1"/>
  <c r="AI11" i="49"/>
  <c r="P15" i="38"/>
  <c r="R15" i="38" s="1"/>
  <c r="AC24" i="49"/>
  <c r="AC31" i="23"/>
  <c r="AC24" i="38"/>
  <c r="AA31" i="49"/>
  <c r="V31" i="49"/>
  <c r="AI37" i="23"/>
  <c r="AD37" i="23"/>
  <c r="AC17" i="49"/>
  <c r="AC20" i="23"/>
  <c r="AC17" i="38"/>
  <c r="AA25" i="38"/>
  <c r="V25" i="38"/>
  <c r="V18" i="23"/>
  <c r="AA18" i="23"/>
  <c r="AK20" i="38"/>
  <c r="AK23" i="23"/>
  <c r="AK20" i="49"/>
  <c r="V15" i="38"/>
  <c r="X15" i="38" s="1"/>
  <c r="Z15" i="38" s="1"/>
  <c r="AA15" i="38"/>
  <c r="V20" i="23"/>
  <c r="AA20" i="23"/>
  <c r="P30" i="49"/>
  <c r="R30" i="49" s="1"/>
  <c r="AK12" i="49"/>
  <c r="AK12" i="23"/>
  <c r="AK12" i="38"/>
  <c r="AI29" i="38"/>
  <c r="AD29" i="38"/>
  <c r="AF29" i="38" s="1"/>
  <c r="AH29" i="38" s="1"/>
  <c r="V21" i="23"/>
  <c r="AA21" i="23"/>
  <c r="AC16" i="49"/>
  <c r="AC16" i="38"/>
  <c r="AC19" i="23"/>
  <c r="V18" i="38"/>
  <c r="AA18" i="38"/>
  <c r="AK30" i="49"/>
  <c r="AK37" i="23"/>
  <c r="AK30" i="38"/>
  <c r="V13" i="49"/>
  <c r="AA13" i="49"/>
  <c r="AC31" i="49"/>
  <c r="AC38" i="23"/>
  <c r="AC31" i="38"/>
  <c r="AK29" i="49"/>
  <c r="AK36" i="23"/>
  <c r="AK29" i="38"/>
  <c r="AC18" i="38"/>
  <c r="AC18" i="49"/>
  <c r="AC21" i="23"/>
  <c r="AD12" i="49"/>
  <c r="AF12" i="49" s="1"/>
  <c r="AH12" i="49" s="1"/>
  <c r="AI12" i="49"/>
  <c r="V17" i="49"/>
  <c r="AA17" i="49"/>
  <c r="P27" i="38"/>
  <c r="R27" i="38" s="1"/>
  <c r="V25" i="49"/>
  <c r="AA25" i="49"/>
  <c r="AD22" i="38"/>
  <c r="AI22" i="38"/>
  <c r="AD30" i="38"/>
  <c r="AI30" i="38"/>
  <c r="AA19" i="23"/>
  <c r="V19" i="23"/>
  <c r="V15" i="49"/>
  <c r="X15" i="49" s="1"/>
  <c r="Z15" i="49" s="1"/>
  <c r="AA15" i="49"/>
  <c r="AD36" i="23"/>
  <c r="AI36" i="23"/>
  <c r="AK30" i="23"/>
  <c r="AK23" i="38"/>
  <c r="AK23" i="49"/>
  <c r="AA31" i="23"/>
  <c r="V31" i="23"/>
  <c r="AD12" i="38"/>
  <c r="AI12" i="38"/>
  <c r="V38" i="23"/>
  <c r="AA38" i="23"/>
  <c r="AA24" i="38"/>
  <c r="V24" i="38"/>
  <c r="AD33" i="23"/>
  <c r="AI33" i="23"/>
  <c r="AD23" i="23"/>
  <c r="AI23" i="23"/>
  <c r="AI34" i="23"/>
  <c r="AD34" i="23"/>
  <c r="AI21" i="38"/>
  <c r="AD21" i="38"/>
  <c r="AD27" i="38"/>
  <c r="AI27" i="38"/>
  <c r="AK26" i="49"/>
  <c r="AK33" i="23"/>
  <c r="AK26" i="38"/>
  <c r="AK21" i="49"/>
  <c r="AK28" i="23"/>
  <c r="AK21" i="38"/>
  <c r="P13" i="38"/>
  <c r="R13" i="38" s="1"/>
  <c r="AA11" i="38"/>
  <c r="V11" i="38"/>
  <c r="AD11" i="38"/>
  <c r="AI11" i="38"/>
  <c r="AI29" i="49"/>
  <c r="AD29" i="49"/>
  <c r="AF29" i="49" s="1"/>
  <c r="AH29" i="49" s="1"/>
  <c r="AK11" i="23"/>
  <c r="AK11" i="38"/>
  <c r="AK28" i="38"/>
  <c r="AK35" i="23"/>
  <c r="AK28" i="49"/>
  <c r="AD10" i="49"/>
  <c r="AI10" i="49"/>
  <c r="V11" i="23"/>
  <c r="AA11" i="23"/>
  <c r="AD8" i="49"/>
  <c r="AI8" i="49"/>
  <c r="AC13" i="49"/>
  <c r="AC16" i="23"/>
  <c r="AC13" i="38"/>
  <c r="P10" i="38"/>
  <c r="R10" i="38" s="1"/>
  <c r="AD11" i="23"/>
  <c r="AI11" i="23"/>
  <c r="P12" i="49"/>
  <c r="P33" i="49" s="1"/>
  <c r="S33" i="49" s="1"/>
  <c r="N32" i="38"/>
  <c r="AK27" i="38"/>
  <c r="AK34" i="23"/>
  <c r="AK27" i="49"/>
  <c r="AA16" i="38"/>
  <c r="V16" i="38"/>
  <c r="AD26" i="38"/>
  <c r="AI26" i="38"/>
  <c r="AD22" i="23"/>
  <c r="AI22" i="23"/>
  <c r="AD21" i="49"/>
  <c r="AI21" i="49"/>
  <c r="AI10" i="23"/>
  <c r="AD10" i="23"/>
  <c r="AI30" i="49"/>
  <c r="AD30" i="49"/>
  <c r="AD8" i="23"/>
  <c r="AI8" i="23"/>
  <c r="AI12" i="23"/>
  <c r="AD12" i="23"/>
  <c r="AC32" i="23"/>
  <c r="AC25" i="38"/>
  <c r="AC25" i="49"/>
  <c r="V31" i="38"/>
  <c r="AA31" i="38"/>
  <c r="V16" i="49"/>
  <c r="AA16" i="49"/>
  <c r="AK10" i="23"/>
  <c r="AK10" i="49"/>
  <c r="AK10" i="38"/>
  <c r="AA18" i="49"/>
  <c r="V18" i="49"/>
  <c r="V16" i="23"/>
  <c r="AA16" i="23"/>
  <c r="AI28" i="49"/>
  <c r="AD28" i="49"/>
  <c r="AI28" i="23"/>
  <c r="AD28" i="23"/>
  <c r="AC15" i="49"/>
  <c r="AC18" i="23"/>
  <c r="AC15" i="38"/>
  <c r="P29" i="38"/>
  <c r="R29" i="38" s="1"/>
  <c r="AK8" i="38"/>
  <c r="AK8" i="23"/>
  <c r="AK8" i="49"/>
  <c r="V32" i="23"/>
  <c r="AA32" i="23"/>
  <c r="AA13" i="38"/>
  <c r="V13" i="38"/>
  <c r="K35" i="38"/>
  <c r="J36" i="38"/>
  <c r="K36" i="38" s="1"/>
  <c r="R9" i="38"/>
  <c r="R43" i="23"/>
  <c r="S43" i="23" s="1"/>
  <c r="J43" i="23"/>
  <c r="K43" i="23" s="1"/>
  <c r="K8" i="23"/>
  <c r="K42" i="23"/>
  <c r="O6" i="49"/>
  <c r="AK11" i="49"/>
  <c r="AL11" i="49" s="1"/>
  <c r="J36" i="49"/>
  <c r="K36" i="49" s="1"/>
  <c r="K35" i="49"/>
  <c r="K8" i="49"/>
  <c r="C2" i="47"/>
  <c r="AK35" i="47"/>
  <c r="AL35" i="47" s="1"/>
  <c r="AK34" i="47"/>
  <c r="AL34" i="47" s="1"/>
  <c r="AK29" i="47"/>
  <c r="AL29" i="47" s="1"/>
  <c r="AB28" i="47"/>
  <c r="AK28" i="47"/>
  <c r="AL28" i="47" s="1"/>
  <c r="AK24" i="47"/>
  <c r="AK23" i="47"/>
  <c r="AK18" i="47"/>
  <c r="AL18" i="47" s="1"/>
  <c r="Z17" i="47"/>
  <c r="AB17" i="47" s="1"/>
  <c r="AJ17" i="47"/>
  <c r="E72" i="1" l="1"/>
  <c r="E80" i="1" s="1"/>
  <c r="E84" i="1" s="1"/>
  <c r="U27" i="21"/>
  <c r="Z28" i="1"/>
  <c r="AA28" i="1" s="1"/>
  <c r="AD28" i="1" s="1"/>
  <c r="O27" i="21"/>
  <c r="L27" i="21"/>
  <c r="R27" i="21"/>
  <c r="I27" i="21"/>
  <c r="N31" i="1"/>
  <c r="O31" i="1" s="1"/>
  <c r="J32" i="1"/>
  <c r="K32" i="1" s="1"/>
  <c r="V29" i="1"/>
  <c r="W29" i="1" s="1"/>
  <c r="R30" i="1"/>
  <c r="S30" i="1" s="1"/>
  <c r="AI8" i="38"/>
  <c r="L30" i="33"/>
  <c r="P28" i="33"/>
  <c r="J31" i="33"/>
  <c r="N29" i="33"/>
  <c r="Z8" i="38"/>
  <c r="AK17" i="47"/>
  <c r="AH17" i="47"/>
  <c r="AN34" i="47"/>
  <c r="P25" i="47"/>
  <c r="AD30" i="23"/>
  <c r="AF30" i="23" s="1"/>
  <c r="AH30" i="23" s="1"/>
  <c r="AN35" i="47"/>
  <c r="AK36" i="47"/>
  <c r="Z36" i="47"/>
  <c r="AB36" i="47"/>
  <c r="P36" i="47"/>
  <c r="Z25" i="47"/>
  <c r="AK25" i="47"/>
  <c r="AN29" i="47"/>
  <c r="AI24" i="47"/>
  <c r="AI9" i="38"/>
  <c r="Z8" i="23"/>
  <c r="AI20" i="38"/>
  <c r="AD9" i="23"/>
  <c r="AD19" i="38"/>
  <c r="AF19" i="38" s="1"/>
  <c r="AH19" i="38" s="1"/>
  <c r="AI19" i="49"/>
  <c r="AI29" i="23"/>
  <c r="AK19" i="49"/>
  <c r="AL19" i="49" s="1"/>
  <c r="AI22" i="49"/>
  <c r="AK22" i="23"/>
  <c r="AL22" i="23" s="1"/>
  <c r="AN22" i="23" s="1"/>
  <c r="AP22" i="23" s="1"/>
  <c r="AK19" i="38"/>
  <c r="AL19" i="38" s="1"/>
  <c r="AN19" i="38" s="1"/>
  <c r="AP19" i="38" s="1"/>
  <c r="AK9" i="49"/>
  <c r="AK9" i="38"/>
  <c r="AK9" i="23"/>
  <c r="AD9" i="49"/>
  <c r="AF9" i="49" s="1"/>
  <c r="AH9" i="49" s="1"/>
  <c r="AI9" i="49"/>
  <c r="AD35" i="23"/>
  <c r="AF35" i="23" s="1"/>
  <c r="AH35" i="23" s="1"/>
  <c r="AK29" i="23"/>
  <c r="AL29" i="23" s="1"/>
  <c r="AN29" i="23" s="1"/>
  <c r="AP29" i="23" s="1"/>
  <c r="AK22" i="38"/>
  <c r="AL22" i="38" s="1"/>
  <c r="AN22" i="38" s="1"/>
  <c r="AP22" i="38" s="1"/>
  <c r="AD23" i="38"/>
  <c r="AF23" i="38" s="1"/>
  <c r="AH23" i="38" s="1"/>
  <c r="AD23" i="49"/>
  <c r="AF23" i="49" s="1"/>
  <c r="AH23" i="49" s="1"/>
  <c r="AI28" i="38"/>
  <c r="P40" i="23"/>
  <c r="S40" i="23" s="1"/>
  <c r="S42" i="23" s="1"/>
  <c r="L44" i="23" s="1"/>
  <c r="S44" i="23" s="1"/>
  <c r="S45" i="23" s="1"/>
  <c r="S68" i="23" s="1"/>
  <c r="AK14" i="38"/>
  <c r="AK14" i="49"/>
  <c r="AK17" i="23"/>
  <c r="X23" i="38"/>
  <c r="Z23" i="38" s="1"/>
  <c r="AI17" i="23"/>
  <c r="AD17" i="23"/>
  <c r="AF17" i="23" s="1"/>
  <c r="AH17" i="23" s="1"/>
  <c r="AI14" i="38"/>
  <c r="AD14" i="38"/>
  <c r="AF14" i="38" s="1"/>
  <c r="AH14" i="38" s="1"/>
  <c r="AD14" i="49"/>
  <c r="AF14" i="49" s="1"/>
  <c r="AH14" i="49" s="1"/>
  <c r="AI14" i="49"/>
  <c r="R12" i="49"/>
  <c r="R36" i="49" s="1"/>
  <c r="S36" i="49" s="1"/>
  <c r="AL27" i="49"/>
  <c r="AN27" i="49" s="1"/>
  <c r="AP27" i="49" s="1"/>
  <c r="AQ27" i="49"/>
  <c r="AL36" i="23"/>
  <c r="AN36" i="23" s="1"/>
  <c r="AP36" i="23" s="1"/>
  <c r="AQ36" i="23"/>
  <c r="AF10" i="23"/>
  <c r="AH10" i="23" s="1"/>
  <c r="AI18" i="38"/>
  <c r="AD18" i="38"/>
  <c r="AQ27" i="38"/>
  <c r="AL27" i="38"/>
  <c r="AN27" i="38" s="1"/>
  <c r="AP27" i="38" s="1"/>
  <c r="AK31" i="49"/>
  <c r="AK31" i="38"/>
  <c r="AK38" i="23"/>
  <c r="AQ12" i="49"/>
  <c r="AL12" i="49"/>
  <c r="AS8" i="23"/>
  <c r="AS8" i="49"/>
  <c r="AS8" i="38"/>
  <c r="AL34" i="23"/>
  <c r="AN34" i="23" s="1"/>
  <c r="AP34" i="23" s="1"/>
  <c r="AQ34" i="23"/>
  <c r="AS27" i="49"/>
  <c r="AS27" i="38"/>
  <c r="AS34" i="23"/>
  <c r="X17" i="38"/>
  <c r="Z17" i="38" s="1"/>
  <c r="AF20" i="38"/>
  <c r="AH20" i="38" s="1"/>
  <c r="AF12" i="23"/>
  <c r="AH12" i="23" s="1"/>
  <c r="AF22" i="49"/>
  <c r="AH22" i="49" s="1"/>
  <c r="AD20" i="23"/>
  <c r="AF20" i="23" s="1"/>
  <c r="AH20" i="23" s="1"/>
  <c r="AI20" i="23"/>
  <c r="AS23" i="49"/>
  <c r="AS23" i="38"/>
  <c r="AS30" i="23"/>
  <c r="AL8" i="49"/>
  <c r="AQ8" i="49"/>
  <c r="AF11" i="23"/>
  <c r="AH11" i="23" s="1"/>
  <c r="AF29" i="23"/>
  <c r="AH29" i="23" s="1"/>
  <c r="X18" i="49"/>
  <c r="Z18" i="49" s="1"/>
  <c r="AF19" i="49"/>
  <c r="AH19" i="49" s="1"/>
  <c r="X16" i="49"/>
  <c r="Z16" i="49" s="1"/>
  <c r="AL33" i="23"/>
  <c r="AN33" i="23" s="1"/>
  <c r="AP33" i="23" s="1"/>
  <c r="AQ33" i="23"/>
  <c r="AF10" i="38"/>
  <c r="AH10" i="38" s="1"/>
  <c r="AL22" i="49"/>
  <c r="AQ22" i="49"/>
  <c r="X24" i="38"/>
  <c r="Z24" i="38" s="1"/>
  <c r="AL26" i="49"/>
  <c r="AN26" i="49" s="1"/>
  <c r="AP26" i="49" s="1"/>
  <c r="AQ26" i="49"/>
  <c r="R36" i="38"/>
  <c r="S36" i="38" s="1"/>
  <c r="AD13" i="49"/>
  <c r="AF13" i="49" s="1"/>
  <c r="AH13" i="49" s="1"/>
  <c r="AI13" i="49"/>
  <c r="AS21" i="49"/>
  <c r="AS21" i="38"/>
  <c r="AS28" i="23"/>
  <c r="AD21" i="23"/>
  <c r="AF21" i="23" s="1"/>
  <c r="AH21" i="23" s="1"/>
  <c r="AI21" i="23"/>
  <c r="AS29" i="49"/>
  <c r="AS29" i="38"/>
  <c r="AS36" i="23"/>
  <c r="AF20" i="49"/>
  <c r="AH20" i="49" s="1"/>
  <c r="X25" i="49"/>
  <c r="Z25" i="49" s="1"/>
  <c r="AI18" i="23"/>
  <c r="AD18" i="23"/>
  <c r="AF18" i="23" s="1"/>
  <c r="AH18" i="23" s="1"/>
  <c r="P33" i="38"/>
  <c r="S33" i="38" s="1"/>
  <c r="AD18" i="49"/>
  <c r="AF18" i="49" s="1"/>
  <c r="AH18" i="49" s="1"/>
  <c r="AI18" i="49"/>
  <c r="AL29" i="38"/>
  <c r="AQ29" i="38"/>
  <c r="AF30" i="38"/>
  <c r="AH30" i="38" s="1"/>
  <c r="AI38" i="23"/>
  <c r="AD38" i="23"/>
  <c r="AF38" i="23" s="1"/>
  <c r="AH38" i="23" s="1"/>
  <c r="AL30" i="49"/>
  <c r="AQ30" i="49"/>
  <c r="AI19" i="23"/>
  <c r="AD19" i="23"/>
  <c r="AF19" i="23" s="1"/>
  <c r="AH19" i="23" s="1"/>
  <c r="X31" i="49"/>
  <c r="Z31" i="49" s="1"/>
  <c r="AF26" i="49"/>
  <c r="AH26" i="49" s="1"/>
  <c r="AF28" i="49"/>
  <c r="AH28" i="49" s="1"/>
  <c r="AF36" i="23"/>
  <c r="AH36" i="23" s="1"/>
  <c r="AF27" i="49"/>
  <c r="AH27" i="49" s="1"/>
  <c r="AQ11" i="38"/>
  <c r="AL11" i="38"/>
  <c r="AD15" i="49"/>
  <c r="AI15" i="49"/>
  <c r="AS10" i="23"/>
  <c r="AS10" i="49"/>
  <c r="AS10" i="38"/>
  <c r="AF8" i="23"/>
  <c r="AH8" i="23" s="1"/>
  <c r="AF21" i="49"/>
  <c r="AH21" i="49" s="1"/>
  <c r="AF22" i="23"/>
  <c r="AH22" i="23" s="1"/>
  <c r="AD13" i="38"/>
  <c r="AI13" i="38"/>
  <c r="AF8" i="49"/>
  <c r="AH8" i="49" s="1"/>
  <c r="AS28" i="49"/>
  <c r="AS35" i="23"/>
  <c r="AS28" i="38"/>
  <c r="X18" i="38"/>
  <c r="Z18" i="38" s="1"/>
  <c r="AD16" i="38"/>
  <c r="AI16" i="38"/>
  <c r="AQ20" i="49"/>
  <c r="AL20" i="49"/>
  <c r="AN20" i="49" s="1"/>
  <c r="AP20" i="49" s="1"/>
  <c r="AI17" i="49"/>
  <c r="AD17" i="49"/>
  <c r="AF17" i="49" s="1"/>
  <c r="AH17" i="49" s="1"/>
  <c r="AF37" i="23"/>
  <c r="AH37" i="23" s="1"/>
  <c r="AQ8" i="38"/>
  <c r="AL8" i="38"/>
  <c r="AQ10" i="38"/>
  <c r="AL10" i="38"/>
  <c r="X31" i="38"/>
  <c r="Z31" i="38" s="1"/>
  <c r="X17" i="49"/>
  <c r="Z17" i="49" s="1"/>
  <c r="AK16" i="49"/>
  <c r="AK19" i="23"/>
  <c r="AK16" i="38"/>
  <c r="L34" i="38"/>
  <c r="S34" i="38" s="1"/>
  <c r="X13" i="38"/>
  <c r="Z13" i="38" s="1"/>
  <c r="AS22" i="49"/>
  <c r="AD25" i="49"/>
  <c r="AI25" i="49"/>
  <c r="AK13" i="49"/>
  <c r="AK13" i="38"/>
  <c r="AK16" i="23"/>
  <c r="AL28" i="49"/>
  <c r="AQ28" i="49"/>
  <c r="AL11" i="23"/>
  <c r="AN11" i="23" s="1"/>
  <c r="AP11" i="23" s="1"/>
  <c r="AQ11" i="23"/>
  <c r="AL21" i="49"/>
  <c r="AQ21" i="49"/>
  <c r="AF27" i="38"/>
  <c r="AH27" i="38" s="1"/>
  <c r="AF33" i="23"/>
  <c r="AH33" i="23" s="1"/>
  <c r="AL23" i="49"/>
  <c r="AN23" i="49" s="1"/>
  <c r="AP23" i="49" s="1"/>
  <c r="AQ23" i="49"/>
  <c r="AI16" i="49"/>
  <c r="AD16" i="49"/>
  <c r="AF16" i="49" s="1"/>
  <c r="AH16" i="49" s="1"/>
  <c r="AL12" i="38"/>
  <c r="AN12" i="38" s="1"/>
  <c r="AP12" i="38" s="1"/>
  <c r="AQ12" i="38"/>
  <c r="AQ23" i="23"/>
  <c r="AL23" i="23"/>
  <c r="AN23" i="23" s="1"/>
  <c r="AP23" i="23" s="1"/>
  <c r="X25" i="38"/>
  <c r="Z25" i="38" s="1"/>
  <c r="AF21" i="38"/>
  <c r="AH21" i="38" s="1"/>
  <c r="AS12" i="49"/>
  <c r="AS12" i="23"/>
  <c r="AS12" i="38"/>
  <c r="AD24" i="38"/>
  <c r="AI24" i="38"/>
  <c r="AK18" i="38"/>
  <c r="AK18" i="49"/>
  <c r="AK21" i="23"/>
  <c r="AD25" i="38"/>
  <c r="AI25" i="38"/>
  <c r="AD16" i="23"/>
  <c r="AF16" i="23" s="1"/>
  <c r="AH16" i="23" s="1"/>
  <c r="AI16" i="23"/>
  <c r="X11" i="23"/>
  <c r="V39" i="23"/>
  <c r="AQ35" i="23"/>
  <c r="AL35" i="23"/>
  <c r="AN35" i="23" s="1"/>
  <c r="AP35" i="23" s="1"/>
  <c r="AL23" i="38"/>
  <c r="AQ23" i="38"/>
  <c r="AQ10" i="23"/>
  <c r="AL10" i="23"/>
  <c r="AN10" i="23" s="1"/>
  <c r="AP10" i="23" s="1"/>
  <c r="AF26" i="38"/>
  <c r="AH26" i="38" s="1"/>
  <c r="AQ28" i="38"/>
  <c r="AL28" i="38"/>
  <c r="AN28" i="38" s="1"/>
  <c r="AP28" i="38" s="1"/>
  <c r="AF28" i="38"/>
  <c r="AH28" i="38" s="1"/>
  <c r="AF12" i="38"/>
  <c r="AH12" i="38" s="1"/>
  <c r="AL29" i="49"/>
  <c r="AQ29" i="49"/>
  <c r="AQ30" i="38"/>
  <c r="AL30" i="38"/>
  <c r="AN30" i="38" s="1"/>
  <c r="AP30" i="38" s="1"/>
  <c r="AL12" i="23"/>
  <c r="AN12" i="23" s="1"/>
  <c r="AP12" i="23" s="1"/>
  <c r="AQ12" i="23"/>
  <c r="AL20" i="38"/>
  <c r="AQ20" i="38"/>
  <c r="AD31" i="23"/>
  <c r="AF31" i="23" s="1"/>
  <c r="AH31" i="23" s="1"/>
  <c r="AI31" i="23"/>
  <c r="X18" i="23"/>
  <c r="Z18" i="23" s="1"/>
  <c r="AL10" i="49"/>
  <c r="AN10" i="49" s="1"/>
  <c r="AP10" i="49" s="1"/>
  <c r="AQ10" i="49"/>
  <c r="AK32" i="23"/>
  <c r="AK25" i="38"/>
  <c r="AK25" i="49"/>
  <c r="X16" i="38"/>
  <c r="Z16" i="38" s="1"/>
  <c r="X31" i="23"/>
  <c r="Z31" i="23" s="1"/>
  <c r="AL30" i="23"/>
  <c r="AN30" i="23" s="1"/>
  <c r="AP30" i="23" s="1"/>
  <c r="AQ30" i="23"/>
  <c r="AD31" i="49"/>
  <c r="AF31" i="49" s="1"/>
  <c r="AH31" i="49" s="1"/>
  <c r="AI31" i="49"/>
  <c r="AS37" i="23"/>
  <c r="AS30" i="49"/>
  <c r="AS30" i="38"/>
  <c r="AS20" i="49"/>
  <c r="AS23" i="23"/>
  <c r="AS20" i="38"/>
  <c r="X11" i="49"/>
  <c r="V32" i="49"/>
  <c r="T34" i="49" s="1"/>
  <c r="AA34" i="49" s="1"/>
  <c r="X24" i="49"/>
  <c r="Z24" i="49" s="1"/>
  <c r="AQ8" i="23"/>
  <c r="AL8" i="23"/>
  <c r="X32" i="23"/>
  <c r="Z32" i="23" s="1"/>
  <c r="AL37" i="23"/>
  <c r="AN37" i="23" s="1"/>
  <c r="AP37" i="23" s="1"/>
  <c r="AQ37" i="23"/>
  <c r="X20" i="23"/>
  <c r="Z20" i="23" s="1"/>
  <c r="AK17" i="49"/>
  <c r="AK17" i="38"/>
  <c r="AK20" i="23"/>
  <c r="AK24" i="49"/>
  <c r="AK31" i="23"/>
  <c r="AK24" i="38"/>
  <c r="AI31" i="38"/>
  <c r="AD31" i="38"/>
  <c r="AF31" i="38" s="1"/>
  <c r="AH31" i="38" s="1"/>
  <c r="AF11" i="38"/>
  <c r="AH11" i="38" s="1"/>
  <c r="AD32" i="23"/>
  <c r="AF32" i="23" s="1"/>
  <c r="AH32" i="23" s="1"/>
  <c r="AI32" i="23"/>
  <c r="AF30" i="49"/>
  <c r="AH30" i="49" s="1"/>
  <c r="X11" i="38"/>
  <c r="V32" i="38"/>
  <c r="T34" i="38" s="1"/>
  <c r="AA34" i="38" s="1"/>
  <c r="AQ21" i="38"/>
  <c r="AL21" i="38"/>
  <c r="AN21" i="38" s="1"/>
  <c r="AP21" i="38" s="1"/>
  <c r="AL26" i="38"/>
  <c r="AQ26" i="38"/>
  <c r="AF34" i="23"/>
  <c r="AH34" i="23" s="1"/>
  <c r="AF23" i="23"/>
  <c r="AH23" i="23" s="1"/>
  <c r="AF22" i="38"/>
  <c r="AH22" i="38" s="1"/>
  <c r="X13" i="49"/>
  <c r="Z13" i="49" s="1"/>
  <c r="X21" i="23"/>
  <c r="Z21" i="23" s="1"/>
  <c r="AD24" i="49"/>
  <c r="AF24" i="49" s="1"/>
  <c r="AH24" i="49" s="1"/>
  <c r="AI24" i="49"/>
  <c r="AK15" i="49"/>
  <c r="AK18" i="23"/>
  <c r="AK15" i="38"/>
  <c r="AF28" i="23"/>
  <c r="AH28" i="23" s="1"/>
  <c r="AF10" i="49"/>
  <c r="AH10" i="49" s="1"/>
  <c r="AS26" i="49"/>
  <c r="AS33" i="23"/>
  <c r="AS26" i="38"/>
  <c r="AF8" i="38"/>
  <c r="AH8" i="38" s="1"/>
  <c r="AI15" i="38"/>
  <c r="AD15" i="38"/>
  <c r="AF15" i="38" s="1"/>
  <c r="AH15" i="38" s="1"/>
  <c r="X16" i="23"/>
  <c r="Z16" i="23" s="1"/>
  <c r="AS11" i="49"/>
  <c r="AS11" i="38"/>
  <c r="AS11" i="23"/>
  <c r="AQ28" i="23"/>
  <c r="AL28" i="23"/>
  <c r="AN28" i="23" s="1"/>
  <c r="AP28" i="23" s="1"/>
  <c r="X38" i="23"/>
  <c r="Z38" i="23" s="1"/>
  <c r="X19" i="23"/>
  <c r="Z19" i="23" s="1"/>
  <c r="AI17" i="38"/>
  <c r="AD17" i="38"/>
  <c r="AF17" i="38" s="1"/>
  <c r="AH17" i="38" s="1"/>
  <c r="D37" i="38"/>
  <c r="K37" i="38" s="1"/>
  <c r="D44" i="23"/>
  <c r="K44" i="23" s="1"/>
  <c r="K45" i="23" s="1"/>
  <c r="AQ11" i="49"/>
  <c r="AN11" i="49"/>
  <c r="D37" i="49"/>
  <c r="K37" i="49" s="1"/>
  <c r="K38" i="49" s="1"/>
  <c r="S35" i="49"/>
  <c r="AI23" i="47"/>
  <c r="AN18" i="47"/>
  <c r="D1" i="43"/>
  <c r="D1" i="42"/>
  <c r="K33" i="1" l="1"/>
  <c r="R31" i="1"/>
  <c r="S31" i="1" s="1"/>
  <c r="V30" i="1"/>
  <c r="W30" i="1" s="1"/>
  <c r="N32" i="1"/>
  <c r="O32" i="1" s="1"/>
  <c r="O33" i="1" s="1"/>
  <c r="R28" i="21"/>
  <c r="I28" i="21"/>
  <c r="Z29" i="1"/>
  <c r="AA29" i="1" s="1"/>
  <c r="AD29" i="1" s="1"/>
  <c r="L28" i="21"/>
  <c r="U28" i="21"/>
  <c r="O28" i="21"/>
  <c r="N30" i="33"/>
  <c r="L31" i="33"/>
  <c r="P29" i="33"/>
  <c r="AL23" i="47"/>
  <c r="AN23" i="47" s="1"/>
  <c r="AL24" i="47"/>
  <c r="AN24" i="47" s="1"/>
  <c r="O38" i="47"/>
  <c r="AB25" i="47"/>
  <c r="W38" i="47" s="1"/>
  <c r="AN28" i="47"/>
  <c r="AI36" i="47"/>
  <c r="U25" i="47"/>
  <c r="R38" i="47" s="1"/>
  <c r="AF9" i="23"/>
  <c r="AH9" i="23" s="1"/>
  <c r="AQ19" i="49"/>
  <c r="AS22" i="38"/>
  <c r="AT22" i="38" s="1"/>
  <c r="AS29" i="23"/>
  <c r="AT29" i="23" s="1"/>
  <c r="AQ19" i="38"/>
  <c r="AQ22" i="23"/>
  <c r="AQ22" i="38"/>
  <c r="AQ29" i="23"/>
  <c r="AS19" i="49"/>
  <c r="AT19" i="49" s="1"/>
  <c r="AV19" i="49" s="1"/>
  <c r="AX19" i="49" s="1"/>
  <c r="AS22" i="23"/>
  <c r="AY22" i="23" s="1"/>
  <c r="AS19" i="38"/>
  <c r="AT19" i="38" s="1"/>
  <c r="AQ9" i="23"/>
  <c r="AL9" i="23"/>
  <c r="AN9" i="23" s="1"/>
  <c r="AP9" i="23" s="1"/>
  <c r="AS9" i="38"/>
  <c r="AS9" i="23"/>
  <c r="AS9" i="49"/>
  <c r="AQ9" i="38"/>
  <c r="AL9" i="38"/>
  <c r="AN9" i="38" s="1"/>
  <c r="AP9" i="38" s="1"/>
  <c r="AQ9" i="49"/>
  <c r="AL9" i="49"/>
  <c r="AN9" i="49" s="1"/>
  <c r="AP9" i="49" s="1"/>
  <c r="AQ17" i="23"/>
  <c r="AL17" i="23"/>
  <c r="AN17" i="23" s="1"/>
  <c r="AP17" i="23" s="1"/>
  <c r="AL14" i="49"/>
  <c r="AQ14" i="49"/>
  <c r="AS17" i="23"/>
  <c r="AS14" i="49"/>
  <c r="AS14" i="38"/>
  <c r="AQ14" i="38"/>
  <c r="AL14" i="38"/>
  <c r="AN14" i="38" s="1"/>
  <c r="AP14" i="38" s="1"/>
  <c r="AH43" i="23"/>
  <c r="AI43" i="23" s="1"/>
  <c r="AQ24" i="49"/>
  <c r="AL24" i="49"/>
  <c r="AL21" i="23"/>
  <c r="AQ21" i="23"/>
  <c r="AT29" i="49"/>
  <c r="AY29" i="49"/>
  <c r="BB29" i="49" s="1"/>
  <c r="AN19" i="49"/>
  <c r="AP19" i="49" s="1"/>
  <c r="AT12" i="49"/>
  <c r="AV12" i="49" s="1"/>
  <c r="AX12" i="49" s="1"/>
  <c r="AY12" i="49"/>
  <c r="BB12" i="49" s="1"/>
  <c r="AN21" i="49"/>
  <c r="AP21" i="49" s="1"/>
  <c r="AN30" i="49"/>
  <c r="AP30" i="49" s="1"/>
  <c r="AT23" i="49"/>
  <c r="BA23" i="49" s="1"/>
  <c r="AY23" i="49"/>
  <c r="BB23" i="49" s="1"/>
  <c r="AT21" i="49"/>
  <c r="AV21" i="49" s="1"/>
  <c r="AX21" i="49" s="1"/>
  <c r="AY21" i="49"/>
  <c r="BB21" i="49" s="1"/>
  <c r="AL15" i="49"/>
  <c r="AQ15" i="49"/>
  <c r="AF13" i="38"/>
  <c r="AH13" i="38" s="1"/>
  <c r="AD32" i="38"/>
  <c r="AB34" i="38" s="1"/>
  <c r="AI34" i="38" s="1"/>
  <c r="AL31" i="23"/>
  <c r="AN31" i="23" s="1"/>
  <c r="AP31" i="23" s="1"/>
  <c r="AQ31" i="23"/>
  <c r="AL16" i="49"/>
  <c r="AQ16" i="49"/>
  <c r="AN8" i="49"/>
  <c r="AP8" i="49" s="1"/>
  <c r="AN26" i="38"/>
  <c r="AP26" i="38" s="1"/>
  <c r="AY28" i="38"/>
  <c r="BB28" i="38" s="1"/>
  <c r="AT28" i="38"/>
  <c r="AF16" i="38"/>
  <c r="AH16" i="38" s="1"/>
  <c r="AT26" i="49"/>
  <c r="AY26" i="49"/>
  <c r="BB26" i="49" s="1"/>
  <c r="AT8" i="38"/>
  <c r="AY8" i="38"/>
  <c r="BB8" i="38" s="1"/>
  <c r="AT37" i="23"/>
  <c r="AY37" i="23"/>
  <c r="BB37" i="23" s="1"/>
  <c r="AL15" i="38"/>
  <c r="AQ15" i="38"/>
  <c r="AN29" i="49"/>
  <c r="AP29" i="49" s="1"/>
  <c r="AQ16" i="38"/>
  <c r="AL16" i="38"/>
  <c r="AT27" i="38"/>
  <c r="AY27" i="38"/>
  <c r="BB27" i="38" s="1"/>
  <c r="AT8" i="49"/>
  <c r="BA8" i="49" s="1"/>
  <c r="AY8" i="49"/>
  <c r="BB8" i="49" s="1"/>
  <c r="AL31" i="38"/>
  <c r="AN31" i="38" s="1"/>
  <c r="AP31" i="38" s="1"/>
  <c r="AQ31" i="38"/>
  <c r="AN23" i="38"/>
  <c r="AP23" i="38" s="1"/>
  <c r="AN10" i="38"/>
  <c r="AP10" i="38" s="1"/>
  <c r="AT11" i="49"/>
  <c r="AY11" i="49"/>
  <c r="BB11" i="49" s="1"/>
  <c r="Z11" i="38"/>
  <c r="Z36" i="38" s="1"/>
  <c r="AA36" i="38" s="1"/>
  <c r="X33" i="38"/>
  <c r="AA33" i="38" s="1"/>
  <c r="AN8" i="23"/>
  <c r="AP8" i="23" s="1"/>
  <c r="AN28" i="49"/>
  <c r="AP28" i="49" s="1"/>
  <c r="AY34" i="23"/>
  <c r="BB34" i="23" s="1"/>
  <c r="AT34" i="23"/>
  <c r="AV34" i="23" s="1"/>
  <c r="AX34" i="23" s="1"/>
  <c r="AT12" i="38"/>
  <c r="AY12" i="38"/>
  <c r="BB12" i="38" s="1"/>
  <c r="AQ16" i="23"/>
  <c r="AL16" i="23"/>
  <c r="AN11" i="38"/>
  <c r="AP11" i="38" s="1"/>
  <c r="AY36" i="23"/>
  <c r="BB36" i="23" s="1"/>
  <c r="AT36" i="23"/>
  <c r="AV36" i="23" s="1"/>
  <c r="AX36" i="23" s="1"/>
  <c r="AT30" i="23"/>
  <c r="AV30" i="23" s="1"/>
  <c r="AX30" i="23" s="1"/>
  <c r="AY30" i="23"/>
  <c r="BB30" i="23" s="1"/>
  <c r="AT8" i="23"/>
  <c r="BA8" i="23" s="1"/>
  <c r="AY8" i="23"/>
  <c r="BB8" i="23" s="1"/>
  <c r="AT10" i="49"/>
  <c r="AY10" i="49"/>
  <c r="BB10" i="49" s="1"/>
  <c r="AL17" i="49"/>
  <c r="AQ17" i="49"/>
  <c r="AN29" i="38"/>
  <c r="AP29" i="38" s="1"/>
  <c r="AL18" i="23"/>
  <c r="AQ18" i="23"/>
  <c r="AS16" i="23"/>
  <c r="AS13" i="38"/>
  <c r="AS13" i="49"/>
  <c r="AF25" i="49"/>
  <c r="AH25" i="49" s="1"/>
  <c r="AS19" i="23"/>
  <c r="AS16" i="49"/>
  <c r="AS16" i="38"/>
  <c r="AN8" i="38"/>
  <c r="AT28" i="49"/>
  <c r="AY28" i="49"/>
  <c r="BB28" i="49" s="1"/>
  <c r="S35" i="38"/>
  <c r="AY29" i="38"/>
  <c r="BB29" i="38" s="1"/>
  <c r="AT29" i="38"/>
  <c r="AV29" i="38" s="1"/>
  <c r="AX29" i="38" s="1"/>
  <c r="AY23" i="38"/>
  <c r="BB23" i="38" s="1"/>
  <c r="AT23" i="38"/>
  <c r="AV23" i="38" s="1"/>
  <c r="AX23" i="38" s="1"/>
  <c r="AL13" i="49"/>
  <c r="AQ13" i="49"/>
  <c r="AT30" i="49"/>
  <c r="AV30" i="49" s="1"/>
  <c r="AX30" i="49" s="1"/>
  <c r="AY30" i="49"/>
  <c r="BB30" i="49" s="1"/>
  <c r="AF25" i="38"/>
  <c r="AH25" i="38" s="1"/>
  <c r="AT10" i="23"/>
  <c r="AV10" i="23" s="1"/>
  <c r="AX10" i="23" s="1"/>
  <c r="AY10" i="23"/>
  <c r="BB10" i="23" s="1"/>
  <c r="AT22" i="49"/>
  <c r="AV22" i="49" s="1"/>
  <c r="AX22" i="49" s="1"/>
  <c r="AY22" i="49"/>
  <c r="BB22" i="49" s="1"/>
  <c r="AS17" i="49"/>
  <c r="AS17" i="38"/>
  <c r="AS20" i="23"/>
  <c r="AS25" i="38"/>
  <c r="AS25" i="49"/>
  <c r="AS32" i="23"/>
  <c r="T41" i="23"/>
  <c r="AA41" i="23" s="1"/>
  <c r="AT12" i="23"/>
  <c r="AV12" i="23" s="1"/>
  <c r="AX12" i="23" s="1"/>
  <c r="AY12" i="23"/>
  <c r="BB12" i="23" s="1"/>
  <c r="AL13" i="38"/>
  <c r="AN13" i="38" s="1"/>
  <c r="AP13" i="38" s="1"/>
  <c r="AQ13" i="38"/>
  <c r="AQ19" i="23"/>
  <c r="AL19" i="23"/>
  <c r="AN12" i="49"/>
  <c r="AP12" i="49" s="1"/>
  <c r="AY10" i="38"/>
  <c r="BB10" i="38" s="1"/>
  <c r="AT10" i="38"/>
  <c r="AV10" i="38" s="1"/>
  <c r="AX10" i="38" s="1"/>
  <c r="AL25" i="49"/>
  <c r="AQ25" i="49"/>
  <c r="AT30" i="38"/>
  <c r="BA30" i="38" s="1"/>
  <c r="AY30" i="38"/>
  <c r="BB30" i="38" s="1"/>
  <c r="AT35" i="23"/>
  <c r="AY35" i="23"/>
  <c r="BB35" i="23" s="1"/>
  <c r="AS18" i="49"/>
  <c r="AS21" i="23"/>
  <c r="AS18" i="38"/>
  <c r="AL20" i="23"/>
  <c r="AN20" i="23" s="1"/>
  <c r="AP20" i="23" s="1"/>
  <c r="AQ20" i="23"/>
  <c r="AD39" i="23"/>
  <c r="AB41" i="23" s="1"/>
  <c r="AI41" i="23" s="1"/>
  <c r="AT11" i="23"/>
  <c r="AV11" i="23" s="1"/>
  <c r="AX11" i="23" s="1"/>
  <c r="AY11" i="23"/>
  <c r="BB11" i="23" s="1"/>
  <c r="AY33" i="23"/>
  <c r="BB33" i="23" s="1"/>
  <c r="AT33" i="23"/>
  <c r="AT23" i="23"/>
  <c r="AY23" i="23"/>
  <c r="BB23" i="23" s="1"/>
  <c r="AQ25" i="38"/>
  <c r="AL25" i="38"/>
  <c r="AN25" i="38" s="1"/>
  <c r="AP25" i="38" s="1"/>
  <c r="Z11" i="23"/>
  <c r="Z43" i="23" s="1"/>
  <c r="AA43" i="23" s="1"/>
  <c r="X40" i="23"/>
  <c r="AA40" i="23" s="1"/>
  <c r="AY22" i="38"/>
  <c r="AD32" i="49"/>
  <c r="AB34" i="49" s="1"/>
  <c r="AI34" i="49" s="1"/>
  <c r="AT20" i="49"/>
  <c r="AV20" i="49" s="1"/>
  <c r="AX20" i="49" s="1"/>
  <c r="AY20" i="49"/>
  <c r="BB20" i="49" s="1"/>
  <c r="AL38" i="23"/>
  <c r="AN38" i="23" s="1"/>
  <c r="AP38" i="23" s="1"/>
  <c r="AQ38" i="23"/>
  <c r="Z11" i="49"/>
  <c r="Z36" i="49" s="1"/>
  <c r="AA36" i="49" s="1"/>
  <c r="X33" i="49"/>
  <c r="AA33" i="49" s="1"/>
  <c r="AA35" i="49" s="1"/>
  <c r="T37" i="49" s="1"/>
  <c r="AA37" i="49" s="1"/>
  <c r="AL18" i="38"/>
  <c r="AQ18" i="38"/>
  <c r="AS31" i="23"/>
  <c r="AS24" i="38"/>
  <c r="AS24" i="49"/>
  <c r="AF40" i="23"/>
  <c r="AI40" i="23" s="1"/>
  <c r="AY28" i="23"/>
  <c r="BB28" i="23" s="1"/>
  <c r="AT28" i="23"/>
  <c r="AL31" i="49"/>
  <c r="AN31" i="49" s="1"/>
  <c r="AP31" i="49" s="1"/>
  <c r="AQ31" i="49"/>
  <c r="AL18" i="49"/>
  <c r="AN18" i="49" s="1"/>
  <c r="AP18" i="49" s="1"/>
  <c r="AQ18" i="49"/>
  <c r="AF24" i="38"/>
  <c r="AH24" i="38" s="1"/>
  <c r="AF18" i="38"/>
  <c r="AS38" i="23"/>
  <c r="AS31" i="49"/>
  <c r="AS31" i="38"/>
  <c r="AT26" i="38"/>
  <c r="AV26" i="38" s="1"/>
  <c r="AX26" i="38" s="1"/>
  <c r="AY26" i="38"/>
  <c r="BB26" i="38" s="1"/>
  <c r="AS15" i="49"/>
  <c r="AS15" i="38"/>
  <c r="AS18" i="23"/>
  <c r="AY20" i="38"/>
  <c r="BB20" i="38" s="1"/>
  <c r="AT20" i="38"/>
  <c r="AV20" i="38" s="1"/>
  <c r="AX20" i="38" s="1"/>
  <c r="AT11" i="38"/>
  <c r="AY11" i="38"/>
  <c r="BB11" i="38" s="1"/>
  <c r="AL17" i="38"/>
  <c r="AQ17" i="38"/>
  <c r="AL32" i="23"/>
  <c r="AN32" i="23" s="1"/>
  <c r="AP32" i="23" s="1"/>
  <c r="AQ32" i="23"/>
  <c r="AQ24" i="38"/>
  <c r="AL24" i="38"/>
  <c r="AN24" i="38" s="1"/>
  <c r="AP24" i="38" s="1"/>
  <c r="AN20" i="38"/>
  <c r="AP20" i="38" s="1"/>
  <c r="AF15" i="49"/>
  <c r="AY21" i="38"/>
  <c r="BB21" i="38" s="1"/>
  <c r="AT21" i="38"/>
  <c r="AN22" i="49"/>
  <c r="AP22" i="49" s="1"/>
  <c r="AT27" i="49"/>
  <c r="AY27" i="49"/>
  <c r="BB27" i="49" s="1"/>
  <c r="K38" i="38"/>
  <c r="L70" i="23"/>
  <c r="S70" i="23" s="1"/>
  <c r="S72" i="23" s="1"/>
  <c r="S73" i="23" s="1"/>
  <c r="K68" i="23"/>
  <c r="AP11" i="49"/>
  <c r="L37" i="49"/>
  <c r="S37" i="49" s="1"/>
  <c r="S38" i="49" s="1"/>
  <c r="S61" i="49" s="1"/>
  <c r="K61" i="49"/>
  <c r="L29" i="21" l="1"/>
  <c r="Z30" i="1"/>
  <c r="AA30" i="1" s="1"/>
  <c r="AD30" i="1" s="1"/>
  <c r="U29" i="21"/>
  <c r="O29" i="21"/>
  <c r="R29" i="21"/>
  <c r="I29" i="21"/>
  <c r="M63" i="1"/>
  <c r="M66" i="1"/>
  <c r="O66" i="1" s="1"/>
  <c r="O68" i="1" s="1"/>
  <c r="R32" i="1"/>
  <c r="S32" i="1" s="1"/>
  <c r="S33" i="1" s="1"/>
  <c r="V31" i="1"/>
  <c r="W31" i="1" s="1"/>
  <c r="I66" i="1"/>
  <c r="K66" i="1" s="1"/>
  <c r="I63" i="1"/>
  <c r="F27" i="21"/>
  <c r="F21" i="21"/>
  <c r="F20" i="21"/>
  <c r="F10" i="21"/>
  <c r="F26" i="21"/>
  <c r="F23" i="21"/>
  <c r="F11" i="21"/>
  <c r="F8" i="21"/>
  <c r="F12" i="21"/>
  <c r="F28" i="21"/>
  <c r="P30" i="33"/>
  <c r="N31" i="33"/>
  <c r="AY19" i="49"/>
  <c r="BB19" i="49" s="1"/>
  <c r="AY19" i="38"/>
  <c r="BB19" i="38" s="1"/>
  <c r="AT22" i="23"/>
  <c r="AV22" i="23" s="1"/>
  <c r="AX22" i="23" s="1"/>
  <c r="AY29" i="23"/>
  <c r="BB29" i="23" s="1"/>
  <c r="BB22" i="38"/>
  <c r="BB22" i="23"/>
  <c r="AT9" i="38"/>
  <c r="AY9" i="38"/>
  <c r="BB9" i="38" s="1"/>
  <c r="AY9" i="49"/>
  <c r="BB9" i="49" s="1"/>
  <c r="AT9" i="49"/>
  <c r="AV9" i="49" s="1"/>
  <c r="AX9" i="49" s="1"/>
  <c r="AT9" i="23"/>
  <c r="AY9" i="23"/>
  <c r="BB9" i="23" s="1"/>
  <c r="AF33" i="49"/>
  <c r="AI33" i="49" s="1"/>
  <c r="AI35" i="49" s="1"/>
  <c r="AB37" i="49" s="1"/>
  <c r="AI37" i="49" s="1"/>
  <c r="AN14" i="49"/>
  <c r="AP14" i="49" s="1"/>
  <c r="AY14" i="38"/>
  <c r="BB14" i="38" s="1"/>
  <c r="AT14" i="38"/>
  <c r="AY14" i="49"/>
  <c r="BB14" i="49" s="1"/>
  <c r="AT14" i="49"/>
  <c r="BA14" i="49" s="1"/>
  <c r="AT17" i="23"/>
  <c r="AY17" i="23"/>
  <c r="BB17" i="23" s="1"/>
  <c r="AL39" i="23"/>
  <c r="AJ41" i="23" s="1"/>
  <c r="AQ41" i="23" s="1"/>
  <c r="BA34" i="23"/>
  <c r="BA36" i="23"/>
  <c r="BA26" i="38"/>
  <c r="AH15" i="49"/>
  <c r="AH36" i="49" s="1"/>
  <c r="AI36" i="49" s="1"/>
  <c r="AF33" i="38"/>
  <c r="AI33" i="38" s="1"/>
  <c r="AI35" i="38" s="1"/>
  <c r="AB37" i="38" s="1"/>
  <c r="AI37" i="38" s="1"/>
  <c r="AV28" i="38"/>
  <c r="AX28" i="38" s="1"/>
  <c r="BA28" i="38"/>
  <c r="AV19" i="38"/>
  <c r="AX19" i="38" s="1"/>
  <c r="BA19" i="38"/>
  <c r="AV27" i="38"/>
  <c r="AX27" i="38" s="1"/>
  <c r="BA27" i="38"/>
  <c r="AT25" i="49"/>
  <c r="AV25" i="49" s="1"/>
  <c r="AX25" i="49" s="1"/>
  <c r="AY25" i="49"/>
  <c r="BB25" i="49" s="1"/>
  <c r="AA42" i="23"/>
  <c r="AT13" i="49"/>
  <c r="AV13" i="49" s="1"/>
  <c r="AX13" i="49" s="1"/>
  <c r="AY13" i="49"/>
  <c r="BB13" i="49" s="1"/>
  <c r="AT24" i="49"/>
  <c r="BA24" i="49" s="1"/>
  <c r="AY24" i="49"/>
  <c r="BB24" i="49" s="1"/>
  <c r="AT16" i="49"/>
  <c r="BA16" i="49" s="1"/>
  <c r="AY16" i="49"/>
  <c r="BB16" i="49" s="1"/>
  <c r="AN18" i="23"/>
  <c r="AP18" i="23" s="1"/>
  <c r="BA12" i="49"/>
  <c r="BA20" i="49"/>
  <c r="AY19" i="23"/>
  <c r="BB19" i="23" s="1"/>
  <c r="AT19" i="23"/>
  <c r="AV19" i="23" s="1"/>
  <c r="AX19" i="23" s="1"/>
  <c r="AY16" i="23"/>
  <c r="BB16" i="23" s="1"/>
  <c r="AT16" i="23"/>
  <c r="AV16" i="23" s="1"/>
  <c r="AX16" i="23" s="1"/>
  <c r="AV8" i="49"/>
  <c r="AX8" i="49" s="1"/>
  <c r="AV11" i="38"/>
  <c r="AX11" i="38" s="1"/>
  <c r="BA11" i="38"/>
  <c r="AY18" i="49"/>
  <c r="BB18" i="49" s="1"/>
  <c r="AT18" i="49"/>
  <c r="BA18" i="49" s="1"/>
  <c r="AN13" i="49"/>
  <c r="AP13" i="49" s="1"/>
  <c r="AT16" i="38"/>
  <c r="AY16" i="38"/>
  <c r="BB16" i="38" s="1"/>
  <c r="AT13" i="38"/>
  <c r="BA13" i="38" s="1"/>
  <c r="AY13" i="38"/>
  <c r="BB13" i="38" s="1"/>
  <c r="AV26" i="49"/>
  <c r="AX26" i="49" s="1"/>
  <c r="BA26" i="49"/>
  <c r="AT31" i="23"/>
  <c r="AV31" i="23" s="1"/>
  <c r="AX31" i="23" s="1"/>
  <c r="AY31" i="23"/>
  <c r="BB31" i="23" s="1"/>
  <c r="AV22" i="38"/>
  <c r="AX22" i="38" s="1"/>
  <c r="BA22" i="38"/>
  <c r="L37" i="38"/>
  <c r="S37" i="38" s="1"/>
  <c r="S38" i="38" s="1"/>
  <c r="S61" i="38" s="1"/>
  <c r="AV23" i="49"/>
  <c r="AX23" i="49" s="1"/>
  <c r="BA12" i="23"/>
  <c r="AY31" i="49"/>
  <c r="BB31" i="49" s="1"/>
  <c r="AT31" i="49"/>
  <c r="BA10" i="38"/>
  <c r="AN25" i="49"/>
  <c r="AP25" i="49" s="1"/>
  <c r="AV10" i="49"/>
  <c r="AX10" i="49" s="1"/>
  <c r="BA10" i="49"/>
  <c r="BA23" i="38"/>
  <c r="AY17" i="38"/>
  <c r="BB17" i="38" s="1"/>
  <c r="AT17" i="38"/>
  <c r="AV17" i="38" s="1"/>
  <c r="AX17" i="38" s="1"/>
  <c r="AT38" i="23"/>
  <c r="AY38" i="23"/>
  <c r="BB38" i="23" s="1"/>
  <c r="BA11" i="23"/>
  <c r="AY18" i="38"/>
  <c r="BB18" i="38" s="1"/>
  <c r="AT18" i="38"/>
  <c r="BA18" i="38" s="1"/>
  <c r="AV35" i="23"/>
  <c r="AX35" i="23" s="1"/>
  <c r="BA35" i="23"/>
  <c r="AN16" i="38"/>
  <c r="AP16" i="38" s="1"/>
  <c r="AN15" i="38"/>
  <c r="AP15" i="38" s="1"/>
  <c r="BA19" i="49"/>
  <c r="BA22" i="49"/>
  <c r="AN21" i="23"/>
  <c r="AP21" i="23" s="1"/>
  <c r="AY20" i="23"/>
  <c r="BB20" i="23" s="1"/>
  <c r="AT20" i="23"/>
  <c r="AV20" i="23" s="1"/>
  <c r="AX20" i="23" s="1"/>
  <c r="AH18" i="38"/>
  <c r="AH36" i="38" s="1"/>
  <c r="AI36" i="38" s="1"/>
  <c r="AT25" i="38"/>
  <c r="BA25" i="38" s="1"/>
  <c r="AY25" i="38"/>
  <c r="BB25" i="38" s="1"/>
  <c r="AN15" i="49"/>
  <c r="AP15" i="49" s="1"/>
  <c r="AN24" i="49"/>
  <c r="AP24" i="49" s="1"/>
  <c r="AV29" i="23"/>
  <c r="AX29" i="23" s="1"/>
  <c r="BA29" i="23"/>
  <c r="AY18" i="23"/>
  <c r="BB18" i="23" s="1"/>
  <c r="AT18" i="23"/>
  <c r="AV18" i="23" s="1"/>
  <c r="AX18" i="23" s="1"/>
  <c r="AI42" i="23"/>
  <c r="AB44" i="23" s="1"/>
  <c r="AI44" i="23" s="1"/>
  <c r="AI45" i="23" s="1"/>
  <c r="AI68" i="23" s="1"/>
  <c r="AB70" i="23" s="1"/>
  <c r="AI70" i="23" s="1"/>
  <c r="AI72" i="23" s="1"/>
  <c r="AI73" i="23" s="1"/>
  <c r="AN18" i="38"/>
  <c r="AP18" i="38" s="1"/>
  <c r="AY17" i="49"/>
  <c r="BB17" i="49" s="1"/>
  <c r="AT17" i="49"/>
  <c r="BA29" i="38"/>
  <c r="BA29" i="49"/>
  <c r="AV29" i="49"/>
  <c r="AX29" i="49" s="1"/>
  <c r="AV8" i="38"/>
  <c r="AX8" i="38" s="1"/>
  <c r="BA8" i="38"/>
  <c r="AV12" i="38"/>
  <c r="AX12" i="38" s="1"/>
  <c r="BA12" i="38"/>
  <c r="AN17" i="38"/>
  <c r="AP17" i="38" s="1"/>
  <c r="AY31" i="38"/>
  <c r="BB31" i="38" s="1"/>
  <c r="AT31" i="38"/>
  <c r="AV21" i="38"/>
  <c r="AX21" i="38" s="1"/>
  <c r="BA21" i="38"/>
  <c r="AY15" i="38"/>
  <c r="BB15" i="38" s="1"/>
  <c r="AT15" i="38"/>
  <c r="AV15" i="38" s="1"/>
  <c r="AX15" i="38" s="1"/>
  <c r="AA38" i="49"/>
  <c r="AA61" i="49" s="1"/>
  <c r="T63" i="49" s="1"/>
  <c r="AA63" i="49" s="1"/>
  <c r="AA65" i="49" s="1"/>
  <c r="AA66" i="49" s="1"/>
  <c r="T72" i="49" s="1"/>
  <c r="AA72" i="49" s="1"/>
  <c r="AT21" i="23"/>
  <c r="AV21" i="23" s="1"/>
  <c r="AX21" i="23" s="1"/>
  <c r="AY21" i="23"/>
  <c r="BB21" i="23" s="1"/>
  <c r="AV30" i="38"/>
  <c r="AX30" i="38" s="1"/>
  <c r="AN19" i="23"/>
  <c r="AP19" i="23" s="1"/>
  <c r="AA35" i="38"/>
  <c r="T37" i="38" s="1"/>
  <c r="AA37" i="38" s="1"/>
  <c r="AA38" i="38" s="1"/>
  <c r="AA61" i="38" s="1"/>
  <c r="BA30" i="49"/>
  <c r="AV27" i="49"/>
  <c r="AX27" i="49" s="1"/>
  <c r="BA27" i="49"/>
  <c r="AV28" i="23"/>
  <c r="AX28" i="23" s="1"/>
  <c r="BA28" i="23"/>
  <c r="AV28" i="49"/>
  <c r="AX28" i="49" s="1"/>
  <c r="BA28" i="49"/>
  <c r="BA11" i="49"/>
  <c r="AV11" i="49"/>
  <c r="AV37" i="23"/>
  <c r="AX37" i="23" s="1"/>
  <c r="BA37" i="23"/>
  <c r="AY24" i="38"/>
  <c r="BB24" i="38" s="1"/>
  <c r="AT24" i="38"/>
  <c r="BA10" i="23"/>
  <c r="AL32" i="49"/>
  <c r="AJ34" i="49" s="1"/>
  <c r="AQ34" i="49" s="1"/>
  <c r="AY15" i="49"/>
  <c r="BB15" i="49" s="1"/>
  <c r="AT15" i="49"/>
  <c r="AV23" i="23"/>
  <c r="AX23" i="23" s="1"/>
  <c r="BA23" i="23"/>
  <c r="AV33" i="23"/>
  <c r="AX33" i="23" s="1"/>
  <c r="BA33" i="23"/>
  <c r="BA30" i="23"/>
  <c r="AN16" i="49"/>
  <c r="AP16" i="49" s="1"/>
  <c r="AP8" i="38"/>
  <c r="AT32" i="23"/>
  <c r="AV32" i="23" s="1"/>
  <c r="AX32" i="23" s="1"/>
  <c r="AY32" i="23"/>
  <c r="BB32" i="23" s="1"/>
  <c r="AL32" i="38"/>
  <c r="AN17" i="49"/>
  <c r="AP17" i="49" s="1"/>
  <c r="AV8" i="23"/>
  <c r="AX8" i="23" s="1"/>
  <c r="AN16" i="23"/>
  <c r="AP16" i="23" s="1"/>
  <c r="BA21" i="49"/>
  <c r="BA20" i="38"/>
  <c r="K61" i="38"/>
  <c r="L79" i="23"/>
  <c r="S79" i="23" s="1"/>
  <c r="S78" i="23"/>
  <c r="D70" i="23"/>
  <c r="K70" i="23" s="1"/>
  <c r="L63" i="49"/>
  <c r="S63" i="49" s="1"/>
  <c r="S65" i="49" s="1"/>
  <c r="S66" i="49" s="1"/>
  <c r="D63" i="49"/>
  <c r="K63" i="49" s="1"/>
  <c r="D62" i="45"/>
  <c r="D51" i="45"/>
  <c r="D39" i="45"/>
  <c r="D28" i="45"/>
  <c r="D16" i="45"/>
  <c r="D5" i="45"/>
  <c r="D27" i="45" s="1"/>
  <c r="F18" i="43"/>
  <c r="F17" i="43"/>
  <c r="F16" i="43"/>
  <c r="F15" i="43"/>
  <c r="F14" i="43"/>
  <c r="F13" i="43"/>
  <c r="F12" i="43"/>
  <c r="F11" i="43"/>
  <c r="F10" i="43"/>
  <c r="F9" i="43"/>
  <c r="F8" i="43"/>
  <c r="F7" i="43"/>
  <c r="F6" i="43"/>
  <c r="F5" i="43"/>
  <c r="F4" i="43"/>
  <c r="F18" i="42"/>
  <c r="F17" i="42"/>
  <c r="F16" i="42"/>
  <c r="F15" i="42"/>
  <c r="F14" i="42"/>
  <c r="F13" i="42"/>
  <c r="F12" i="42"/>
  <c r="F11" i="42"/>
  <c r="F10" i="42"/>
  <c r="F9" i="42"/>
  <c r="F8" i="42"/>
  <c r="F7" i="42"/>
  <c r="F6" i="42"/>
  <c r="F5" i="42"/>
  <c r="F4" i="42"/>
  <c r="Q63" i="1" l="1"/>
  <c r="Q66" i="1"/>
  <c r="S66" i="1" s="1"/>
  <c r="S68" i="1" s="1"/>
  <c r="O30" i="21"/>
  <c r="I30" i="21"/>
  <c r="Z31" i="1"/>
  <c r="AA31" i="1" s="1"/>
  <c r="AD31" i="1" s="1"/>
  <c r="U30" i="21"/>
  <c r="R30" i="21"/>
  <c r="L30" i="21"/>
  <c r="M72" i="1"/>
  <c r="M80" i="1" s="1"/>
  <c r="M84" i="1" s="1"/>
  <c r="K68" i="1"/>
  <c r="V32" i="1"/>
  <c r="W32" i="1" s="1"/>
  <c r="W33" i="1" s="1"/>
  <c r="F24" i="21"/>
  <c r="F16" i="21"/>
  <c r="F29" i="21"/>
  <c r="F25" i="21"/>
  <c r="F14" i="21"/>
  <c r="F19" i="21"/>
  <c r="F9" i="21"/>
  <c r="F18" i="21"/>
  <c r="F22" i="21"/>
  <c r="F13" i="21"/>
  <c r="F15" i="21"/>
  <c r="F17" i="21"/>
  <c r="BA22" i="23"/>
  <c r="P31" i="33"/>
  <c r="AV9" i="23"/>
  <c r="AX9" i="23" s="1"/>
  <c r="BA9" i="23"/>
  <c r="BA9" i="49"/>
  <c r="BA9" i="38"/>
  <c r="AV9" i="38"/>
  <c r="AX9" i="38" s="1"/>
  <c r="BA19" i="23"/>
  <c r="AA71" i="49"/>
  <c r="AA73" i="49" s="1"/>
  <c r="AI38" i="49"/>
  <c r="AI61" i="49" s="1"/>
  <c r="AB63" i="49" s="1"/>
  <c r="AI63" i="49" s="1"/>
  <c r="AI65" i="49" s="1"/>
  <c r="AI66" i="49" s="1"/>
  <c r="AB72" i="49" s="1"/>
  <c r="AI72" i="49" s="1"/>
  <c r="BA14" i="38"/>
  <c r="AV14" i="38"/>
  <c r="AX14" i="38" s="1"/>
  <c r="AI38" i="38"/>
  <c r="AI61" i="38" s="1"/>
  <c r="AB63" i="38" s="1"/>
  <c r="AI63" i="38" s="1"/>
  <c r="AI65" i="38" s="1"/>
  <c r="AI66" i="38" s="1"/>
  <c r="AV17" i="23"/>
  <c r="AX17" i="23" s="1"/>
  <c r="BA17" i="23"/>
  <c r="AP43" i="23"/>
  <c r="AQ43" i="23" s="1"/>
  <c r="AV14" i="49"/>
  <c r="AX14" i="49" s="1"/>
  <c r="BB39" i="23"/>
  <c r="AN40" i="23"/>
  <c r="AQ40" i="23" s="1"/>
  <c r="AQ42" i="23" s="1"/>
  <c r="AJ44" i="23" s="1"/>
  <c r="AQ44" i="23" s="1"/>
  <c r="AT32" i="49"/>
  <c r="AR34" i="49" s="1"/>
  <c r="AY34" i="49" s="1"/>
  <c r="BA34" i="49" s="1"/>
  <c r="AN33" i="38"/>
  <c r="AQ33" i="38" s="1"/>
  <c r="BA16" i="23"/>
  <c r="BA31" i="23"/>
  <c r="AP36" i="49"/>
  <c r="AQ36" i="49" s="1"/>
  <c r="AN33" i="49"/>
  <c r="AQ33" i="49" s="1"/>
  <c r="AQ35" i="49" s="1"/>
  <c r="BB32" i="49"/>
  <c r="BB32" i="38"/>
  <c r="BA15" i="38"/>
  <c r="AV15" i="49"/>
  <c r="AX15" i="49" s="1"/>
  <c r="BA15" i="49"/>
  <c r="BA13" i="49"/>
  <c r="T44" i="23"/>
  <c r="AA44" i="23" s="1"/>
  <c r="BA20" i="23"/>
  <c r="AV17" i="49"/>
  <c r="AX17" i="49" s="1"/>
  <c r="BA17" i="49"/>
  <c r="BA21" i="23"/>
  <c r="BA18" i="23"/>
  <c r="AV24" i="49"/>
  <c r="AX24" i="49" s="1"/>
  <c r="AV18" i="38"/>
  <c r="AX18" i="38" s="1"/>
  <c r="AX11" i="49"/>
  <c r="AV13" i="38"/>
  <c r="AX13" i="38" s="1"/>
  <c r="AV18" i="49"/>
  <c r="AX18" i="49" s="1"/>
  <c r="AJ34" i="38"/>
  <c r="AQ34" i="38" s="1"/>
  <c r="AV16" i="49"/>
  <c r="AX16" i="49" s="1"/>
  <c r="T63" i="38"/>
  <c r="AA63" i="38" s="1"/>
  <c r="AA65" i="38" s="1"/>
  <c r="AA66" i="38" s="1"/>
  <c r="AT32" i="38"/>
  <c r="BA32" i="38" s="1"/>
  <c r="AP36" i="38"/>
  <c r="AQ36" i="38" s="1"/>
  <c r="AV24" i="38"/>
  <c r="AX24" i="38" s="1"/>
  <c r="BA24" i="38"/>
  <c r="BA25" i="49"/>
  <c r="AV25" i="38"/>
  <c r="AX25" i="38" s="1"/>
  <c r="L63" i="38"/>
  <c r="S63" i="38" s="1"/>
  <c r="S65" i="38" s="1"/>
  <c r="S66" i="38" s="1"/>
  <c r="BA32" i="23"/>
  <c r="BA31" i="38"/>
  <c r="AV31" i="38"/>
  <c r="AX31" i="38" s="1"/>
  <c r="AT39" i="23"/>
  <c r="BA17" i="38"/>
  <c r="AV38" i="23"/>
  <c r="AX38" i="23" s="1"/>
  <c r="BA38" i="23"/>
  <c r="BA31" i="49"/>
  <c r="AV31" i="49"/>
  <c r="AX31" i="49" s="1"/>
  <c r="AV16" i="38"/>
  <c r="AX16" i="38" s="1"/>
  <c r="BA16" i="38"/>
  <c r="S80" i="23"/>
  <c r="D63" i="38"/>
  <c r="K63" i="38" s="1"/>
  <c r="AI78" i="23"/>
  <c r="AB79" i="23"/>
  <c r="AI79" i="23" s="1"/>
  <c r="K72" i="23"/>
  <c r="S71" i="49"/>
  <c r="L72" i="49"/>
  <c r="S72" i="49" s="1"/>
  <c r="K65" i="49"/>
  <c r="F19" i="42"/>
  <c r="F19" i="43"/>
  <c r="D50" i="45"/>
  <c r="D73" i="45"/>
  <c r="D74" i="45"/>
  <c r="U63" i="1" l="1"/>
  <c r="U66" i="1"/>
  <c r="W66" i="1" s="1"/>
  <c r="O85" i="1"/>
  <c r="O84" i="1"/>
  <c r="I72" i="1"/>
  <c r="I80" i="1" s="1"/>
  <c r="I84" i="1" s="1"/>
  <c r="Q72" i="1"/>
  <c r="Q80" i="1" s="1"/>
  <c r="Q84" i="1" s="1"/>
  <c r="Z32" i="1"/>
  <c r="AA32" i="1" s="1"/>
  <c r="AA33" i="1" s="1"/>
  <c r="F30" i="21"/>
  <c r="AI71" i="49"/>
  <c r="AI73" i="49" s="1"/>
  <c r="BA32" i="49"/>
  <c r="AQ45" i="23"/>
  <c r="AQ68" i="23" s="1"/>
  <c r="AJ70" i="23" s="1"/>
  <c r="AQ70" i="23" s="1"/>
  <c r="AQ72" i="23" s="1"/>
  <c r="AQ73" i="23" s="1"/>
  <c r="AJ79" i="23" s="1"/>
  <c r="AQ79" i="23" s="1"/>
  <c r="AX43" i="23"/>
  <c r="AY43" i="23" s="1"/>
  <c r="BA43" i="23" s="1"/>
  <c r="AX36" i="38"/>
  <c r="AY36" i="38" s="1"/>
  <c r="BA36" i="38" s="1"/>
  <c r="AV40" i="23"/>
  <c r="AY40" i="23" s="1"/>
  <c r="BA40" i="23" s="1"/>
  <c r="AI71" i="38"/>
  <c r="AB72" i="38"/>
  <c r="AI72" i="38" s="1"/>
  <c r="AV33" i="49"/>
  <c r="AY33" i="49" s="1"/>
  <c r="AV33" i="38"/>
  <c r="AY33" i="38" s="1"/>
  <c r="AX36" i="49"/>
  <c r="AY36" i="49" s="1"/>
  <c r="BA36" i="49" s="1"/>
  <c r="AR41" i="23"/>
  <c r="AY41" i="23" s="1"/>
  <c r="BA41" i="23" s="1"/>
  <c r="BA39" i="23"/>
  <c r="AA45" i="23"/>
  <c r="T72" i="38"/>
  <c r="AA72" i="38" s="1"/>
  <c r="AA71" i="38"/>
  <c r="AQ35" i="38"/>
  <c r="AJ37" i="49"/>
  <c r="AQ37" i="49" s="1"/>
  <c r="AQ38" i="49" s="1"/>
  <c r="L72" i="38"/>
  <c r="S72" i="38" s="1"/>
  <c r="S71" i="38"/>
  <c r="AR34" i="38"/>
  <c r="AY34" i="38" s="1"/>
  <c r="BA34" i="38" s="1"/>
  <c r="K65" i="38"/>
  <c r="K73" i="23"/>
  <c r="AI80" i="23"/>
  <c r="K66" i="49"/>
  <c r="S73" i="49"/>
  <c r="H1" i="37"/>
  <c r="G1" i="37"/>
  <c r="F1" i="37"/>
  <c r="E1" i="37"/>
  <c r="D1" i="37"/>
  <c r="C1" i="37"/>
  <c r="O32" i="21" l="1"/>
  <c r="R31" i="21"/>
  <c r="S84" i="1"/>
  <c r="S85" i="1"/>
  <c r="R32" i="21"/>
  <c r="AD32" i="1"/>
  <c r="AD33" i="1" s="1"/>
  <c r="F32" i="21" s="1"/>
  <c r="Y63" i="1"/>
  <c r="Y66" i="1"/>
  <c r="AA66" i="1" s="1"/>
  <c r="AA68" i="1" s="1"/>
  <c r="W68" i="1"/>
  <c r="T62" i="21"/>
  <c r="Q62" i="21"/>
  <c r="AQ78" i="23"/>
  <c r="AQ80" i="23" s="1"/>
  <c r="AA73" i="38"/>
  <c r="AY42" i="23"/>
  <c r="S73" i="38"/>
  <c r="AA68" i="23"/>
  <c r="AI73" i="38"/>
  <c r="AJ37" i="38"/>
  <c r="AQ37" i="38" s="1"/>
  <c r="AY35" i="38"/>
  <c r="BA35" i="38" s="1"/>
  <c r="BA33" i="38"/>
  <c r="AY35" i="49"/>
  <c r="BA33" i="49"/>
  <c r="K66" i="38"/>
  <c r="D79" i="23"/>
  <c r="K79" i="23" s="1"/>
  <c r="K78" i="23"/>
  <c r="AQ61" i="49"/>
  <c r="D72" i="49"/>
  <c r="K72" i="49" s="1"/>
  <c r="K71" i="49"/>
  <c r="G14" i="35"/>
  <c r="O31" i="21" l="1"/>
  <c r="AD66" i="1"/>
  <c r="E65" i="21" s="1"/>
  <c r="K65" i="21"/>
  <c r="AD68" i="1"/>
  <c r="E67" i="21" s="1"/>
  <c r="I31" i="21"/>
  <c r="I32" i="21"/>
  <c r="N62" i="21"/>
  <c r="K62" i="21"/>
  <c r="T67" i="21"/>
  <c r="N65" i="21"/>
  <c r="AD63" i="1"/>
  <c r="E62" i="21" s="1"/>
  <c r="Y72" i="1"/>
  <c r="Y80" i="1" s="1"/>
  <c r="Y84" i="1" s="1"/>
  <c r="U72" i="1"/>
  <c r="U80" i="1" s="1"/>
  <c r="U84" i="1" s="1"/>
  <c r="Q65" i="21"/>
  <c r="L31" i="21"/>
  <c r="L32" i="21"/>
  <c r="Q67" i="21"/>
  <c r="U31" i="21"/>
  <c r="U32" i="21"/>
  <c r="T65" i="21"/>
  <c r="F31" i="21"/>
  <c r="BA42" i="23"/>
  <c r="AR44" i="23"/>
  <c r="AY44" i="23" s="1"/>
  <c r="T70" i="23"/>
  <c r="AA70" i="23" s="1"/>
  <c r="AR37" i="38"/>
  <c r="AY37" i="38" s="1"/>
  <c r="AY38" i="38" s="1"/>
  <c r="AY61" i="38" s="1"/>
  <c r="AR64" i="38" s="1"/>
  <c r="AY64" i="38" s="1"/>
  <c r="BA64" i="38" s="1"/>
  <c r="AQ38" i="38"/>
  <c r="AR37" i="49"/>
  <c r="AY37" i="49" s="1"/>
  <c r="BA35" i="49"/>
  <c r="D72" i="38"/>
  <c r="K72" i="38" s="1"/>
  <c r="K71" i="38"/>
  <c r="K80" i="23"/>
  <c r="AJ63" i="49"/>
  <c r="AQ63" i="49" s="1"/>
  <c r="H14" i="35"/>
  <c r="K73" i="49"/>
  <c r="Q70" i="21" l="1"/>
  <c r="Q78" i="21"/>
  <c r="N70" i="21"/>
  <c r="AA85" i="1"/>
  <c r="AA84" i="1"/>
  <c r="K85" i="1"/>
  <c r="K70" i="21"/>
  <c r="N67" i="21"/>
  <c r="H62" i="21"/>
  <c r="H65" i="21"/>
  <c r="T70" i="21"/>
  <c r="AD72" i="1"/>
  <c r="E70" i="21" s="1"/>
  <c r="K67" i="21"/>
  <c r="BA37" i="38"/>
  <c r="AY45" i="23"/>
  <c r="BA44" i="23"/>
  <c r="AA72" i="23"/>
  <c r="AR63" i="38"/>
  <c r="AY63" i="38" s="1"/>
  <c r="AY65" i="38" s="1"/>
  <c r="AY66" i="38" s="1"/>
  <c r="AQ61" i="38"/>
  <c r="BA38" i="38"/>
  <c r="AY38" i="49"/>
  <c r="BA37" i="49"/>
  <c r="K73" i="38"/>
  <c r="AQ65" i="49"/>
  <c r="W6" i="49"/>
  <c r="H70" i="21" l="1"/>
  <c r="K78" i="21"/>
  <c r="T78" i="21"/>
  <c r="H67" i="21"/>
  <c r="N78" i="21"/>
  <c r="AR70" i="23"/>
  <c r="AY70" i="23" s="1"/>
  <c r="AY68" i="23"/>
  <c r="BA45" i="23"/>
  <c r="AR72" i="38"/>
  <c r="AY72" i="38" s="1"/>
  <c r="AY71" i="38"/>
  <c r="AA73" i="23"/>
  <c r="AR63" i="49"/>
  <c r="AY63" i="49" s="1"/>
  <c r="BA38" i="49"/>
  <c r="AY61" i="49"/>
  <c r="AJ63" i="38"/>
  <c r="AQ63" i="38" s="1"/>
  <c r="BA61" i="38"/>
  <c r="AQ66" i="49"/>
  <c r="G15" i="35"/>
  <c r="AE6" i="49"/>
  <c r="W85" i="1" l="1"/>
  <c r="W84" i="1"/>
  <c r="H78" i="21"/>
  <c r="U7" i="1"/>
  <c r="AM6" i="23"/>
  <c r="AM6" i="38"/>
  <c r="AY73" i="38"/>
  <c r="BA70" i="23"/>
  <c r="AR71" i="23"/>
  <c r="AY71" i="23" s="1"/>
  <c r="BA71" i="23" s="1"/>
  <c r="BA68" i="23"/>
  <c r="T79" i="23"/>
  <c r="AA79" i="23" s="1"/>
  <c r="AA78" i="23"/>
  <c r="BA61" i="49"/>
  <c r="AY65" i="49"/>
  <c r="BA65" i="49" s="1"/>
  <c r="BA63" i="49"/>
  <c r="AQ65" i="38"/>
  <c r="BA63" i="38"/>
  <c r="AJ72" i="49"/>
  <c r="AQ72" i="49" s="1"/>
  <c r="AQ71" i="49"/>
  <c r="H15" i="35"/>
  <c r="AM6" i="49"/>
  <c r="Y7" i="1" l="1"/>
  <c r="AU6" i="38"/>
  <c r="AU6" i="23"/>
  <c r="AY66" i="49"/>
  <c r="AY71" i="49" s="1"/>
  <c r="AY72" i="23"/>
  <c r="AA80" i="23"/>
  <c r="BA65" i="38"/>
  <c r="AQ66" i="38"/>
  <c r="AV6" i="49"/>
  <c r="AQ73" i="49"/>
  <c r="AR72" i="49" l="1"/>
  <c r="AY72" i="49" s="1"/>
  <c r="BA72" i="49" s="1"/>
  <c r="BA66" i="49"/>
  <c r="AY73" i="23"/>
  <c r="BA72" i="23"/>
  <c r="AY73" i="49"/>
  <c r="BA73" i="49" s="1"/>
  <c r="AJ72" i="38"/>
  <c r="AQ72" i="38" s="1"/>
  <c r="BA72" i="38" s="1"/>
  <c r="AQ71" i="38"/>
  <c r="BA66" i="38"/>
  <c r="BA71" i="49"/>
  <c r="E6" i="21"/>
  <c r="AY78" i="23" l="1"/>
  <c r="AR79" i="23"/>
  <c r="AY79" i="23" s="1"/>
  <c r="BA79" i="23" s="1"/>
  <c r="BA73" i="23"/>
  <c r="AQ73" i="38"/>
  <c r="BA73" i="38" s="1"/>
  <c r="BA71" i="38"/>
  <c r="AY80" i="23" l="1"/>
  <c r="BA80" i="23" s="1"/>
  <c r="BA78" i="23"/>
  <c r="B53" i="21" l="1"/>
  <c r="B52" i="21"/>
  <c r="B51" i="21"/>
  <c r="B50" i="21"/>
  <c r="B9" i="21" l="1"/>
  <c r="C9" i="21"/>
  <c r="B10" i="21"/>
  <c r="C10" i="21"/>
  <c r="B11" i="21"/>
  <c r="C11" i="21"/>
  <c r="B12" i="21"/>
  <c r="C12" i="21"/>
  <c r="B13" i="21"/>
  <c r="C13" i="21"/>
  <c r="B14" i="21"/>
  <c r="C14" i="21"/>
  <c r="B15" i="21"/>
  <c r="C15" i="21"/>
  <c r="B16" i="21"/>
  <c r="C16" i="21"/>
  <c r="B17" i="21"/>
  <c r="C17" i="21"/>
  <c r="B18" i="21"/>
  <c r="C18" i="21"/>
  <c r="B19" i="21"/>
  <c r="C19" i="21"/>
  <c r="B20" i="21"/>
  <c r="C20" i="21"/>
  <c r="B21" i="21"/>
  <c r="C21" i="21"/>
  <c r="B22" i="21"/>
  <c r="C22" i="21"/>
  <c r="B23" i="21"/>
  <c r="C23" i="21"/>
  <c r="B24" i="21"/>
  <c r="C24" i="21"/>
  <c r="B25" i="21"/>
  <c r="C25" i="21"/>
  <c r="B26" i="21"/>
  <c r="C26" i="21"/>
  <c r="B27" i="21"/>
  <c r="C27" i="21"/>
  <c r="B28" i="21"/>
  <c r="C28" i="21"/>
  <c r="B29" i="21"/>
  <c r="C29" i="21"/>
  <c r="B30" i="21"/>
  <c r="C30" i="21"/>
  <c r="B31" i="21"/>
  <c r="C31" i="21"/>
  <c r="C14" i="34" l="1"/>
  <c r="C8" i="21" l="1"/>
  <c r="B8" i="21"/>
  <c r="A15" i="34"/>
  <c r="B70" i="23" l="1"/>
  <c r="B63" i="38"/>
  <c r="W29" i="21"/>
  <c r="X29" i="21"/>
  <c r="W31" i="21"/>
  <c r="B63" i="49" l="1"/>
  <c r="B65" i="21"/>
  <c r="O5" i="33" l="1"/>
  <c r="M5" i="33"/>
  <c r="K5" i="33"/>
  <c r="B2" i="33"/>
  <c r="I5" i="33" l="1"/>
  <c r="G5" i="33"/>
  <c r="F5" i="33"/>
  <c r="G15" i="12" l="1"/>
  <c r="G22" i="12" s="1"/>
  <c r="J5" i="14"/>
  <c r="F16" i="16"/>
  <c r="F15" i="16"/>
  <c r="F14" i="16"/>
  <c r="F13" i="16"/>
  <c r="F12" i="16"/>
  <c r="F17" i="16" s="1"/>
  <c r="F8" i="16"/>
  <c r="F7" i="16"/>
  <c r="F6" i="16"/>
  <c r="F5" i="16"/>
  <c r="F9" i="16" s="1"/>
  <c r="F21" i="17"/>
  <c r="I21" i="17" s="1"/>
  <c r="F20" i="17"/>
  <c r="I20" i="17" s="1"/>
  <c r="F19" i="17"/>
  <c r="I19" i="17" s="1"/>
  <c r="F18" i="17"/>
  <c r="F13" i="17"/>
  <c r="I13" i="17" s="1"/>
  <c r="F12" i="17"/>
  <c r="I12" i="17" s="1"/>
  <c r="F11" i="17"/>
  <c r="G2" i="7"/>
  <c r="G2" i="12"/>
  <c r="E2" i="14"/>
  <c r="E2" i="16"/>
  <c r="E2" i="17"/>
  <c r="C3" i="21"/>
  <c r="D25" i="18"/>
  <c r="D26" i="18"/>
  <c r="D27" i="18"/>
  <c r="D28" i="18"/>
  <c r="D29" i="18"/>
  <c r="D30" i="18"/>
  <c r="D31" i="18"/>
  <c r="D32" i="18"/>
  <c r="C2" i="37"/>
  <c r="D2" i="37"/>
  <c r="E2" i="37"/>
  <c r="F2" i="37"/>
  <c r="G2" i="37"/>
  <c r="H2" i="37"/>
  <c r="E35" i="21"/>
  <c r="E36" i="21"/>
  <c r="E37" i="21"/>
  <c r="I11" i="17" l="1"/>
  <c r="I14" i="17" s="1"/>
  <c r="F14" i="17"/>
  <c r="I18" i="17"/>
  <c r="I22" i="17" s="1"/>
  <c r="F22" i="17"/>
  <c r="W24" i="21"/>
  <c r="W25" i="21"/>
  <c r="W26" i="21"/>
  <c r="W27" i="21"/>
  <c r="W35" i="21"/>
  <c r="W38" i="21"/>
  <c r="W53" i="21"/>
  <c r="W37" i="21"/>
  <c r="W51" i="21"/>
  <c r="W36" i="21"/>
  <c r="W21" i="21"/>
  <c r="W14" i="21"/>
  <c r="W17" i="21"/>
  <c r="W11" i="21"/>
  <c r="W15" i="21"/>
  <c r="W23" i="21"/>
  <c r="W20" i="21"/>
  <c r="W16" i="21"/>
  <c r="W10" i="21"/>
  <c r="W22" i="21"/>
  <c r="W19" i="21"/>
  <c r="W13" i="21"/>
  <c r="W9" i="21"/>
  <c r="W8" i="21"/>
  <c r="W18" i="21"/>
  <c r="W12" i="21"/>
  <c r="F12" i="37"/>
  <c r="F6" i="37"/>
  <c r="E12" i="37"/>
  <c r="G10" i="37"/>
  <c r="H10" i="37"/>
  <c r="H12" i="37"/>
  <c r="I10" i="37"/>
  <c r="E10" i="37"/>
  <c r="E16" i="37"/>
  <c r="G12" i="37"/>
  <c r="E6" i="37"/>
  <c r="F10" i="37"/>
  <c r="E13" i="37"/>
  <c r="H16" i="37"/>
  <c r="D10" i="37"/>
  <c r="I12" i="37"/>
  <c r="G6" i="37"/>
  <c r="H6" i="37"/>
  <c r="X25" i="21" l="1"/>
  <c r="X24" i="21"/>
  <c r="X26" i="21"/>
  <c r="X27" i="21"/>
  <c r="W28" i="21"/>
  <c r="X18" i="21"/>
  <c r="J10" i="37"/>
  <c r="W74" i="21"/>
  <c r="X19" i="21"/>
  <c r="W66" i="21"/>
  <c r="X44" i="21"/>
  <c r="X17" i="21"/>
  <c r="X10" i="21"/>
  <c r="X16" i="21"/>
  <c r="X12" i="21"/>
  <c r="X21" i="21"/>
  <c r="X13" i="21"/>
  <c r="X15" i="21"/>
  <c r="X23" i="21"/>
  <c r="X11" i="21"/>
  <c r="X20" i="21"/>
  <c r="W58" i="21"/>
  <c r="X43" i="21"/>
  <c r="X9" i="21"/>
  <c r="X45" i="21"/>
  <c r="X14" i="21"/>
  <c r="W57" i="21"/>
  <c r="X22" i="21"/>
  <c r="X46" i="21"/>
  <c r="X8" i="21"/>
  <c r="W39" i="21"/>
  <c r="W73" i="21"/>
  <c r="F13" i="37"/>
  <c r="I16" i="37"/>
  <c r="I13" i="37"/>
  <c r="I11" i="37"/>
  <c r="H11" i="37"/>
  <c r="H13" i="37"/>
  <c r="F16" i="37"/>
  <c r="G16" i="37"/>
  <c r="D11" i="37"/>
  <c r="E11" i="37"/>
  <c r="G11" i="37"/>
  <c r="D13" i="37"/>
  <c r="G13" i="37"/>
  <c r="F11" i="37"/>
  <c r="D6" i="37"/>
  <c r="D16" i="37"/>
  <c r="E24" i="18" l="1"/>
  <c r="W50" i="21"/>
  <c r="X31" i="21"/>
  <c r="X28" i="21"/>
  <c r="W30" i="21"/>
  <c r="W32" i="21" s="1"/>
  <c r="W78" i="21" s="1"/>
  <c r="J16" i="37"/>
  <c r="J13" i="37"/>
  <c r="J11" i="37"/>
  <c r="W59" i="21"/>
  <c r="W75" i="21"/>
  <c r="X47" i="21"/>
  <c r="F9" i="37"/>
  <c r="I6" i="37"/>
  <c r="E25" i="18" l="1"/>
  <c r="E31" i="18"/>
  <c r="E27" i="18"/>
  <c r="J6" i="37"/>
  <c r="D8" i="37"/>
  <c r="D7" i="37"/>
  <c r="G7" i="37"/>
  <c r="E7" i="37"/>
  <c r="H7" i="37"/>
  <c r="F8" i="37"/>
  <c r="I7" i="37"/>
  <c r="G9" i="37"/>
  <c r="G8" i="37"/>
  <c r="I8" i="37"/>
  <c r="H8" i="37"/>
  <c r="E8" i="37"/>
  <c r="F7" i="37"/>
  <c r="E9" i="37"/>
  <c r="X30" i="21" l="1"/>
  <c r="J7" i="37"/>
  <c r="X32" i="21"/>
  <c r="J8" i="37"/>
  <c r="G14" i="37"/>
  <c r="F14" i="37"/>
  <c r="E17" i="37"/>
  <c r="H14" i="37"/>
  <c r="F15" i="37"/>
  <c r="E14" i="37"/>
  <c r="I9" i="37"/>
  <c r="G15" i="37"/>
  <c r="E15" i="37"/>
  <c r="H9" i="37"/>
  <c r="D9" i="37"/>
  <c r="I14" i="37"/>
  <c r="E23" i="18" l="1"/>
  <c r="E19" i="37"/>
  <c r="J9" i="37"/>
  <c r="H15" i="37"/>
  <c r="F17" i="37"/>
  <c r="I15" i="37"/>
  <c r="F19" i="37" l="1"/>
  <c r="F18" i="37"/>
  <c r="E18" i="37"/>
  <c r="G18" i="37"/>
  <c r="I17" i="37"/>
  <c r="I18" i="37"/>
  <c r="G17" i="37"/>
  <c r="H17" i="37"/>
  <c r="H19" i="37" l="1"/>
  <c r="I19" i="37"/>
  <c r="G19" i="37"/>
  <c r="H18" i="37"/>
  <c r="AN36" i="47" l="1"/>
  <c r="AL36" i="47"/>
  <c r="AI17" i="47"/>
  <c r="AL17" i="47" s="1"/>
  <c r="AN17" i="47" s="1"/>
  <c r="AI21" i="47"/>
  <c r="AL21" i="47" s="1"/>
  <c r="AI25" i="47" l="1"/>
  <c r="AN21" i="47"/>
  <c r="AN25" i="47" s="1"/>
  <c r="AL25" i="47"/>
  <c r="AG38" i="47" s="1"/>
  <c r="AN39" i="47" l="1"/>
  <c r="W52" i="21" l="1"/>
  <c r="W54" i="21" l="1"/>
  <c r="D12" i="37"/>
  <c r="D14" i="37"/>
  <c r="J12" i="37" l="1"/>
  <c r="W65" i="21"/>
  <c r="J14" i="37"/>
  <c r="W62" i="21"/>
  <c r="E26" i="18"/>
  <c r="E28" i="18" l="1"/>
  <c r="W67" i="21"/>
  <c r="D15" i="37"/>
  <c r="J15" i="37" l="1"/>
  <c r="E29" i="18"/>
  <c r="W70" i="21"/>
  <c r="E30" i="18" l="1"/>
  <c r="G84" i="1" l="1"/>
  <c r="G85" i="1" l="1"/>
  <c r="AD85" i="1" s="1"/>
  <c r="F82" i="21" s="1"/>
  <c r="X82" i="21" s="1"/>
  <c r="E35" i="18" s="1"/>
  <c r="D17" i="37"/>
  <c r="AD80" i="1" l="1"/>
  <c r="O61" i="50" s="1"/>
  <c r="K84" i="1"/>
  <c r="AD84" i="1" s="1"/>
  <c r="F81" i="21" s="1"/>
  <c r="X81" i="21" s="1"/>
  <c r="E34" i="18" s="1"/>
  <c r="D19" i="37"/>
  <c r="F21" i="37" s="1"/>
  <c r="J17" i="37"/>
  <c r="J19" i="37" s="1"/>
  <c r="F22" i="37" s="1"/>
  <c r="E78" i="21" l="1"/>
  <c r="X78" i="21" s="1"/>
  <c r="E32" i="18" s="1"/>
  <c r="F23" i="37"/>
  <c r="D18" i="3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D4" authorId="0" shapeId="0" xr:uid="{7742DE9E-0BC9-4621-AED9-B10643920F6A}">
      <text>
        <r>
          <rPr>
            <sz val="9"/>
            <color indexed="81"/>
            <rFont val="Tahoma"/>
            <family val="2"/>
          </rPr>
          <t xml:space="preserve">Fill in these blocks
</t>
        </r>
      </text>
    </comment>
    <comment ref="G4" authorId="0" shapeId="0" xr:uid="{69F8D197-68AE-4C96-82CF-6B0FD2C12C3D}">
      <text>
        <r>
          <rPr>
            <sz val="9"/>
            <color indexed="81"/>
            <rFont val="Tahoma"/>
            <family val="2"/>
          </rPr>
          <t>Fill in these blocks.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Fuller, Elizabeth (NIH/OD) [E]</author>
    <author>Stowe, Elie (ARPA-H) [CTR]</author>
  </authors>
  <commentList>
    <comment ref="C4" authorId="0" shapeId="0" xr:uid="{26E77D2F-DBE0-4784-896C-A53192945378}">
      <text>
        <r>
          <rPr>
            <sz val="9"/>
            <color indexed="81"/>
            <rFont val="Tahoma"/>
            <family val="2"/>
          </rPr>
          <t xml:space="preserve">Prime and subproposers fill out this section in regards to the entity proposing in this spreadsheet (i.e., the prime enters their business type or the subproposer enter their business type). </t>
        </r>
      </text>
    </comment>
    <comment ref="B5" authorId="1" shapeId="0" xr:uid="{04BF1674-2AED-4CD5-92F3-A020B7019F26}">
      <text>
        <r>
          <rPr>
            <b/>
            <sz val="9"/>
            <color indexed="81"/>
            <rFont val="Tahoma"/>
            <family val="2"/>
          </rPr>
          <t>Select a business size</t>
        </r>
      </text>
    </comment>
    <comment ref="D5" authorId="1" shapeId="0" xr:uid="{6B5654A9-63A9-4F89-B2AB-38C0489AE759}">
      <text>
        <r>
          <rPr>
            <b/>
            <sz val="9"/>
            <color indexed="81"/>
            <rFont val="Tahoma"/>
            <family val="2"/>
          </rPr>
          <t>If Small Business was selected in B5, this area will activate. Select the number of employees.</t>
        </r>
      </text>
    </comment>
    <comment ref="C14" authorId="1" shapeId="0" xr:uid="{CA437EFB-1BDF-49F0-BAEF-2CF0932B5AEB}">
      <text>
        <r>
          <rPr>
            <sz val="9"/>
            <color indexed="81"/>
            <rFont val="Avenir Next LT Pro"/>
            <family val="2"/>
          </rPr>
          <t>Enter the beginning date of FY1 and repeat for each FY. This data will carry through the workbook.</t>
        </r>
      </text>
    </comment>
    <comment ref="C15" authorId="1" shapeId="0" xr:uid="{E5C6BF43-F659-4415-A372-1EF66A2DE548}">
      <text>
        <r>
          <rPr>
            <sz val="9"/>
            <color indexed="81"/>
            <rFont val="Avenir Next LT Pro Light"/>
            <family val="2"/>
          </rPr>
          <t>Input the end date of the FY and repeat for every FY. This data will carry through the workbook.</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F8" authorId="0" shapeId="0" xr:uid="{F6652508-60DE-48E6-9277-825ED3BB7E6F}">
      <text>
        <r>
          <rPr>
            <sz val="9"/>
            <color indexed="81"/>
            <rFont val="Avenir Next LT Pro"/>
            <family val="2"/>
          </rPr>
          <t xml:space="preserve">Enter the fully loaded labor rate for the individual on this line. Repeat for all personnel.
</t>
        </r>
      </text>
    </comment>
    <comment ref="G8" authorId="0" shapeId="0" xr:uid="{F169EDA8-5B48-4915-A810-934109BDC14F}">
      <text>
        <r>
          <rPr>
            <sz val="9"/>
            <color indexed="81"/>
            <rFont val="Avenir Next LT Pro"/>
            <family val="2"/>
          </rPr>
          <t>Enter the fist escalation rate percentage for the prior FY's fully loaded labor rate. Repeat for all personnel and each FY.</t>
        </r>
      </text>
    </comment>
    <comment ref="I8" authorId="0" shapeId="0" xr:uid="{A74C56F1-5BAE-42B2-8C93-EC226C0E9BEA}">
      <text>
        <r>
          <rPr>
            <sz val="9"/>
            <color indexed="81"/>
            <rFont val="Avenir Next LT Pro"/>
            <family val="2"/>
          </rPr>
          <t>Enter the fist escalation rate percentage for the prior FY's fully loaded labor rate. Repeat for all personnel and each FY.</t>
        </r>
      </text>
    </comment>
    <comment ref="K8" authorId="0" shapeId="0" xr:uid="{3E8357FC-1D64-4068-B844-CD028F4C6898}">
      <text>
        <r>
          <rPr>
            <sz val="9"/>
            <color indexed="81"/>
            <rFont val="Avenir Next LT Pro"/>
            <family val="2"/>
          </rPr>
          <t>Enter the fist escalation rate percentage for the prior FY's fully loaded labor rate. Repeat for all personnel and each FY.</t>
        </r>
      </text>
    </comment>
    <comment ref="M8" authorId="0" shapeId="0" xr:uid="{D2F1D6F0-3024-48EA-B6AA-8F7D3BF42ED4}">
      <text>
        <r>
          <rPr>
            <sz val="9"/>
            <color indexed="81"/>
            <rFont val="Avenir Next LT Pro"/>
            <family val="2"/>
          </rPr>
          <t>Enter the fist escalation rate percentage for the prior FY's fully loaded labor rate. Repeat for all personnel and each FY.</t>
        </r>
      </text>
    </comment>
    <comment ref="O8" authorId="0" shapeId="0" xr:uid="{4BAF4EA7-58C9-4E8D-8C7E-9C664A1C4E51}">
      <text>
        <r>
          <rPr>
            <sz val="9"/>
            <color indexed="81"/>
            <rFont val="Avenir Next LT Pro"/>
            <family val="2"/>
          </rPr>
          <t>Enter the fist escalation rate percentage for the prior FY's fully loaded labor rate. Repeat for all personnel and each FY.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C2" authorId="0" shapeId="0" xr:uid="{2DC26B38-065F-488D-A308-AC912F67101F}">
      <text>
        <r>
          <rPr>
            <sz val="9"/>
            <color indexed="81"/>
            <rFont val="Tahoma"/>
            <family val="2"/>
          </rPr>
          <t>Insert the Period of Performance for this Phase  in the format shown.</t>
        </r>
      </text>
    </comment>
    <comment ref="E9" authorId="0" shapeId="0" xr:uid="{5EE7CF8D-F7A0-4296-A30D-AB3625036633}">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I9" authorId="0" shapeId="0" xr:uid="{CA1E6189-9EEC-4745-93C0-E7158C5270BE}">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M9" authorId="0" shapeId="0" xr:uid="{03ADE99F-FED8-4C40-8027-E698F70C3A72}">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Q9" authorId="0" shapeId="0" xr:uid="{809E7B36-7F8C-426C-8F2A-993F20C342E7}">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U9" authorId="0" shapeId="0" xr:uid="{003179E4-2E2C-482F-982E-D93B4D80E50E}">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Y9" authorId="0" shapeId="0" xr:uid="{CEC1732F-1E4E-4B12-9DE9-3C9549289516}">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G36" authorId="0" shapeId="0" xr:uid="{8173E69E-94F9-4AB1-B664-0A45F10DFD09}">
      <text>
        <r>
          <rPr>
            <sz val="9"/>
            <color indexed="81"/>
            <rFont val="Tahoma"/>
            <family val="2"/>
          </rPr>
          <t xml:space="preserve">Insert the subpropser costs for this FY in this Phase. Repeat for all subproposers and all FYs.
</t>
        </r>
      </text>
    </comment>
    <comment ref="E43" authorId="0" shapeId="0" xr:uid="{12EE215A-D3B0-4EF0-A59E-FEBB9D8FFC7D}">
      <text>
        <r>
          <rPr>
            <sz val="9"/>
            <color indexed="81"/>
            <rFont val="Avenir Next LT Pro"/>
            <family val="2"/>
          </rPr>
          <t>Insert the number of hours this Consultant will work in this FY of this  Phase. Repeat for all Consultants and all FYs.</t>
        </r>
        <r>
          <rPr>
            <sz val="9"/>
            <color indexed="81"/>
            <rFont val="Tahoma"/>
            <family val="2"/>
          </rPr>
          <t xml:space="preserve">
</t>
        </r>
      </text>
    </comment>
    <comment ref="F43" authorId="0" shapeId="0" xr:uid="{0F28C38D-1570-490A-9AAB-8BB638813397}">
      <text>
        <r>
          <rPr>
            <sz val="9"/>
            <color indexed="81"/>
            <rFont val="Avenir Next LT Pro"/>
            <family val="2"/>
          </rPr>
          <t>Inset the hourly rate for the Consultant in this FY for this Phase. Repeat for all Consultants and all FYs.</t>
        </r>
      </text>
    </comment>
    <comment ref="G50" authorId="0" shapeId="0" xr:uid="{571CB064-938A-421D-BEB9-9787103815FA}">
      <text>
        <r>
          <rPr>
            <sz val="9"/>
            <color indexed="81"/>
            <rFont val="Tahoma"/>
            <family val="2"/>
          </rPr>
          <t>Insert ODCs for this FY and this Phase. Repeat for all ODCs and all FYs.</t>
        </r>
      </text>
    </comment>
    <comment ref="E57" authorId="0" shapeId="0" xr:uid="{F50998D0-0A69-488C-9F93-6BB151B998D6}">
      <text>
        <r>
          <rPr>
            <sz val="9"/>
            <color indexed="81"/>
            <rFont val="Tahoma"/>
            <family val="2"/>
          </rPr>
          <t xml:space="preserve">Insert the dollar value of the Material Handling Overhead basis for this FY for this Phase. Repeat for all FYs in this Phase.
</t>
        </r>
      </text>
    </comment>
    <comment ref="F57" authorId="0" shapeId="0" xr:uid="{2409B094-52BB-45D5-938B-284E33D8CCD8}">
      <text>
        <r>
          <rPr>
            <sz val="9"/>
            <color indexed="81"/>
            <rFont val="Tahoma"/>
            <family val="2"/>
          </rPr>
          <t>Insert the Material Overhead rate for this FY and this Phase. Repeat for all FYs for this Phase.</t>
        </r>
      </text>
    </comment>
    <comment ref="E66" authorId="0" shapeId="0" xr:uid="{DE8D9920-1E7D-4271-95C3-828650824920}">
      <text>
        <r>
          <rPr>
            <sz val="9"/>
            <color indexed="81"/>
            <rFont val="Tahoma"/>
            <family val="2"/>
          </rPr>
          <t>G&amp;A is only applied to Direct Labor in this Workbook.</t>
        </r>
      </text>
    </comment>
    <comment ref="F66" authorId="0" shapeId="0" xr:uid="{DBDE30F5-2712-4780-9005-276D892B7892}">
      <text>
        <r>
          <rPr>
            <sz val="9"/>
            <color indexed="81"/>
            <rFont val="Tahoma"/>
            <family val="2"/>
          </rPr>
          <t>Insert the G&amp;A rate for this FY for this Phase, and then repeat for all FYs for this Phase.</t>
        </r>
      </text>
    </comment>
    <comment ref="I66" authorId="0" shapeId="0" xr:uid="{E8864C3F-3A85-4CA0-91A6-4CECEFA02059}">
      <text>
        <r>
          <rPr>
            <sz val="9"/>
            <color indexed="81"/>
            <rFont val="Tahoma"/>
            <family val="2"/>
          </rPr>
          <t>G&amp;A is only applied to Direct Labor in this Workbook.</t>
        </r>
      </text>
    </comment>
    <comment ref="M66" authorId="0" shapeId="0" xr:uid="{0B01A9E1-1875-4B28-94AC-224DD1A2B7FB}">
      <text>
        <r>
          <rPr>
            <sz val="9"/>
            <color indexed="81"/>
            <rFont val="Tahoma"/>
            <family val="2"/>
          </rPr>
          <t>G&amp;A is only applied to Direct Labor in this Workbook.</t>
        </r>
      </text>
    </comment>
    <comment ref="Q66" authorId="0" shapeId="0" xr:uid="{AEBC1BDB-E82C-4A84-93C8-63ED350EB6BE}">
      <text>
        <r>
          <rPr>
            <sz val="9"/>
            <color indexed="81"/>
            <rFont val="Tahoma"/>
            <family val="2"/>
          </rPr>
          <t>G&amp;A is only applied to Direct Labor in this Workbook.</t>
        </r>
      </text>
    </comment>
    <comment ref="U66" authorId="0" shapeId="0" xr:uid="{E948F878-B547-4380-91F0-C2DBD42198AB}">
      <text>
        <r>
          <rPr>
            <sz val="9"/>
            <color indexed="81"/>
            <rFont val="Tahoma"/>
            <family val="2"/>
          </rPr>
          <t>G&amp;A is only applied to Direct Labor in this Workbook.</t>
        </r>
      </text>
    </comment>
    <comment ref="Y66" authorId="0" shapeId="0" xr:uid="{E47B7164-A1F4-4874-9EF6-2A0148E6EE21}">
      <text>
        <r>
          <rPr>
            <sz val="9"/>
            <color indexed="81"/>
            <rFont val="Tahoma"/>
            <family val="2"/>
          </rPr>
          <t>G&amp;A is only applied to Direct Labor in this Workbook.</t>
        </r>
      </text>
    </comment>
    <comment ref="E75" authorId="0" shapeId="0" xr:uid="{22D8CA68-1519-4CC5-881F-795863D11688}">
      <text>
        <r>
          <rPr>
            <sz val="9"/>
            <color indexed="81"/>
            <rFont val="Tahoma"/>
            <family val="2"/>
          </rPr>
          <t>Insert theFCCM basis for this FY for this Phase. Repeat for all FYs in this Phase.</t>
        </r>
      </text>
    </comment>
    <comment ref="F75" authorId="0" shapeId="0" xr:uid="{7C106E05-4A15-4CDE-ABA7-07B7FBAC1A70}">
      <text>
        <r>
          <rPr>
            <sz val="9"/>
            <color indexed="81"/>
            <rFont val="Tahoma"/>
            <family val="2"/>
          </rPr>
          <t>Insert the FCCM rate for this FY for this Phase, and repeat for all FYs for this Phase.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Breen, David (contr-cmo)</author>
  </authors>
  <commentList>
    <comment ref="D70" authorId="0" shapeId="0" xr:uid="{269775FB-863A-4ECB-81C7-5E05DA6887C7}">
      <text>
        <r>
          <rPr>
            <b/>
            <sz val="9"/>
            <color indexed="81"/>
            <rFont val="Tahoma"/>
            <family val="2"/>
          </rPr>
          <t xml:space="preserve">
Change this cell if Modified Total Direct Costs are needed for this calculation.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Breen, David (contr-cmo)</author>
  </authors>
  <commentList>
    <comment ref="D63" authorId="0" shapeId="0" xr:uid="{C2997BF8-2249-4B76-8618-4A21293103DB}">
      <text>
        <r>
          <rPr>
            <b/>
            <sz val="9"/>
            <color indexed="81"/>
            <rFont val="Tahoma"/>
            <family val="2"/>
          </rPr>
          <t xml:space="preserve">
Change this cell if Modified Total Direct Costs are needed for this calculation.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C2" authorId="0" shapeId="0" xr:uid="{BB3FFBCA-E758-4455-9D53-F4D217A1424B}">
      <text>
        <r>
          <rPr>
            <sz val="9"/>
            <color indexed="81"/>
            <rFont val="Tahoma"/>
            <family val="2"/>
          </rPr>
          <t>Insert the Period of Performance for this Phase  in the format shown.</t>
        </r>
      </text>
    </comment>
    <comment ref="E9" authorId="0" shapeId="0" xr:uid="{F640BD2D-C633-4D8B-935B-753CEEC9DF9F}">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I9" authorId="0" shapeId="0" xr:uid="{EAAF27D9-B7DF-401D-9A66-75510B4F9E6D}">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M9" authorId="0" shapeId="0" xr:uid="{8C903E8B-0FEC-45E8-AFEA-0208F794CD9C}">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Q9" authorId="0" shapeId="0" xr:uid="{6B792A82-3A75-4A96-98C2-CA8117694C72}">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U9" authorId="0" shapeId="0" xr:uid="{77A7EFAA-93EE-40E5-B999-29BF623B714B}">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Y9" authorId="0" shapeId="0" xr:uid="{A2052179-A3EF-4F51-BF32-0C9AD256E369}">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G36" authorId="0" shapeId="0" xr:uid="{12B16948-4FF4-4C4C-B023-1F93557492C9}">
      <text>
        <r>
          <rPr>
            <sz val="9"/>
            <color indexed="81"/>
            <rFont val="Tahoma"/>
            <family val="2"/>
          </rPr>
          <t xml:space="preserve">Insert the subpropser costs for this FY in this Phase. Repeat for all subproposers and all FYs.
</t>
        </r>
      </text>
    </comment>
    <comment ref="E43" authorId="0" shapeId="0" xr:uid="{A43AB062-796F-4FA8-B0C3-0D4C7A7E3A00}">
      <text>
        <r>
          <rPr>
            <sz val="9"/>
            <color indexed="81"/>
            <rFont val="Avenir Next LT Pro"/>
            <family val="2"/>
          </rPr>
          <t>Insert the number of hours this Consultant will work in this FY of this  Phase. Repeat for all Consultants and all FYs.</t>
        </r>
        <r>
          <rPr>
            <sz val="9"/>
            <color indexed="81"/>
            <rFont val="Tahoma"/>
            <family val="2"/>
          </rPr>
          <t xml:space="preserve">
</t>
        </r>
      </text>
    </comment>
    <comment ref="F43" authorId="0" shapeId="0" xr:uid="{F938FB15-85C2-485A-835F-FBFDBDE7DC33}">
      <text>
        <r>
          <rPr>
            <sz val="9"/>
            <color indexed="81"/>
            <rFont val="Avenir Next LT Pro"/>
            <family val="2"/>
          </rPr>
          <t>Inset the hourly rate for the Consultant in this FY for this Phase. Repeat for all Consultants and all FYs.</t>
        </r>
      </text>
    </comment>
    <comment ref="G50" authorId="0" shapeId="0" xr:uid="{9F80C258-B90A-43CD-BE00-47E36723E95A}">
      <text>
        <r>
          <rPr>
            <sz val="9"/>
            <color indexed="81"/>
            <rFont val="Tahoma"/>
            <family val="2"/>
          </rPr>
          <t>Insert ODCs for this FY and this Phase. Repeat for all ODCs and all FYs.</t>
        </r>
      </text>
    </comment>
    <comment ref="E57" authorId="0" shapeId="0" xr:uid="{3169614A-CE0B-49E2-81F9-07E62FB76BA3}">
      <text>
        <r>
          <rPr>
            <sz val="9"/>
            <color indexed="81"/>
            <rFont val="Tahoma"/>
            <family val="2"/>
          </rPr>
          <t xml:space="preserve">Insert the dollar value of the Material Handling Overhead basis for this FY for this Phase. Repeat for all FYs in this Phase.
</t>
        </r>
      </text>
    </comment>
    <comment ref="F57" authorId="0" shapeId="0" xr:uid="{0A6A057D-3BB9-40C4-A684-3FEEE2FC065F}">
      <text>
        <r>
          <rPr>
            <sz val="9"/>
            <color indexed="81"/>
            <rFont val="Tahoma"/>
            <family val="2"/>
          </rPr>
          <t>Insert the Material Overhead rate for this FY and this Phase. Repeat for all FYs for this Phase.</t>
        </r>
      </text>
    </comment>
    <comment ref="E66" authorId="0" shapeId="0" xr:uid="{AF4EE774-8E23-4610-919F-FC542B7A6EC4}">
      <text>
        <r>
          <rPr>
            <sz val="9"/>
            <color indexed="81"/>
            <rFont val="Tahoma"/>
            <family val="2"/>
          </rPr>
          <t>G&amp;A is only applied to Direct Labor in this Workbook.</t>
        </r>
      </text>
    </comment>
    <comment ref="F66" authorId="0" shapeId="0" xr:uid="{FCDA0EEF-388B-4AEF-8DCC-E7A1787F535E}">
      <text>
        <r>
          <rPr>
            <sz val="9"/>
            <color indexed="81"/>
            <rFont val="Tahoma"/>
            <family val="2"/>
          </rPr>
          <t>Insert the G&amp;A rate for this FY for this Phase, and then repeat for all FYs for this Phase.</t>
        </r>
      </text>
    </comment>
    <comment ref="I66" authorId="0" shapeId="0" xr:uid="{111AC1AB-EAAD-45CD-89F6-9C42EF6E8B19}">
      <text>
        <r>
          <rPr>
            <sz val="9"/>
            <color indexed="81"/>
            <rFont val="Tahoma"/>
            <family val="2"/>
          </rPr>
          <t>G&amp;A is only applied to Direct Labor in this Workbook.</t>
        </r>
      </text>
    </comment>
    <comment ref="M66" authorId="0" shapeId="0" xr:uid="{034A50A2-2F52-46EC-B692-0741A8657437}">
      <text>
        <r>
          <rPr>
            <sz val="9"/>
            <color indexed="81"/>
            <rFont val="Tahoma"/>
            <family val="2"/>
          </rPr>
          <t>G&amp;A is only applied to Direct Labor in this Workbook.</t>
        </r>
      </text>
    </comment>
    <comment ref="Q66" authorId="0" shapeId="0" xr:uid="{6F3040B6-1A6E-481D-B64F-F9B5510C9BD7}">
      <text>
        <r>
          <rPr>
            <sz val="9"/>
            <color indexed="81"/>
            <rFont val="Tahoma"/>
            <family val="2"/>
          </rPr>
          <t>G&amp;A is only applied to Direct Labor in this Workbook.</t>
        </r>
      </text>
    </comment>
    <comment ref="U66" authorId="0" shapeId="0" xr:uid="{2D3EDDB0-0D75-4803-A6B3-15AEE77CF001}">
      <text>
        <r>
          <rPr>
            <sz val="9"/>
            <color indexed="81"/>
            <rFont val="Tahoma"/>
            <family val="2"/>
          </rPr>
          <t>G&amp;A is only applied to Direct Labor in this Workbook.</t>
        </r>
      </text>
    </comment>
    <comment ref="Y66" authorId="0" shapeId="0" xr:uid="{B93C23DE-3EED-4542-A2C0-5CFA2384E1C8}">
      <text>
        <r>
          <rPr>
            <sz val="9"/>
            <color indexed="81"/>
            <rFont val="Tahoma"/>
            <family val="2"/>
          </rPr>
          <t>G&amp;A is only applied to Direct Labor in this Workbook.</t>
        </r>
      </text>
    </comment>
    <comment ref="E75" authorId="0" shapeId="0" xr:uid="{9E3346C1-DF80-4444-9923-3D7C23CCA0CD}">
      <text>
        <r>
          <rPr>
            <sz val="9"/>
            <color indexed="81"/>
            <rFont val="Tahoma"/>
            <family val="2"/>
          </rPr>
          <t>Insert theFCCM basis for this FY for this Phase. Repeat for all FYs in this Phase.</t>
        </r>
      </text>
    </comment>
    <comment ref="F75" authorId="0" shapeId="0" xr:uid="{6F36C0E0-CE0C-4B22-9E1C-ABA02058615C}">
      <text>
        <r>
          <rPr>
            <sz val="9"/>
            <color indexed="81"/>
            <rFont val="Tahoma"/>
            <family val="2"/>
          </rPr>
          <t>Insert the FCCM rate for this FY for this Phase, and repeat for all FYs for this Phase.</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C2" authorId="0" shapeId="0" xr:uid="{A55CA109-29D6-44FA-8260-FAF02503F98C}">
      <text>
        <r>
          <rPr>
            <sz val="9"/>
            <color indexed="81"/>
            <rFont val="Tahoma"/>
            <family val="2"/>
          </rPr>
          <t>Insert the Period of Performance for this Phase  in the format shown.</t>
        </r>
      </text>
    </comment>
    <comment ref="E9" authorId="0" shapeId="0" xr:uid="{0DD07A2F-D4A1-4B31-AE00-44BFCB1705D6}">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I9" authorId="0" shapeId="0" xr:uid="{FA2BEEA0-9DE8-4588-B4DB-336DCB0D1511}">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M9" authorId="0" shapeId="0" xr:uid="{EFFE7D34-43EE-4D78-BFB4-966CDB57DC41}">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Q9" authorId="0" shapeId="0" xr:uid="{F78CD4B1-2CF8-4CC7-AF6A-927459E93A46}">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U9" authorId="0" shapeId="0" xr:uid="{4B1E0F29-B77F-4A12-B530-459D6C51676E}">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Y9" authorId="0" shapeId="0" xr:uid="{2592711A-4127-45C1-8133-A99977FE73AB}">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G36" authorId="0" shapeId="0" xr:uid="{B44913C6-F628-4E5F-B03F-5F75C289D1AB}">
      <text>
        <r>
          <rPr>
            <sz val="9"/>
            <color indexed="81"/>
            <rFont val="Tahoma"/>
            <family val="2"/>
          </rPr>
          <t xml:space="preserve">Insert the subpropser costs for this FY in this Phase. Repeat for all subproposers and all FYs.
</t>
        </r>
      </text>
    </comment>
    <comment ref="E43" authorId="0" shapeId="0" xr:uid="{0A4C56E0-FCAB-45C6-9868-7CCB33C16005}">
      <text>
        <r>
          <rPr>
            <sz val="9"/>
            <color indexed="81"/>
            <rFont val="Avenir Next LT Pro"/>
            <family val="2"/>
          </rPr>
          <t>Insert the number of hours this Consultant will work in this FY of this  Phase. Repeat for all Consultants and all FYs.</t>
        </r>
        <r>
          <rPr>
            <sz val="9"/>
            <color indexed="81"/>
            <rFont val="Tahoma"/>
            <family val="2"/>
          </rPr>
          <t xml:space="preserve">
</t>
        </r>
      </text>
    </comment>
    <comment ref="F43" authorId="0" shapeId="0" xr:uid="{015F32E9-1394-4109-A052-CCCCB4E0D2BC}">
      <text>
        <r>
          <rPr>
            <sz val="9"/>
            <color indexed="81"/>
            <rFont val="Avenir Next LT Pro"/>
            <family val="2"/>
          </rPr>
          <t>Inset the hourly rate for the Consultant in this FY for this Phase. Repeat for all Consultants and all FYs.</t>
        </r>
      </text>
    </comment>
    <comment ref="G50" authorId="0" shapeId="0" xr:uid="{C798DB01-23AD-4297-AD14-7F5B990AF475}">
      <text>
        <r>
          <rPr>
            <sz val="9"/>
            <color indexed="81"/>
            <rFont val="Tahoma"/>
            <family val="2"/>
          </rPr>
          <t>Insert ODCs for this FY and this Phase. Repeat for all ODCs and all FYs.</t>
        </r>
      </text>
    </comment>
    <comment ref="E57" authorId="0" shapeId="0" xr:uid="{C0BB4854-DA8A-4207-BC75-46C8330F37D1}">
      <text>
        <r>
          <rPr>
            <sz val="9"/>
            <color indexed="81"/>
            <rFont val="Tahoma"/>
            <family val="2"/>
          </rPr>
          <t xml:space="preserve">Insert the dollar value of the Material Handling Overhead basis for this FY for this Phase. Repeat for all FYs in this Phase.
</t>
        </r>
      </text>
    </comment>
    <comment ref="F57" authorId="0" shapeId="0" xr:uid="{0379C128-8A17-4614-9C5C-3C9B35F04959}">
      <text>
        <r>
          <rPr>
            <sz val="9"/>
            <color indexed="81"/>
            <rFont val="Tahoma"/>
            <family val="2"/>
          </rPr>
          <t>Insert the Material Overhead rate for this FY and this Phase. Repeat for all FYs for this Phase.</t>
        </r>
      </text>
    </comment>
    <comment ref="E66" authorId="0" shapeId="0" xr:uid="{DB895A79-E510-4F0E-A700-679CD0563CCB}">
      <text>
        <r>
          <rPr>
            <sz val="9"/>
            <color indexed="81"/>
            <rFont val="Tahoma"/>
            <family val="2"/>
          </rPr>
          <t>G&amp;A is only applied to Direct Labor in this Workbook.</t>
        </r>
      </text>
    </comment>
    <comment ref="F66" authorId="0" shapeId="0" xr:uid="{A9C17348-63C1-43A5-B07D-E294E2568FD6}">
      <text>
        <r>
          <rPr>
            <sz val="9"/>
            <color indexed="81"/>
            <rFont val="Tahoma"/>
            <family val="2"/>
          </rPr>
          <t>Insert the G&amp;A rate for this FY for this Phase, and then repeat for all FYs for this Phase.</t>
        </r>
      </text>
    </comment>
    <comment ref="I66" authorId="0" shapeId="0" xr:uid="{CB07C506-D4D5-43DC-9BDC-B3C9A232BF70}">
      <text>
        <r>
          <rPr>
            <sz val="9"/>
            <color indexed="81"/>
            <rFont val="Tahoma"/>
            <family val="2"/>
          </rPr>
          <t>G&amp;A is only applied to Direct Labor in this Workbook.</t>
        </r>
      </text>
    </comment>
    <comment ref="M66" authorId="0" shapeId="0" xr:uid="{4E5DE8AE-E5FC-4FE1-9C52-D82F8ACEA0B6}">
      <text>
        <r>
          <rPr>
            <sz val="9"/>
            <color indexed="81"/>
            <rFont val="Tahoma"/>
            <family val="2"/>
          </rPr>
          <t>G&amp;A is only applied to Direct Labor in this Workbook.</t>
        </r>
      </text>
    </comment>
    <comment ref="Q66" authorId="0" shapeId="0" xr:uid="{41B4C863-11E5-417A-A194-2118E01F847E}">
      <text>
        <r>
          <rPr>
            <sz val="9"/>
            <color indexed="81"/>
            <rFont val="Tahoma"/>
            <family val="2"/>
          </rPr>
          <t>G&amp;A is only applied to Direct Labor in this Workbook.</t>
        </r>
      </text>
    </comment>
    <comment ref="U66" authorId="0" shapeId="0" xr:uid="{0BC40365-F405-4CCB-A493-8AC862E67816}">
      <text>
        <r>
          <rPr>
            <sz val="9"/>
            <color indexed="81"/>
            <rFont val="Tahoma"/>
            <family val="2"/>
          </rPr>
          <t>G&amp;A is only applied to Direct Labor in this Workbook.</t>
        </r>
      </text>
    </comment>
    <comment ref="Y66" authorId="0" shapeId="0" xr:uid="{56798CBE-E055-4A5E-8A53-0FE0E09853DD}">
      <text>
        <r>
          <rPr>
            <sz val="9"/>
            <color indexed="81"/>
            <rFont val="Tahoma"/>
            <family val="2"/>
          </rPr>
          <t>G&amp;A is only applied to Direct Labor in this Workbook.</t>
        </r>
      </text>
    </comment>
    <comment ref="E75" authorId="0" shapeId="0" xr:uid="{53DAAF3A-0584-430A-A5B7-797E8A913A3A}">
      <text>
        <r>
          <rPr>
            <sz val="9"/>
            <color indexed="81"/>
            <rFont val="Tahoma"/>
            <family val="2"/>
          </rPr>
          <t>Insert theFCCM basis for this FY for this Phase. Repeat for all FYs in this Phase.</t>
        </r>
      </text>
    </comment>
    <comment ref="F75" authorId="0" shapeId="0" xr:uid="{1AE038B7-3167-44BE-8935-BC5C5E0E6523}">
      <text>
        <r>
          <rPr>
            <sz val="9"/>
            <color indexed="81"/>
            <rFont val="Tahoma"/>
            <family val="2"/>
          </rPr>
          <t>Insert the FCCM rate for this FY for this Phase, and repeat for all FYs for this Phase.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C2" authorId="0" shapeId="0" xr:uid="{5E6A7A0E-F1C8-4413-8E07-7E9FF7531C26}">
      <text>
        <r>
          <rPr>
            <sz val="9"/>
            <color indexed="81"/>
            <rFont val="Tahoma"/>
            <family val="2"/>
          </rPr>
          <t>Insert the Period of Performance for this Phase  in the format shown.</t>
        </r>
      </text>
    </comment>
    <comment ref="E9" authorId="0" shapeId="0" xr:uid="{C78A80CE-9F73-41E5-9AB7-AE22503A4D50}">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I9" authorId="0" shapeId="0" xr:uid="{863CB1DC-8DDA-4C70-AB3E-8D3214F84FEB}">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M9" authorId="0" shapeId="0" xr:uid="{02481512-7985-485D-B58D-9F38E1A2E72D}">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Q9" authorId="0" shapeId="0" xr:uid="{A34A8482-05A0-4F95-825A-D523DFA1DBBC}">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U9" authorId="0" shapeId="0" xr:uid="{A796E882-B454-439D-9985-A0A034177704}">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Y9" authorId="0" shapeId="0" xr:uid="{B0D52CA8-228A-4E92-AF59-1A3782AAA3A1}">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G36" authorId="0" shapeId="0" xr:uid="{5F52D378-DF7A-4048-85B2-333432F3634C}">
      <text>
        <r>
          <rPr>
            <sz val="9"/>
            <color indexed="81"/>
            <rFont val="Tahoma"/>
            <family val="2"/>
          </rPr>
          <t xml:space="preserve">Insert the subpropser costs for this FY in this Phase. Repeat for all subproposers and all FYs.
</t>
        </r>
      </text>
    </comment>
    <comment ref="E43" authorId="0" shapeId="0" xr:uid="{67EAD5C6-D2C3-4FDF-A81C-4CBD3240DE11}">
      <text>
        <r>
          <rPr>
            <sz val="9"/>
            <color indexed="81"/>
            <rFont val="Avenir Next LT Pro"/>
            <family val="2"/>
          </rPr>
          <t>Insert the number of hours this Consultant will work in this FY of this  Phase. Repeat for all Consultants and all FYs.</t>
        </r>
        <r>
          <rPr>
            <sz val="9"/>
            <color indexed="81"/>
            <rFont val="Tahoma"/>
            <family val="2"/>
          </rPr>
          <t xml:space="preserve">
</t>
        </r>
      </text>
    </comment>
    <comment ref="F43" authorId="0" shapeId="0" xr:uid="{432B0947-8B6A-46C4-8060-601CE9DAE408}">
      <text>
        <r>
          <rPr>
            <sz val="9"/>
            <color indexed="81"/>
            <rFont val="Avenir Next LT Pro"/>
            <family val="2"/>
          </rPr>
          <t>Inset the hourly rate for the Consultant in this FY for this Phase. Repeat for all Consultants and all FYs.</t>
        </r>
      </text>
    </comment>
    <comment ref="G50" authorId="0" shapeId="0" xr:uid="{2EE2B686-1249-42E7-A0B7-80E44692D985}">
      <text>
        <r>
          <rPr>
            <sz val="9"/>
            <color indexed="81"/>
            <rFont val="Tahoma"/>
            <family val="2"/>
          </rPr>
          <t>Insert ODCs for this FY and this Phase. Repeat for all ODCs and all FYs.</t>
        </r>
      </text>
    </comment>
    <comment ref="E57" authorId="0" shapeId="0" xr:uid="{F0E21AEC-71DC-4D58-BC6D-9424516F7821}">
      <text>
        <r>
          <rPr>
            <sz val="9"/>
            <color indexed="81"/>
            <rFont val="Tahoma"/>
            <family val="2"/>
          </rPr>
          <t xml:space="preserve">Insert the dollar value of the Material Handling Overhead basis for this FY for this Phase. Repeat for all FYs in this Phase.
</t>
        </r>
      </text>
    </comment>
    <comment ref="F57" authorId="0" shapeId="0" xr:uid="{38083F91-12F0-4FC9-9C19-3F7650664704}">
      <text>
        <r>
          <rPr>
            <sz val="9"/>
            <color indexed="81"/>
            <rFont val="Tahoma"/>
            <family val="2"/>
          </rPr>
          <t>Insert the Material Overhead rate for this FY and this Phase. Repeat for all FYs for this Phase.</t>
        </r>
      </text>
    </comment>
    <comment ref="E66" authorId="0" shapeId="0" xr:uid="{71540C7C-4DF1-4C53-B469-F1A753047573}">
      <text>
        <r>
          <rPr>
            <sz val="9"/>
            <color indexed="81"/>
            <rFont val="Tahoma"/>
            <family val="2"/>
          </rPr>
          <t>G&amp;A is only applied to Direct Labor in this Workbook.</t>
        </r>
      </text>
    </comment>
    <comment ref="F66" authorId="0" shapeId="0" xr:uid="{263AD588-0A13-4E74-8249-E19859333CBD}">
      <text>
        <r>
          <rPr>
            <sz val="9"/>
            <color indexed="81"/>
            <rFont val="Tahoma"/>
            <family val="2"/>
          </rPr>
          <t>Insert the G&amp;A rate for this FY for this Phase, and then repeat for all FYs for this Phase.</t>
        </r>
      </text>
    </comment>
    <comment ref="I66" authorId="0" shapeId="0" xr:uid="{B54F5E26-5D88-43B1-A807-CFE8B1691DC3}">
      <text>
        <r>
          <rPr>
            <sz val="9"/>
            <color indexed="81"/>
            <rFont val="Tahoma"/>
            <family val="2"/>
          </rPr>
          <t>G&amp;A is only applied to Direct Labor in this Workbook.</t>
        </r>
      </text>
    </comment>
    <comment ref="M66" authorId="0" shapeId="0" xr:uid="{C2EF7254-6BD1-41BC-A7AF-301205027274}">
      <text>
        <r>
          <rPr>
            <sz val="9"/>
            <color indexed="81"/>
            <rFont val="Tahoma"/>
            <family val="2"/>
          </rPr>
          <t>G&amp;A is only applied to Direct Labor in this Workbook.</t>
        </r>
      </text>
    </comment>
    <comment ref="Q66" authorId="0" shapeId="0" xr:uid="{33650E2F-5318-4520-8067-F82DE15085E3}">
      <text>
        <r>
          <rPr>
            <sz val="9"/>
            <color indexed="81"/>
            <rFont val="Tahoma"/>
            <family val="2"/>
          </rPr>
          <t>G&amp;A is only applied to Direct Labor in this Workbook.</t>
        </r>
      </text>
    </comment>
    <comment ref="U66" authorId="0" shapeId="0" xr:uid="{FB9FEB7E-DB9A-4BDA-8367-7A23560A20BF}">
      <text>
        <r>
          <rPr>
            <sz val="9"/>
            <color indexed="81"/>
            <rFont val="Tahoma"/>
            <family val="2"/>
          </rPr>
          <t>G&amp;A is only applied to Direct Labor in this Workbook.</t>
        </r>
      </text>
    </comment>
    <comment ref="Y66" authorId="0" shapeId="0" xr:uid="{3E1EAC34-4AB2-4622-8495-9D5EC1486616}">
      <text>
        <r>
          <rPr>
            <sz val="9"/>
            <color indexed="81"/>
            <rFont val="Tahoma"/>
            <family val="2"/>
          </rPr>
          <t>G&amp;A is only applied to Direct Labor in this Workbook.</t>
        </r>
      </text>
    </comment>
    <comment ref="E75" authorId="0" shapeId="0" xr:uid="{F23F953E-9CE4-406A-8457-5D751D975BD8}">
      <text>
        <r>
          <rPr>
            <sz val="9"/>
            <color indexed="81"/>
            <rFont val="Tahoma"/>
            <family val="2"/>
          </rPr>
          <t>Insert theFCCM basis for this FY for this Phase. Repeat for all FYs in this Phase.</t>
        </r>
      </text>
    </comment>
    <comment ref="F75" authorId="0" shapeId="0" xr:uid="{E93B7D83-82A0-4534-9EDA-2DB82E2A149B}">
      <text>
        <r>
          <rPr>
            <sz val="9"/>
            <color indexed="81"/>
            <rFont val="Tahoma"/>
            <family val="2"/>
          </rPr>
          <t>Insert the FCCM rate for this FY for this Phase, and repeat for all FYs for this Phase.</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C2" authorId="0" shapeId="0" xr:uid="{920DA1A4-BDFC-4F7A-BFF8-6C2FE2475A1B}">
      <text>
        <r>
          <rPr>
            <sz val="9"/>
            <color indexed="81"/>
            <rFont val="Tahoma"/>
            <family val="2"/>
          </rPr>
          <t>Insert the Period of Performance for this Phase  in the format shown.</t>
        </r>
      </text>
    </comment>
    <comment ref="E9" authorId="0" shapeId="0" xr:uid="{C6383834-5F5A-472B-9CF8-B1DD6F5C59D8}">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I9" authorId="0" shapeId="0" xr:uid="{DD30687A-A471-4DA5-8A43-E81F0A29003B}">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M9" authorId="0" shapeId="0" xr:uid="{17FF3196-4217-4B45-AD17-9C566BE26708}">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Q9" authorId="0" shapeId="0" xr:uid="{BEC5CB08-DFAC-46E5-8AC2-BD06ADC367C5}">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U9" authorId="0" shapeId="0" xr:uid="{CCB6028A-015B-46E5-9376-01DBE3EE4E18}">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Y9" authorId="0" shapeId="0" xr:uid="{C673E515-1027-4EE5-810E-3332042F3B90}">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G36" authorId="0" shapeId="0" xr:uid="{99934E54-605E-4183-8BCE-3F1A555B0E11}">
      <text>
        <r>
          <rPr>
            <sz val="9"/>
            <color indexed="81"/>
            <rFont val="Tahoma"/>
            <family val="2"/>
          </rPr>
          <t xml:space="preserve">Insert the subpropser costs for this FY in this Phase. Repeat for all subproposers and all FYs.
</t>
        </r>
      </text>
    </comment>
    <comment ref="E43" authorId="0" shapeId="0" xr:uid="{ACA22144-4832-4C91-805D-3FF6319F89F2}">
      <text>
        <r>
          <rPr>
            <sz val="9"/>
            <color indexed="81"/>
            <rFont val="Avenir Next LT Pro"/>
            <family val="2"/>
          </rPr>
          <t>Insert the number of hours this Consultant will work in this FY of this  Phase. Repeat for all Consultants and all FYs.</t>
        </r>
        <r>
          <rPr>
            <sz val="9"/>
            <color indexed="81"/>
            <rFont val="Tahoma"/>
            <family val="2"/>
          </rPr>
          <t xml:space="preserve">
</t>
        </r>
      </text>
    </comment>
    <comment ref="F43" authorId="0" shapeId="0" xr:uid="{E4E68FA0-C7FB-441A-9958-38F619A9D209}">
      <text>
        <r>
          <rPr>
            <sz val="9"/>
            <color indexed="81"/>
            <rFont val="Avenir Next LT Pro"/>
            <family val="2"/>
          </rPr>
          <t>Inset the hourly rate for the Consultant in this FY for this Phase. Repeat for all Consultants and all FYs.</t>
        </r>
      </text>
    </comment>
    <comment ref="G50" authorId="0" shapeId="0" xr:uid="{C153089D-B7D3-4D9B-BCF6-FB1DD6F6D1DE}">
      <text>
        <r>
          <rPr>
            <sz val="9"/>
            <color indexed="81"/>
            <rFont val="Tahoma"/>
            <family val="2"/>
          </rPr>
          <t>Insert ODCs for this FY and this Phase. Repeat for all ODCs and all FYs.</t>
        </r>
      </text>
    </comment>
    <comment ref="E57" authorId="0" shapeId="0" xr:uid="{2AAA03E8-58D0-4EC8-B40D-69124992808A}">
      <text>
        <r>
          <rPr>
            <sz val="9"/>
            <color indexed="81"/>
            <rFont val="Tahoma"/>
            <family val="2"/>
          </rPr>
          <t xml:space="preserve">Insert the dollar value of the Material Handling Overhead basis for this FY for this Phase. Repeat for all FYs in this Phase.
</t>
        </r>
      </text>
    </comment>
    <comment ref="F57" authorId="0" shapeId="0" xr:uid="{2F6AF164-598A-4AA9-A9C6-D29001DDD9B7}">
      <text>
        <r>
          <rPr>
            <sz val="9"/>
            <color indexed="81"/>
            <rFont val="Tahoma"/>
            <family val="2"/>
          </rPr>
          <t>Insert the Material Overhead rate for this FY and this Phase. Repeat for all FYs for this Phase.</t>
        </r>
      </text>
    </comment>
    <comment ref="E66" authorId="0" shapeId="0" xr:uid="{9457B839-531B-4AE6-B511-552AB04B5C8B}">
      <text>
        <r>
          <rPr>
            <sz val="9"/>
            <color indexed="81"/>
            <rFont val="Tahoma"/>
            <family val="2"/>
          </rPr>
          <t>G&amp;A is only applied to Direct Labor in this Workbook.</t>
        </r>
      </text>
    </comment>
    <comment ref="F66" authorId="0" shapeId="0" xr:uid="{A3B70B22-D96C-4618-B39A-BE58565A6A0C}">
      <text>
        <r>
          <rPr>
            <sz val="9"/>
            <color indexed="81"/>
            <rFont val="Tahoma"/>
            <family val="2"/>
          </rPr>
          <t>Insert the G&amp;A rate for this FY for this Phase, and then repeat for all FYs for this Phase.</t>
        </r>
      </text>
    </comment>
    <comment ref="I66" authorId="0" shapeId="0" xr:uid="{5C78EA59-40E7-43CA-8D30-6646DA910EA1}">
      <text>
        <r>
          <rPr>
            <sz val="9"/>
            <color indexed="81"/>
            <rFont val="Tahoma"/>
            <family val="2"/>
          </rPr>
          <t>G&amp;A is only applied to Direct Labor in this Workbook.</t>
        </r>
      </text>
    </comment>
    <comment ref="M66" authorId="0" shapeId="0" xr:uid="{E1F03CBF-4D24-40BA-B4A7-F7E41E2732BF}">
      <text>
        <r>
          <rPr>
            <sz val="9"/>
            <color indexed="81"/>
            <rFont val="Tahoma"/>
            <family val="2"/>
          </rPr>
          <t>G&amp;A is only applied to Direct Labor in this Workbook.</t>
        </r>
      </text>
    </comment>
    <comment ref="Q66" authorId="0" shapeId="0" xr:uid="{6ABACC68-A819-4A29-9004-03D7072B073C}">
      <text>
        <r>
          <rPr>
            <sz val="9"/>
            <color indexed="81"/>
            <rFont val="Tahoma"/>
            <family val="2"/>
          </rPr>
          <t>G&amp;A is only applied to Direct Labor in this Workbook.</t>
        </r>
      </text>
    </comment>
    <comment ref="U66" authorId="0" shapeId="0" xr:uid="{1DA5A972-B371-4A6D-BEEA-973FC5D10A42}">
      <text>
        <r>
          <rPr>
            <sz val="9"/>
            <color indexed="81"/>
            <rFont val="Tahoma"/>
            <family val="2"/>
          </rPr>
          <t>G&amp;A is only applied to Direct Labor in this Workbook.</t>
        </r>
      </text>
    </comment>
    <comment ref="Y66" authorId="0" shapeId="0" xr:uid="{15A925B7-27C1-454D-A032-BFBD06A1C81B}">
      <text>
        <r>
          <rPr>
            <sz val="9"/>
            <color indexed="81"/>
            <rFont val="Tahoma"/>
            <family val="2"/>
          </rPr>
          <t>G&amp;A is only applied to Direct Labor in this Workbook.</t>
        </r>
      </text>
    </comment>
    <comment ref="E75" authorId="0" shapeId="0" xr:uid="{C7F425C4-E784-43B1-ACF6-2226A26E9A52}">
      <text>
        <r>
          <rPr>
            <sz val="9"/>
            <color indexed="81"/>
            <rFont val="Tahoma"/>
            <family val="2"/>
          </rPr>
          <t>Insert theFCCM basis for this FY for this Phase. Repeat for all FYs in this Phase.</t>
        </r>
      </text>
    </comment>
    <comment ref="F75" authorId="0" shapeId="0" xr:uid="{DE919676-5A46-4C17-B7CB-9A1AC3D29DE0}">
      <text>
        <r>
          <rPr>
            <sz val="9"/>
            <color indexed="81"/>
            <rFont val="Tahoma"/>
            <family val="2"/>
          </rPr>
          <t>Insert the FCCM rate for this FY for this Phase, and repeat for all FYs for this Phase.</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C2" authorId="0" shapeId="0" xr:uid="{4FBCA6B2-0E30-478C-8CCA-DF2247A119A2}">
      <text>
        <r>
          <rPr>
            <sz val="9"/>
            <color indexed="81"/>
            <rFont val="Tahoma"/>
            <family val="2"/>
          </rPr>
          <t>Insert the Period of Performance for this Phase  in the format shown.</t>
        </r>
      </text>
    </comment>
    <comment ref="E9" authorId="0" shapeId="0" xr:uid="{384DB4BE-B896-498C-82AC-52F239C93B63}">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I9" authorId="0" shapeId="0" xr:uid="{99113BF6-DE5F-40C0-BCA6-6F4876E6E011}">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M9" authorId="0" shapeId="0" xr:uid="{F90345A1-38B4-4B65-BDCB-2DD973781D08}">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Q9" authorId="0" shapeId="0" xr:uid="{3B806FE1-327E-4309-95F1-DBD1509A74D7}">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U9" authorId="0" shapeId="0" xr:uid="{9B04FDCA-4028-41F3-864E-4BED452C2A2F}">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Y9" authorId="0" shapeId="0" xr:uid="{C49EF864-DC17-4A89-9B91-36EB628A4EBC}">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G36" authorId="0" shapeId="0" xr:uid="{9F55A6DD-919F-4F1A-B76C-98350D18C532}">
      <text>
        <r>
          <rPr>
            <sz val="9"/>
            <color indexed="81"/>
            <rFont val="Tahoma"/>
            <family val="2"/>
          </rPr>
          <t xml:space="preserve">Insert the subpropser costs for this FY in this Phase. Repeat for all subproposers and all FYs.
</t>
        </r>
      </text>
    </comment>
    <comment ref="E43" authorId="0" shapeId="0" xr:uid="{FE910F9F-3F61-42D1-8CCA-6845473255F3}">
      <text>
        <r>
          <rPr>
            <sz val="9"/>
            <color indexed="81"/>
            <rFont val="Avenir Next LT Pro"/>
            <family val="2"/>
          </rPr>
          <t>Insert the number of hours this Consultant will work in this FY of this  Phase. Repeat for all Consultants and all FYs.</t>
        </r>
        <r>
          <rPr>
            <sz val="9"/>
            <color indexed="81"/>
            <rFont val="Tahoma"/>
            <family val="2"/>
          </rPr>
          <t xml:space="preserve">
</t>
        </r>
      </text>
    </comment>
    <comment ref="F43" authorId="0" shapeId="0" xr:uid="{2044D947-07E3-412E-874E-E05E63F24436}">
      <text>
        <r>
          <rPr>
            <sz val="9"/>
            <color indexed="81"/>
            <rFont val="Avenir Next LT Pro"/>
            <family val="2"/>
          </rPr>
          <t>Inset the hourly rate for the Consultant in this FY for this Phase. Repeat for all Consultants and all FYs.</t>
        </r>
      </text>
    </comment>
    <comment ref="G50" authorId="0" shapeId="0" xr:uid="{8E93A26D-E20F-4381-AD1D-DB1817D96ED1}">
      <text>
        <r>
          <rPr>
            <sz val="9"/>
            <color indexed="81"/>
            <rFont val="Tahoma"/>
            <family val="2"/>
          </rPr>
          <t>Insert ODCs for this FY and this Phase. Repeat for all ODCs and all FYs.</t>
        </r>
      </text>
    </comment>
    <comment ref="E57" authorId="0" shapeId="0" xr:uid="{10DA42EB-6F3E-4D28-913D-F27B11F0962D}">
      <text>
        <r>
          <rPr>
            <sz val="9"/>
            <color indexed="81"/>
            <rFont val="Tahoma"/>
            <family val="2"/>
          </rPr>
          <t xml:space="preserve">Insert the dollar value of the Material Handling Overhead basis for this FY for this Phase. Repeat for all FYs in this Phase.
</t>
        </r>
      </text>
    </comment>
    <comment ref="F57" authorId="0" shapeId="0" xr:uid="{A34AEDED-FC54-4732-8D2C-5EB6A84B3FAC}">
      <text>
        <r>
          <rPr>
            <sz val="9"/>
            <color indexed="81"/>
            <rFont val="Tahoma"/>
            <family val="2"/>
          </rPr>
          <t>Insert the Material Overhead rate for this FY and this Phase. Repeat for all FYs for this Phase.</t>
        </r>
      </text>
    </comment>
    <comment ref="E66" authorId="0" shapeId="0" xr:uid="{37F9C5FA-B00A-422E-A281-8E89D0D839A4}">
      <text>
        <r>
          <rPr>
            <sz val="9"/>
            <color indexed="81"/>
            <rFont val="Tahoma"/>
            <family val="2"/>
          </rPr>
          <t>G&amp;A is only applied to Direct Labor in this Workbook.</t>
        </r>
      </text>
    </comment>
    <comment ref="F66" authorId="0" shapeId="0" xr:uid="{127CE59F-0971-4296-8AAF-67FB9F9253FF}">
      <text>
        <r>
          <rPr>
            <sz val="9"/>
            <color indexed="81"/>
            <rFont val="Tahoma"/>
            <family val="2"/>
          </rPr>
          <t>Insert the G&amp;A rate for this FY for this Phase, and then repeat for all FYs for this Phase.</t>
        </r>
      </text>
    </comment>
    <comment ref="I66" authorId="0" shapeId="0" xr:uid="{F5732AF5-6233-40A1-AD5B-6E99A437449C}">
      <text>
        <r>
          <rPr>
            <sz val="9"/>
            <color indexed="81"/>
            <rFont val="Tahoma"/>
            <family val="2"/>
          </rPr>
          <t>G&amp;A is only applied to Direct Labor in this Workbook.</t>
        </r>
      </text>
    </comment>
    <comment ref="M66" authorId="0" shapeId="0" xr:uid="{71F35767-1EBE-44FE-91FB-165E69C445F4}">
      <text>
        <r>
          <rPr>
            <sz val="9"/>
            <color indexed="81"/>
            <rFont val="Tahoma"/>
            <family val="2"/>
          </rPr>
          <t>G&amp;A is only applied to Direct Labor in this Workbook.</t>
        </r>
      </text>
    </comment>
    <comment ref="Q66" authorId="0" shapeId="0" xr:uid="{62A53AD2-48DD-4875-B6E4-3BE6E8D4F355}">
      <text>
        <r>
          <rPr>
            <sz val="9"/>
            <color indexed="81"/>
            <rFont val="Tahoma"/>
            <family val="2"/>
          </rPr>
          <t>G&amp;A is only applied to Direct Labor in this Workbook.</t>
        </r>
      </text>
    </comment>
    <comment ref="U66" authorId="0" shapeId="0" xr:uid="{A0C6A339-84F9-4D0D-BF1C-F1A0D192A637}">
      <text>
        <r>
          <rPr>
            <sz val="9"/>
            <color indexed="81"/>
            <rFont val="Tahoma"/>
            <family val="2"/>
          </rPr>
          <t>G&amp;A is only applied to Direct Labor in this Workbook.</t>
        </r>
      </text>
    </comment>
    <comment ref="Y66" authorId="0" shapeId="0" xr:uid="{44624C93-A412-45BC-A002-01F5E3E41B20}">
      <text>
        <r>
          <rPr>
            <sz val="9"/>
            <color indexed="81"/>
            <rFont val="Tahoma"/>
            <family val="2"/>
          </rPr>
          <t>G&amp;A is only applied to Direct Labor in this Workbook.</t>
        </r>
      </text>
    </comment>
    <comment ref="E75" authorId="0" shapeId="0" xr:uid="{F0586AD9-2D88-4C41-A9A5-06942470D3DF}">
      <text>
        <r>
          <rPr>
            <sz val="9"/>
            <color indexed="81"/>
            <rFont val="Tahoma"/>
            <family val="2"/>
          </rPr>
          <t>Insert theFCCM basis for this FY for this Phase. Repeat for all FYs in this Phase.</t>
        </r>
      </text>
    </comment>
    <comment ref="F75" authorId="0" shapeId="0" xr:uid="{6D5A84B9-B990-429F-A5C4-27C83E0E26E8}">
      <text>
        <r>
          <rPr>
            <sz val="9"/>
            <color indexed="81"/>
            <rFont val="Tahoma"/>
            <family val="2"/>
          </rPr>
          <t>Insert the FCCM rate for this FY for this Phase, and repeat for all FYs for this Phase.</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X16" authorId="0" shapeId="0" xr:uid="{BC3D071C-F294-44D3-BE6F-4D858B64E2D5}">
      <text>
        <r>
          <rPr>
            <b/>
            <sz val="9"/>
            <color indexed="81"/>
            <rFont val="Tahoma"/>
            <family val="2"/>
          </rPr>
          <t>When more than 1 POV is used, use the combined average number of miles for all vehicles.</t>
        </r>
      </text>
    </comment>
    <comment ref="X27" authorId="0" shapeId="0" xr:uid="{8729807F-6238-4DCB-87CF-10A3F341C27A}">
      <text>
        <r>
          <rPr>
            <b/>
            <sz val="9"/>
            <color indexed="81"/>
            <rFont val="Tahoma"/>
            <family val="2"/>
          </rPr>
          <t>When more than one POV is used, use the combined average number of miles for all vehicles.</t>
        </r>
      </text>
    </comment>
  </commentList>
</comments>
</file>

<file path=xl/sharedStrings.xml><?xml version="1.0" encoding="utf-8"?>
<sst xmlns="http://schemas.openxmlformats.org/spreadsheetml/2006/main" count="3198" uniqueCount="835">
  <si>
    <t>Version ID</t>
  </si>
  <si>
    <t>Tab</t>
  </si>
  <si>
    <t>Changes from Previous</t>
  </si>
  <si>
    <t>12-2019</t>
  </si>
  <si>
    <t>Original Version used for BTO BAA.</t>
  </si>
  <si>
    <t>01-2020.1</t>
  </si>
  <si>
    <t>Base, all Options, Tasks</t>
  </si>
  <si>
    <t>In Base and all Option tabs and two TASK tabs, column Q in Labor Rates table, now refers to correct column (N) instead of (M).  Incorrect column caused Fringe Benefit Rate to be used instead of Labor Overhead Rate in calculations.  This was only incorrect for the second fiscal year (only column Q).</t>
  </si>
  <si>
    <t>In all of the same tabs described above, cell U72 was distributed with "10%" as the default value.  This is changed to be 0%</t>
  </si>
  <si>
    <t>Summary Cost Table</t>
  </si>
  <si>
    <t>Removed the inclusion of row D (hours) in the Checksum value in the bottom row.</t>
  </si>
  <si>
    <t>03-2020</t>
  </si>
  <si>
    <t xml:space="preserve">Summed the Hours for Consultants.  </t>
  </si>
  <si>
    <t>General</t>
  </si>
  <si>
    <t xml:space="preserve">Updated the General Instructions Word document.  </t>
  </si>
  <si>
    <t>Base</t>
  </si>
  <si>
    <t>Yellow highlights added to column B.</t>
  </si>
  <si>
    <t>04-2020</t>
  </si>
  <si>
    <t>Constants</t>
  </si>
  <si>
    <t>There were two "Program/Project Manager III" categories.  Changed second one to be "Program/Project Manager II"</t>
  </si>
  <si>
    <t>1.04.00</t>
  </si>
  <si>
    <t>Top, added CAGE codes and proposer's proposal ID.</t>
  </si>
  <si>
    <t>Added Fringe, Overhead (Labor), G&amp;A (Labor) and F&amp;A (Labor) to the Indirect Rates list.</t>
  </si>
  <si>
    <t>Cells B18 &amp; B19 instructions expanded.</t>
  </si>
  <si>
    <t>Labor Rates</t>
  </si>
  <si>
    <t>Updated A7, B7 to include the word "Required".</t>
  </si>
  <si>
    <t>Offeror Constants</t>
  </si>
  <si>
    <t>Replaced out-year fiscal year dates with formulas that add 12 months to the prior FY date.  Plus conditional formatting on FY Begin Dates.</t>
  </si>
  <si>
    <t>Added checksums and Hour Totals by Proposer's FY</t>
  </si>
  <si>
    <t>Indirect Rates</t>
  </si>
  <si>
    <t>Added Profit and Fee categories.  Renamed tab to be Indirect Rates and Profit_Fee</t>
  </si>
  <si>
    <t>Changed Escalation Rate to be "N/A" when the prior year's labor rate is zero.</t>
  </si>
  <si>
    <t>Additional Tabs</t>
  </si>
  <si>
    <t>Copied additional tabs from the "Multiple TAs" version of this spreadsheet.</t>
  </si>
  <si>
    <t>1.05.00</t>
  </si>
  <si>
    <t>Added the SBIR/STTR Phase selection</t>
  </si>
  <si>
    <t>Proposer Constants</t>
  </si>
  <si>
    <t>Added the Small Business Size Estimate selection</t>
  </si>
  <si>
    <t>Indirect Rates and Profit_Fee</t>
  </si>
  <si>
    <t xml:space="preserve">Updated instructions in cell B16 </t>
  </si>
  <si>
    <t>1.06.00</t>
  </si>
  <si>
    <t>Removed the (labor) and (non-labor) designations after G&amp;A and F&amp;A indirect rate categories</t>
  </si>
  <si>
    <t>1.06.01</t>
  </si>
  <si>
    <t>Added Faculty/Professor to Research labor group for Academia business type</t>
  </si>
  <si>
    <t>1.06.02</t>
  </si>
  <si>
    <t>Added new Fringe (Students) indirect category for academia</t>
  </si>
  <si>
    <t>Instructions</t>
  </si>
  <si>
    <t>Added new worksheet named Instructions</t>
  </si>
  <si>
    <t>Travel</t>
  </si>
  <si>
    <t>Updated to accommodate first/last day of travel calculations</t>
  </si>
  <si>
    <t>Increased precision of percentages to seven decimal places, primarily for Cost of Money</t>
  </si>
  <si>
    <t>Spreadsheet Version Number</t>
  </si>
  <si>
    <t>First digit change --&gt; prior functions changes.  Second digit change --&gt; new function added.  Third digit change --&gt; change in spreadsheet that does not affect CPDB.</t>
  </si>
  <si>
    <t>SpecificAnnouncementNumber</t>
  </si>
  <si>
    <t>General, I2, Picklist of Offeror Business Types</t>
  </si>
  <si>
    <t>Cell Range Naming Conventions:</t>
  </si>
  <si>
    <t>Large Business</t>
  </si>
  <si>
    <t>ThisIsAName = internal constants such as pick-lists</t>
  </si>
  <si>
    <t>Small Business</t>
  </si>
  <si>
    <t>This.Is.a.Name = named ranges holding proposer data</t>
  </si>
  <si>
    <t>Non-Profit</t>
  </si>
  <si>
    <t>Academia</t>
  </si>
  <si>
    <t>Lab/FFRDC</t>
  </si>
  <si>
    <t>Labor Collection --&gt; Labor Group --&gt; Labor Category</t>
  </si>
  <si>
    <t>Labor Collection based on Offeror Business Type Selection</t>
  </si>
  <si>
    <t>Valid values are Academia or General</t>
  </si>
  <si>
    <t>Add/Change Labor Collection requires Data Validation code change on Labor Rates tab, and new Labor Group list below.</t>
  </si>
  <si>
    <t>No Business Type Selected</t>
  </si>
  <si>
    <t>instructional choice</t>
  </si>
  <si>
    <t>First select a Business Type</t>
  </si>
  <si>
    <t>No Labor Collection is available</t>
  </si>
  <si>
    <t>Academia Labor Groups</t>
  </si>
  <si>
    <t>Add/Change Labor Group requires changes below to Categories</t>
  </si>
  <si>
    <t>Project Management</t>
  </si>
  <si>
    <t>Research</t>
  </si>
  <si>
    <t>Consultant</t>
  </si>
  <si>
    <t>Administrative Support</t>
  </si>
  <si>
    <t>General Labor Groups</t>
  </si>
  <si>
    <t>Science and Engineering</t>
  </si>
  <si>
    <t>Software Development</t>
  </si>
  <si>
    <t>Support</t>
  </si>
  <si>
    <t>Academia Project Management Categories</t>
  </si>
  <si>
    <t>Principal Investigator</t>
  </si>
  <si>
    <t>Co-Principal Investigator</t>
  </si>
  <si>
    <t>Co-Investigator</t>
  </si>
  <si>
    <t>Project Manager</t>
  </si>
  <si>
    <t>Academia Research Categories</t>
  </si>
  <si>
    <t>Faculty/Professor</t>
  </si>
  <si>
    <t>Sr. Post-Doc</t>
  </si>
  <si>
    <t>Post-Doc</t>
  </si>
  <si>
    <t>Post-Doc Fellow</t>
  </si>
  <si>
    <t>Research Scientist/Engineer</t>
  </si>
  <si>
    <t>Research Associate</t>
  </si>
  <si>
    <t>Research Assistant</t>
  </si>
  <si>
    <t>Staff Scientist</t>
  </si>
  <si>
    <t>Graduate Research Assistant</t>
  </si>
  <si>
    <t>Graduate Student</t>
  </si>
  <si>
    <t>Undergrad Student</t>
  </si>
  <si>
    <t>Academia Consultant Categories</t>
  </si>
  <si>
    <t>Academia Administrative Support Categories</t>
  </si>
  <si>
    <t>Project Administrator</t>
  </si>
  <si>
    <t>Systems Administrator</t>
  </si>
  <si>
    <t>General Support Categories</t>
  </si>
  <si>
    <t>Administrative</t>
  </si>
  <si>
    <t>Security</t>
  </si>
  <si>
    <t>Financial</t>
  </si>
  <si>
    <t>Contracts</t>
  </si>
  <si>
    <t>General Project Management Categories</t>
  </si>
  <si>
    <t>Principal Pgm/Proj Mgr</t>
  </si>
  <si>
    <t>Senior-level Pgm/Proj Mgr</t>
  </si>
  <si>
    <t>Mid-level Prgm/Proj Mgr</t>
  </si>
  <si>
    <t>Junior Pgm/Proj Mgr</t>
  </si>
  <si>
    <t>General Science and Engineering Categories</t>
  </si>
  <si>
    <t>Principal Scientist</t>
  </si>
  <si>
    <t>Senior-level Scientist</t>
  </si>
  <si>
    <t>Mid-level Scientist</t>
  </si>
  <si>
    <t>Junior Scientist</t>
  </si>
  <si>
    <t>General Software Development Categories</t>
  </si>
  <si>
    <t>Principal Software Developer</t>
  </si>
  <si>
    <t>Senior-level Software Developer</t>
  </si>
  <si>
    <t>Mid-level Software Developer</t>
  </si>
  <si>
    <t>Junior Software Developer</t>
  </si>
  <si>
    <t>General Manufacturing Categories</t>
  </si>
  <si>
    <t>Principal Manufacturer</t>
  </si>
  <si>
    <t>Senior-level Manufacturer</t>
  </si>
  <si>
    <t>Mid-level Manufacturer</t>
  </si>
  <si>
    <t>Junior Manufacturer</t>
  </si>
  <si>
    <t>Principal Quality Control</t>
  </si>
  <si>
    <t>Senior-level Quality Control</t>
  </si>
  <si>
    <t>Mid-level Quality Control</t>
  </si>
  <si>
    <t>Junior Quality Control</t>
  </si>
  <si>
    <t>General Consultant Categories</t>
  </si>
  <si>
    <t>Indirect Rate Categories</t>
  </si>
  <si>
    <t>Fringe</t>
  </si>
  <si>
    <t>Fringe (Students)</t>
  </si>
  <si>
    <t>Overhead (Labor)</t>
  </si>
  <si>
    <t>General and Administrative</t>
  </si>
  <si>
    <t>Facilities and Administrative Cost Rate</t>
  </si>
  <si>
    <t>Material Handling</t>
  </si>
  <si>
    <t>Procurement Overhead</t>
  </si>
  <si>
    <t>Subcontract Overhead</t>
  </si>
  <si>
    <t>Business Operating Support Overhead</t>
  </si>
  <si>
    <t>Information Technology Support Overhead</t>
  </si>
  <si>
    <t>Other Direct Cost (ODC) Overhead</t>
  </si>
  <si>
    <t>Facilities Cost of Money: Procurement COM</t>
  </si>
  <si>
    <t>Facilities Cost of Money: G&amp;A COM</t>
  </si>
  <si>
    <t>Facilities Cost of Money: Labor/Engineering COM</t>
  </si>
  <si>
    <t>Other Overhead/Cost Factors</t>
  </si>
  <si>
    <t>Profit (Fixed Price Awards)</t>
  </si>
  <si>
    <t>Fee (Cost Type Awards)</t>
  </si>
  <si>
    <t>SBIR/STTR Phase Choices</t>
  </si>
  <si>
    <t>Not Applicable</t>
  </si>
  <si>
    <t>Phase I</t>
  </si>
  <si>
    <t>Phase II</t>
  </si>
  <si>
    <t>Phase III</t>
  </si>
  <si>
    <t>Small Business Size Choices</t>
  </si>
  <si>
    <t>1-100</t>
  </si>
  <si>
    <t>101-500</t>
  </si>
  <si>
    <t>501-1,000</t>
  </si>
  <si>
    <t>1,000+</t>
  </si>
  <si>
    <t>Business</t>
  </si>
  <si>
    <t>ARPA-H WORKBOOK INSTRUCTIONS</t>
  </si>
  <si>
    <t>•     These instructions describe how to use this ARPA-H Standard Cost Proposal Workbook when an Other Transaction using a Resource Sharing agreement is contemplated. Proposers shall use a different Workbook for proposals that do not contemplate Resource Sharing.   These instructions do not replace or supersede the cost proposal instructions given in the solicitation or announcement.</t>
  </si>
  <si>
    <t>•     This Workbook is to be used by both a Prime Proposer and its Subproposers. While each Proposer and Subproposer must complete the Workbook for its own organziation, the Prime may submit all Workbooks. Subproposers may submit theirs separately if they so choose.</t>
  </si>
  <si>
    <r>
      <t>•    </t>
    </r>
    <r>
      <rPr>
        <b/>
        <sz val="11"/>
        <rFont val="Avenir Next LT Pro Light"/>
        <family val="2"/>
      </rPr>
      <t xml:space="preserve"> The instructions that follow apply to the tabs that are colored;</t>
    </r>
    <r>
      <rPr>
        <sz val="11"/>
        <rFont val="Avenir Next LT Pro Light"/>
        <family val="2"/>
      </rPr>
      <t xml:space="preserve"> the spreadsheets within these tabs are linked together using references and formulas.  The non-colored/white tabs, such as Subproposer, Travel, etc. contain stand-alone spreadsheets that provide for expression of cost proposal details as required.  Formulas, etc. may be modified within the standalone tab spreadsheets (i.e., subproposer, consultants, travel, materials-supplies, equipment, ODC details, and expenditures by month).  You may add tabs and spreadhseets to the Workbook to clarify a proposal.</t>
    </r>
  </si>
  <si>
    <t>•     Note that, in addition to the instructions provided herein, each spreadsheet may have additional guidance and instructions on it.</t>
  </si>
  <si>
    <t>Spreadsheets</t>
  </si>
  <si>
    <t>All Speadsheets</t>
  </si>
  <si>
    <r>
      <t xml:space="preserve">•  </t>
    </r>
    <r>
      <rPr>
        <b/>
        <sz val="11"/>
        <rFont val="Avenir Next LT Pro Light"/>
        <family val="2"/>
      </rPr>
      <t>DO NOT DELETE tabs, spreadsheets, or rows or columns within spreadsheets in this template</t>
    </r>
    <r>
      <rPr>
        <sz val="11"/>
        <rFont val="Avenir Next LT Pro Light"/>
        <family val="2"/>
      </rPr>
      <t>.  This will damage the structure of the Workbook.  If you don't want to see a tab, row, or column, use the Hide function.</t>
    </r>
  </si>
  <si>
    <t>•  Before entering detailed proposal data, Proposers must begin with the "General" tab, where the Proposing- and the Prime organization name(s) (and other data) will be entered. Proposers then complete the "Proposer Constants" tab where a Business Type will be selected. When those are done, the unshaded cells within the tabs entitled" Labor Rates", "Phase # Costs," and "Ph # Task $ "must be filled in, followed by completion of the remaining spreadsheets (the uncolored tabs) that are included in the Workbook, as applicable.</t>
  </si>
  <si>
    <r>
      <t xml:space="preserve">•   Except for the "Total Amount" Spreadsheet and all Instructions throughout the workbook, unshaded/clear cells are for data entry.  Colored/shaded cells indicate references or formulas that should not be changed unless the reference or formula does not match the proposing organization's business rules.  If these references/formulas are changed, you must ensure the change does not affect the overall flow of the spreadsheet or workbook. There are notes throughout the Workbook to assist in data input. </t>
    </r>
    <r>
      <rPr>
        <b/>
        <sz val="11"/>
        <rFont val="Avenir Next LT Pro Light"/>
        <family val="2"/>
      </rPr>
      <t>The "Total Amount" Spreadsheet pulls in data from all of the other spreadsheets and does not require any data input whatsoever.</t>
    </r>
  </si>
  <si>
    <t>•  When asked to select from a pick-list, choose the closest option presented.</t>
  </si>
  <si>
    <t>•  If the Proposer needs to add a new line within any spreadsheet, that line must be added to the remaining associated speadsheets and done carefully, ensuring all appropriate formulas carry forward, and are duplicated in all like-spreadsheets. It is often easier to simply add the additional data to another complete Workbook and refer to such in the Cost Proposal write-up.</t>
  </si>
  <si>
    <t>General Tab Spreadsheet</t>
  </si>
  <si>
    <t>•   Complete cells D4, D5, D6, D7, E4, and E5.  (The CAGE codes and an accurate ARPA-H solicitation number are helpful.)</t>
  </si>
  <si>
    <t>•  The "Summary of Proposed Total Costs" section of the General tab spreadsheet will self-complete as cost data is entered into the "Phase # Costs" spreadsheet(s).</t>
  </si>
  <si>
    <t>Proposer Constants Tab Spreadsheet</t>
  </si>
  <si>
    <t xml:space="preserve">•  Click on cell B5 of the "Proposer Constants" spreadsheet; a small arrow in the bottom right hand corner of that cell will appear. Click on that arrow and a drop-down list of several organization types will appear. Select the organization type that best describes the Proposer.  (If this selection is changed, the "ARPA-H Labor Group" and "ARPA-H Labor Category" will have to be reselected for each person the "Labor Rates" spreadsheet.)  If "Small Business" is selected, cells D5 and E5 will activate. Clicking on cell E5 causes a small arrow in the bottom right hand corner of that cell to appear. Click on that arrow, and a drop-down list of numbers appears that is used to identify the number of employees in the Proposing Organization; select the appropriate number. </t>
  </si>
  <si>
    <t>•  Proposer Accounting Periods describe the begin/end dates for your organization's accounting periods. Complete cells C14 and C15 through H14 and H15. Do not leave a gap between accounting periods.</t>
  </si>
  <si>
    <t>•  Change the Labels in Cells C13-H13 as the Proposer sees fit.  These labels will appear on line 6 above the Direct Labor costs FY in each of the "Phase # Costs" spreadsheets.</t>
  </si>
  <si>
    <t>•  This Workbook provides Proposers with up to six fiscal years for each phase of their proposal, which is typically more than sufficient for ARPA-H R&amp;D efforts.  Proposers should not use all six fiscal years or all Phase Cost spreadsheets if they are not applicable. If Proposers need more fiscal years (or accounting periods), use a second Workbook -- do not attempt to add fiscal years to this Workbook's spreadsheets.</t>
  </si>
  <si>
    <t>Labor Rates Tab Spreadsheet</t>
  </si>
  <si>
    <t>•   This Workbook relies heavily on the data within the "Labor Rates" spreadsheet.  This is where labor categories and labor rates that feed through to the cost details of the rest of the Workbook are listed.</t>
  </si>
  <si>
    <t xml:space="preserve">•  Each person assigned to the R&amp;D effort is represented under colums B-E, rows 8-31 of this spreadsheet. (The data within columns F, H, J, L, N, and P will pull through to the spreadsheets within the "Phase # Costs" spreadsheets.) Within each cell (rows 8-31) of Column E, put the full name of each person assigned to this project.  In column D, type in the Proposer's labor category for each person identified un Column E. Then, under Column B, click on cell B8 and a small arrow will appear in the bottom right corner. Click on that arrow and select from the list of ARPA-H labor groups that closest match that person's labor category/job title. Do this for each cell within column B through cell B31 for each person in Column E. Repeat the same process for Column C for the ARPA-H labor categories. (The descriptions of ARPA-H labor categories are in Cells C39-C48.) </t>
  </si>
  <si>
    <t xml:space="preserve">•  Next, complete Cells F8-F31 (as applicable) and provide the fully loaded (all labor overheads added) base labor rate for each person, and then only the escalation rates threafter in columns G, I, K, M, and O. The spreadsheet will do all of the calculations; all of the fully loaded rates will pull through to the "Phase # Costs" spreadsheets. The only labor-related data that will need to be entered into the "Phase # Costs" spreadsheets are the number of hours for each person for each of the fiscal years that apply in each Phase. </t>
  </si>
  <si>
    <t>•  When the Proposer's organization doesn't normally operate on an hourly rate basis (e.g., annual salary data), insert a formula in each Cell from F8 to F31 that divides the appropriate basis by the appropriate number of Full Time Equivalent (FTE) labor hours (for example: = [annual salary]/1,920, or 1,840); etc. (1,920 allows for 10 federal holidays and 80 hours of leave; 1,840 allows for the holidays and 4 weeks of leave).)  This formula will derive the hourly rate needed. It only needs to be done once, in the base year's labor rate fields.</t>
  </si>
  <si>
    <t>•  If more lines for personnel are needed than the 24 provided, see the instructions below to add more lines to the "Labor Rates"sheet and the "Phase # Costs" sheets.</t>
  </si>
  <si>
    <t>Phase # Cost Tabs Spreadsheets</t>
  </si>
  <si>
    <t>•  Do not change the labor categories or names of personnel on the "Phase # Costs" spreadsheets.  All of those changes must be done on the "Labor Rates" spreadsheet.</t>
  </si>
  <si>
    <t>•  The labor categories and personnel names that appear in columns A, B, and C of each "Phase # Costs" spreadsheet come from columns D and E of the "Labor Rates" spreadsheet.  All "Phase # Costs" spreadsheets should have the same personnel listed in Rows 8-31.  For example, if you have a particular person who will only be involved during Phase 2, that person's name should be listed on all "Phase # Costs" spreadsheets, but will have hours and associated costs showing only within the "Phase 2 Costs" spreadsheet.</t>
  </si>
  <si>
    <t xml:space="preserve">•  Proposers may add additional specific cost categories (Subproposer, ODC types, etc.) as needed but must ensure those new cost categories track to the "Total Amount" spreadsheet.  Add more rows as necessary, but ensure that all formulas carry forward.  </t>
  </si>
  <si>
    <t>ADDING ROWS</t>
  </si>
  <si>
    <t>•     This spreadsheet is designed to handle the addition of rows only; not the addition or removal of columns.  Use the Hide function to hide rows or columns that are not needed.</t>
  </si>
  <si>
    <t>•     When adding rows to a spreadsheet, it must be done consistently for all related sheets.  In the event more than the 24 rows provided for labor categories is needed, it is best to simply add those personnel and their associated data and costs to a new Workbook.  If, however, you want to add people to the "Phase # Costs" sheets, you must begin with the "Labor Rates" sheet, where you will click on any of the rows between 8 and 31, insert the number of lines needed, copy the formulas from the row above the added line(s), paste them into the new row(s), and add the requested data. You must do the same for each of the "Phase # Costs" sheets and the "Total Amount" spreadsheet. If done correctly, all of the data within the "Labor Rates" sheet will be automatically pulled in to the "Phase # Costs" sheets, which will then transfer to the "Total Amount" sheet.</t>
  </si>
  <si>
    <t>GENERAL INFORMATION</t>
  </si>
  <si>
    <t>Proposer Name:</t>
  </si>
  <si>
    <t>Name</t>
  </si>
  <si>
    <t>Proposer's CAGE Code</t>
  </si>
  <si>
    <t>Prime Proposer:</t>
  </si>
  <si>
    <t>Prime's CAGE Code</t>
  </si>
  <si>
    <t>Solicitation No.</t>
  </si>
  <si>
    <t>Number</t>
  </si>
  <si>
    <t>Proposer's Proposal ID:</t>
  </si>
  <si>
    <t>ID</t>
  </si>
  <si>
    <t>The information acquired by this Workbook will assist government personnel in performing their review and evaluation of the cost proposals submitted by Proposers, and will assist with negotiations should they take place.  Providing adequate supporting data and attachments, and establishing reasonableness of proposed costs, is solely the responsibility of Proposers; therefore, it is in each Proposer’s best interest to submit a fully supportable and well-prepared cost proposal, to include the basis of and rationale for all proposed costs, so the information provided can be relied upon as being current, complete, and accurate.</t>
  </si>
  <si>
    <t>In addition to providing detailed cost summaries by Phase, each Proposer must provide a breakdown of costs by the Tasks identified in the statement of work. The "Ph # Task $" tabs provide the spreadsheets (sheets) needed to capture this data. The sum of all costs for each Task sheet (Cells M59 and N58 of each Ph # Task $" sheet) must equal the total cost summary identified in yellow (Cell O61), which is being pulled from Cell AD79 of that Phase's "Phase # Costs" sheet.</t>
  </si>
  <si>
    <t xml:space="preserve">Any Phase that is not priced will not be included in any resulting award.  </t>
  </si>
  <si>
    <t>•   Enter the proposed cost detail in the "Phase # Costs" sheets for each Phase that applies to your proposal.  The tab entitled "Total Amount" will automatically calculate from the figures entered into the "Phase" sheets.</t>
  </si>
  <si>
    <t>•   Before entering data in any "Phase # Costs" sheet, the non-highlighted/white fields on the "General", "Proposer Constants", and "Labor Rates" sheets must be completed.  A business type on the "Proposer Constants" sheet must be selected before "Labor Groups" and "Labor Categories" can be selected in "Labor Rates" sheet.</t>
  </si>
  <si>
    <t>•  Proposers may add additional specific cost categories (Subproposers, ODC types, etc.) as needed but must ensure those new cost categories track to the "Total Amount" sheet.  See the Instructions tab for details.</t>
  </si>
  <si>
    <t>•  Unshaded/White cells are for data entry.  Highlighted cells indicate references or formulas that should not be changed unless the formula does not match the Proposer's business rules.  If these formulas are changed, the Proposer must ensure the change does not affect the overall flow of the Workbook.</t>
  </si>
  <si>
    <r>
      <t>•</t>
    </r>
    <r>
      <rPr>
        <sz val="7"/>
        <rFont val="Avenir Next LT Pro Light"/>
        <family val="2"/>
      </rPr>
      <t xml:space="preserve">  </t>
    </r>
    <r>
      <rPr>
        <sz val="12"/>
        <rFont val="Avenir Next LT Pro Light"/>
        <family val="2"/>
      </rPr>
      <t>Ensure all costs from other sheets are correct</t>
    </r>
    <r>
      <rPr>
        <i/>
        <sz val="12"/>
        <rFont val="Avenir Next LT Pro Light"/>
        <family val="2"/>
      </rPr>
      <t>.</t>
    </r>
  </si>
  <si>
    <t>•  If a row, column, or sheet in this Workbook is not needed for your proposal, either ignore it or hide it; do not delete it.</t>
  </si>
  <si>
    <r>
      <rPr>
        <b/>
        <sz val="12"/>
        <rFont val="Avenir Next LT Pro Light"/>
        <family val="2"/>
      </rPr>
      <t>Summary of Proposed Total Costs</t>
    </r>
    <r>
      <rPr>
        <sz val="12"/>
        <rFont val="Avenir Next LT Pro Light"/>
        <family val="2"/>
      </rPr>
      <t>. This chart will automatically fill in from the "Total Amount" sheet.</t>
    </r>
  </si>
  <si>
    <t>ARPA-H is interested in your feedback. If you have suggestions for improving this Workbook, please send an e-mail to elizabeth.fuller@arpa-h.gov</t>
  </si>
  <si>
    <t>Government Share</t>
  </si>
  <si>
    <t>Performer Share</t>
  </si>
  <si>
    <t>PROPOSER DATA THAT AFFECTS THE WORKBOOK</t>
  </si>
  <si>
    <t>Proposer's Business Type:</t>
  </si>
  <si>
    <t>Small Business Size Estimate:</t>
  </si>
  <si>
    <t>Cell B4 is a drop-down-list. Click on cell B4 and the arrow at the bottom right end of the cell will activate. Choose from the drop-down list that appears. If "Small Business" is chosen, cells D4 and E4 will activate.</t>
  </si>
  <si>
    <t>1000+</t>
  </si>
  <si>
    <t>This is a drop-down list. Click on Cell D4 and the arrow at the bottom right end of the cell will activate. Choose from the drop-down list that appears.</t>
  </si>
  <si>
    <t>Proposer Accounting Periods</t>
  </si>
  <si>
    <t>Enter the expected date range of each accounting period from the Proposer's perspective.  A period represents a change in hourly- or indirect cost rates.</t>
  </si>
  <si>
    <r>
      <t xml:space="preserve">Proposer's Preferred Label </t>
    </r>
    <r>
      <rPr>
        <sz val="12"/>
        <rFont val="Avenir Next LT Pro Light"/>
        <family val="2"/>
      </rPr>
      <t>(modify):</t>
    </r>
  </si>
  <si>
    <t>FY 1</t>
  </si>
  <si>
    <t>FY 2</t>
  </si>
  <si>
    <t>FY 3</t>
  </si>
  <si>
    <t>FY 4</t>
  </si>
  <si>
    <t>FY 5</t>
  </si>
  <si>
    <t>FY 6</t>
  </si>
  <si>
    <t>Fiscal Year Begins Date:</t>
  </si>
  <si>
    <t>Fiscal Year Ends Date:</t>
  </si>
  <si>
    <t>Note 1 - A "Fiscal Year Begins Date" should be one day after the "Fiscal Year Ends Date" of the prior fiscal year (or accounting period). Cells will turn red if this condition is not met.</t>
  </si>
  <si>
    <r>
      <t xml:space="preserve">Note 2 - Proposers should put the period of performance for each Phase in </t>
    </r>
    <r>
      <rPr>
        <b/>
        <sz val="12"/>
        <rFont val="Avenir Next LT Pro Light"/>
        <family val="2"/>
      </rPr>
      <t>cell C2</t>
    </r>
    <r>
      <rPr>
        <sz val="12"/>
        <rFont val="Avenir Next LT Pro Light"/>
        <family val="2"/>
      </rPr>
      <t xml:space="preserve"> of each "Phase # Costs" sheet.</t>
    </r>
  </si>
  <si>
    <t>Proposer Fiscal Year Labels:</t>
  </si>
  <si>
    <t>Hours Proposed in Each Fiscal Year:</t>
  </si>
  <si>
    <t>Op1</t>
  </si>
  <si>
    <t>Op2</t>
  </si>
  <si>
    <t>Op3</t>
  </si>
  <si>
    <t>Op4</t>
  </si>
  <si>
    <t>Op5</t>
  </si>
  <si>
    <t>Row Sum</t>
  </si>
  <si>
    <t>Total Direct Labor Hours</t>
  </si>
  <si>
    <t>tdlc.hrs</t>
  </si>
  <si>
    <t>Total Direct Labor Costs</t>
  </si>
  <si>
    <t>tdlc.dlrs</t>
  </si>
  <si>
    <t>Total Fringe Benefit Costs</t>
  </si>
  <si>
    <t>tfbc.dlrs</t>
  </si>
  <si>
    <t>Total Labor Overhead Costs</t>
  </si>
  <si>
    <t>tloc.dlrs</t>
  </si>
  <si>
    <t>Total Subcontract Costs</t>
  </si>
  <si>
    <t>tsc.dlrs</t>
  </si>
  <si>
    <t>Total Consultant Costs</t>
  </si>
  <si>
    <t>tcc.dlrs</t>
  </si>
  <si>
    <t>Total Other Direct Costs</t>
  </si>
  <si>
    <t>todc.dlrs</t>
  </si>
  <si>
    <t>Total Material Handling Costs</t>
  </si>
  <si>
    <t>tmhc.dlrs</t>
  </si>
  <si>
    <t>Subtotal Costs</t>
  </si>
  <si>
    <t>sc.dlrs</t>
  </si>
  <si>
    <t>Total G&amp;A Costs</t>
  </si>
  <si>
    <t>tgac.dlrs</t>
  </si>
  <si>
    <t>Total Cost of Money</t>
  </si>
  <si>
    <t>tcm.dlrs</t>
  </si>
  <si>
    <t>Fixed Fee</t>
  </si>
  <si>
    <t>ff.dlrs</t>
  </si>
  <si>
    <t>Total Estimated Costs Plus Fixed Fee</t>
  </si>
  <si>
    <t>tecpff.dlrs</t>
  </si>
  <si>
    <t>Column Totals</t>
  </si>
  <si>
    <t>Sum of Column Totals ($)</t>
  </si>
  <si>
    <t>Sum of Row Totals ($)</t>
  </si>
  <si>
    <t>COLUMN TOTALS - ROW TOTALS</t>
  </si>
  <si>
    <t>This should be $0.  If not, research is needed.</t>
  </si>
  <si>
    <t>PROPOSER LABOR RATES</t>
  </si>
  <si>
    <t>DO THIS SECOND.</t>
  </si>
  <si>
    <t xml:space="preserve">DO THIS THIRD. </t>
  </si>
  <si>
    <t>DO THIS FIRST.</t>
  </si>
  <si>
    <t>Basis of Labor Rate</t>
  </si>
  <si>
    <t>Pick-List. Click on each Cell for which there is a person named and then click on the arrow in right bottom corner and choose from the list.</t>
  </si>
  <si>
    <r>
      <t xml:space="preserve">Open Text. </t>
    </r>
    <r>
      <rPr>
        <b/>
        <i/>
        <sz val="10"/>
        <rFont val="Avenir Next LT Pro"/>
        <family val="2"/>
      </rPr>
      <t>List name and position of each person assigned to this project</t>
    </r>
    <r>
      <rPr>
        <i/>
        <sz val="10"/>
        <rFont val="Avenir Next LT Pro"/>
        <family val="2"/>
      </rPr>
      <t>. Then identify Labor Group and Labor Category to the left.</t>
    </r>
  </si>
  <si>
    <t>Fully Loaded Rate</t>
  </si>
  <si>
    <t xml:space="preserve"> Labor Escalation Rate</t>
  </si>
  <si>
    <t>Calculated</t>
  </si>
  <si>
    <t>Labor Escalation Rate</t>
  </si>
  <si>
    <t>Required
ARPA-H Labor Group</t>
  </si>
  <si>
    <t>Required
ARPA-H Labor Category</t>
  </si>
  <si>
    <t>Position Title</t>
  </si>
  <si>
    <t>Full Name</t>
  </si>
  <si>
    <t>(Example: FPRA, Individual Payrate, Average for Job Category, etc.)</t>
  </si>
  <si>
    <t>Insert additional Labor Category rows above this line.   Copy formulas from adjacent rows to ensure calculations are carried forward. You must also add lines to the "Phase X Costs" and "Total Amount" sheets to match any data added here.</t>
  </si>
  <si>
    <t>Instructions:</t>
  </si>
  <si>
    <t xml:space="preserve">• If the rates have been approved/negotiated by a government agency, provide a copy of the memorandum/agreement (FPRA/FPRR).
• If the rates have not been approved/negotiated, provide sufficient detail to enable a determination of allowability, allocability and reasonableness of the allocation bases and how the rates are calculated. This information can be provided in your cost volume or add another worksheet tab in this spreadsheet to show calculations.
• If composite rates are used, provide the calculations used in deriving the composite rates in your cost volume or add another worksheet tab in this spreadsheet to show calculations.                                                                                                                                                                       
• If an FPRA is not available, provide back-up documentation for labor rates (e.g., current payroll records)                                                                                                                                              </t>
  </si>
  <si>
    <t>Note 1:</t>
  </si>
  <si>
    <t>You must have set the Organization's "Business Type" on the Proposer Constants worksheet to populate the list of ARPA-H Labor Categories</t>
  </si>
  <si>
    <t>Note 2:</t>
  </si>
  <si>
    <t>Each proposed Proposer Labor Category must be associated with an ARPA-H Labor Category (columns B and C above). Choose the best fit using the descriptions below. Proposer's should then place their own labor category title and name of proposed personnel as they normally would (columns D and E above).</t>
  </si>
  <si>
    <t>Labor Category Level</t>
  </si>
  <si>
    <t>Description</t>
  </si>
  <si>
    <t>Junior</t>
  </si>
  <si>
    <t>Entry-level/Junior</t>
  </si>
  <si>
    <t>Mid</t>
  </si>
  <si>
    <t>Mid-level/Journeyman</t>
  </si>
  <si>
    <t>Senior</t>
  </si>
  <si>
    <t>Senior Level</t>
  </si>
  <si>
    <t>Principal</t>
  </si>
  <si>
    <t>Team Lead/Subject Matter Expert</t>
  </si>
  <si>
    <t>Description Definitions</t>
  </si>
  <si>
    <t>Consider experience, education, and expertise when selecting a labor category level.</t>
  </si>
  <si>
    <t xml:space="preserve">JUNIOR </t>
  </si>
  <si>
    <t>The junior-level or entry-level position assists more senior positions and may perform tasks and duties under supervision. This level performs work that requires practical experience and training, and applies fundamental concepts, processes, practices, and procedures on technical assignments.</t>
  </si>
  <si>
    <t>MID</t>
  </si>
  <si>
    <t>The journeyman or mid-level position usually performs tasks and duties independently. This position displays and applies intermediate expertise in several complex work assignments which may require originality, innovation, or independent thinking to accomplish. The journeyman or mid-level position contributes to deliverables and performance metrics and is afforded some flexibility to develop or design methods, processes, or solutions to problems.</t>
  </si>
  <si>
    <t>SENIOR</t>
  </si>
  <si>
    <t xml:space="preserve">The senior-level position works on high-visibility or mission-critical aspects of programs or projects and performs tasks and duties independently. This position may oversee or supervise or be responsible for the work of subordinate or less senior positions assigned to programs or projects. The senior-level position displays and applies mastery or distinguished expertise in critical tasks and high-impact assignments. This position leads, manages, plans, and functions as the technical or subject matter expert across multiple programs or projects. </t>
  </si>
  <si>
    <t>PRINCIPAL</t>
  </si>
  <si>
    <t xml:space="preserve">The Principal position leads or manages the entire program or project. The Principal is often a person who is considered to be a leader in a scientific or technical field.  </t>
  </si>
  <si>
    <t>Cost Proposal - Phase 1                     (see instructions below)</t>
  </si>
  <si>
    <t>Proposed PoP as "MM/YY to MM/YY"</t>
  </si>
  <si>
    <t>Proposer</t>
  </si>
  <si>
    <t>Prime Proposer</t>
  </si>
  <si>
    <t>TOTALS</t>
  </si>
  <si>
    <t>DIRECT LABOR</t>
  </si>
  <si>
    <r>
      <t>X</t>
    </r>
    <r>
      <rPr>
        <b/>
        <sz val="9"/>
        <rFont val="Avenir Next LT Pro Light"/>
        <family val="2"/>
      </rPr>
      <t>-Months</t>
    </r>
    <r>
      <rPr>
        <b/>
        <sz val="9"/>
        <color indexed="10"/>
        <rFont val="Avenir Next LT Pro Light"/>
        <family val="2"/>
      </rPr>
      <t xml:space="preserve"> </t>
    </r>
    <r>
      <rPr>
        <b/>
        <sz val="9"/>
        <color theme="1"/>
        <rFont val="Avenir Next LT Pro Light"/>
        <family val="2"/>
      </rPr>
      <t>(See Note 2)</t>
    </r>
  </si>
  <si>
    <t>Personnel Position Titles</t>
  </si>
  <si>
    <t>Names (Last, First)</t>
  </si>
  <si>
    <t>Hours</t>
  </si>
  <si>
    <t>Hourly Labor Rate</t>
  </si>
  <si>
    <t>Total $</t>
  </si>
  <si>
    <t>Total DL Hours</t>
  </si>
  <si>
    <t>Total Labor Cost</t>
  </si>
  <si>
    <t>Direct Labor Hours &amp; Dollars</t>
  </si>
  <si>
    <t>Total Labor</t>
  </si>
  <si>
    <t>Subproposer/Inter-Organizational Transfer</t>
  </si>
  <si>
    <t>Subproposers</t>
  </si>
  <si>
    <t>Subproposer Costs</t>
  </si>
  <si>
    <t>Subproposer- #01</t>
  </si>
  <si>
    <t>Provide details in Subproposer Tab</t>
  </si>
  <si>
    <t>Subproposer- #02</t>
  </si>
  <si>
    <t>Subproposer- #03</t>
  </si>
  <si>
    <t>Insert line(s) for additional Subproposers</t>
  </si>
  <si>
    <t>Consultants</t>
  </si>
  <si>
    <t>Hourly Rate</t>
  </si>
  <si>
    <t>Total Consultants</t>
  </si>
  <si>
    <t>Total</t>
  </si>
  <si>
    <t>Total Consultant Labor Costs</t>
  </si>
  <si>
    <t>Consultant Name - #01</t>
  </si>
  <si>
    <t>Provide details in Consultant Tab</t>
  </si>
  <si>
    <t>Consultant Name - #02</t>
  </si>
  <si>
    <t>Consultant Name - #03</t>
  </si>
  <si>
    <t>Insert line(s) for additional Consultants</t>
  </si>
  <si>
    <t xml:space="preserve">Other Direct Costs </t>
  </si>
  <si>
    <t>ODCs</t>
  </si>
  <si>
    <t>Materials/Supplies</t>
  </si>
  <si>
    <t>Provide details in Materials Tab</t>
  </si>
  <si>
    <t>Equipment</t>
  </si>
  <si>
    <t>Provide details in Equip. Tab</t>
  </si>
  <si>
    <t xml:space="preserve"> </t>
  </si>
  <si>
    <t>Provide details in Travel Tab</t>
  </si>
  <si>
    <t>Insert line(s) for other types of ODCs</t>
  </si>
  <si>
    <t>Provide details in ODC Tab</t>
  </si>
  <si>
    <t>Material Handling (M/H O/H)</t>
  </si>
  <si>
    <t>Rate</t>
  </si>
  <si>
    <t>Total M/H</t>
  </si>
  <si>
    <t>Insert M/H O/H rate title</t>
  </si>
  <si>
    <t>Insert line(s) &amp; title(s) for other M/H O/H rates</t>
  </si>
  <si>
    <t>Subtotal before Indirects and Fee/Profit</t>
  </si>
  <si>
    <t>SUBTOTAL PRIOR TO INDIRECTS AND PROFIT</t>
  </si>
  <si>
    <t>General and Administrative (G&amp;A)</t>
  </si>
  <si>
    <t>Total G&amp;A</t>
  </si>
  <si>
    <t>Adjust Bases if necessary</t>
  </si>
  <si>
    <t>Insert line(s) &amp; title(s) for other G&amp;A rates</t>
  </si>
  <si>
    <t>G&amp;A</t>
  </si>
  <si>
    <t>Subtotal before FCCM</t>
  </si>
  <si>
    <t>SUBTOTAL PRIOR TO FCCM</t>
  </si>
  <si>
    <t>Facilities Capital Cost of Money (FCCM)</t>
  </si>
  <si>
    <t>Total FCCM</t>
  </si>
  <si>
    <t>Insert FCCM rate title</t>
  </si>
  <si>
    <t>Insert line(s) &amp; title(s) for any other FCCM rates</t>
  </si>
  <si>
    <t>Cost of Money</t>
  </si>
  <si>
    <t>TOTAL ESTIMATED COSTS</t>
  </si>
  <si>
    <t>Total FY1</t>
  </si>
  <si>
    <t>Total FY2</t>
  </si>
  <si>
    <t>Total FY3</t>
  </si>
  <si>
    <t>Total FY4</t>
  </si>
  <si>
    <t>Total FY5</t>
  </si>
  <si>
    <t>Total FY6</t>
  </si>
  <si>
    <t>Total Hours</t>
  </si>
  <si>
    <t>Total Dollars</t>
  </si>
  <si>
    <t>Cost Share</t>
  </si>
  <si>
    <t>Total Share</t>
  </si>
  <si>
    <t>RESOURCE SHARE</t>
  </si>
  <si>
    <t>Government</t>
  </si>
  <si>
    <t>Performer</t>
  </si>
  <si>
    <t>INSTRUCTIONS</t>
  </si>
  <si>
    <t>Note 1: •  All cells that are clear/not highlighted should be completed by the Proposer.</t>
  </si>
  <si>
    <t>Note 2  •  Replace the “X” in X-Months in Cell AC/AD6 with the total number of months for this Phase.</t>
  </si>
  <si>
    <t>Note 3: •  The values under column AC (Total DL Hours) indicate the total level of effort for the project for each labor category.  The Proposer must identify labor hours (columns E, I, M, Q, U, and Y) based on its time periods under each Direct Labor Fiscal Year. (Dates are pulled from the Proposer Constants tab.)</t>
  </si>
  <si>
    <t xml:space="preserve">Note 4: •  Profit or fee is not applied under resource sharing arrangements. </t>
  </si>
  <si>
    <t>Phase 1 - COST BY TASK</t>
  </si>
  <si>
    <t xml:space="preserve">•	Insert the Tasks that you listed in the TDD Template and number appropriately. Complete all cells that are unshaded.
•	Ensure the quarter start/end dates align with your inputs in the SOW Template. Subtotals and totals will automatically calculate.
•	Add additional rows and columns if needed.
</t>
  </si>
  <si>
    <t>Task Number</t>
  </si>
  <si>
    <t>Task Title</t>
  </si>
  <si>
    <t>Start Qtr (1-4)</t>
  </si>
  <si>
    <t>Calendar Year (XX)</t>
  </si>
  <si>
    <t>End Qtr (1-4)</t>
  </si>
  <si>
    <t>Total Prime Costs</t>
  </si>
  <si>
    <t>Team Member #1 Cost</t>
  </si>
  <si>
    <t>Team Member #2 Cost</t>
  </si>
  <si>
    <t>All Subproposers' Total Costs</t>
  </si>
  <si>
    <t>Task Subtotals</t>
  </si>
  <si>
    <t>Task Totals</t>
  </si>
  <si>
    <t>1.1.X</t>
  </si>
  <si>
    <t>Total Costs for Phase 1, Task 1</t>
  </si>
  <si>
    <t>1.2.X</t>
  </si>
  <si>
    <t>Total Costs for Phase 1, Task 2</t>
  </si>
  <si>
    <t>1.3.X</t>
  </si>
  <si>
    <t>Total Costs for Phase 1, Task 3</t>
  </si>
  <si>
    <t>1.4.X</t>
  </si>
  <si>
    <t>Total Costs for Phase 1, Task 4</t>
  </si>
  <si>
    <t>1.5.X</t>
  </si>
  <si>
    <t>Total Costs for Phase 1, Task 5</t>
  </si>
  <si>
    <t>Total Phase 1 Operational Costs</t>
  </si>
  <si>
    <t>$ from Phase 1 Costs Spreadsheet</t>
  </si>
  <si>
    <t>Cost Proposal by Task - Task 1</t>
  </si>
  <si>
    <t>Enter proposed PoP as "MM/YY to MM/YY"</t>
  </si>
  <si>
    <t>(See Note 2)</t>
  </si>
  <si>
    <t>Direct Labor (DL)</t>
  </si>
  <si>
    <t>(See Note 3)</t>
  </si>
  <si>
    <r>
      <t>X</t>
    </r>
    <r>
      <rPr>
        <b/>
        <u/>
        <sz val="9"/>
        <rFont val="Arial"/>
        <family val="2"/>
      </rPr>
      <t>-Months</t>
    </r>
  </si>
  <si>
    <t>Proposer's Labor Category (Note 1)</t>
  </si>
  <si>
    <t>Name (Last, First)</t>
  </si>
  <si>
    <t>Direct Labor Cost</t>
  </si>
  <si>
    <t>Fringe Benefit Rate</t>
  </si>
  <si>
    <t>Fringe Benefit Cost</t>
  </si>
  <si>
    <t>Labor Overhead Rate</t>
  </si>
  <si>
    <t>Labor Overhead Cost</t>
  </si>
  <si>
    <t>Loaded Labor Cost</t>
  </si>
  <si>
    <t>Milestone 1</t>
  </si>
  <si>
    <t>Milestone 2</t>
  </si>
  <si>
    <t>Milestone 3</t>
  </si>
  <si>
    <t>Total Direct Labor Hours/Costs</t>
  </si>
  <si>
    <t>Fringe Benefit (FB) Cost from Direct Labor Above</t>
  </si>
  <si>
    <t>Insert line(s) &amp; title(s) for any other F/B rates</t>
  </si>
  <si>
    <t>Labor Overhead from Direct Labor and FB Above</t>
  </si>
  <si>
    <t>Insert line(s) &amp; title(s) for any other O/H rates</t>
  </si>
  <si>
    <t>Subcontracts/Interorganizational Transfer</t>
  </si>
  <si>
    <t>File/Tab Name or Link</t>
  </si>
  <si>
    <t>Insert line(s) for any additional Subproposers</t>
  </si>
  <si>
    <t>Insert line(s) for any additional Consultants</t>
  </si>
  <si>
    <t>Insert line(s) for any other types of ODCs</t>
  </si>
  <si>
    <t>Material Handling (M/H O/H) (See Indirect Rates Worksheet)</t>
  </si>
  <si>
    <t>Insert line(s) &amp; title(s) for any other M/H O/H rates</t>
  </si>
  <si>
    <t>General and Administrative (G&amp;A) (See Indirect Rates Worksheet)</t>
  </si>
  <si>
    <t>Insert line(s) &amp; title(s) for any other G&amp;A rates</t>
  </si>
  <si>
    <t>Facilities Captial Cost of Money (FCCM) (See Indirect Rates Worksheet)</t>
  </si>
  <si>
    <t>Insert COM rate title</t>
  </si>
  <si>
    <t>Insert line(s) &amp; title(s) for any other COM rates</t>
  </si>
  <si>
    <t>Total Estimated Costs</t>
  </si>
  <si>
    <t>Fixed Fee (If proposing a CPFF award) or Profit</t>
  </si>
  <si>
    <t>(See Note 4)</t>
  </si>
  <si>
    <t xml:space="preserve">•  For PRIME submission - Subproposer Name: If there are subproposers, list all subpropsers names.
•  In upper right last column, replace the “X” in X-Months with actual number of months.
•  Add descriptions in Column B if costs are entered in the following areas:  Fringe Benefits, Labor Overhead, Other Direct Costs (other types), Material Handling, General and Administrative, and Facilities Cost of Money.
•  Subproposers/Interorganizational Transfers: If appropriate, place Subproposer name(s) or Interorganizational Name/Code in Column B.
</t>
  </si>
  <si>
    <t xml:space="preserve">Any proposed personnel in the technical proposal should be identified with their labor category.  </t>
  </si>
  <si>
    <t>The Fiscal Years or time periods (Row 5) are defined on the Proposer Constants tab.  The months during the period of performance that these rates apply (Row 6) are also defined on the Proposer Constants tab.</t>
  </si>
  <si>
    <t>Note 3:</t>
  </si>
  <si>
    <t>The values under Total Direct Labor "Hours" column indicate the total level of effort for the project for each labor category.  The Proposer must define the split of hours between initial and subsequent rate years based on its time periods defined on the Proposer Constants tab.</t>
  </si>
  <si>
    <t>Note 4:</t>
  </si>
  <si>
    <t>Profit or fee is not allowed on direct costs for equipment, government entities, or cost/share arrangements</t>
  </si>
  <si>
    <t>Cost Proposal by Task - Task 2</t>
  </si>
  <si>
    <t>Cost Proposal - Phase 2                     (see instructions below)</t>
  </si>
  <si>
    <t>Phase 2 - COST BY TASK</t>
  </si>
  <si>
    <t>2.1.X</t>
  </si>
  <si>
    <t>Total Costs for Phase 2, Task 1</t>
  </si>
  <si>
    <t>2.2.X</t>
  </si>
  <si>
    <t>Total Costs for Phase 2, Task 2</t>
  </si>
  <si>
    <t>2.3.X</t>
  </si>
  <si>
    <t>Total Costs for Phase 2, Task 3</t>
  </si>
  <si>
    <t>2.4.X</t>
  </si>
  <si>
    <t>Total Costs for Phase 2, Task 4</t>
  </si>
  <si>
    <t>2.5.X</t>
  </si>
  <si>
    <t>Total Costs for Phase 2, Task 5</t>
  </si>
  <si>
    <t>Total Phase 2 Operational Costs</t>
  </si>
  <si>
    <t>$ from Phase 2 Costs Spreadsheet</t>
  </si>
  <si>
    <t>Cost Proposal - Option 2 (Phase 3)</t>
  </si>
  <si>
    <t>Prime Contractor</t>
  </si>
  <si>
    <t>(Note 2)</t>
  </si>
  <si>
    <t>(Note 3)</t>
  </si>
  <si>
    <t>Fringe Benefit Cost from Direct Labor Above</t>
  </si>
  <si>
    <t>Facilities Cost of Money (COM) (See Indirect Rates Worksheet)</t>
  </si>
  <si>
    <t>Fixed Fee (If proposing a CPFF contract) or Profit</t>
  </si>
  <si>
    <t>(Note 4)</t>
  </si>
  <si>
    <t xml:space="preserve">•  For PRIME submission - Subproposer Name: If there are subproposers, list all subcontractor names.
•  In upper right last column, replace the “X” in X-Months with actual number of months.
•  Add descriptions in Column B if costs are entered in the following areas:  Fringe Benefits, Labor Overhead, Other Direct Costs (other types), Material Handling, General and Administrative, and Facilities Cost of Money.
•  Subproposers/Interorganizational Transfers: If appropriate, place Subproposer name(s) or Interorganizational Name/Code in Column B.
</t>
  </si>
  <si>
    <t>Profit or fee is not allowed on direct costs for equipment, Government entities or cost share contracts.</t>
  </si>
  <si>
    <t>Cost Proposal - Phase 3                     (see instructions below)</t>
  </si>
  <si>
    <t>Phase 3 - COST BY TASK</t>
  </si>
  <si>
    <t>3.1.X</t>
  </si>
  <si>
    <t>Total Costs for Phase 3, Task 1</t>
  </si>
  <si>
    <t>3.2.X</t>
  </si>
  <si>
    <t>Total Costs for Phase 3, Task 2</t>
  </si>
  <si>
    <t>3.3.X</t>
  </si>
  <si>
    <t>Total Costs for Phase 3, Task 3</t>
  </si>
  <si>
    <t>3.4.X</t>
  </si>
  <si>
    <t>Total Costs for Phase 3, Task 4</t>
  </si>
  <si>
    <t>3.5.X</t>
  </si>
  <si>
    <t>Total Costs for Phase 3, Task 5</t>
  </si>
  <si>
    <t>Total Phase 3 Operational Costs</t>
  </si>
  <si>
    <t>$ from Phase 3 Costs Spreadsheet</t>
  </si>
  <si>
    <t>Cost Proposal - Phase 4                     (see instructions below)</t>
  </si>
  <si>
    <t>Phase 4 - COST BY TASK</t>
  </si>
  <si>
    <t>4.1.X</t>
  </si>
  <si>
    <t>Total Costs for Phase 4, Task 1</t>
  </si>
  <si>
    <t>4.2.X</t>
  </si>
  <si>
    <t>Total Costs for Phase 4, Task 2</t>
  </si>
  <si>
    <t>4.3.X</t>
  </si>
  <si>
    <t>Total Costs for Phase 4, Task 3</t>
  </si>
  <si>
    <t>4.4.X</t>
  </si>
  <si>
    <t>Total Costs for Phase 4, Task 4</t>
  </si>
  <si>
    <t>4.5.X</t>
  </si>
  <si>
    <t>Total Costs for Phase 4, Task 5</t>
  </si>
  <si>
    <t>Total Phase 4 Operational Costs</t>
  </si>
  <si>
    <t>$ from Phase 4 Costs Spreadsheet</t>
  </si>
  <si>
    <t>Cost Proposal - Phase 5                     (see instructions below)</t>
  </si>
  <si>
    <t>Phase 5 - COST BY TASK</t>
  </si>
  <si>
    <t>5.1.X</t>
  </si>
  <si>
    <t>Total Costs for Phase 5, Task 1</t>
  </si>
  <si>
    <t>5.2.X</t>
  </si>
  <si>
    <t>Total Costs for Phase 5, Task 2</t>
  </si>
  <si>
    <t>5.3.X</t>
  </si>
  <si>
    <t>Total Costs for Phase 5, Task 3</t>
  </si>
  <si>
    <t>5.4.X</t>
  </si>
  <si>
    <t>Total Costs for Phase 5, Task 4</t>
  </si>
  <si>
    <t>5.5.X</t>
  </si>
  <si>
    <t>Total Costs for Phase 5, Task 5</t>
  </si>
  <si>
    <t>Total Phase 5 Operational Costs</t>
  </si>
  <si>
    <t>$ from Phase 5 Costs Spreadsheet</t>
  </si>
  <si>
    <t>Cost Proposal - Phase 6                     (see instructions below)</t>
  </si>
  <si>
    <t>Phase 6 - COST BY TASK</t>
  </si>
  <si>
    <t>6.1.X</t>
  </si>
  <si>
    <t>Total Costs for Phase 6, Task 1</t>
  </si>
  <si>
    <t>6.2.X</t>
  </si>
  <si>
    <t>Total Costs for Phase 6, Task 2</t>
  </si>
  <si>
    <t>6.3.X</t>
  </si>
  <si>
    <t>Total Costs for Phase 6, Task 3</t>
  </si>
  <si>
    <t>6.4.X</t>
  </si>
  <si>
    <t>Total Costs for Phase 6, Task 4</t>
  </si>
  <si>
    <t>6.5.X</t>
  </si>
  <si>
    <t>Total Costs for Phase 6, Task 5</t>
  </si>
  <si>
    <t>Total Phase 6 Operational Costs</t>
  </si>
  <si>
    <t>$ from Phase 6 Costs Spreadsheet</t>
  </si>
  <si>
    <t>Cost Proposal - Total Amounts</t>
  </si>
  <si>
    <t>Phase 1</t>
  </si>
  <si>
    <t>Phase 2</t>
  </si>
  <si>
    <t>Phase 3</t>
  </si>
  <si>
    <t>Phase 4</t>
  </si>
  <si>
    <t>Phase 5</t>
  </si>
  <si>
    <t>Phase 6</t>
  </si>
  <si>
    <t>Totals</t>
  </si>
  <si>
    <r>
      <t>X</t>
    </r>
    <r>
      <rPr>
        <b/>
        <u/>
        <sz val="10"/>
        <rFont val="Avenir Next LT Pro Light"/>
        <family val="2"/>
      </rPr>
      <t>-Months</t>
    </r>
  </si>
  <si>
    <t>Proposer's Position Title</t>
  </si>
  <si>
    <t>Cost</t>
  </si>
  <si>
    <t>Total Direct Labor</t>
  </si>
  <si>
    <t>Subproposer/Interorganizational Transfer</t>
  </si>
  <si>
    <t>Subproposers Ph 1</t>
  </si>
  <si>
    <t>Subproposers Ph 2</t>
  </si>
  <si>
    <t>Subproposers Ph 3</t>
  </si>
  <si>
    <t>Subproposers Ph 4</t>
  </si>
  <si>
    <t>Subproposers Ph 5</t>
  </si>
  <si>
    <t>Subproposers Ph 6</t>
  </si>
  <si>
    <t>Total Subproposers</t>
  </si>
  <si>
    <t>Consultants Ph 1</t>
  </si>
  <si>
    <t>Consultants Ph 2</t>
  </si>
  <si>
    <t>Consultants Ph 3</t>
  </si>
  <si>
    <t>Consultants Ph 4</t>
  </si>
  <si>
    <t>Consultants Ph 5</t>
  </si>
  <si>
    <t>Consultants Ph 6</t>
  </si>
  <si>
    <t>Amount</t>
  </si>
  <si>
    <t>ODCs Ph 1</t>
  </si>
  <si>
    <t>ODCs Ph 2</t>
  </si>
  <si>
    <t>ODCs Ph 3</t>
  </si>
  <si>
    <t>ODCs Ph 4</t>
  </si>
  <si>
    <t>ODCs Ph 5</t>
  </si>
  <si>
    <t>ODCs Ph 6</t>
  </si>
  <si>
    <t>Total ODCs</t>
  </si>
  <si>
    <t>Mat'l Handling Ph 1</t>
  </si>
  <si>
    <t>Mat'l Handling Ph 2</t>
  </si>
  <si>
    <t>Mat'l Handling Ph 3</t>
  </si>
  <si>
    <t>Mat'l Handling Ph 4</t>
  </si>
  <si>
    <t>Mat'l Handling Ph 5</t>
  </si>
  <si>
    <t>Mat'l Handling Ph 6</t>
  </si>
  <si>
    <t>Total Material Handling</t>
  </si>
  <si>
    <t>Before Indirects and Fee/Profit</t>
  </si>
  <si>
    <t>Total Before Indirects and Fee/Profit</t>
  </si>
  <si>
    <t>G&amp;A Ph 1</t>
  </si>
  <si>
    <t>G&amp;A Ph 2</t>
  </si>
  <si>
    <t>G&amp;A Ph 3</t>
  </si>
  <si>
    <t>G&amp;A Ph 4</t>
  </si>
  <si>
    <t>G&amp;A Ph 5</t>
  </si>
  <si>
    <t>G&amp;A Ph 6</t>
  </si>
  <si>
    <t>Before FCCM</t>
  </si>
  <si>
    <t>Total Before FCCM</t>
  </si>
  <si>
    <t>FCCM Ph 1</t>
  </si>
  <si>
    <t>FCCM Ph 2</t>
  </si>
  <si>
    <t>FCCM Ph 3</t>
  </si>
  <si>
    <t>FCCM Ph 4</t>
  </si>
  <si>
    <t>FCCM Ph 5</t>
  </si>
  <si>
    <t>FCCM Ph 6</t>
  </si>
  <si>
    <t>Total Est. Costs Ph 1</t>
  </si>
  <si>
    <t>Total Est. Costs Ph 2</t>
  </si>
  <si>
    <t>Total Est. Costs Ph 3</t>
  </si>
  <si>
    <t>Total Est. Costs Ph 4</t>
  </si>
  <si>
    <t>Total Est. Costs Ph 5</t>
  </si>
  <si>
    <t>Total Est. Costs Ph 6</t>
  </si>
  <si>
    <t>Total Estimated Dollars</t>
  </si>
  <si>
    <t>Avg. Percentage</t>
  </si>
  <si>
    <t>Resource Share $</t>
  </si>
  <si>
    <t>RESOURCE SHARES</t>
  </si>
  <si>
    <t>SUBPROPOSER COST DATA</t>
  </si>
  <si>
    <t>Subproposal – A fully disclosed cost proposal including support documentation will be required to be submitted by all prime or subproposers. Subproposal MS Excel cost proposal spreadsheets may be submitted directly to the government by the proposed subproposer.</t>
  </si>
  <si>
    <t>The prime Proposer should perform and provide a cost/price analysis of each Subproposer’s cost proposal. Proposers are required to obtain competition to the maximum extent practicable when selecting Subproposers; if the Proposer has obtained competitive quotes, copies should be provided.  If the Proposer has selected other than the low bid for inclusion in its proposal or intends to award the subaward on a sole-source basis, the Proposer should provide rationale for its decision. For sole-source subawards, the prime Proposer must provide a short sole-source justification.</t>
  </si>
  <si>
    <t>Subproposer</t>
  </si>
  <si>
    <t>Subproposer CAGE Code</t>
  </si>
  <si>
    <t>Competitive or Sole Source</t>
  </si>
  <si>
    <t>Cost/price analysis included (Y/N)</t>
  </si>
  <si>
    <t>Type of Subaward (e.g., Fixed Price, Cost plus Fixed Fee, Time and Materials, etc.)</t>
  </si>
  <si>
    <t>Competitive Quotes (or Sole Source Documentation) Included? (Y/N)</t>
  </si>
  <si>
    <t>CONSULTANTS</t>
  </si>
  <si>
    <t xml:space="preserve">For the Prime - fill out all columns if applicable. Add rows as needed, ensuring the formulas in columns F, G, H, and I capture the added rows. Indicate “Not Applicable” in column C when there is no information to include. </t>
  </si>
  <si>
    <t>Describe how and why the consultant was selected.</t>
  </si>
  <si>
    <t>Include a separate section for each Phase.</t>
  </si>
  <si>
    <t>Description of effort to be performed by the Consultant (or attach the Consultant Statement of Work)</t>
  </si>
  <si>
    <t>Number of Hours</t>
  </si>
  <si>
    <t>SUBTOTAL</t>
  </si>
  <si>
    <t>Travel costs</t>
  </si>
  <si>
    <t>Other Costs</t>
  </si>
  <si>
    <r>
      <t>Basis of Estimate</t>
    </r>
    <r>
      <rPr>
        <b/>
        <sz val="11"/>
        <color rgb="FFFF0000"/>
        <rFont val="Avenir Next LT Pro Light"/>
        <family val="2"/>
      </rPr>
      <t xml:space="preserve"> (Note 1)</t>
    </r>
  </si>
  <si>
    <t>Is a copy of the Consulting Agreement (or other documentation supporting the proposed rate) included? (Yes or No)</t>
  </si>
  <si>
    <t>Reference Document Number</t>
  </si>
  <si>
    <t xml:space="preserve"> TRAVEL</t>
  </si>
  <si>
    <t xml:space="preserve">•  Provide allowable travel costs related to the performance of the agreement under the Federal Travel Regulations, prescribed by the General Services Administration. </t>
  </si>
  <si>
    <t>•  When completing the “Origin” and “Final” Destination information, enter the city and state where travel will originate and end. For example, from Seattle WA to Washington DC. Do not list airport codes.</t>
  </si>
  <si>
    <t>•  Include the trip purpose. It must be referred to in the Technical Proposal. Publications, conference attendance, and presentations are encouraged but must be justified to and approved by the Program Officer.</t>
  </si>
  <si>
    <t xml:space="preserve">•  There is always one more travel day than hotel nights. </t>
  </si>
  <si>
    <t>•  The first day and the last day of travel are charged at 75% of the M&amp;IE per diem rate. If you travel for just one day (lasting 12 hours or more), the M&amp;IE per diem rate is also charged at 75%. For answers to FAQs about per diem and travel rates, please review: https://www.gsa.gov/travel/plan-book/per-diem-rates/frequently-asked-questions-per-diem.</t>
  </si>
  <si>
    <t>•  Do not combine categories.</t>
  </si>
  <si>
    <t>•  For lodging and M&amp;IE, use federal Per Diem Rates found at https://www.gsa.gov.</t>
  </si>
  <si>
    <t>•  Submit backup for airfare and rental cars. Price airfare at economy rates; indicate if the airfare is refundable.</t>
  </si>
  <si>
    <t>Estimates and the resultant costs claimed must conform to the applicable federal cost principles.</t>
  </si>
  <si>
    <t>If there are miscellaneous expenses associated with the trip, provide description and rationale below. Add rows as needed.</t>
  </si>
  <si>
    <t>TRAVEL DETAIL</t>
  </si>
  <si>
    <t>Airfare/Trainfare</t>
  </si>
  <si>
    <t>Hotel</t>
  </si>
  <si>
    <t>Rental Car</t>
  </si>
  <si>
    <t>Personal Vehicle</t>
  </si>
  <si>
    <t>Miscellaneous Fees</t>
  </si>
  <si>
    <t>Meals and Incidental Expenses</t>
  </si>
  <si>
    <t>Phase 1 Totals</t>
  </si>
  <si>
    <t>Phase 1 / Task</t>
  </si>
  <si>
    <t>Purpose of Trip</t>
  </si>
  <si>
    <t>Origin City</t>
  </si>
  <si>
    <t>Destination City</t>
  </si>
  <si>
    <t># People</t>
  </si>
  <si>
    <t># Days</t>
  </si>
  <si>
    <t># of Trips</t>
  </si>
  <si>
    <t>Round Trip Airfare/ Trainfare per person</t>
  </si>
  <si>
    <t>Refundable?</t>
  </si>
  <si>
    <t>Subtotal</t>
  </si>
  <si>
    <t># days at Hotel</t>
  </si>
  <si>
    <t>Hotel Rate per person</t>
  </si>
  <si>
    <t>Car Rental dollars per day including Taxes &amp; Fees</t>
  </si>
  <si>
    <t>Number of Car Rental Days</t>
  </si>
  <si>
    <t># of Cars (1-3 people per car)</t>
  </si>
  <si>
    <t>Standard GSA Mileage Rate</t>
  </si>
  <si>
    <t>Estimated Round trip Miles</t>
  </si>
  <si>
    <t># of Personal Cars</t>
  </si>
  <si>
    <t>Total Mileage Rate Dollars</t>
  </si>
  <si>
    <t>Other Expenses (tolls, parking, rental gas, wi-fi)</t>
  </si>
  <si>
    <t>Fee</t>
  </si>
  <si>
    <t>M&amp;IE Rate per person</t>
  </si>
  <si>
    <t># days at 75% M&amp;IE per diem</t>
  </si>
  <si>
    <t>75% M&amp;IE  $</t>
  </si>
  <si>
    <t># days at 100% M&amp;IE per diem</t>
  </si>
  <si>
    <t>100% M&amp;IE  $</t>
  </si>
  <si>
    <t>Phase 1 Total Travel</t>
  </si>
  <si>
    <t xml:space="preserve"> Phase 2 / Task</t>
  </si>
  <si>
    <t>Estimated # Round trip Miles</t>
  </si>
  <si>
    <t>Phase 2 Totals</t>
  </si>
  <si>
    <t>Phase 2 Total Travel</t>
  </si>
  <si>
    <t>SUBTOTAL COSTS</t>
  </si>
  <si>
    <t>TOTAL</t>
  </si>
  <si>
    <t>Phase/Task</t>
  </si>
  <si>
    <t>Miscellaneous Cost Descriptions</t>
  </si>
  <si>
    <t>Rationale</t>
  </si>
  <si>
    <r>
      <t xml:space="preserve"> MATERIALS - SUPPLIES </t>
    </r>
    <r>
      <rPr>
        <b/>
        <sz val="10"/>
        <color rgb="FFFF0000"/>
        <rFont val="Avenir Next LT Pro Light"/>
        <family val="2"/>
      </rPr>
      <t>(Note 1)</t>
    </r>
  </si>
  <si>
    <r>
      <t xml:space="preserve">Phase 1
</t>
    </r>
    <r>
      <rPr>
        <b/>
        <sz val="10"/>
        <color rgb="FFFF0000"/>
        <rFont val="Avenir Next LT Pro Light"/>
        <family val="2"/>
      </rPr>
      <t>(Note 2)</t>
    </r>
  </si>
  <si>
    <t>Description of Material</t>
  </si>
  <si>
    <t>Qty</t>
  </si>
  <si>
    <t>Unit Price</t>
  </si>
  <si>
    <t xml:space="preserve"> Total Price </t>
  </si>
  <si>
    <t xml:space="preserve">Competitive /Sole Source </t>
  </si>
  <si>
    <t>Vendor/Source (If known)</t>
  </si>
  <si>
    <r>
      <t xml:space="preserve">Basis of Estimate </t>
    </r>
    <r>
      <rPr>
        <b/>
        <sz val="10"/>
        <color rgb="FFFF0000"/>
        <rFont val="Avenir Next LT Pro Light"/>
        <family val="2"/>
      </rPr>
      <t>(Note 3)</t>
    </r>
  </si>
  <si>
    <r>
      <t xml:space="preserve">Supporting documentation has been provided (Y/N) </t>
    </r>
    <r>
      <rPr>
        <b/>
        <sz val="10"/>
        <color rgb="FFFF0000"/>
        <rFont val="Avenir Next LT Pro Light"/>
        <family val="2"/>
      </rPr>
      <t>(Note 3)</t>
    </r>
  </si>
  <si>
    <t>MAT001</t>
  </si>
  <si>
    <t>MAT002</t>
  </si>
  <si>
    <t>MAT003</t>
  </si>
  <si>
    <t>MAT004</t>
  </si>
  <si>
    <t xml:space="preserve">TOTAL  </t>
  </si>
  <si>
    <t xml:space="preserve">Phase 2 </t>
  </si>
  <si>
    <t>• Indicate “Not Applicable” in cell B5 if there is no information to include for the Phase 1 and in cell B12 if there is no information to include for Phase 2. If you are adding lines to add equipment or Phases, continue this pattern.</t>
  </si>
  <si>
    <t>• Fill out all columns on the Materials/Supplies Tab for each item.</t>
  </si>
  <si>
    <t>• Add additional rows if needed. Ensure formulas are accurately captured.</t>
  </si>
  <si>
    <t>• Include supporting documentation for each entry with an aggregate cost over $5,000. Backup may consist of an vendor quote, past purchase order/invoice, information from a website, or a detailed explanation of labor and material costs for custom made items.</t>
  </si>
  <si>
    <t>• Clearly label Materials/Supplies backup with a Reference Document Number in the format of MAT### starting with MAT001. Place the Reference Document Number in the upper right hand side of the backup page. If there are several quoted items on a page, items not desired must be lined out and each desired item must have a separate reference number placed to the left of the item on the backup page. The Reference Document Number must be listed next to the appropriate item on the Materials/Supplies worksheet under the Reference Document Number column.</t>
  </si>
  <si>
    <t>• Ensure that descriptions and entities listed on the Materials/Supplies worksheet match information provided in the backup.</t>
  </si>
  <si>
    <t>• Number Reference Document Numbers sequentially so they match the Item number in Phase 1. For example, Item number 1 should match MAT001. If the same items are used again in subsequent Phases, there is no need to renumber or add additional copies of the backup, but list the items sequentially for each Phase by Reference Document Number. As an example, MAT004 could be used for Item 4 in Phase 1, Item 2 in Phase 2, Item 1 in Phase 3, etc.</t>
  </si>
  <si>
    <t xml:space="preserve">Material is property that may be incorporated into or attached to a deliverable end item or that may be consumed or expended in performing an agreement.  It includes assemblies, components, parts, raw and processed materials, and small tools and supplies that may be consumed in normal use in performing an agreement. Material should be proposed separately from Equipment (see following spreadsheet and definitions). </t>
  </si>
  <si>
    <t>Include a separate section in the above table for each Phase.  Add additional lines labeled needed, and ensure formulas are captured accurately.</t>
  </si>
  <si>
    <t>In an attachment, provide all supporting documentation to support your price basis, e.g. copy of vendor quote, past invoice/PO, page from catalog, or method used for deriving engineering estimates.</t>
  </si>
  <si>
    <t>EQUIPMENT</t>
  </si>
  <si>
    <t>Description of Equipment</t>
  </si>
  <si>
    <t>Justification why the equipment is needed</t>
  </si>
  <si>
    <t>Will the equipment be included as part of a deliverable item under the award? (Y/N)</t>
  </si>
  <si>
    <t>Type of Equipment (special test equipment, special tooling, general purpose equipment, or plant equipment)</t>
  </si>
  <si>
    <t>Unit of Issue</t>
  </si>
  <si>
    <t>Total Price</t>
  </si>
  <si>
    <t>Vendor/Source</t>
  </si>
  <si>
    <t>Basis of Estimate (see Note)</t>
  </si>
  <si>
    <t>Has supporting documentation been provided? (Y/N)</t>
  </si>
  <si>
    <t>EQ001</t>
  </si>
  <si>
    <t>EQ002</t>
  </si>
  <si>
    <t>EQ003</t>
  </si>
  <si>
    <t>EQ004</t>
  </si>
  <si>
    <t>EQ005</t>
  </si>
  <si>
    <t xml:space="preserve">TOTAL </t>
  </si>
  <si>
    <t>•  Fill out all columns on the Equipment Tab for each item.</t>
  </si>
  <si>
    <t>•  Add additional lines if needed. Ensure formulas are accurately captured.</t>
  </si>
  <si>
    <t>•  Provide justification for equipment. Be sure to indicate the benefit(s) to the government. Expand on any statements along the lines of “It is needed to support the project deliverables”. Costs must be approved by the government appointed Program Manager in the OT Award. Link the justification to the type of equipment purchase, i.e. special test equipment, special tooling, or plant equipment.</t>
  </si>
  <si>
    <t>•  Include supporting documentation for each entry with aggregate cost over $5,000. Backup may consist of a vendor quote, past purchase order or invoice, information from a website, or a detailed explanation of labor and material costs for custom made items.</t>
  </si>
  <si>
    <t>•  Label equipment backup clearly with a Reference Document Number in the format of EQ### starting with EQ001. Place the Reference Document Number in the upper right hand side of the backup page. If there are several quotes on a page, items not desired must be lined out and each desired item must have a separate reference number placed to the left of the item on the backup page. The Reference Document Number must be listed next to the appropriate item on the Equipment worksheet under the Reference Document Number column.</t>
  </si>
  <si>
    <t>•  Ensure that descriptions and vendors listed on the Equipment worksheet match information provided in the backup.</t>
  </si>
  <si>
    <t>•  Number Reference Document Numbers sequentially so they match the Item number in the Base. For example, Item number 1 should match EQ001. If the same items are used again in the options, there is no need to renumber or add additional copies of the backup, but list the items sequentially for each option by Reference Document Number. As an example, EQ010 could be used for Base item number 10, Option I item number 1 and Option II Item number 6.</t>
  </si>
  <si>
    <t>Note:</t>
  </si>
  <si>
    <t>In an attachment, provide all supporting documentation to support your price basis, e.g. copy of quote, page from catalog, or method used for deriving engineering estimates.</t>
  </si>
  <si>
    <t>The Government may allow equipment and/or facilities under special circumstances. If equipment and/or facilities are proposed, the specific description should identify the component, nomenclature, and configuration of the equipment/hardware that the proposer proposes to purchase for this effort.  The purchase on a direct reimbursement basis of equipment that is not included in a deliverable item will be evaluated for allowability on a case-by-case basis.  Maximum use of Government integration, test, and experiment facilities is encouraged.</t>
  </si>
  <si>
    <t xml:space="preserve">Note 2: </t>
  </si>
  <si>
    <t>Include a separate section in the above table for the Phase 1 and Phase 2.  Add additional lines labeled with Options if needed.</t>
  </si>
  <si>
    <t>Definitions:</t>
  </si>
  <si>
    <t xml:space="preserve">Special Test Equipment is defined as either single or multipurpose integrated test units engineered, designed, fabricated, or modified to accomplish special purpose testing in performing an agreement.  It consists of items or assemblies of equipment including standard or general purpose items or components that are interconnected and interdependent so as to become a new functional entity for special testing purposes.   </t>
  </si>
  <si>
    <t>Special tooling is defined as jigs, dies, fixtures, molds, patterns, taps, gauges, and all components of these items, including foundations and similar improvements necessary for installing special test equipment, and which are of such a specialized nature that without substantial modification or alteration their use is limited to the development or production of particular supplies or parts thereof or to the performance of particular services.</t>
  </si>
  <si>
    <t>Plant equipment means personal property of a capital nature (including equipment, machine tools, test equipment, furniture, vehicles, and accessory and auxiliary items) for use in manufacturing supplies, in performing services, or for any administrative or general plant purpose. It does not include special tooling or special test equipment.</t>
  </si>
  <si>
    <r>
      <t>OTHER DIRECT COSTS</t>
    </r>
    <r>
      <rPr>
        <b/>
        <sz val="11"/>
        <color rgb="FFFF0000"/>
        <rFont val="Avenir Next LT Pro Light"/>
        <family val="2"/>
      </rPr>
      <t xml:space="preserve"> </t>
    </r>
    <r>
      <rPr>
        <b/>
        <sz val="11"/>
        <color theme="5"/>
        <rFont val="Avenir Next LT Pro Light"/>
        <family val="2"/>
      </rPr>
      <t>(Note 1)</t>
    </r>
  </si>
  <si>
    <r>
      <t xml:space="preserve">Description
</t>
    </r>
    <r>
      <rPr>
        <b/>
        <sz val="11"/>
        <color theme="5"/>
        <rFont val="Avenir Next LT Pro Light"/>
        <family val="2"/>
      </rPr>
      <t>(Note 2)</t>
    </r>
  </si>
  <si>
    <r>
      <t xml:space="preserve">Basis of Estimate </t>
    </r>
    <r>
      <rPr>
        <b/>
        <sz val="11"/>
        <color theme="5"/>
        <rFont val="Avenir Next LT Pro Light"/>
        <family val="2"/>
      </rPr>
      <t>(Note 3)</t>
    </r>
  </si>
  <si>
    <r>
      <t>Has supporting documentation been provided? (Y/N)</t>
    </r>
    <r>
      <rPr>
        <b/>
        <sz val="11"/>
        <color rgb="FFFF0000"/>
        <rFont val="Avenir Next LT Pro Light"/>
        <family val="2"/>
      </rPr>
      <t xml:space="preserve"> </t>
    </r>
    <r>
      <rPr>
        <b/>
        <sz val="11"/>
        <color theme="5"/>
        <rFont val="Avenir Next LT Pro Light"/>
        <family val="2"/>
      </rPr>
      <t>(Note 3)</t>
    </r>
  </si>
  <si>
    <t>•  Indicate “Not Applicable” in Column C if there is no information to include for that Phase.</t>
  </si>
  <si>
    <t xml:space="preserve">•  If you have any ODC entries, be sure to fill out all columns.  </t>
  </si>
  <si>
    <t>• Include supporting documentation for each entry with aggregate cost over $5,000. Backup may consist of a vendor quote, past purchase order/invoice, information from a website, or a detailed explanation of labor and material costs for custom made items.</t>
  </si>
  <si>
    <t>•  Label ODC backup clearly with a Reference Document Number in the format of ODC000 starting with ODC001. Place the Reference Document Number in the upper right hand side of the backup page. If there are several quotes on a page, make sure each desired item has a separate reference number placed to the left of the item on the backup page. The Reference Document Number must be listed next to the appropriate item on the ODC worksheet under the Reference Document Number column.</t>
  </si>
  <si>
    <t>•  Ensure that descriptions and vendors listed on the ODC Details worksheet match information provided in the backup.</t>
  </si>
  <si>
    <t>•  Number Reference Document Numbers sequentially so they match the Item number in Phase 1. For example, Item number 1 should match ODC001. If the same items are used again in subsequent Phases, there is no need to renumber or add additional copies of the backup, but list the items sequentially by Reference Document Number. As an example, ODC002 could be used for Phase 1, item number 2, Phase 2, item number 1 and Phase 3, Item number 1.</t>
  </si>
  <si>
    <t>Examples include rental fees, shipping costs, license fees</t>
  </si>
  <si>
    <t>Include a separate section in the above table for Phase 1 and Phase 2.  Add additional lines labeled with Phases if needed.</t>
  </si>
  <si>
    <t>Insert Prime Name</t>
  </si>
  <si>
    <t>Expenditures by Month</t>
  </si>
  <si>
    <t>Insert PI Name</t>
  </si>
  <si>
    <t>Year: 20XX</t>
  </si>
  <si>
    <t>Jan</t>
  </si>
  <si>
    <t>Feb</t>
  </si>
  <si>
    <t>Mar</t>
  </si>
  <si>
    <t>Apr</t>
  </si>
  <si>
    <t>May</t>
  </si>
  <si>
    <t>Jun</t>
  </si>
  <si>
    <t>Jul</t>
  </si>
  <si>
    <t>Aug</t>
  </si>
  <si>
    <t>Sep</t>
  </si>
  <si>
    <t>Oct</t>
  </si>
  <si>
    <t>Nov</t>
  </si>
  <si>
    <t>Dec</t>
  </si>
  <si>
    <t>Prime</t>
  </si>
  <si>
    <t>Sub</t>
  </si>
  <si>
    <t>Prime Name</t>
  </si>
  <si>
    <t>PI Name</t>
  </si>
  <si>
    <t>Animal/Human Use Summary</t>
  </si>
  <si>
    <t>Base (Phase 1)</t>
  </si>
  <si>
    <t>Option I (Phase 2)</t>
  </si>
  <si>
    <t>Option II (Phase 3)</t>
  </si>
  <si>
    <t>Task</t>
  </si>
  <si>
    <t>Descriptive Text</t>
  </si>
  <si>
    <t>Animal Use (Y/N)</t>
  </si>
  <si>
    <t>Human Use (Y/N)</t>
  </si>
  <si>
    <t>TA 1</t>
  </si>
  <si>
    <t>TA 2</t>
  </si>
  <si>
    <t xml:space="preserve">Instructions: Indicate if animal and or human use is associated with each TA in each phase </t>
  </si>
  <si>
    <t>Animal Related Costs</t>
  </si>
  <si>
    <t>Item</t>
  </si>
  <si>
    <t>Description of Animal Related Cost</t>
  </si>
  <si>
    <t>Unit Price Description (e.g., per diem, cage cost, vet fee, animal purchase, etc.)</t>
  </si>
  <si>
    <t>Basis of Estimate</t>
  </si>
  <si>
    <t xml:space="preserve">Supporting documentation has been provided (Y/N) </t>
  </si>
  <si>
    <t>Y</t>
  </si>
  <si>
    <t>N</t>
  </si>
  <si>
    <t xml:space="preserve">Option I </t>
  </si>
  <si>
    <t>Option II</t>
  </si>
  <si>
    <t>• Fill out all columns on the Animal Related Costs Tab for each item.
• Add additional lines if needed.
• Include backup for each entry. Backup may consist of a vendor quote, information from a website, or a detailed explanation of labor and material costs for custom made items.
• Clearly label Animal Related backup with a Reference Document Number in the format of ART000 starting with ART001. Place the Reference Document Number in the upper right hand side of the backup page. If there are several quotes on a page, items not desired must be lined out and each desired item must have a separate reference number placed to the left of the item on the backup page. The Reference Document Number must be listed next to the appropriate item on the Animal Related worksheet under the Reference Document Number column.
• Ensure that descriptions and vendors listed on the Animal Related worksheet match information provided in the backup.
• Number Reference Document Numbers sequentially so they match the Item number in the Base. For example, Item number 1 should match ART001. If the same items are used again in the options, there is no need to renumber or add additional copies of the backup, but list the items sequentially for each option by Reference Document Number. As an example, ART010 could be used for Base item number 10, Option I item number1 and Option II Item number 6.</t>
  </si>
  <si>
    <t>Human Subjects Research (HSR) Related Costs</t>
  </si>
  <si>
    <t>Description of HSR Cost</t>
  </si>
  <si>
    <t>Unit Price Description (e.g., subject compensation/participant incentive, pre-operation testing fees, operating room charge, anesthesia related costs, pharmacy, etc.)</t>
  </si>
  <si>
    <t>• Fill out all columns on the Human Subjects Research (HSR) Tab for each item.
• Add additional lines if needed.
• Include backup for each entry. Backup may consist of a vendor quote, information from a website, or a detailed explanation of labor and material costs for custom made items.
• Clearly label HSR backup with a Reference Document Number in the format of HSRT000 starting with HSRT001. Place the Reference Document Number in the upper right hand side of the backup page. If there are several quotes on a page, items not desired must be lined out and each desired item must have a separate reference number placed to the left of the item on the backup page. The Reference Document Number must be listed next to the appropriate item on the HSR worksheet under the Reference Document Number column.
• Ensure that descriptions and vendors listed on the HSR worksheet match information provided in the backup.
• Number Reference Document Numbers sequentially so they match the Item number in the Base. For example, Item number 1 should match HSRT001. If the same items are used again in the options, there is no need to renumber or add additional copies of the backup, but list the items sequentially for each option by Reference Document Number. As an example, HSRT010 could be used for Base item number 10, Option I item number1 and Option II Item number 6.</t>
  </si>
  <si>
    <t xml:space="preserve">Milestones and Deliverables  </t>
  </si>
  <si>
    <t>Phase</t>
  </si>
  <si>
    <t>Task/
Subtask #</t>
  </si>
  <si>
    <t>TA/Subtask Title</t>
  </si>
  <si>
    <t>Cost ($)</t>
  </si>
  <si>
    <t>Organization</t>
  </si>
  <si>
    <t>Description/Approach</t>
  </si>
  <si>
    <t>Exit Criteria/Metrics</t>
  </si>
  <si>
    <t>Milestones/Deliverables 
(if applicable)</t>
  </si>
  <si>
    <t>Task/Subtask 
Start Date</t>
  </si>
  <si>
    <t>Task/Subtask 
End Date</t>
  </si>
  <si>
    <t>Milestone Date
(if applicable)</t>
  </si>
  <si>
    <t>TA1</t>
  </si>
  <si>
    <t>Prime/Sub #1/Sub #2</t>
  </si>
  <si>
    <t xml:space="preserve">1-2 sentence description of objective and approach </t>
  </si>
  <si>
    <t>short text identifier</t>
  </si>
  <si>
    <t>MM/DD/YY</t>
  </si>
  <si>
    <t>Short subtask text identifier</t>
  </si>
  <si>
    <t>Sub #1</t>
  </si>
  <si>
    <t>Prime/Sub #1</t>
  </si>
  <si>
    <t>Sub #2</t>
  </si>
  <si>
    <t>Prime/Sub#2</t>
  </si>
  <si>
    <t>Sub#1</t>
  </si>
  <si>
    <t>TA2</t>
  </si>
  <si>
    <t>TOTAL PROJECT COST</t>
  </si>
  <si>
    <t xml:space="preserve">Total Project Cost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</si>
</sst>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6" formatCode="&quot;$&quot;#,##0_);[Red]\(&quot;$&quot;#,##0\)"/>
    <numFmt numFmtId="7" formatCode="&quot;$&quot;#,##0.00_);\(&quot;$&quot;#,##0.00\)"/>
    <numFmt numFmtId="8" formatCode="&quot;$&quot;#,##0.00_);[Red]\(&quot;$&quot;#,##0.00\)"/>
    <numFmt numFmtId="42" formatCode="_(&quot;$&quot;* #,##0_);_(&quot;$&quot;* \(#,##0\);_(&quot;$&quot;* &quot;-&quot;_);_(@_)"/>
    <numFmt numFmtId="44" formatCode="_(&quot;$&quot;* #,##0.00_);_(&quot;$&quot;* \(#,##0.00\);_(&quot;$&quot;* &quot;-&quot;??_);_(@_)"/>
    <numFmt numFmtId="164" formatCode="&quot;$&quot;#,##0.00"/>
    <numFmt numFmtId="165" formatCode="0.000%"/>
    <numFmt numFmtId="166" formatCode="&quot;$&quot;#,##0"/>
    <numFmt numFmtId="167" formatCode="0.000"/>
    <numFmt numFmtId="168" formatCode="mm/dd/yy;@"/>
    <numFmt numFmtId="169" formatCode="#,##0.0_);\(#,##0.0\)"/>
    <numFmt numFmtId="170" formatCode="#,##0;[Red]#,##0"/>
    <numFmt numFmtId="171" formatCode="_(&quot;$&quot;* #,##0_);_(&quot;$&quot;* \(#,##0\);_(&quot;$&quot;* &quot;-&quot;??_);_(@_)"/>
    <numFmt numFmtId="172" formatCode="m/d/yy;@"/>
  </numFmts>
  <fonts count="107" x14ac:knownFonts="1">
    <font>
      <sz val="10"/>
      <name val="Arial"/>
    </font>
    <font>
      <sz val="11"/>
      <color theme="1"/>
      <name val="Calibri"/>
      <family val="2"/>
      <scheme val="minor"/>
    </font>
    <font>
      <sz val="11"/>
      <color theme="1"/>
      <name val="Calibri"/>
      <family val="2"/>
      <scheme val="minor"/>
    </font>
    <font>
      <sz val="10"/>
      <name val="Arial"/>
      <family val="2"/>
    </font>
    <font>
      <sz val="8"/>
      <name val="Arial"/>
      <family val="2"/>
    </font>
    <font>
      <b/>
      <sz val="10"/>
      <name val="Arial"/>
      <family val="2"/>
    </font>
    <font>
      <b/>
      <sz val="9"/>
      <name val="Arial"/>
      <family val="2"/>
    </font>
    <font>
      <sz val="9"/>
      <name val="Arial"/>
      <family val="2"/>
    </font>
    <font>
      <b/>
      <u/>
      <sz val="9"/>
      <name val="Arial"/>
      <family val="2"/>
    </font>
    <font>
      <i/>
      <sz val="9"/>
      <name val="Arial"/>
      <family val="2"/>
    </font>
    <font>
      <b/>
      <sz val="9"/>
      <color indexed="10"/>
      <name val="Arial"/>
      <family val="2"/>
    </font>
    <font>
      <b/>
      <u/>
      <sz val="9"/>
      <color indexed="10"/>
      <name val="Arial"/>
      <family val="2"/>
    </font>
    <font>
      <u/>
      <sz val="9"/>
      <name val="Arial"/>
      <family val="2"/>
    </font>
    <font>
      <b/>
      <i/>
      <sz val="12"/>
      <name val="Calibri"/>
      <family val="2"/>
    </font>
    <font>
      <sz val="12"/>
      <name val="Calibri"/>
      <family val="2"/>
    </font>
    <font>
      <sz val="10"/>
      <name val="Times New Roman"/>
      <family val="1"/>
    </font>
    <font>
      <b/>
      <sz val="12"/>
      <name val="Calibri"/>
      <family val="2"/>
    </font>
    <font>
      <sz val="10"/>
      <name val="Arial"/>
      <family val="2"/>
    </font>
    <font>
      <b/>
      <sz val="12"/>
      <color indexed="8"/>
      <name val="Calibri"/>
      <family val="2"/>
    </font>
    <font>
      <sz val="12"/>
      <color indexed="8"/>
      <name val="Calibri"/>
      <family val="2"/>
    </font>
    <font>
      <sz val="8"/>
      <name val="Verdana"/>
      <family val="2"/>
    </font>
    <font>
      <b/>
      <i/>
      <sz val="10"/>
      <name val="Arial"/>
      <family val="2"/>
    </font>
    <font>
      <b/>
      <sz val="12"/>
      <name val="Calibri"/>
      <family val="2"/>
      <scheme val="minor"/>
    </font>
    <font>
      <sz val="12"/>
      <name val="Calibri"/>
      <family val="2"/>
      <scheme val="minor"/>
    </font>
    <font>
      <sz val="10"/>
      <name val="Calibri"/>
      <family val="2"/>
      <scheme val="minor"/>
    </font>
    <font>
      <sz val="12"/>
      <name val="Times New Roman"/>
      <family val="1"/>
    </font>
    <font>
      <b/>
      <sz val="9"/>
      <color rgb="FFFF0000"/>
      <name val="Arial"/>
      <family val="2"/>
    </font>
    <font>
      <b/>
      <sz val="11"/>
      <name val="Arial"/>
      <family val="2"/>
    </font>
    <font>
      <i/>
      <sz val="10"/>
      <name val="Arial"/>
      <family val="2"/>
    </font>
    <font>
      <i/>
      <sz val="11"/>
      <name val="Arial"/>
      <family val="2"/>
    </font>
    <font>
      <sz val="10"/>
      <color rgb="FFFF0000"/>
      <name val="Arial"/>
      <family val="2"/>
    </font>
    <font>
      <b/>
      <sz val="9"/>
      <color indexed="81"/>
      <name val="Tahoma"/>
      <family val="2"/>
    </font>
    <font>
      <sz val="11"/>
      <name val="Arial"/>
      <family val="2"/>
    </font>
    <font>
      <b/>
      <sz val="11"/>
      <color theme="1"/>
      <name val="Calibri"/>
      <family val="2"/>
      <scheme val="minor"/>
    </font>
    <font>
      <sz val="11"/>
      <color theme="0"/>
      <name val="Calibri"/>
      <family val="2"/>
      <scheme val="minor"/>
    </font>
    <font>
      <sz val="10"/>
      <name val="Verdana"/>
      <family val="2"/>
    </font>
    <font>
      <b/>
      <sz val="18"/>
      <name val="Calibri"/>
      <family val="2"/>
      <scheme val="minor"/>
    </font>
    <font>
      <sz val="18"/>
      <name val="Calibri"/>
      <family val="2"/>
      <scheme val="minor"/>
    </font>
    <font>
      <b/>
      <sz val="12"/>
      <color theme="9" tint="-0.499984740745262"/>
      <name val="Calibri"/>
      <family val="2"/>
      <scheme val="minor"/>
    </font>
    <font>
      <b/>
      <sz val="12"/>
      <color theme="4" tint="-0.499984740745262"/>
      <name val="Calibri"/>
      <family val="2"/>
      <scheme val="minor"/>
    </font>
    <font>
      <b/>
      <sz val="12"/>
      <color theme="6" tint="-0.499984740745262"/>
      <name val="Calibri"/>
      <family val="2"/>
      <scheme val="minor"/>
    </font>
    <font>
      <b/>
      <sz val="12"/>
      <color theme="0"/>
      <name val="Calibri"/>
      <family val="2"/>
      <scheme val="minor"/>
    </font>
    <font>
      <b/>
      <sz val="14"/>
      <color theme="0"/>
      <name val="Calibri"/>
      <family val="2"/>
      <scheme val="minor"/>
    </font>
    <font>
      <b/>
      <sz val="26"/>
      <color theme="0"/>
      <name val="Calibri"/>
      <family val="2"/>
      <scheme val="minor"/>
    </font>
    <font>
      <b/>
      <sz val="16"/>
      <color theme="0"/>
      <name val="Calibri"/>
      <family val="2"/>
      <scheme val="minor"/>
    </font>
    <font>
      <sz val="18"/>
      <color theme="1"/>
      <name val="Calibri"/>
      <family val="2"/>
      <scheme val="minor"/>
    </font>
    <font>
      <b/>
      <sz val="16"/>
      <color theme="1"/>
      <name val="Calibri"/>
      <family val="2"/>
      <scheme val="minor"/>
    </font>
    <font>
      <b/>
      <sz val="22"/>
      <color theme="9" tint="-0.499984740745262"/>
      <name val="Calibri"/>
      <family val="2"/>
      <scheme val="minor"/>
    </font>
    <font>
      <b/>
      <sz val="18"/>
      <color theme="1"/>
      <name val="Calibri"/>
      <family val="2"/>
      <scheme val="minor"/>
    </font>
    <font>
      <b/>
      <sz val="18"/>
      <color theme="0"/>
      <name val="Calibri"/>
      <family val="2"/>
      <scheme val="minor"/>
    </font>
    <font>
      <b/>
      <sz val="22"/>
      <color theme="4" tint="-0.499984740745262"/>
      <name val="Calibri"/>
      <family val="2"/>
      <scheme val="minor"/>
    </font>
    <font>
      <b/>
      <sz val="22"/>
      <color theme="6" tint="-0.499984740745262"/>
      <name val="Calibri"/>
      <family val="2"/>
      <scheme val="minor"/>
    </font>
    <font>
      <b/>
      <sz val="20"/>
      <color theme="0"/>
      <name val="Calibri"/>
      <family val="2"/>
      <scheme val="minor"/>
    </font>
    <font>
      <sz val="20"/>
      <color theme="0"/>
      <name val="Calibri"/>
      <family val="2"/>
      <scheme val="minor"/>
    </font>
    <font>
      <sz val="9"/>
      <color indexed="81"/>
      <name val="Tahoma"/>
      <family val="2"/>
    </font>
    <font>
      <sz val="10"/>
      <name val="Avenir Next LT Pro Light"/>
      <family val="2"/>
    </font>
    <font>
      <b/>
      <sz val="10"/>
      <name val="Avenir Next LT Pro Light"/>
      <family val="2"/>
    </font>
    <font>
      <i/>
      <sz val="10"/>
      <name val="Avenir Next LT Pro Light"/>
      <family val="2"/>
    </font>
    <font>
      <b/>
      <sz val="11"/>
      <name val="Avenir Next LT Pro Light"/>
      <family val="2"/>
    </font>
    <font>
      <sz val="11"/>
      <name val="Avenir Next LT Pro Light"/>
      <family val="2"/>
    </font>
    <font>
      <sz val="10"/>
      <name val="Arial"/>
      <family val="2"/>
    </font>
    <font>
      <b/>
      <sz val="14"/>
      <name val="Avenir Next LT Pro Light"/>
      <family val="2"/>
    </font>
    <font>
      <sz val="12"/>
      <name val="Avenir Next LT Pro Light"/>
      <family val="2"/>
    </font>
    <font>
      <b/>
      <sz val="12"/>
      <name val="Avenir Next LT Pro Light"/>
      <family val="2"/>
    </font>
    <font>
      <sz val="12"/>
      <color indexed="8"/>
      <name val="Avenir Next LT Pro Light"/>
      <family val="2"/>
    </font>
    <font>
      <sz val="7"/>
      <name val="Avenir Next LT Pro Light"/>
      <family val="2"/>
    </font>
    <font>
      <i/>
      <sz val="12"/>
      <name val="Avenir Next LT Pro Light"/>
      <family val="2"/>
    </font>
    <font>
      <b/>
      <sz val="16"/>
      <name val="Avenir Next LT Pro Light"/>
      <family val="2"/>
    </font>
    <font>
      <b/>
      <sz val="12"/>
      <color theme="0"/>
      <name val="Avenir Next LT Pro Light"/>
      <family val="2"/>
    </font>
    <font>
      <sz val="12"/>
      <color theme="1"/>
      <name val="Avenir Next LT Pro Light"/>
      <family val="2"/>
    </font>
    <font>
      <b/>
      <sz val="12"/>
      <color theme="1"/>
      <name val="Avenir Next LT Pro Light"/>
      <family val="2"/>
    </font>
    <font>
      <b/>
      <sz val="12"/>
      <color theme="4" tint="-0.499984740745262"/>
      <name val="Avenir Next LT Pro Light"/>
      <family val="2"/>
    </font>
    <font>
      <b/>
      <sz val="12"/>
      <color theme="6" tint="-0.499984740745262"/>
      <name val="Avenir Next LT Pro Light"/>
      <family val="2"/>
    </font>
    <font>
      <b/>
      <sz val="12"/>
      <color indexed="8"/>
      <name val="Avenir Next LT Pro Light"/>
      <family val="2"/>
    </font>
    <font>
      <b/>
      <sz val="11"/>
      <color indexed="8"/>
      <name val="Avenir Next LT Pro Light"/>
      <family val="2"/>
    </font>
    <font>
      <b/>
      <sz val="11"/>
      <color rgb="FFFF0000"/>
      <name val="Avenir Next LT Pro Light"/>
      <family val="2"/>
    </font>
    <font>
      <b/>
      <sz val="11"/>
      <color theme="5"/>
      <name val="Avenir Next LT Pro Light"/>
      <family val="2"/>
    </font>
    <font>
      <sz val="11"/>
      <color indexed="8"/>
      <name val="Avenir Next LT Pro Light"/>
      <family val="2"/>
    </font>
    <font>
      <sz val="14"/>
      <color indexed="8"/>
      <name val="Avenir Next LT Pro Light"/>
      <family val="2"/>
    </font>
    <font>
      <b/>
      <i/>
      <sz val="10"/>
      <color rgb="FFFF0000"/>
      <name val="Avenir Next LT Pro Light"/>
      <family val="2"/>
    </font>
    <font>
      <sz val="10"/>
      <color indexed="8"/>
      <name val="Avenir Next LT Pro Light"/>
      <family val="2"/>
    </font>
    <font>
      <b/>
      <sz val="10"/>
      <color indexed="8"/>
      <name val="Avenir Next LT Pro Light"/>
      <family val="2"/>
    </font>
    <font>
      <b/>
      <sz val="10"/>
      <color rgb="FFFF0000"/>
      <name val="Avenir Next LT Pro Light"/>
      <family val="2"/>
    </font>
    <font>
      <sz val="10"/>
      <color theme="1"/>
      <name val="Avenir Next LT Pro Light"/>
      <family val="2"/>
    </font>
    <font>
      <sz val="11"/>
      <color theme="1"/>
      <name val="Avenir Next LT Pro Light"/>
      <family val="2"/>
    </font>
    <font>
      <b/>
      <sz val="9"/>
      <name val="Avenir Next LT Pro Light"/>
      <family val="2"/>
    </font>
    <font>
      <sz val="9"/>
      <name val="Avenir Next LT Pro Light"/>
      <family val="2"/>
    </font>
    <font>
      <b/>
      <u/>
      <sz val="9"/>
      <name val="Avenir Next LT Pro Light"/>
      <family val="2"/>
    </font>
    <font>
      <b/>
      <sz val="9"/>
      <color indexed="10"/>
      <name val="Avenir Next LT Pro Light"/>
      <family val="2"/>
    </font>
    <font>
      <b/>
      <u/>
      <sz val="10"/>
      <name val="Avenir Next LT Pro Light"/>
      <family val="2"/>
    </font>
    <font>
      <b/>
      <u/>
      <sz val="10"/>
      <color indexed="10"/>
      <name val="Avenir Next LT Pro Light"/>
      <family val="2"/>
    </font>
    <font>
      <b/>
      <sz val="18"/>
      <name val="Avenir Next LT Pro Light"/>
      <family val="2"/>
    </font>
    <font>
      <sz val="9"/>
      <color indexed="81"/>
      <name val="Avenir Next LT Pro Light"/>
      <family val="2"/>
    </font>
    <font>
      <sz val="9"/>
      <color indexed="81"/>
      <name val="Avenir Next LT Pro"/>
      <family val="2"/>
    </font>
    <font>
      <sz val="10"/>
      <name val="Avenir Next LT Pro"/>
      <family val="2"/>
    </font>
    <font>
      <b/>
      <sz val="14"/>
      <name val="Avenir Next LT Pro"/>
      <family val="2"/>
    </font>
    <font>
      <sz val="11"/>
      <name val="Avenir Next LT Pro"/>
      <family val="2"/>
    </font>
    <font>
      <sz val="9"/>
      <name val="Avenir Next LT Pro"/>
      <family val="2"/>
    </font>
    <font>
      <b/>
      <sz val="10"/>
      <name val="Avenir Next LT Pro"/>
      <family val="2"/>
    </font>
    <font>
      <b/>
      <sz val="11"/>
      <name val="Avenir Next LT Pro"/>
      <family val="2"/>
    </font>
    <font>
      <b/>
      <sz val="12"/>
      <name val="Avenir Next LT Pro"/>
      <family val="2"/>
    </font>
    <font>
      <i/>
      <sz val="10"/>
      <name val="Avenir Next LT Pro"/>
      <family val="2"/>
    </font>
    <font>
      <b/>
      <i/>
      <sz val="10"/>
      <name val="Avenir Next LT Pro"/>
      <family val="2"/>
    </font>
    <font>
      <sz val="12"/>
      <name val="Avenir Next LT Pro"/>
      <family val="2"/>
    </font>
    <font>
      <b/>
      <i/>
      <sz val="12"/>
      <color indexed="8"/>
      <name val="Avenir Next LT Pro"/>
      <family val="2"/>
    </font>
    <font>
      <b/>
      <sz val="9"/>
      <color theme="1"/>
      <name val="Avenir Next LT Pro Light"/>
      <family val="2"/>
    </font>
    <font>
      <sz val="11"/>
      <color indexed="8"/>
      <name val="Avenir Next LT Pro"/>
      <family val="2"/>
    </font>
  </fonts>
  <fills count="47">
    <fill>
      <patternFill patternType="none"/>
    </fill>
    <fill>
      <patternFill patternType="gray125"/>
    </fill>
    <fill>
      <patternFill patternType="solid">
        <fgColor indexed="42"/>
        <bgColor indexed="64"/>
      </patternFill>
    </fill>
    <fill>
      <patternFill patternType="solid">
        <fgColor indexed="22"/>
        <bgColor indexed="64"/>
      </patternFill>
    </fill>
    <fill>
      <patternFill patternType="solid">
        <fgColor indexed="13"/>
        <bgColor indexed="64"/>
      </patternFill>
    </fill>
    <fill>
      <patternFill patternType="solid">
        <fgColor indexed="47"/>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CCFFCC"/>
        <bgColor indexed="64"/>
      </patternFill>
    </fill>
    <fill>
      <patternFill patternType="solid">
        <fgColor rgb="FF92D050"/>
        <bgColor indexed="64"/>
      </patternFill>
    </fill>
    <fill>
      <patternFill patternType="solid">
        <fgColor rgb="FFFFC000"/>
        <bgColor indexed="64"/>
      </patternFill>
    </fill>
    <fill>
      <patternFill patternType="solid">
        <fgColor rgb="FFC6E6A2"/>
        <bgColor indexed="64"/>
      </patternFill>
    </fill>
    <fill>
      <patternFill patternType="solid">
        <fgColor rgb="FFFFE9A3"/>
        <bgColor indexed="64"/>
      </patternFill>
    </fill>
    <fill>
      <patternFill patternType="solid">
        <fgColor theme="0" tint="-0.14999847407452621"/>
        <bgColor indexed="64"/>
      </patternFill>
    </fill>
    <fill>
      <patternFill patternType="solid">
        <fgColor theme="1"/>
        <bgColor indexed="64"/>
      </patternFill>
    </fill>
    <fill>
      <patternFill patternType="solid">
        <fgColor theme="1" tint="0.14999847407452621"/>
        <bgColor indexed="64"/>
      </patternFill>
    </fill>
    <fill>
      <patternFill patternType="solid">
        <fgColor rgb="FFCCFFFF"/>
        <bgColor indexed="64"/>
      </patternFill>
    </fill>
    <fill>
      <patternFill patternType="solid">
        <fgColor theme="0" tint="-4.9989318521683403E-2"/>
        <bgColor indexed="64"/>
      </patternFill>
    </fill>
    <fill>
      <patternFill patternType="solid">
        <fgColor rgb="FFECECEC"/>
        <bgColor indexed="64"/>
      </patternFill>
    </fill>
    <fill>
      <patternFill patternType="solid">
        <fgColor rgb="FF00B050"/>
        <bgColor indexed="64"/>
      </patternFill>
    </fill>
    <fill>
      <patternFill patternType="solid">
        <fgColor rgb="FFFF97FF"/>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2" tint="-0.499984740745262"/>
        <bgColor indexed="64"/>
      </patternFill>
    </fill>
    <fill>
      <patternFill patternType="solid">
        <fgColor theme="7" tint="-0.499984740745262"/>
        <bgColor indexed="64"/>
      </patternFill>
    </fill>
    <fill>
      <patternFill patternType="solid">
        <fgColor theme="1" tint="0.249977111117893"/>
        <bgColor indexed="64"/>
      </patternFill>
    </fill>
    <fill>
      <patternFill patternType="solid">
        <fgColor theme="2"/>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2" tint="-9.9978637043366805E-2"/>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3" tint="0.79998168889431442"/>
        <bgColor indexed="64"/>
      </patternFill>
    </fill>
    <fill>
      <patternFill patternType="solid">
        <fgColor theme="6" tint="-0.249977111117893"/>
        <bgColor indexed="64"/>
      </patternFill>
    </fill>
    <fill>
      <patternFill patternType="solid">
        <fgColor theme="8" tint="-0.249977111117893"/>
        <bgColor indexed="64"/>
      </patternFill>
    </fill>
    <fill>
      <patternFill patternType="solid">
        <fgColor theme="4" tint="-0.249977111117893"/>
        <bgColor indexed="64"/>
      </patternFill>
    </fill>
    <fill>
      <patternFill patternType="solid">
        <fgColor theme="5" tint="0.59999389629810485"/>
        <bgColor indexed="64"/>
      </patternFill>
    </fill>
    <fill>
      <patternFill patternType="solid">
        <fgColor theme="3" tint="0.59999389629810485"/>
        <bgColor indexed="64"/>
      </patternFill>
    </fill>
    <fill>
      <patternFill patternType="solid">
        <fgColor theme="0"/>
        <bgColor indexed="64"/>
      </patternFill>
    </fill>
    <fill>
      <patternFill patternType="solid">
        <fgColor theme="4" tint="0.39997558519241921"/>
        <bgColor indexed="64"/>
      </patternFill>
    </fill>
    <fill>
      <patternFill patternType="solid">
        <fgColor theme="5" tint="-0.249977111117893"/>
        <bgColor indexed="64"/>
      </patternFill>
    </fill>
  </fills>
  <borders count="10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medium">
        <color indexed="64"/>
      </right>
      <top/>
      <bottom style="medium">
        <color indexed="64"/>
      </bottom>
      <diagonal/>
    </border>
    <border>
      <left style="thin">
        <color indexed="64"/>
      </left>
      <right style="thin">
        <color indexed="64"/>
      </right>
      <top/>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diagonal/>
    </border>
    <border>
      <left style="double">
        <color indexed="64"/>
      </left>
      <right style="thick">
        <color indexed="64"/>
      </right>
      <top style="medium">
        <color indexed="64"/>
      </top>
      <bottom style="medium">
        <color indexed="64"/>
      </bottom>
      <diagonal/>
    </border>
    <border>
      <left style="double">
        <color indexed="64"/>
      </left>
      <right style="thick">
        <color indexed="64"/>
      </right>
      <top style="medium">
        <color indexed="64"/>
      </top>
      <bottom style="thin">
        <color indexed="64"/>
      </bottom>
      <diagonal/>
    </border>
    <border>
      <left style="double">
        <color indexed="64"/>
      </left>
      <right style="thick">
        <color indexed="64"/>
      </right>
      <top/>
      <bottom style="thin">
        <color indexed="64"/>
      </bottom>
      <diagonal/>
    </border>
    <border>
      <left style="double">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style="medium">
        <color indexed="64"/>
      </top>
      <bottom style="thin">
        <color indexed="64"/>
      </bottom>
      <diagonal/>
    </border>
    <border>
      <left style="thick">
        <color indexed="64"/>
      </left>
      <right style="thin">
        <color indexed="64"/>
      </right>
      <top/>
      <bottom style="thin">
        <color indexed="64"/>
      </bottom>
      <diagonal/>
    </border>
    <border>
      <left style="double">
        <color indexed="64"/>
      </left>
      <right style="medium">
        <color indexed="64"/>
      </right>
      <top style="medium">
        <color indexed="64"/>
      </top>
      <bottom style="thin">
        <color indexed="64"/>
      </bottom>
      <diagonal/>
    </border>
    <border>
      <left style="double">
        <color indexed="64"/>
      </left>
      <right style="medium">
        <color indexed="64"/>
      </right>
      <top/>
      <bottom style="thin">
        <color indexed="64"/>
      </bottom>
      <diagonal/>
    </border>
    <border>
      <left style="double">
        <color indexed="64"/>
      </left>
      <right style="medium">
        <color indexed="64"/>
      </right>
      <top style="thin">
        <color indexed="64"/>
      </top>
      <bottom style="thin">
        <color indexed="64"/>
      </bottom>
      <diagonal/>
    </border>
    <border>
      <left style="double">
        <color indexed="64"/>
      </left>
      <right/>
      <top style="medium">
        <color indexed="64"/>
      </top>
      <bottom style="thin">
        <color indexed="64"/>
      </bottom>
      <diagonal/>
    </border>
    <border>
      <left style="double">
        <color indexed="64"/>
      </left>
      <right/>
      <top/>
      <bottom style="thin">
        <color indexed="64"/>
      </bottom>
      <diagonal/>
    </border>
    <border>
      <left style="double">
        <color indexed="64"/>
      </left>
      <right style="thick">
        <color indexed="64"/>
      </right>
      <top style="thin">
        <color indexed="64"/>
      </top>
      <bottom style="medium">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style="thin">
        <color indexed="64"/>
      </left>
      <right/>
      <top/>
      <bottom/>
      <diagonal/>
    </border>
    <border>
      <left style="medium">
        <color indexed="64"/>
      </left>
      <right style="thin">
        <color indexed="64"/>
      </right>
      <top style="medium">
        <color indexed="64"/>
      </top>
      <bottom/>
      <diagonal/>
    </border>
    <border>
      <left style="thick">
        <color indexed="64"/>
      </left>
      <right/>
      <top style="thin">
        <color indexed="64"/>
      </top>
      <bottom/>
      <diagonal/>
    </border>
    <border>
      <left/>
      <right style="double">
        <color indexed="64"/>
      </right>
      <top style="thin">
        <color indexed="64"/>
      </top>
      <bottom/>
      <diagonal/>
    </border>
    <border>
      <left style="thick">
        <color indexed="64"/>
      </left>
      <right/>
      <top/>
      <bottom/>
      <diagonal/>
    </border>
    <border>
      <left/>
      <right style="double">
        <color indexed="64"/>
      </right>
      <top/>
      <bottom/>
      <diagonal/>
    </border>
    <border>
      <left style="thick">
        <color indexed="64"/>
      </left>
      <right/>
      <top/>
      <bottom style="thin">
        <color indexed="64"/>
      </bottom>
      <diagonal/>
    </border>
    <border>
      <left/>
      <right style="double">
        <color indexed="64"/>
      </right>
      <top/>
      <bottom style="thin">
        <color indexed="64"/>
      </bottom>
      <diagonal/>
    </border>
    <border>
      <left/>
      <right/>
      <top style="thin">
        <color indexed="64"/>
      </top>
      <bottom style="medium">
        <color indexed="64"/>
      </bottom>
      <diagonal/>
    </border>
    <border>
      <left/>
      <right style="double">
        <color indexed="64"/>
      </right>
      <top style="thin">
        <color indexed="64"/>
      </top>
      <bottom style="medium">
        <color indexed="64"/>
      </bottom>
      <diagonal/>
    </border>
    <border>
      <left/>
      <right style="thick">
        <color indexed="64"/>
      </right>
      <top style="thin">
        <color indexed="64"/>
      </top>
      <bottom style="thin">
        <color indexed="64"/>
      </bottom>
      <diagonal/>
    </border>
    <border>
      <left/>
      <right style="double">
        <color indexed="64"/>
      </right>
      <top style="thin">
        <color indexed="64"/>
      </top>
      <bottom style="thin">
        <color indexed="64"/>
      </bottom>
      <diagonal/>
    </border>
    <border>
      <left style="thick">
        <color indexed="64"/>
      </left>
      <right/>
      <top style="thin">
        <color indexed="64"/>
      </top>
      <bottom style="thin">
        <color indexed="64"/>
      </bottom>
      <diagonal/>
    </border>
    <border>
      <left/>
      <right style="thick">
        <color indexed="64"/>
      </right>
      <top style="medium">
        <color indexed="64"/>
      </top>
      <bottom style="thin">
        <color indexed="64"/>
      </bottom>
      <diagonal/>
    </border>
    <border>
      <left/>
      <right style="thin">
        <color indexed="64"/>
      </right>
      <top/>
      <bottom/>
      <diagonal/>
    </border>
    <border>
      <left style="thick">
        <color indexed="64"/>
      </left>
      <right/>
      <top style="medium">
        <color indexed="64"/>
      </top>
      <bottom style="thin">
        <color indexed="64"/>
      </bottom>
      <diagonal/>
    </border>
    <border>
      <left style="double">
        <color indexed="64"/>
      </left>
      <right/>
      <top style="thin">
        <color indexed="64"/>
      </top>
      <bottom style="thin">
        <color indexed="64"/>
      </bottom>
      <diagonal/>
    </border>
    <border>
      <left style="thick">
        <color indexed="64"/>
      </left>
      <right/>
      <top style="medium">
        <color indexed="64"/>
      </top>
      <bottom style="medium">
        <color indexed="64"/>
      </bottom>
      <diagonal/>
    </border>
    <border>
      <left/>
      <right style="double">
        <color indexed="64"/>
      </right>
      <top style="medium">
        <color indexed="64"/>
      </top>
      <bottom style="medium">
        <color indexed="64"/>
      </bottom>
      <diagonal/>
    </border>
    <border>
      <left/>
      <right style="thick">
        <color indexed="64"/>
      </right>
      <top style="medium">
        <color indexed="64"/>
      </top>
      <bottom style="medium">
        <color indexed="64"/>
      </bottom>
      <diagonal/>
    </border>
    <border>
      <left style="double">
        <color indexed="64"/>
      </left>
      <right/>
      <top style="medium">
        <color indexed="64"/>
      </top>
      <bottom style="medium">
        <color indexed="64"/>
      </bottom>
      <diagonal/>
    </border>
    <border>
      <left style="double">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style="medium">
        <color indexed="64"/>
      </top>
      <bottom/>
      <diagonal/>
    </border>
  </borders>
  <cellStyleXfs count="15">
    <xf numFmtId="0" fontId="0" fillId="0" borderId="0"/>
    <xf numFmtId="44" fontId="3" fillId="0" borderId="0" applyFont="0" applyFill="0" applyBorder="0" applyAlignment="0" applyProtection="0"/>
    <xf numFmtId="0" fontId="15" fillId="0" borderId="0"/>
    <xf numFmtId="0" fontId="15" fillId="0" borderId="0"/>
    <xf numFmtId="167" fontId="17" fillId="0" borderId="0"/>
    <xf numFmtId="0" fontId="35" fillId="0" borderId="0"/>
    <xf numFmtId="167" fontId="3" fillId="0" borderId="0"/>
    <xf numFmtId="0" fontId="2" fillId="0" borderId="0"/>
    <xf numFmtId="44" fontId="2" fillId="0" borderId="0" applyFont="0" applyFill="0" applyBorder="0" applyAlignment="0" applyProtection="0"/>
    <xf numFmtId="0" fontId="2" fillId="0" borderId="0"/>
    <xf numFmtId="44" fontId="2" fillId="0" borderId="0" applyFont="0" applyFill="0" applyBorder="0" applyAlignment="0" applyProtection="0"/>
    <xf numFmtId="44" fontId="3" fillId="0" borderId="0" applyFont="0" applyFill="0" applyBorder="0" applyAlignment="0" applyProtection="0"/>
    <xf numFmtId="0" fontId="1" fillId="0" borderId="0"/>
    <xf numFmtId="44" fontId="1" fillId="0" borderId="0" applyFont="0" applyFill="0" applyBorder="0" applyAlignment="0" applyProtection="0"/>
    <xf numFmtId="9" fontId="60" fillId="0" borderId="0" applyFont="0" applyFill="0" applyBorder="0" applyAlignment="0" applyProtection="0"/>
  </cellStyleXfs>
  <cellXfs count="1825">
    <xf numFmtId="0" fontId="0" fillId="0" borderId="0" xfId="0"/>
    <xf numFmtId="0" fontId="7" fillId="2" borderId="1" xfId="0" applyFont="1" applyFill="1" applyBorder="1"/>
    <xf numFmtId="0" fontId="7" fillId="0" borderId="1" xfId="0" applyFont="1" applyBorder="1"/>
    <xf numFmtId="0" fontId="6" fillId="3" borderId="1" xfId="0" applyFont="1" applyFill="1" applyBorder="1" applyAlignment="1">
      <alignment vertical="top" wrapText="1"/>
    </xf>
    <xf numFmtId="0" fontId="6" fillId="3" borderId="1" xfId="0" applyFont="1" applyFill="1" applyBorder="1"/>
    <xf numFmtId="0" fontId="7" fillId="0" borderId="1" xfId="0" applyFont="1" applyBorder="1" applyAlignment="1">
      <alignment vertical="top" wrapText="1"/>
    </xf>
    <xf numFmtId="165" fontId="7" fillId="0" borderId="1" xfId="0" applyNumberFormat="1" applyFont="1" applyBorder="1"/>
    <xf numFmtId="0" fontId="7" fillId="0" borderId="2" xfId="0" applyFont="1" applyBorder="1"/>
    <xf numFmtId="0" fontId="6" fillId="3" borderId="2" xfId="0" applyFont="1" applyFill="1" applyBorder="1"/>
    <xf numFmtId="0" fontId="7" fillId="0" borderId="5" xfId="0" applyFont="1" applyBorder="1"/>
    <xf numFmtId="3" fontId="6" fillId="3" borderId="5" xfId="0" applyNumberFormat="1" applyFont="1" applyFill="1" applyBorder="1"/>
    <xf numFmtId="166" fontId="7" fillId="0" borderId="5" xfId="0" applyNumberFormat="1" applyFont="1" applyBorder="1"/>
    <xf numFmtId="0" fontId="6" fillId="3" borderId="5" xfId="0" applyFont="1" applyFill="1" applyBorder="1"/>
    <xf numFmtId="0" fontId="7" fillId="2" borderId="7" xfId="0" applyFont="1" applyFill="1" applyBorder="1"/>
    <xf numFmtId="0" fontId="7" fillId="5" borderId="1" xfId="0" applyFont="1" applyFill="1" applyBorder="1"/>
    <xf numFmtId="0" fontId="7" fillId="5" borderId="2" xfId="0" applyFont="1" applyFill="1" applyBorder="1"/>
    <xf numFmtId="0" fontId="7" fillId="5" borderId="5" xfId="0" applyFont="1" applyFill="1" applyBorder="1"/>
    <xf numFmtId="0" fontId="6" fillId="0" borderId="5" xfId="0" applyFont="1" applyBorder="1"/>
    <xf numFmtId="0" fontId="6" fillId="5" borderId="5" xfId="0" applyFont="1" applyFill="1" applyBorder="1"/>
    <xf numFmtId="0" fontId="7" fillId="0" borderId="7" xfId="0" applyFont="1" applyBorder="1"/>
    <xf numFmtId="0" fontId="5" fillId="2" borderId="5" xfId="0" applyFont="1" applyFill="1" applyBorder="1"/>
    <xf numFmtId="0" fontId="7" fillId="2" borderId="13" xfId="0" applyFont="1" applyFill="1" applyBorder="1"/>
    <xf numFmtId="0" fontId="7" fillId="2" borderId="14" xfId="0" applyFont="1" applyFill="1" applyBorder="1"/>
    <xf numFmtId="0" fontId="8" fillId="0" borderId="2" xfId="0" applyFont="1" applyBorder="1" applyAlignment="1">
      <alignment horizontal="center"/>
    </xf>
    <xf numFmtId="0" fontId="5" fillId="0" borderId="0" xfId="0" applyFont="1"/>
    <xf numFmtId="3" fontId="6" fillId="3" borderId="16" xfId="0" applyNumberFormat="1" applyFont="1" applyFill="1" applyBorder="1"/>
    <xf numFmtId="0" fontId="10" fillId="0" borderId="17" xfId="0" applyFont="1" applyBorder="1" applyAlignment="1">
      <alignment horizontal="center"/>
    </xf>
    <xf numFmtId="164" fontId="7" fillId="0" borderId="16" xfId="0" applyNumberFormat="1" applyFont="1" applyBorder="1"/>
    <xf numFmtId="164" fontId="6" fillId="3" borderId="16" xfId="0" applyNumberFormat="1" applyFont="1" applyFill="1" applyBorder="1"/>
    <xf numFmtId="0" fontId="10" fillId="2" borderId="7" xfId="0" applyFont="1" applyFill="1" applyBorder="1" applyAlignment="1">
      <alignment horizontal="center"/>
    </xf>
    <xf numFmtId="0" fontId="6" fillId="0" borderId="18" xfId="0" applyFont="1" applyBorder="1"/>
    <xf numFmtId="0" fontId="7" fillId="2" borderId="19" xfId="0" applyFont="1" applyFill="1" applyBorder="1"/>
    <xf numFmtId="0" fontId="6" fillId="0" borderId="1" xfId="0" applyFont="1" applyBorder="1"/>
    <xf numFmtId="0" fontId="16" fillId="0" borderId="1" xfId="3" applyFont="1" applyBorder="1" applyAlignment="1">
      <alignment horizontal="center"/>
    </xf>
    <xf numFmtId="0" fontId="14" fillId="0" borderId="1" xfId="3" applyFont="1" applyBorder="1" applyAlignment="1">
      <alignment horizontal="center"/>
    </xf>
    <xf numFmtId="8" fontId="14" fillId="0" borderId="1" xfId="3" applyNumberFormat="1" applyFont="1" applyBorder="1" applyAlignment="1">
      <alignment horizontal="right"/>
    </xf>
    <xf numFmtId="0" fontId="14" fillId="0" borderId="1" xfId="3" applyFont="1" applyBorder="1"/>
    <xf numFmtId="0" fontId="14" fillId="0" borderId="1" xfId="3" applyFont="1" applyBorder="1" applyAlignment="1">
      <alignment horizontal="left"/>
    </xf>
    <xf numFmtId="0" fontId="14" fillId="0" borderId="0" xfId="3" applyFont="1" applyAlignment="1">
      <alignment horizontal="center"/>
    </xf>
    <xf numFmtId="0" fontId="14" fillId="0" borderId="0" xfId="3" applyFont="1"/>
    <xf numFmtId="0" fontId="14" fillId="0" borderId="0" xfId="3" applyFont="1" applyAlignment="1">
      <alignment horizontal="right"/>
    </xf>
    <xf numFmtId="0" fontId="16" fillId="0" borderId="0" xfId="3" applyFont="1" applyAlignment="1">
      <alignment horizontal="right"/>
    </xf>
    <xf numFmtId="0" fontId="14" fillId="0" borderId="28" xfId="0" applyFont="1" applyBorder="1"/>
    <xf numFmtId="0" fontId="0" fillId="0" borderId="28" xfId="0" applyBorder="1"/>
    <xf numFmtId="0" fontId="14" fillId="0" borderId="2" xfId="3" applyFont="1" applyBorder="1" applyAlignment="1">
      <alignment horizontal="center"/>
    </xf>
    <xf numFmtId="0" fontId="14" fillId="0" borderId="2" xfId="3" applyFont="1" applyBorder="1" applyAlignment="1">
      <alignment horizontal="center" wrapText="1"/>
    </xf>
    <xf numFmtId="0" fontId="19" fillId="0" borderId="1" xfId="0" applyFont="1" applyBorder="1" applyAlignment="1">
      <alignment horizontal="center" vertical="top" wrapText="1"/>
    </xf>
    <xf numFmtId="16" fontId="14" fillId="0" borderId="1" xfId="0" applyNumberFormat="1" applyFont="1" applyBorder="1" applyAlignment="1">
      <alignment horizontal="center"/>
    </xf>
    <xf numFmtId="0" fontId="18" fillId="0" borderId="1" xfId="0" applyFont="1" applyBorder="1" applyAlignment="1">
      <alignment horizontal="center" vertical="center" wrapText="1"/>
    </xf>
    <xf numFmtId="0" fontId="13" fillId="2" borderId="0" xfId="0" applyFont="1" applyFill="1" applyAlignment="1">
      <alignment horizontal="left"/>
    </xf>
    <xf numFmtId="0" fontId="14" fillId="2" borderId="0" xfId="2" applyFont="1" applyFill="1"/>
    <xf numFmtId="0" fontId="16" fillId="0" borderId="1" xfId="3" applyFont="1" applyBorder="1" applyAlignment="1">
      <alignment horizontal="center" vertical="center"/>
    </xf>
    <xf numFmtId="0" fontId="16" fillId="0" borderId="1" xfId="3" applyFont="1" applyBorder="1" applyAlignment="1">
      <alignment horizontal="center" vertical="center" wrapText="1"/>
    </xf>
    <xf numFmtId="0" fontId="16" fillId="0" borderId="2" xfId="3" applyFont="1" applyBorder="1" applyAlignment="1">
      <alignment horizontal="center" vertical="center" wrapText="1"/>
    </xf>
    <xf numFmtId="0" fontId="0" fillId="8" borderId="0" xfId="0" applyFill="1"/>
    <xf numFmtId="0" fontId="3" fillId="0" borderId="0" xfId="0" applyFont="1"/>
    <xf numFmtId="0" fontId="9" fillId="0" borderId="2" xfId="0" applyFont="1" applyBorder="1"/>
    <xf numFmtId="0" fontId="7" fillId="10" borderId="2" xfId="0" applyFont="1" applyFill="1" applyBorder="1"/>
    <xf numFmtId="0" fontId="7" fillId="11" borderId="0" xfId="2" applyFont="1" applyFill="1"/>
    <xf numFmtId="8" fontId="16" fillId="0" borderId="1" xfId="3" applyNumberFormat="1" applyFont="1" applyBorder="1" applyAlignment="1">
      <alignment horizontal="right"/>
    </xf>
    <xf numFmtId="0" fontId="5" fillId="0" borderId="0" xfId="0" applyFont="1" applyAlignment="1">
      <alignment vertical="top"/>
    </xf>
    <xf numFmtId="0" fontId="25" fillId="0" borderId="0" xfId="0" applyFont="1" applyAlignment="1">
      <alignment horizontal="justify" vertical="center"/>
    </xf>
    <xf numFmtId="0" fontId="25" fillId="0" borderId="0" xfId="0" applyFont="1"/>
    <xf numFmtId="0" fontId="26" fillId="0" borderId="14" xfId="0" applyFont="1" applyBorder="1"/>
    <xf numFmtId="0" fontId="3" fillId="8" borderId="0" xfId="0" applyFont="1" applyFill="1"/>
    <xf numFmtId="0" fontId="5" fillId="12" borderId="0" xfId="0" applyFont="1" applyFill="1"/>
    <xf numFmtId="0" fontId="5" fillId="17" borderId="0" xfId="0" applyFont="1" applyFill="1"/>
    <xf numFmtId="0" fontId="0" fillId="17" borderId="0" xfId="0" applyFill="1"/>
    <xf numFmtId="0" fontId="5" fillId="0" borderId="0" xfId="0" applyFont="1" applyAlignment="1">
      <alignment vertical="center"/>
    </xf>
    <xf numFmtId="0" fontId="5" fillId="13" borderId="0" xfId="0" applyFont="1" applyFill="1"/>
    <xf numFmtId="0" fontId="29" fillId="0" borderId="0" xfId="0" applyFont="1"/>
    <xf numFmtId="0" fontId="5" fillId="15" borderId="8" xfId="0" applyFont="1" applyFill="1" applyBorder="1"/>
    <xf numFmtId="0" fontId="7" fillId="15" borderId="3" xfId="0" applyFont="1" applyFill="1" applyBorder="1"/>
    <xf numFmtId="0" fontId="7" fillId="15" borderId="4" xfId="0" applyFont="1" applyFill="1" applyBorder="1"/>
    <xf numFmtId="0" fontId="0" fillId="15" borderId="0" xfId="0" applyFill="1"/>
    <xf numFmtId="0" fontId="5" fillId="15" borderId="9" xfId="0" applyFont="1" applyFill="1" applyBorder="1"/>
    <xf numFmtId="0" fontId="7" fillId="15" borderId="10" xfId="0" applyFont="1" applyFill="1" applyBorder="1"/>
    <xf numFmtId="0" fontId="7" fillId="15" borderId="1" xfId="0" applyFont="1" applyFill="1" applyBorder="1"/>
    <xf numFmtId="0" fontId="7" fillId="15" borderId="6" xfId="0" applyFont="1" applyFill="1" applyBorder="1"/>
    <xf numFmtId="49" fontId="0" fillId="0" borderId="0" xfId="0" applyNumberFormat="1" applyAlignment="1">
      <alignment wrapText="1"/>
    </xf>
    <xf numFmtId="42" fontId="0" fillId="0" borderId="0" xfId="0" applyNumberFormat="1"/>
    <xf numFmtId="0" fontId="28" fillId="0" borderId="0" xfId="0" applyFont="1"/>
    <xf numFmtId="0" fontId="5" fillId="0" borderId="1" xfId="0" applyFont="1" applyBorder="1" applyAlignment="1">
      <alignment vertical="center"/>
    </xf>
    <xf numFmtId="49" fontId="0" fillId="0" borderId="0" xfId="0" applyNumberFormat="1"/>
    <xf numFmtId="0" fontId="30" fillId="0" borderId="0" xfId="0" applyFont="1"/>
    <xf numFmtId="49" fontId="3" fillId="0" borderId="0" xfId="0" applyNumberFormat="1" applyFont="1"/>
    <xf numFmtId="164" fontId="7" fillId="16" borderId="1" xfId="0" applyNumberFormat="1" applyFont="1" applyFill="1" applyBorder="1" applyAlignment="1">
      <alignment horizontal="center"/>
    </xf>
    <xf numFmtId="165" fontId="7" fillId="0" borderId="2" xfId="0" applyNumberFormat="1" applyFont="1" applyBorder="1"/>
    <xf numFmtId="0" fontId="6" fillId="0" borderId="2" xfId="0" applyFont="1" applyBorder="1"/>
    <xf numFmtId="49" fontId="7" fillId="0" borderId="5" xfId="0" applyNumberFormat="1" applyFont="1" applyBorder="1" applyAlignment="1">
      <alignment horizontal="center" wrapText="1"/>
    </xf>
    <xf numFmtId="49" fontId="8" fillId="0" borderId="1" xfId="0" applyNumberFormat="1" applyFont="1" applyBorder="1" applyAlignment="1">
      <alignment horizontal="center" wrapText="1"/>
    </xf>
    <xf numFmtId="49" fontId="8" fillId="0" borderId="2" xfId="0" applyNumberFormat="1" applyFont="1" applyBorder="1" applyAlignment="1">
      <alignment horizontal="center" wrapText="1"/>
    </xf>
    <xf numFmtId="49" fontId="8" fillId="0" borderId="5" xfId="0" applyNumberFormat="1" applyFont="1" applyBorder="1" applyAlignment="1">
      <alignment horizontal="center" wrapText="1"/>
    </xf>
    <xf numFmtId="49" fontId="8" fillId="16" borderId="2" xfId="0" applyNumberFormat="1" applyFont="1" applyFill="1" applyBorder="1" applyAlignment="1">
      <alignment horizontal="center" wrapText="1"/>
    </xf>
    <xf numFmtId="49" fontId="8" fillId="16" borderId="1" xfId="0" applyNumberFormat="1" applyFont="1" applyFill="1" applyBorder="1" applyAlignment="1">
      <alignment horizontal="center" wrapText="1"/>
    </xf>
    <xf numFmtId="49" fontId="0" fillId="0" borderId="0" xfId="0" applyNumberFormat="1" applyAlignment="1">
      <alignment horizontal="center" wrapText="1"/>
    </xf>
    <xf numFmtId="10" fontId="7" fillId="16" borderId="1" xfId="0" applyNumberFormat="1" applyFont="1" applyFill="1" applyBorder="1" applyAlignment="1">
      <alignment horizontal="center"/>
    </xf>
    <xf numFmtId="164" fontId="6" fillId="3" borderId="1" xfId="0" applyNumberFormat="1" applyFont="1" applyFill="1" applyBorder="1"/>
    <xf numFmtId="44" fontId="7" fillId="16" borderId="1" xfId="0" applyNumberFormat="1" applyFont="1" applyFill="1" applyBorder="1" applyAlignment="1">
      <alignment horizontal="center"/>
    </xf>
    <xf numFmtId="44" fontId="6" fillId="3" borderId="2" xfId="0" applyNumberFormat="1" applyFont="1" applyFill="1" applyBorder="1"/>
    <xf numFmtId="44" fontId="6" fillId="16" borderId="2" xfId="0" applyNumberFormat="1" applyFont="1" applyFill="1" applyBorder="1"/>
    <xf numFmtId="44" fontId="7" fillId="16" borderId="2" xfId="0" applyNumberFormat="1" applyFont="1" applyFill="1" applyBorder="1" applyAlignment="1">
      <alignment horizontal="center"/>
    </xf>
    <xf numFmtId="165" fontId="7" fillId="8" borderId="1" xfId="0" applyNumberFormat="1" applyFont="1" applyFill="1" applyBorder="1"/>
    <xf numFmtId="3" fontId="7" fillId="8" borderId="5" xfId="0" applyNumberFormat="1" applyFont="1" applyFill="1" applyBorder="1"/>
    <xf numFmtId="0" fontId="8" fillId="13" borderId="1" xfId="0" applyFont="1" applyFill="1" applyBorder="1" applyAlignment="1">
      <alignment horizontal="center"/>
    </xf>
    <xf numFmtId="0" fontId="8" fillId="13" borderId="12" xfId="0" applyFont="1" applyFill="1" applyBorder="1" applyAlignment="1">
      <alignment horizontal="center"/>
    </xf>
    <xf numFmtId="0" fontId="8" fillId="12" borderId="3" xfId="0" applyFont="1" applyFill="1" applyBorder="1" applyAlignment="1">
      <alignment horizontal="center"/>
    </xf>
    <xf numFmtId="0" fontId="8" fillId="12" borderId="10" xfId="0" applyFont="1" applyFill="1" applyBorder="1" applyAlignment="1">
      <alignment horizontal="center"/>
    </xf>
    <xf numFmtId="0" fontId="8" fillId="12" borderId="12" xfId="0" applyFont="1" applyFill="1" applyBorder="1" applyAlignment="1">
      <alignment horizontal="center"/>
    </xf>
    <xf numFmtId="0" fontId="8" fillId="13" borderId="3" xfId="0" applyFont="1" applyFill="1" applyBorder="1" applyAlignment="1">
      <alignment horizontal="center"/>
    </xf>
    <xf numFmtId="0" fontId="8" fillId="13" borderId="10" xfId="0" applyFont="1" applyFill="1" applyBorder="1" applyAlignment="1">
      <alignment horizontal="center"/>
    </xf>
    <xf numFmtId="49" fontId="8" fillId="0" borderId="31" xfId="0" applyNumberFormat="1" applyFont="1" applyBorder="1" applyAlignment="1">
      <alignment horizontal="center" wrapText="1"/>
    </xf>
    <xf numFmtId="3" fontId="6" fillId="3" borderId="31" xfId="0" applyNumberFormat="1" applyFont="1" applyFill="1" applyBorder="1"/>
    <xf numFmtId="0" fontId="7" fillId="0" borderId="31" xfId="0" applyFont="1" applyBorder="1"/>
    <xf numFmtId="166" fontId="7" fillId="0" borderId="31" xfId="0" applyNumberFormat="1" applyFont="1" applyBorder="1"/>
    <xf numFmtId="0" fontId="6" fillId="3" borderId="31" xfId="0" applyFont="1" applyFill="1" applyBorder="1"/>
    <xf numFmtId="0" fontId="6" fillId="0" borderId="31" xfId="0" applyFont="1" applyBorder="1"/>
    <xf numFmtId="0" fontId="7" fillId="5" borderId="31" xfId="0" applyFont="1" applyFill="1" applyBorder="1"/>
    <xf numFmtId="0" fontId="7" fillId="12" borderId="43" xfId="0" applyFont="1" applyFill="1" applyBorder="1"/>
    <xf numFmtId="0" fontId="7" fillId="12" borderId="49" xfId="0" applyFont="1" applyFill="1" applyBorder="1"/>
    <xf numFmtId="3" fontId="7" fillId="8" borderId="31" xfId="0" applyNumberFormat="1" applyFont="1" applyFill="1" applyBorder="1"/>
    <xf numFmtId="44" fontId="7" fillId="16" borderId="31" xfId="0" applyNumberFormat="1" applyFont="1" applyFill="1" applyBorder="1"/>
    <xf numFmtId="166" fontId="7" fillId="8" borderId="31" xfId="0" applyNumberFormat="1" applyFont="1" applyFill="1" applyBorder="1"/>
    <xf numFmtId="44" fontId="7" fillId="8" borderId="31" xfId="0" applyNumberFormat="1" applyFont="1" applyFill="1" applyBorder="1"/>
    <xf numFmtId="0" fontId="7" fillId="13" borderId="43" xfId="0" applyFont="1" applyFill="1" applyBorder="1"/>
    <xf numFmtId="0" fontId="7" fillId="13" borderId="49" xfId="0" applyFont="1" applyFill="1" applyBorder="1"/>
    <xf numFmtId="0" fontId="7" fillId="12" borderId="8" xfId="0" applyFont="1" applyFill="1" applyBorder="1"/>
    <xf numFmtId="0" fontId="7" fillId="12" borderId="9" xfId="0" applyFont="1" applyFill="1" applyBorder="1"/>
    <xf numFmtId="44" fontId="7" fillId="8" borderId="1" xfId="0" applyNumberFormat="1" applyFont="1" applyFill="1" applyBorder="1" applyAlignment="1">
      <alignment horizontal="center"/>
    </xf>
    <xf numFmtId="0" fontId="7" fillId="13" borderId="52" xfId="0" applyFont="1" applyFill="1" applyBorder="1"/>
    <xf numFmtId="0" fontId="7" fillId="13" borderId="53" xfId="0" applyFont="1" applyFill="1" applyBorder="1"/>
    <xf numFmtId="49" fontId="8" fillId="16" borderId="54" xfId="0" applyNumberFormat="1" applyFont="1" applyFill="1" applyBorder="1" applyAlignment="1">
      <alignment horizontal="center" wrapText="1"/>
    </xf>
    <xf numFmtId="42" fontId="7" fillId="8" borderId="54" xfId="0" applyNumberFormat="1" applyFont="1" applyFill="1" applyBorder="1"/>
    <xf numFmtId="42" fontId="6" fillId="3" borderId="54" xfId="0" applyNumberFormat="1" applyFont="1" applyFill="1" applyBorder="1"/>
    <xf numFmtId="42" fontId="7" fillId="0" borderId="54" xfId="0" applyNumberFormat="1" applyFont="1" applyBorder="1"/>
    <xf numFmtId="42" fontId="6" fillId="0" borderId="54" xfId="0" applyNumberFormat="1" applyFont="1" applyBorder="1"/>
    <xf numFmtId="42" fontId="7" fillId="5" borderId="54" xfId="0" applyNumberFormat="1" applyFont="1" applyFill="1" applyBorder="1"/>
    <xf numFmtId="0" fontId="9" fillId="0" borderId="2" xfId="0" applyFont="1" applyBorder="1" applyAlignment="1">
      <alignment horizontal="left"/>
    </xf>
    <xf numFmtId="0" fontId="12" fillId="0" borderId="2" xfId="0" applyFont="1" applyBorder="1" applyAlignment="1">
      <alignment horizontal="center"/>
    </xf>
    <xf numFmtId="3" fontId="7" fillId="8" borderId="55" xfId="0" applyNumberFormat="1" applyFont="1" applyFill="1" applyBorder="1"/>
    <xf numFmtId="3" fontId="6" fillId="3" borderId="55" xfId="0" applyNumberFormat="1" applyFont="1" applyFill="1" applyBorder="1"/>
    <xf numFmtId="0" fontId="7" fillId="0" borderId="55" xfId="0" applyFont="1" applyBorder="1"/>
    <xf numFmtId="166" fontId="7" fillId="0" borderId="55" xfId="0" applyNumberFormat="1" applyFont="1" applyBorder="1"/>
    <xf numFmtId="44" fontId="7" fillId="16" borderId="55" xfId="0" applyNumberFormat="1" applyFont="1" applyFill="1" applyBorder="1"/>
    <xf numFmtId="0" fontId="6" fillId="3" borderId="55" xfId="0" applyFont="1" applyFill="1" applyBorder="1"/>
    <xf numFmtId="0" fontId="6" fillId="0" borderId="55" xfId="0" applyFont="1" applyBorder="1"/>
    <xf numFmtId="166" fontId="7" fillId="8" borderId="55" xfId="0" applyNumberFormat="1" applyFont="1" applyFill="1" applyBorder="1"/>
    <xf numFmtId="44" fontId="7" fillId="8" borderId="55" xfId="0" applyNumberFormat="1" applyFont="1" applyFill="1" applyBorder="1"/>
    <xf numFmtId="0" fontId="7" fillId="5" borderId="55" xfId="0" applyFont="1" applyFill="1" applyBorder="1"/>
    <xf numFmtId="0" fontId="7" fillId="13" borderId="57" xfId="0" applyFont="1" applyFill="1" applyBorder="1"/>
    <xf numFmtId="0" fontId="7" fillId="13" borderId="58" xfId="0" applyFont="1" applyFill="1" applyBorder="1"/>
    <xf numFmtId="49" fontId="8" fillId="0" borderId="55" xfId="0" applyNumberFormat="1" applyFont="1" applyBorder="1" applyAlignment="1">
      <alignment horizontal="center" wrapText="1"/>
    </xf>
    <xf numFmtId="0" fontId="7" fillId="12" borderId="52" xfId="0" applyFont="1" applyFill="1" applyBorder="1"/>
    <xf numFmtId="0" fontId="7" fillId="12" borderId="53" xfId="0" applyFont="1" applyFill="1" applyBorder="1"/>
    <xf numFmtId="42" fontId="7" fillId="16" borderId="54" xfId="0" applyNumberFormat="1" applyFont="1" applyFill="1" applyBorder="1"/>
    <xf numFmtId="0" fontId="7" fillId="13" borderId="59" xfId="0" applyFont="1" applyFill="1" applyBorder="1"/>
    <xf numFmtId="0" fontId="7" fillId="13" borderId="60" xfId="0" applyFont="1" applyFill="1" applyBorder="1"/>
    <xf numFmtId="0" fontId="7" fillId="12" borderId="62" xfId="0" applyFont="1" applyFill="1" applyBorder="1"/>
    <xf numFmtId="0" fontId="7" fillId="12" borderId="63" xfId="0" applyFont="1" applyFill="1" applyBorder="1"/>
    <xf numFmtId="42" fontId="7" fillId="0" borderId="15" xfId="0" applyNumberFormat="1" applyFont="1" applyBorder="1"/>
    <xf numFmtId="42" fontId="6" fillId="3" borderId="15" xfId="0" applyNumberFormat="1" applyFont="1" applyFill="1" applyBorder="1"/>
    <xf numFmtId="42" fontId="6" fillId="0" borderId="15" xfId="0" applyNumberFormat="1" applyFont="1" applyBorder="1"/>
    <xf numFmtId="42" fontId="6" fillId="10" borderId="15" xfId="0" applyNumberFormat="1" applyFont="1" applyFill="1" applyBorder="1"/>
    <xf numFmtId="42" fontId="6" fillId="5" borderId="15" xfId="0" applyNumberFormat="1" applyFont="1" applyFill="1" applyBorder="1"/>
    <xf numFmtId="42" fontId="7" fillId="0" borderId="20" xfId="0" applyNumberFormat="1" applyFont="1" applyBorder="1"/>
    <xf numFmtId="42" fontId="7" fillId="0" borderId="61" xfId="0" applyNumberFormat="1" applyFont="1" applyBorder="1"/>
    <xf numFmtId="49" fontId="8" fillId="10" borderId="16" xfId="0" applyNumberFormat="1" applyFont="1" applyFill="1" applyBorder="1" applyAlignment="1">
      <alignment horizontal="center" wrapText="1"/>
    </xf>
    <xf numFmtId="49" fontId="8" fillId="10" borderId="15" xfId="0" applyNumberFormat="1" applyFont="1" applyFill="1" applyBorder="1" applyAlignment="1">
      <alignment horizontal="center" wrapText="1"/>
    </xf>
    <xf numFmtId="42" fontId="6" fillId="10" borderId="1" xfId="0" applyNumberFormat="1" applyFont="1" applyFill="1" applyBorder="1"/>
    <xf numFmtId="3" fontId="6" fillId="10" borderId="16" xfId="0" applyNumberFormat="1" applyFont="1" applyFill="1" applyBorder="1"/>
    <xf numFmtId="0" fontId="7" fillId="0" borderId="30" xfId="0" applyFont="1" applyBorder="1"/>
    <xf numFmtId="164" fontId="7" fillId="0" borderId="30" xfId="0" applyNumberFormat="1" applyFont="1" applyBorder="1"/>
    <xf numFmtId="164" fontId="6" fillId="3" borderId="30" xfId="0" applyNumberFormat="1" applyFont="1" applyFill="1" applyBorder="1"/>
    <xf numFmtId="164" fontId="6" fillId="0" borderId="30" xfId="0" applyNumberFormat="1" applyFont="1" applyBorder="1"/>
    <xf numFmtId="164" fontId="7" fillId="5" borderId="30" xfId="0" applyNumberFormat="1" applyFont="1" applyFill="1" applyBorder="1"/>
    <xf numFmtId="164" fontId="7" fillId="0" borderId="28" xfId="0" applyNumberFormat="1" applyFont="1" applyBorder="1"/>
    <xf numFmtId="0" fontId="7" fillId="8" borderId="3" xfId="0" applyFont="1" applyFill="1" applyBorder="1"/>
    <xf numFmtId="42" fontId="6" fillId="3" borderId="30" xfId="0" applyNumberFormat="1" applyFont="1" applyFill="1" applyBorder="1"/>
    <xf numFmtId="165" fontId="7" fillId="8" borderId="31" xfId="0" applyNumberFormat="1" applyFont="1" applyFill="1" applyBorder="1"/>
    <xf numFmtId="164" fontId="7" fillId="18" borderId="2" xfId="0" applyNumberFormat="1" applyFont="1" applyFill="1" applyBorder="1" applyAlignment="1">
      <alignment horizontal="center"/>
    </xf>
    <xf numFmtId="0" fontId="7" fillId="18" borderId="31" xfId="0" applyFont="1" applyFill="1" applyBorder="1"/>
    <xf numFmtId="0" fontId="7" fillId="18" borderId="1" xfId="0" applyFont="1" applyFill="1" applyBorder="1"/>
    <xf numFmtId="0" fontId="7" fillId="18" borderId="2" xfId="0" applyFont="1" applyFill="1" applyBorder="1"/>
    <xf numFmtId="0" fontId="7" fillId="18" borderId="55" xfId="0" applyFont="1" applyFill="1" applyBorder="1"/>
    <xf numFmtId="0" fontId="7" fillId="18" borderId="5" xfId="0" applyFont="1" applyFill="1" applyBorder="1"/>
    <xf numFmtId="3" fontId="7" fillId="18" borderId="31" xfId="0" applyNumberFormat="1" applyFont="1" applyFill="1" applyBorder="1"/>
    <xf numFmtId="165" fontId="7" fillId="18" borderId="2" xfId="0" applyNumberFormat="1" applyFont="1" applyFill="1" applyBorder="1"/>
    <xf numFmtId="165" fontId="7" fillId="18" borderId="14" xfId="0" applyNumberFormat="1" applyFont="1" applyFill="1" applyBorder="1"/>
    <xf numFmtId="166" fontId="7" fillId="18" borderId="31" xfId="0" applyNumberFormat="1" applyFont="1" applyFill="1" applyBorder="1"/>
    <xf numFmtId="166" fontId="7" fillId="18" borderId="50" xfId="0" applyNumberFormat="1" applyFont="1" applyFill="1" applyBorder="1"/>
    <xf numFmtId="0" fontId="6" fillId="19" borderId="5" xfId="0" applyFont="1" applyFill="1" applyBorder="1"/>
    <xf numFmtId="0" fontId="6" fillId="19" borderId="1" xfId="0" applyFont="1" applyFill="1" applyBorder="1"/>
    <xf numFmtId="0" fontId="6" fillId="19" borderId="2" xfId="0" applyFont="1" applyFill="1" applyBorder="1"/>
    <xf numFmtId="0" fontId="6" fillId="19" borderId="55" xfId="0" applyFont="1" applyFill="1" applyBorder="1"/>
    <xf numFmtId="42" fontId="6" fillId="19" borderId="54" xfId="0" applyNumberFormat="1" applyFont="1" applyFill="1" applyBorder="1"/>
    <xf numFmtId="0" fontId="6" fillId="19" borderId="31" xfId="0" applyFont="1" applyFill="1" applyBorder="1"/>
    <xf numFmtId="164" fontId="6" fillId="19" borderId="30" xfId="0" applyNumberFormat="1" applyFont="1" applyFill="1" applyBorder="1"/>
    <xf numFmtId="42" fontId="6" fillId="19" borderId="15" xfId="0" applyNumberFormat="1" applyFont="1" applyFill="1" applyBorder="1"/>
    <xf numFmtId="0" fontId="7" fillId="19" borderId="1" xfId="0" applyFont="1" applyFill="1" applyBorder="1"/>
    <xf numFmtId="0" fontId="7" fillId="19" borderId="2" xfId="0" applyFont="1" applyFill="1" applyBorder="1"/>
    <xf numFmtId="0" fontId="7" fillId="19" borderId="55" xfId="0" applyFont="1" applyFill="1" applyBorder="1"/>
    <xf numFmtId="0" fontId="7" fillId="19" borderId="31" xfId="0" applyFont="1" applyFill="1" applyBorder="1"/>
    <xf numFmtId="0" fontId="7" fillId="19" borderId="5" xfId="0" applyFont="1" applyFill="1" applyBorder="1"/>
    <xf numFmtId="164" fontId="7" fillId="19" borderId="30" xfId="0" applyNumberFormat="1" applyFont="1" applyFill="1" applyBorder="1"/>
    <xf numFmtId="42" fontId="7" fillId="19" borderId="15" xfId="0" applyNumberFormat="1" applyFont="1" applyFill="1" applyBorder="1"/>
    <xf numFmtId="0" fontId="6" fillId="19" borderId="21" xfId="0" applyFont="1" applyFill="1" applyBorder="1"/>
    <xf numFmtId="0" fontId="6" fillId="19" borderId="22" xfId="0" applyFont="1" applyFill="1" applyBorder="1"/>
    <xf numFmtId="0" fontId="6" fillId="19" borderId="23" xfId="0" applyFont="1" applyFill="1" applyBorder="1"/>
    <xf numFmtId="0" fontId="6" fillId="19" borderId="56" xfId="0" applyFont="1" applyFill="1" applyBorder="1"/>
    <xf numFmtId="42" fontId="6" fillId="19" borderId="51" xfId="0" applyNumberFormat="1" applyFont="1" applyFill="1" applyBorder="1"/>
    <xf numFmtId="0" fontId="6" fillId="19" borderId="42" xfId="0" applyFont="1" applyFill="1" applyBorder="1"/>
    <xf numFmtId="164" fontId="6" fillId="19" borderId="25" xfId="0" applyNumberFormat="1" applyFont="1" applyFill="1" applyBorder="1"/>
    <xf numFmtId="42" fontId="6" fillId="19" borderId="26" xfId="0" applyNumberFormat="1" applyFont="1" applyFill="1" applyBorder="1"/>
    <xf numFmtId="42" fontId="7" fillId="16" borderId="64" xfId="0" applyNumberFormat="1" applyFont="1" applyFill="1" applyBorder="1"/>
    <xf numFmtId="0" fontId="0" fillId="0" borderId="65" xfId="0" applyBorder="1"/>
    <xf numFmtId="0" fontId="8" fillId="0" borderId="66" xfId="0" applyFont="1" applyBorder="1" applyAlignment="1">
      <alignment horizontal="center"/>
    </xf>
    <xf numFmtId="42" fontId="7" fillId="8" borderId="5" xfId="0" applyNumberFormat="1" applyFont="1" applyFill="1" applyBorder="1"/>
    <xf numFmtId="42" fontId="7" fillId="16" borderId="5" xfId="0" applyNumberFormat="1" applyFont="1" applyFill="1" applyBorder="1"/>
    <xf numFmtId="42" fontId="7" fillId="8" borderId="31" xfId="0" applyNumberFormat="1" applyFont="1" applyFill="1" applyBorder="1"/>
    <xf numFmtId="0" fontId="7" fillId="0" borderId="55" xfId="0" applyFont="1" applyBorder="1" applyAlignment="1">
      <alignment horizontal="right"/>
    </xf>
    <xf numFmtId="0" fontId="7" fillId="0" borderId="1" xfId="0" applyFont="1" applyBorder="1" applyAlignment="1">
      <alignment horizontal="right"/>
    </xf>
    <xf numFmtId="0" fontId="7" fillId="21" borderId="1" xfId="0" applyFont="1" applyFill="1" applyBorder="1" applyAlignment="1">
      <alignment vertical="top" wrapText="1"/>
    </xf>
    <xf numFmtId="0" fontId="7" fillId="21" borderId="1" xfId="0" quotePrefix="1" applyFont="1" applyFill="1" applyBorder="1" applyAlignment="1">
      <alignment vertical="top"/>
    </xf>
    <xf numFmtId="0" fontId="7" fillId="21" borderId="2" xfId="0" quotePrefix="1" applyFont="1" applyFill="1" applyBorder="1" applyAlignment="1">
      <alignment vertical="top"/>
    </xf>
    <xf numFmtId="49" fontId="32" fillId="0" borderId="0" xfId="0" applyNumberFormat="1" applyFont="1" applyAlignment="1">
      <alignment wrapText="1"/>
    </xf>
    <xf numFmtId="49" fontId="27" fillId="0" borderId="0" xfId="0" applyNumberFormat="1" applyFont="1" applyAlignment="1">
      <alignment wrapText="1"/>
    </xf>
    <xf numFmtId="169" fontId="0" fillId="0" borderId="0" xfId="0" applyNumberFormat="1"/>
    <xf numFmtId="170" fontId="7" fillId="0" borderId="30" xfId="0" applyNumberFormat="1" applyFont="1" applyBorder="1"/>
    <xf numFmtId="170" fontId="6" fillId="3" borderId="30" xfId="0" applyNumberFormat="1" applyFont="1" applyFill="1" applyBorder="1"/>
    <xf numFmtId="0" fontId="7" fillId="0" borderId="30" xfId="0" applyFont="1" applyBorder="1" applyAlignment="1">
      <alignment horizontal="right"/>
    </xf>
    <xf numFmtId="49" fontId="3" fillId="8" borderId="0" xfId="0" applyNumberFormat="1" applyFont="1" applyFill="1" applyAlignment="1">
      <alignment horizontal="center"/>
    </xf>
    <xf numFmtId="49" fontId="32" fillId="0" borderId="0" xfId="0" applyNumberFormat="1" applyFont="1"/>
    <xf numFmtId="3" fontId="0" fillId="0" borderId="0" xfId="0" applyNumberFormat="1"/>
    <xf numFmtId="42" fontId="0" fillId="13" borderId="0" xfId="0" applyNumberFormat="1" applyFill="1"/>
    <xf numFmtId="42" fontId="0" fillId="22" borderId="0" xfId="0" applyNumberFormat="1" applyFill="1"/>
    <xf numFmtId="0" fontId="0" fillId="0" borderId="0" xfId="0" applyAlignment="1">
      <alignment horizontal="right"/>
    </xf>
    <xf numFmtId="42" fontId="0" fillId="23" borderId="0" xfId="0" applyNumberFormat="1" applyFill="1"/>
    <xf numFmtId="0" fontId="21" fillId="0" borderId="0" xfId="0" applyFont="1"/>
    <xf numFmtId="0" fontId="36" fillId="16" borderId="0" xfId="5" applyFont="1" applyFill="1" applyAlignment="1">
      <alignment vertical="center"/>
    </xf>
    <xf numFmtId="0" fontId="24" fillId="16" borderId="0" xfId="5" applyFont="1" applyFill="1" applyAlignment="1">
      <alignment vertical="center"/>
    </xf>
    <xf numFmtId="0" fontId="24" fillId="16" borderId="0" xfId="5" applyFont="1" applyFill="1" applyAlignment="1">
      <alignment horizontal="center" vertical="center"/>
    </xf>
    <xf numFmtId="0" fontId="24" fillId="0" borderId="0" xfId="5" applyFont="1" applyAlignment="1">
      <alignment horizontal="center" vertical="center"/>
    </xf>
    <xf numFmtId="0" fontId="36" fillId="0" borderId="0" xfId="5" applyFont="1" applyAlignment="1">
      <alignment vertical="center"/>
    </xf>
    <xf numFmtId="0" fontId="24" fillId="0" borderId="0" xfId="5" applyFont="1" applyAlignment="1">
      <alignment vertical="center"/>
    </xf>
    <xf numFmtId="0" fontId="24" fillId="0" borderId="0" xfId="5" applyFont="1"/>
    <xf numFmtId="0" fontId="37" fillId="0" borderId="0" xfId="5" applyFont="1" applyAlignment="1">
      <alignment vertical="center"/>
    </xf>
    <xf numFmtId="0" fontId="22" fillId="17" borderId="1" xfId="5" applyFont="1" applyFill="1" applyBorder="1" applyAlignment="1">
      <alignment horizontal="center" vertical="center" wrapText="1"/>
    </xf>
    <xf numFmtId="0" fontId="22" fillId="0" borderId="1" xfId="5" applyFont="1" applyBorder="1" applyAlignment="1">
      <alignment horizontal="center" vertical="center"/>
    </xf>
    <xf numFmtId="0" fontId="22" fillId="16" borderId="1" xfId="5" applyFont="1" applyFill="1" applyBorder="1" applyAlignment="1">
      <alignment horizontal="center" vertical="center" wrapText="1"/>
    </xf>
    <xf numFmtId="0" fontId="41" fillId="26" borderId="1" xfId="5" applyFont="1" applyFill="1" applyBorder="1" applyAlignment="1">
      <alignment horizontal="center" vertical="center"/>
    </xf>
    <xf numFmtId="0" fontId="23" fillId="16" borderId="1" xfId="5" applyFont="1" applyFill="1" applyBorder="1" applyAlignment="1">
      <alignment horizontal="center" vertical="center" wrapText="1"/>
    </xf>
    <xf numFmtId="0" fontId="23" fillId="0" borderId="1" xfId="5" applyFont="1" applyBorder="1" applyAlignment="1">
      <alignment horizontal="center" vertical="center"/>
    </xf>
    <xf numFmtId="0" fontId="23" fillId="17" borderId="1" xfId="5" applyFont="1" applyFill="1" applyBorder="1" applyAlignment="1">
      <alignment horizontal="center" vertical="center"/>
    </xf>
    <xf numFmtId="0" fontId="41" fillId="27" borderId="1" xfId="5" applyFont="1" applyFill="1" applyBorder="1" applyAlignment="1">
      <alignment horizontal="center" vertical="center"/>
    </xf>
    <xf numFmtId="167" fontId="14" fillId="0" borderId="1" xfId="6" applyFont="1" applyBorder="1" applyAlignment="1">
      <alignment horizontal="left" vertical="center"/>
    </xf>
    <xf numFmtId="3" fontId="14" fillId="0" borderId="1" xfId="6" applyNumberFormat="1" applyFont="1" applyBorder="1" applyAlignment="1">
      <alignment horizontal="center" vertical="center"/>
    </xf>
    <xf numFmtId="7" fontId="14" fillId="0" borderId="1" xfId="6" applyNumberFormat="1" applyFont="1" applyBorder="1" applyAlignment="1">
      <alignment horizontal="right" vertical="center"/>
    </xf>
    <xf numFmtId="1" fontId="14" fillId="0" borderId="1" xfId="6" applyNumberFormat="1" applyFont="1" applyBorder="1" applyAlignment="1">
      <alignment horizontal="center" vertical="center"/>
    </xf>
    <xf numFmtId="0" fontId="2" fillId="0" borderId="0" xfId="9" applyAlignment="1">
      <alignment vertical="center" wrapText="1"/>
    </xf>
    <xf numFmtId="0" fontId="44" fillId="28" borderId="1" xfId="9" applyFont="1" applyFill="1" applyBorder="1" applyAlignment="1">
      <alignment horizontal="center" vertical="center" wrapText="1"/>
    </xf>
    <xf numFmtId="0" fontId="42" fillId="28" borderId="1" xfId="9" applyFont="1" applyFill="1" applyBorder="1" applyAlignment="1">
      <alignment horizontal="center" vertical="center" wrapText="1"/>
    </xf>
    <xf numFmtId="171" fontId="44" fillId="28" borderId="1" xfId="10" applyNumberFormat="1" applyFont="1" applyFill="1" applyBorder="1" applyAlignment="1">
      <alignment horizontal="center" vertical="center" wrapText="1"/>
    </xf>
    <xf numFmtId="172" fontId="44" fillId="28" borderId="1" xfId="9" applyNumberFormat="1" applyFont="1" applyFill="1" applyBorder="1" applyAlignment="1">
      <alignment horizontal="center" vertical="center" wrapText="1"/>
    </xf>
    <xf numFmtId="0" fontId="46" fillId="0" borderId="0" xfId="9" applyFont="1" applyAlignment="1">
      <alignment vertical="center" wrapText="1"/>
    </xf>
    <xf numFmtId="0" fontId="48" fillId="29" borderId="1" xfId="9" applyFont="1" applyFill="1" applyBorder="1" applyAlignment="1">
      <alignment horizontal="center" vertical="center" wrapText="1"/>
    </xf>
    <xf numFmtId="0" fontId="2" fillId="29" borderId="1" xfId="9" applyFill="1" applyBorder="1" applyAlignment="1">
      <alignment horizontal="left" vertical="center" wrapText="1"/>
    </xf>
    <xf numFmtId="171" fontId="33" fillId="29" borderId="1" xfId="10" applyNumberFormat="1" applyFont="1" applyFill="1" applyBorder="1" applyAlignment="1">
      <alignment vertical="center" wrapText="1"/>
    </xf>
    <xf numFmtId="0" fontId="2" fillId="29" borderId="1" xfId="9" applyFill="1" applyBorder="1" applyAlignment="1">
      <alignment vertical="center" wrapText="1"/>
    </xf>
    <xf numFmtId="172" fontId="2" fillId="29" borderId="1" xfId="9" applyNumberFormat="1" applyFill="1" applyBorder="1" applyAlignment="1">
      <alignment horizontal="left" vertical="center" wrapText="1"/>
    </xf>
    <xf numFmtId="0" fontId="48" fillId="0" borderId="1" xfId="9" applyFont="1" applyBorder="1" applyAlignment="1">
      <alignment horizontal="center" vertical="center" wrapText="1"/>
    </xf>
    <xf numFmtId="0" fontId="2" fillId="0" borderId="1" xfId="9" applyBorder="1" applyAlignment="1">
      <alignment horizontal="left" vertical="center" wrapText="1"/>
    </xf>
    <xf numFmtId="171" fontId="33" fillId="0" borderId="7" xfId="10" applyNumberFormat="1" applyFont="1" applyFill="1" applyBorder="1" applyAlignment="1">
      <alignment horizontal="center" vertical="center" wrapText="1"/>
    </xf>
    <xf numFmtId="0" fontId="2" fillId="0" borderId="1" xfId="9" applyBorder="1" applyAlignment="1">
      <alignment vertical="center" wrapText="1"/>
    </xf>
    <xf numFmtId="172" fontId="2" fillId="0" borderId="1" xfId="9" applyNumberFormat="1" applyBorder="1" applyAlignment="1">
      <alignment horizontal="left" vertical="center" wrapText="1"/>
    </xf>
    <xf numFmtId="2" fontId="48" fillId="0" borderId="1" xfId="9" applyNumberFormat="1" applyFont="1" applyBorder="1" applyAlignment="1">
      <alignment horizontal="center" vertical="center" wrapText="1"/>
    </xf>
    <xf numFmtId="0" fontId="48" fillId="30" borderId="1" xfId="9" applyFont="1" applyFill="1" applyBorder="1" applyAlignment="1">
      <alignment horizontal="center" vertical="center" wrapText="1"/>
    </xf>
    <xf numFmtId="0" fontId="2" fillId="30" borderId="1" xfId="9" applyFill="1" applyBorder="1" applyAlignment="1">
      <alignment horizontal="left" vertical="center" wrapText="1"/>
    </xf>
    <xf numFmtId="171" fontId="33" fillId="30" borderId="1" xfId="10" applyNumberFormat="1" applyFont="1" applyFill="1" applyBorder="1" applyAlignment="1">
      <alignment vertical="center" wrapText="1"/>
    </xf>
    <xf numFmtId="0" fontId="2" fillId="30" borderId="1" xfId="9" applyFill="1" applyBorder="1" applyAlignment="1">
      <alignment vertical="center" wrapText="1"/>
    </xf>
    <xf numFmtId="172" fontId="2" fillId="30" borderId="1" xfId="9" applyNumberFormat="1" applyFill="1" applyBorder="1" applyAlignment="1">
      <alignment horizontal="left" vertical="center" wrapText="1"/>
    </xf>
    <xf numFmtId="0" fontId="48" fillId="0" borderId="0" xfId="9" applyFont="1" applyAlignment="1">
      <alignment horizontal="center" vertical="center" wrapText="1"/>
    </xf>
    <xf numFmtId="0" fontId="45" fillId="0" borderId="0" xfId="9" applyFont="1" applyAlignment="1">
      <alignment horizontal="left" vertical="center" wrapText="1"/>
    </xf>
    <xf numFmtId="171" fontId="0" fillId="0" borderId="0" xfId="10" applyNumberFormat="1" applyFont="1" applyBorder="1" applyAlignment="1">
      <alignment vertical="center" wrapText="1"/>
    </xf>
    <xf numFmtId="0" fontId="2" fillId="0" borderId="0" xfId="9" applyAlignment="1">
      <alignment horizontal="left" vertical="center" wrapText="1"/>
    </xf>
    <xf numFmtId="172" fontId="2" fillId="0" borderId="0" xfId="9" applyNumberFormat="1" applyAlignment="1">
      <alignment horizontal="left" vertical="center" wrapText="1"/>
    </xf>
    <xf numFmtId="49" fontId="5" fillId="0" borderId="0" xfId="0" applyNumberFormat="1" applyFont="1"/>
    <xf numFmtId="49" fontId="3" fillId="8" borderId="0" xfId="0" applyNumberFormat="1" applyFont="1" applyFill="1"/>
    <xf numFmtId="49" fontId="5" fillId="17" borderId="0" xfId="0" applyNumberFormat="1" applyFont="1" applyFill="1"/>
    <xf numFmtId="0" fontId="8" fillId="0" borderId="41" xfId="0" applyFont="1" applyBorder="1" applyAlignment="1">
      <alignment horizontal="center"/>
    </xf>
    <xf numFmtId="0" fontId="14" fillId="0" borderId="0" xfId="0" applyFont="1" applyAlignment="1">
      <alignment wrapText="1"/>
    </xf>
    <xf numFmtId="0" fontId="14" fillId="0" borderId="0" xfId="0" applyFont="1"/>
    <xf numFmtId="0" fontId="0" fillId="0" borderId="0" xfId="0" applyAlignment="1">
      <alignment vertical="center"/>
    </xf>
    <xf numFmtId="0" fontId="55" fillId="0" borderId="0" xfId="0" applyFont="1" applyAlignment="1">
      <alignment vertical="center"/>
    </xf>
    <xf numFmtId="0" fontId="0" fillId="15" borderId="0" xfId="0" applyFill="1" applyAlignment="1">
      <alignment vertical="center"/>
    </xf>
    <xf numFmtId="0" fontId="7" fillId="0" borderId="1" xfId="0" applyFont="1" applyBorder="1" applyAlignment="1">
      <alignment vertical="center"/>
    </xf>
    <xf numFmtId="0" fontId="7" fillId="0" borderId="12" xfId="0" applyFont="1" applyBorder="1" applyAlignment="1">
      <alignment vertical="center"/>
    </xf>
    <xf numFmtId="0" fontId="7" fillId="0" borderId="1" xfId="0" applyFont="1" applyBorder="1" applyAlignment="1">
      <alignment vertical="center" wrapText="1"/>
    </xf>
    <xf numFmtId="0" fontId="9" fillId="0" borderId="2" xfId="0" applyFont="1" applyBorder="1" applyAlignment="1">
      <alignment vertical="center"/>
    </xf>
    <xf numFmtId="0" fontId="3" fillId="0" borderId="0" xfId="0" applyFont="1" applyAlignment="1">
      <alignment vertical="center"/>
    </xf>
    <xf numFmtId="49" fontId="0" fillId="0" borderId="0" xfId="0" applyNumberFormat="1" applyAlignment="1">
      <alignment horizontal="center" vertical="center" wrapText="1"/>
    </xf>
    <xf numFmtId="42" fontId="7" fillId="16" borderId="54" xfId="0" applyNumberFormat="1" applyFont="1" applyFill="1" applyBorder="1" applyAlignment="1">
      <alignment vertical="center"/>
    </xf>
    <xf numFmtId="165" fontId="7" fillId="0" borderId="2" xfId="0" applyNumberFormat="1" applyFont="1" applyBorder="1" applyAlignment="1">
      <alignment vertical="center"/>
    </xf>
    <xf numFmtId="42" fontId="7" fillId="0" borderId="54" xfId="0" applyNumberFormat="1" applyFont="1" applyBorder="1" applyAlignment="1">
      <alignment vertical="center"/>
    </xf>
    <xf numFmtId="44" fontId="7" fillId="16" borderId="31" xfId="0" applyNumberFormat="1" applyFont="1" applyFill="1" applyBorder="1" applyAlignment="1">
      <alignment vertical="center"/>
    </xf>
    <xf numFmtId="0" fontId="9" fillId="0" borderId="2" xfId="0" applyFont="1" applyBorder="1" applyAlignment="1">
      <alignment horizontal="left" vertical="center"/>
    </xf>
    <xf numFmtId="42" fontId="7" fillId="5" borderId="54" xfId="0" applyNumberFormat="1" applyFont="1" applyFill="1" applyBorder="1" applyAlignment="1">
      <alignment vertical="center"/>
    </xf>
    <xf numFmtId="42" fontId="6" fillId="5" borderId="15" xfId="0" applyNumberFormat="1" applyFont="1" applyFill="1" applyBorder="1" applyAlignment="1">
      <alignment vertical="center"/>
    </xf>
    <xf numFmtId="49" fontId="0" fillId="0" borderId="0" xfId="0" applyNumberFormat="1" applyAlignment="1">
      <alignment vertical="center" wrapText="1"/>
    </xf>
    <xf numFmtId="0" fontId="7" fillId="0" borderId="0" xfId="0" applyFont="1" applyAlignment="1">
      <alignment vertical="center"/>
    </xf>
    <xf numFmtId="10" fontId="7" fillId="0" borderId="1" xfId="0" applyNumberFormat="1" applyFont="1" applyBorder="1" applyAlignment="1">
      <alignment horizontal="center" vertical="center"/>
    </xf>
    <xf numFmtId="49" fontId="3" fillId="0" borderId="0" xfId="0" applyNumberFormat="1" applyFont="1" applyAlignment="1">
      <alignment vertical="center" wrapText="1"/>
    </xf>
    <xf numFmtId="0" fontId="5" fillId="25" borderId="9" xfId="0" applyFont="1" applyFill="1" applyBorder="1" applyAlignment="1">
      <alignment vertical="center"/>
    </xf>
    <xf numFmtId="0" fontId="7" fillId="33" borderId="3" xfId="0" applyFont="1" applyFill="1" applyBorder="1" applyAlignment="1">
      <alignment vertical="center"/>
    </xf>
    <xf numFmtId="165" fontId="7" fillId="33" borderId="1" xfId="0" applyNumberFormat="1" applyFont="1" applyFill="1" applyBorder="1" applyAlignment="1">
      <alignment vertical="center"/>
    </xf>
    <xf numFmtId="44" fontId="7" fillId="33" borderId="31" xfId="0" applyNumberFormat="1" applyFont="1" applyFill="1" applyBorder="1" applyAlignment="1">
      <alignment vertical="center"/>
    </xf>
    <xf numFmtId="42" fontId="7" fillId="33" borderId="54" xfId="0" applyNumberFormat="1" applyFont="1" applyFill="1" applyBorder="1" applyAlignment="1">
      <alignment vertical="center"/>
    </xf>
    <xf numFmtId="0" fontId="8" fillId="6" borderId="12" xfId="0" applyFont="1" applyFill="1" applyBorder="1" applyAlignment="1">
      <alignment horizontal="center" vertical="center"/>
    </xf>
    <xf numFmtId="0" fontId="7" fillId="6" borderId="53" xfId="0" applyFont="1" applyFill="1" applyBorder="1" applyAlignment="1">
      <alignment vertical="center"/>
    </xf>
    <xf numFmtId="42" fontId="7" fillId="6" borderId="54" xfId="0" applyNumberFormat="1" applyFont="1" applyFill="1" applyBorder="1" applyAlignment="1">
      <alignment vertical="center"/>
    </xf>
    <xf numFmtId="0" fontId="7" fillId="6" borderId="49" xfId="0" applyFont="1" applyFill="1" applyBorder="1" applyAlignment="1">
      <alignment vertical="center"/>
    </xf>
    <xf numFmtId="0" fontId="8" fillId="6" borderId="10" xfId="0" applyFont="1" applyFill="1" applyBorder="1" applyAlignment="1">
      <alignment horizontal="center" vertical="center"/>
    </xf>
    <xf numFmtId="0" fontId="7" fillId="6" borderId="60" xfId="0" applyFont="1" applyFill="1" applyBorder="1" applyAlignment="1">
      <alignment vertical="center"/>
    </xf>
    <xf numFmtId="0" fontId="7" fillId="7" borderId="49" xfId="0" applyFont="1" applyFill="1" applyBorder="1" applyAlignment="1">
      <alignment vertical="center"/>
    </xf>
    <xf numFmtId="0" fontId="8" fillId="7" borderId="10" xfId="0" applyFont="1" applyFill="1" applyBorder="1" applyAlignment="1">
      <alignment horizontal="center" vertical="center"/>
    </xf>
    <xf numFmtId="0" fontId="8" fillId="7" borderId="12" xfId="0" applyFont="1" applyFill="1" applyBorder="1" applyAlignment="1">
      <alignment horizontal="center" vertical="center"/>
    </xf>
    <xf numFmtId="0" fontId="7" fillId="7" borderId="53" xfId="0" applyFont="1" applyFill="1" applyBorder="1" applyAlignment="1">
      <alignment vertical="center"/>
    </xf>
    <xf numFmtId="0" fontId="7" fillId="7" borderId="9" xfId="0" applyFont="1" applyFill="1" applyBorder="1" applyAlignment="1">
      <alignment vertical="center"/>
    </xf>
    <xf numFmtId="0" fontId="7" fillId="7" borderId="63" xfId="0" applyFont="1" applyFill="1" applyBorder="1" applyAlignment="1">
      <alignment vertical="center"/>
    </xf>
    <xf numFmtId="0" fontId="7" fillId="0" borderId="73" xfId="0" applyFont="1" applyBorder="1" applyAlignment="1">
      <alignment vertical="center"/>
    </xf>
    <xf numFmtId="0" fontId="7" fillId="0" borderId="78" xfId="0" applyFont="1" applyBorder="1" applyAlignment="1">
      <alignment vertical="center"/>
    </xf>
    <xf numFmtId="0" fontId="7" fillId="0" borderId="29" xfId="0" applyFont="1" applyBorder="1" applyAlignment="1">
      <alignment vertical="center"/>
    </xf>
    <xf numFmtId="0" fontId="7" fillId="0" borderId="80" xfId="0" applyFont="1" applyBorder="1" applyAlignment="1">
      <alignment vertical="center"/>
    </xf>
    <xf numFmtId="164" fontId="6" fillId="31" borderId="1" xfId="0" applyNumberFormat="1" applyFont="1" applyFill="1" applyBorder="1" applyAlignment="1">
      <alignment vertical="center"/>
    </xf>
    <xf numFmtId="44" fontId="6" fillId="31" borderId="2" xfId="0" applyNumberFormat="1" applyFont="1" applyFill="1" applyBorder="1" applyAlignment="1">
      <alignment vertical="center"/>
    </xf>
    <xf numFmtId="42" fontId="6" fillId="31" borderId="54" xfId="0" applyNumberFormat="1" applyFont="1" applyFill="1" applyBorder="1" applyAlignment="1">
      <alignment vertical="center"/>
    </xf>
    <xf numFmtId="0" fontId="6" fillId="31" borderId="1" xfId="0" applyFont="1" applyFill="1" applyBorder="1" applyAlignment="1">
      <alignment vertical="center"/>
    </xf>
    <xf numFmtId="42" fontId="6" fillId="31" borderId="1" xfId="0" applyNumberFormat="1" applyFont="1" applyFill="1" applyBorder="1" applyAlignment="1">
      <alignment vertical="center"/>
    </xf>
    <xf numFmtId="0" fontId="0" fillId="31" borderId="0" xfId="0" applyFill="1" applyAlignment="1">
      <alignment vertical="center"/>
    </xf>
    <xf numFmtId="42" fontId="6" fillId="31" borderId="15" xfId="0" applyNumberFormat="1" applyFont="1" applyFill="1" applyBorder="1" applyAlignment="1">
      <alignment vertical="center"/>
    </xf>
    <xf numFmtId="42" fontId="6" fillId="36" borderId="54" xfId="0" applyNumberFormat="1" applyFont="1" applyFill="1" applyBorder="1" applyAlignment="1">
      <alignment vertical="center"/>
    </xf>
    <xf numFmtId="42" fontId="6" fillId="36" borderId="15" xfId="0" applyNumberFormat="1" applyFont="1" applyFill="1" applyBorder="1" applyAlignment="1">
      <alignment vertical="center"/>
    </xf>
    <xf numFmtId="0" fontId="5" fillId="36" borderId="0" xfId="0" applyFont="1" applyFill="1" applyAlignment="1">
      <alignment vertical="center"/>
    </xf>
    <xf numFmtId="0" fontId="0" fillId="36" borderId="0" xfId="0" applyFill="1" applyAlignment="1">
      <alignment vertical="center"/>
    </xf>
    <xf numFmtId="0" fontId="6" fillId="0" borderId="1" xfId="0" applyFont="1" applyBorder="1" applyAlignment="1">
      <alignment vertical="center"/>
    </xf>
    <xf numFmtId="0" fontId="6" fillId="20" borderId="1" xfId="0" applyFont="1" applyFill="1" applyBorder="1" applyAlignment="1">
      <alignment vertical="center"/>
    </xf>
    <xf numFmtId="44" fontId="6" fillId="34" borderId="2" xfId="0" applyNumberFormat="1" applyFont="1" applyFill="1" applyBorder="1" applyAlignment="1">
      <alignment vertical="center"/>
    </xf>
    <xf numFmtId="42" fontId="6" fillId="33" borderId="54" xfId="0" applyNumberFormat="1" applyFont="1" applyFill="1" applyBorder="1" applyAlignment="1">
      <alignment vertical="center"/>
    </xf>
    <xf numFmtId="44" fontId="6" fillId="33" borderId="2" xfId="0" applyNumberFormat="1" applyFont="1" applyFill="1" applyBorder="1" applyAlignment="1">
      <alignment vertical="center"/>
    </xf>
    <xf numFmtId="44" fontId="7" fillId="33" borderId="2" xfId="0" applyNumberFormat="1" applyFont="1" applyFill="1" applyBorder="1" applyAlignment="1">
      <alignment vertical="center"/>
    </xf>
    <xf numFmtId="44" fontId="7" fillId="31" borderId="2" xfId="0" applyNumberFormat="1" applyFont="1" applyFill="1" applyBorder="1" applyAlignment="1">
      <alignment vertical="center"/>
    </xf>
    <xf numFmtId="42" fontId="6" fillId="38" borderId="54" xfId="0" applyNumberFormat="1" applyFont="1" applyFill="1" applyBorder="1" applyAlignment="1">
      <alignment vertical="center"/>
    </xf>
    <xf numFmtId="42" fontId="7" fillId="38" borderId="54" xfId="0" applyNumberFormat="1" applyFont="1" applyFill="1" applyBorder="1" applyAlignment="1">
      <alignment vertical="center"/>
    </xf>
    <xf numFmtId="0" fontId="7" fillId="38" borderId="5" xfId="0" applyFont="1" applyFill="1" applyBorder="1" applyAlignment="1">
      <alignment vertical="center"/>
    </xf>
    <xf numFmtId="42" fontId="6" fillId="32" borderId="54" xfId="0" applyNumberFormat="1" applyFont="1" applyFill="1" applyBorder="1" applyAlignment="1">
      <alignment vertical="center"/>
    </xf>
    <xf numFmtId="42" fontId="7" fillId="32" borderId="54" xfId="0" applyNumberFormat="1" applyFont="1" applyFill="1" applyBorder="1" applyAlignment="1">
      <alignment vertical="center"/>
    </xf>
    <xf numFmtId="42" fontId="6" fillId="9" borderId="54" xfId="0" applyNumberFormat="1" applyFont="1" applyFill="1" applyBorder="1" applyAlignment="1">
      <alignment vertical="center"/>
    </xf>
    <xf numFmtId="165" fontId="7" fillId="0" borderId="1" xfId="0" applyNumberFormat="1" applyFont="1" applyBorder="1" applyAlignment="1">
      <alignment vertical="center"/>
    </xf>
    <xf numFmtId="3" fontId="7" fillId="0" borderId="55" xfId="0" applyNumberFormat="1" applyFont="1" applyBorder="1" applyAlignment="1">
      <alignment vertical="center"/>
    </xf>
    <xf numFmtId="44" fontId="7" fillId="0" borderId="1" xfId="0" applyNumberFormat="1" applyFont="1" applyBorder="1" applyAlignment="1">
      <alignment horizontal="center" vertical="center"/>
    </xf>
    <xf numFmtId="42" fontId="6" fillId="16" borderId="54" xfId="0" applyNumberFormat="1" applyFont="1" applyFill="1" applyBorder="1" applyAlignment="1">
      <alignment vertical="center"/>
    </xf>
    <xf numFmtId="0" fontId="0" fillId="16" borderId="0" xfId="0" applyFill="1" applyAlignment="1">
      <alignment vertical="center"/>
    </xf>
    <xf numFmtId="42" fontId="6" fillId="9" borderId="83" xfId="0" applyNumberFormat="1" applyFont="1" applyFill="1" applyBorder="1" applyAlignment="1">
      <alignment vertical="center"/>
    </xf>
    <xf numFmtId="42" fontId="6" fillId="32" borderId="15" xfId="0" applyNumberFormat="1" applyFont="1" applyFill="1" applyBorder="1" applyAlignment="1">
      <alignment vertical="center"/>
    </xf>
    <xf numFmtId="0" fontId="0" fillId="32" borderId="0" xfId="0" applyFill="1" applyAlignment="1">
      <alignment vertical="center"/>
    </xf>
    <xf numFmtId="42" fontId="6" fillId="35" borderId="54" xfId="0" applyNumberFormat="1" applyFont="1" applyFill="1" applyBorder="1" applyAlignment="1">
      <alignment vertical="center"/>
    </xf>
    <xf numFmtId="42" fontId="6" fillId="35" borderId="83" xfId="0" applyNumberFormat="1" applyFont="1" applyFill="1" applyBorder="1" applyAlignment="1">
      <alignment vertical="center"/>
    </xf>
    <xf numFmtId="42" fontId="7" fillId="34" borderId="54" xfId="0" applyNumberFormat="1" applyFont="1" applyFill="1" applyBorder="1" applyAlignment="1">
      <alignment vertical="center"/>
    </xf>
    <xf numFmtId="42" fontId="6" fillId="15" borderId="51" xfId="0" applyNumberFormat="1" applyFont="1" applyFill="1" applyBorder="1" applyAlignment="1">
      <alignment vertical="center"/>
    </xf>
    <xf numFmtId="42" fontId="6" fillId="15" borderId="26" xfId="0" applyNumberFormat="1" applyFont="1" applyFill="1" applyBorder="1" applyAlignment="1">
      <alignment vertical="center"/>
    </xf>
    <xf numFmtId="3" fontId="6" fillId="34" borderId="16" xfId="0" applyNumberFormat="1" applyFont="1" applyFill="1" applyBorder="1" applyAlignment="1">
      <alignment vertical="center"/>
    </xf>
    <xf numFmtId="3" fontId="6" fillId="34" borderId="5" xfId="0" applyNumberFormat="1" applyFont="1" applyFill="1" applyBorder="1" applyAlignment="1">
      <alignment vertical="center"/>
    </xf>
    <xf numFmtId="3" fontId="6" fillId="34" borderId="31" xfId="0" applyNumberFormat="1" applyFont="1" applyFill="1" applyBorder="1" applyAlignment="1">
      <alignment vertical="center"/>
    </xf>
    <xf numFmtId="49" fontId="8" fillId="34" borderId="54" xfId="0" applyNumberFormat="1" applyFont="1" applyFill="1" applyBorder="1" applyAlignment="1">
      <alignment horizontal="center" vertical="center" wrapText="1"/>
    </xf>
    <xf numFmtId="49" fontId="8" fillId="34" borderId="31" xfId="0" applyNumberFormat="1" applyFont="1" applyFill="1" applyBorder="1" applyAlignment="1">
      <alignment horizontal="center" vertical="center" wrapText="1"/>
    </xf>
    <xf numFmtId="49" fontId="8" fillId="34" borderId="5" xfId="0" applyNumberFormat="1" applyFont="1" applyFill="1" applyBorder="1" applyAlignment="1">
      <alignment horizontal="center" vertical="center" wrapText="1"/>
    </xf>
    <xf numFmtId="0" fontId="7" fillId="34" borderId="1" xfId="0" quotePrefix="1" applyFont="1" applyFill="1" applyBorder="1" applyAlignment="1">
      <alignment vertical="center"/>
    </xf>
    <xf numFmtId="49" fontId="8" fillId="34" borderId="1" xfId="0" applyNumberFormat="1" applyFont="1" applyFill="1" applyBorder="1" applyAlignment="1">
      <alignment horizontal="center" vertical="center" wrapText="1"/>
    </xf>
    <xf numFmtId="49" fontId="8" fillId="34" borderId="2" xfId="0" applyNumberFormat="1" applyFont="1" applyFill="1" applyBorder="1" applyAlignment="1">
      <alignment horizontal="center" vertical="center" wrapText="1"/>
    </xf>
    <xf numFmtId="49" fontId="8" fillId="33" borderId="2" xfId="0" applyNumberFormat="1" applyFont="1" applyFill="1" applyBorder="1" applyAlignment="1">
      <alignment horizontal="center" vertical="center" wrapText="1"/>
    </xf>
    <xf numFmtId="49" fontId="8" fillId="31" borderId="2" xfId="0" applyNumberFormat="1" applyFont="1" applyFill="1" applyBorder="1" applyAlignment="1">
      <alignment horizontal="center" vertical="center" wrapText="1"/>
    </xf>
    <xf numFmtId="44" fontId="7" fillId="31" borderId="2" xfId="0" applyNumberFormat="1" applyFont="1" applyFill="1" applyBorder="1" applyAlignment="1">
      <alignment horizontal="center" vertical="center"/>
    </xf>
    <xf numFmtId="44" fontId="7" fillId="33" borderId="1" xfId="0" applyNumberFormat="1" applyFont="1" applyFill="1" applyBorder="1" applyAlignment="1">
      <alignment horizontal="center" vertical="center"/>
    </xf>
    <xf numFmtId="0" fontId="6" fillId="33" borderId="1" xfId="0" applyFont="1" applyFill="1" applyBorder="1" applyAlignment="1">
      <alignment vertical="center"/>
    </xf>
    <xf numFmtId="42" fontId="6" fillId="33" borderId="15" xfId="0" applyNumberFormat="1" applyFont="1" applyFill="1" applyBorder="1" applyAlignment="1">
      <alignment vertical="center"/>
    </xf>
    <xf numFmtId="0" fontId="0" fillId="33" borderId="0" xfId="0" applyFill="1" applyAlignment="1">
      <alignment vertical="center"/>
    </xf>
    <xf numFmtId="44" fontId="7" fillId="34" borderId="1" xfId="0" applyNumberFormat="1" applyFont="1" applyFill="1" applyBorder="1" applyAlignment="1">
      <alignment horizontal="center" vertical="center"/>
    </xf>
    <xf numFmtId="42" fontId="6" fillId="34" borderId="30" xfId="0" applyNumberFormat="1" applyFont="1" applyFill="1" applyBorder="1" applyAlignment="1">
      <alignment vertical="center"/>
    </xf>
    <xf numFmtId="42" fontId="6" fillId="34" borderId="1" xfId="0" applyNumberFormat="1" applyFont="1" applyFill="1" applyBorder="1" applyAlignment="1">
      <alignment vertical="center"/>
    </xf>
    <xf numFmtId="42" fontId="6" fillId="38" borderId="15" xfId="0" applyNumberFormat="1" applyFont="1" applyFill="1" applyBorder="1" applyAlignment="1">
      <alignment vertical="center"/>
    </xf>
    <xf numFmtId="0" fontId="0" fillId="38" borderId="0" xfId="0" applyFill="1" applyAlignment="1">
      <alignment vertical="center"/>
    </xf>
    <xf numFmtId="0" fontId="7" fillId="9" borderId="55" xfId="0" applyFont="1" applyFill="1" applyBorder="1" applyAlignment="1">
      <alignment horizontal="center" vertical="center"/>
    </xf>
    <xf numFmtId="0" fontId="0" fillId="9" borderId="0" xfId="0" applyFill="1" applyAlignment="1">
      <alignment vertical="center"/>
    </xf>
    <xf numFmtId="42" fontId="6" fillId="9" borderId="15" xfId="0" applyNumberFormat="1" applyFont="1" applyFill="1" applyBorder="1" applyAlignment="1">
      <alignment vertical="center"/>
    </xf>
    <xf numFmtId="0" fontId="7" fillId="32" borderId="55" xfId="0" applyFont="1" applyFill="1" applyBorder="1" applyAlignment="1">
      <alignment horizontal="center" vertical="center"/>
    </xf>
    <xf numFmtId="0" fontId="7" fillId="32" borderId="1" xfId="0" applyFont="1" applyFill="1" applyBorder="1" applyAlignment="1">
      <alignment horizontal="center" vertical="center"/>
    </xf>
    <xf numFmtId="42" fontId="6" fillId="35" borderId="15" xfId="0" applyNumberFormat="1" applyFont="1" applyFill="1" applyBorder="1" applyAlignment="1">
      <alignment vertical="center"/>
    </xf>
    <xf numFmtId="0" fontId="0" fillId="35" borderId="0" xfId="0" applyFill="1" applyAlignment="1">
      <alignment vertical="center"/>
    </xf>
    <xf numFmtId="0" fontId="7" fillId="35" borderId="55" xfId="0" applyFont="1" applyFill="1" applyBorder="1" applyAlignment="1">
      <alignment horizontal="center" vertical="center"/>
    </xf>
    <xf numFmtId="42" fontId="7" fillId="35" borderId="83" xfId="0" applyNumberFormat="1" applyFont="1" applyFill="1" applyBorder="1" applyAlignment="1">
      <alignment vertical="center"/>
    </xf>
    <xf numFmtId="0" fontId="7" fillId="35" borderId="1" xfId="0" applyFont="1" applyFill="1" applyBorder="1" applyAlignment="1">
      <alignment horizontal="center" vertical="center"/>
    </xf>
    <xf numFmtId="42" fontId="7" fillId="35" borderId="54" xfId="0" applyNumberFormat="1" applyFont="1" applyFill="1" applyBorder="1" applyAlignment="1">
      <alignment vertical="center"/>
    </xf>
    <xf numFmtId="44" fontId="7" fillId="34" borderId="50" xfId="0" applyNumberFormat="1" applyFont="1" applyFill="1" applyBorder="1" applyAlignment="1">
      <alignment vertical="center"/>
    </xf>
    <xf numFmtId="44" fontId="7" fillId="34" borderId="31" xfId="0" applyNumberFormat="1" applyFont="1" applyFill="1" applyBorder="1" applyAlignment="1">
      <alignment vertical="center"/>
    </xf>
    <xf numFmtId="42" fontId="7" fillId="34" borderId="5" xfId="0" applyNumberFormat="1" applyFont="1" applyFill="1" applyBorder="1" applyAlignment="1">
      <alignment vertical="center"/>
    </xf>
    <xf numFmtId="42" fontId="7" fillId="34" borderId="20" xfId="0" applyNumberFormat="1" applyFont="1" applyFill="1" applyBorder="1" applyAlignment="1">
      <alignment vertical="center"/>
    </xf>
    <xf numFmtId="0" fontId="0" fillId="34" borderId="0" xfId="0" applyFill="1" applyAlignment="1">
      <alignment vertical="center"/>
    </xf>
    <xf numFmtId="42" fontId="7" fillId="16" borderId="89" xfId="0" applyNumberFormat="1" applyFont="1" applyFill="1" applyBorder="1" applyAlignment="1">
      <alignment vertical="center"/>
    </xf>
    <xf numFmtId="42" fontId="6" fillId="33" borderId="89" xfId="0" applyNumberFormat="1" applyFont="1" applyFill="1" applyBorder="1" applyAlignment="1">
      <alignment vertical="center"/>
    </xf>
    <xf numFmtId="42" fontId="6" fillId="31" borderId="89" xfId="0" applyNumberFormat="1" applyFont="1" applyFill="1" applyBorder="1" applyAlignment="1">
      <alignment vertical="center"/>
    </xf>
    <xf numFmtId="164" fontId="6" fillId="33" borderId="1" xfId="0" applyNumberFormat="1" applyFont="1" applyFill="1" applyBorder="1" applyAlignment="1">
      <alignment vertical="center"/>
    </xf>
    <xf numFmtId="42" fontId="7" fillId="0" borderId="89" xfId="0" applyNumberFormat="1" applyFont="1" applyBorder="1" applyAlignment="1">
      <alignment vertical="center"/>
    </xf>
    <xf numFmtId="42" fontId="7" fillId="34" borderId="83" xfId="0" applyNumberFormat="1" applyFont="1" applyFill="1" applyBorder="1" applyAlignment="1">
      <alignment vertical="center"/>
    </xf>
    <xf numFmtId="42" fontId="6" fillId="15" borderId="92" xfId="0" applyNumberFormat="1" applyFont="1" applyFill="1" applyBorder="1" applyAlignment="1">
      <alignment vertical="center"/>
    </xf>
    <xf numFmtId="42" fontId="6" fillId="32" borderId="83" xfId="0" applyNumberFormat="1" applyFont="1" applyFill="1" applyBorder="1" applyAlignment="1">
      <alignment vertical="center"/>
    </xf>
    <xf numFmtId="10" fontId="7" fillId="33" borderId="1" xfId="0" applyNumberFormat="1" applyFont="1" applyFill="1" applyBorder="1" applyAlignment="1">
      <alignment horizontal="center" vertical="center"/>
    </xf>
    <xf numFmtId="10" fontId="7" fillId="31" borderId="1" xfId="0" applyNumberFormat="1" applyFont="1" applyFill="1" applyBorder="1" applyAlignment="1">
      <alignment horizontal="center" vertical="center"/>
    </xf>
    <xf numFmtId="0" fontId="7" fillId="35" borderId="14" xfId="0" applyFont="1" applyFill="1" applyBorder="1" applyAlignment="1">
      <alignment vertical="center"/>
    </xf>
    <xf numFmtId="0" fontId="7" fillId="35" borderId="28" xfId="0" applyFont="1" applyFill="1" applyBorder="1" applyAlignment="1">
      <alignment vertical="center"/>
    </xf>
    <xf numFmtId="0" fontId="7" fillId="35" borderId="76" xfId="0" applyFont="1" applyFill="1" applyBorder="1" applyAlignment="1">
      <alignment vertical="center"/>
    </xf>
    <xf numFmtId="42" fontId="6" fillId="35" borderId="89" xfId="0" applyNumberFormat="1" applyFont="1" applyFill="1" applyBorder="1" applyAlignment="1">
      <alignment vertical="center"/>
    </xf>
    <xf numFmtId="42" fontId="6" fillId="32" borderId="89" xfId="0" applyNumberFormat="1" applyFont="1" applyFill="1" applyBorder="1" applyAlignment="1">
      <alignment vertical="center"/>
    </xf>
    <xf numFmtId="42" fontId="6" fillId="9" borderId="89" xfId="0" applyNumberFormat="1" applyFont="1" applyFill="1" applyBorder="1" applyAlignment="1">
      <alignment vertical="center"/>
    </xf>
    <xf numFmtId="44" fontId="7" fillId="32" borderId="31" xfId="0" applyNumberFormat="1" applyFont="1" applyFill="1" applyBorder="1" applyAlignment="1">
      <alignment vertical="center"/>
    </xf>
    <xf numFmtId="0" fontId="8" fillId="38" borderId="2" xfId="0" applyFont="1" applyFill="1" applyBorder="1" applyAlignment="1">
      <alignment horizontal="center" vertical="center"/>
    </xf>
    <xf numFmtId="42" fontId="7" fillId="9" borderId="83" xfId="0" applyNumberFormat="1" applyFont="1" applyFill="1" applyBorder="1" applyAlignment="1">
      <alignment vertical="center"/>
    </xf>
    <xf numFmtId="42" fontId="7" fillId="32" borderId="83" xfId="0" applyNumberFormat="1" applyFont="1" applyFill="1" applyBorder="1" applyAlignment="1">
      <alignment vertical="center"/>
    </xf>
    <xf numFmtId="165" fontId="7" fillId="31" borderId="1" xfId="0" applyNumberFormat="1" applyFont="1" applyFill="1" applyBorder="1" applyAlignment="1">
      <alignment vertical="center"/>
    </xf>
    <xf numFmtId="44" fontId="7" fillId="31" borderId="31" xfId="0" applyNumberFormat="1" applyFont="1" applyFill="1" applyBorder="1" applyAlignment="1">
      <alignment vertical="center"/>
    </xf>
    <xf numFmtId="42" fontId="6" fillId="9" borderId="30" xfId="0" applyNumberFormat="1" applyFont="1" applyFill="1" applyBorder="1" applyAlignment="1">
      <alignment vertical="center"/>
    </xf>
    <xf numFmtId="42" fontId="7" fillId="38" borderId="30" xfId="0" applyNumberFormat="1" applyFont="1" applyFill="1" applyBorder="1" applyAlignment="1">
      <alignment vertical="center"/>
    </xf>
    <xf numFmtId="42" fontId="7" fillId="38" borderId="61" xfId="0" applyNumberFormat="1" applyFont="1" applyFill="1" applyBorder="1" applyAlignment="1">
      <alignment vertical="center"/>
    </xf>
    <xf numFmtId="42" fontId="7" fillId="16" borderId="15" xfId="0" applyNumberFormat="1" applyFont="1" applyFill="1" applyBorder="1" applyAlignment="1">
      <alignment vertical="center"/>
    </xf>
    <xf numFmtId="3" fontId="7" fillId="0" borderId="31" xfId="0" applyNumberFormat="1" applyFont="1" applyBorder="1" applyAlignment="1">
      <alignment vertical="center"/>
    </xf>
    <xf numFmtId="165" fontId="7" fillId="0" borderId="7" xfId="0" applyNumberFormat="1" applyFont="1" applyBorder="1" applyAlignment="1">
      <alignment vertical="center"/>
    </xf>
    <xf numFmtId="44" fontId="7" fillId="0" borderId="31" xfId="0" applyNumberFormat="1" applyFont="1" applyBorder="1" applyAlignment="1">
      <alignment vertical="center"/>
    </xf>
    <xf numFmtId="166" fontId="7" fillId="0" borderId="50" xfId="0" applyNumberFormat="1" applyFont="1" applyBorder="1" applyAlignment="1">
      <alignment vertical="center"/>
    </xf>
    <xf numFmtId="44" fontId="7" fillId="0" borderId="50" xfId="0" applyNumberFormat="1" applyFont="1" applyBorder="1" applyAlignment="1">
      <alignment vertical="center"/>
    </xf>
    <xf numFmtId="3" fontId="7" fillId="0" borderId="5" xfId="0" applyNumberFormat="1" applyFont="1" applyBorder="1" applyAlignment="1">
      <alignment vertical="center"/>
    </xf>
    <xf numFmtId="42" fontId="7" fillId="0" borderId="5" xfId="0" applyNumberFormat="1" applyFont="1" applyBorder="1" applyAlignment="1">
      <alignment vertical="center"/>
    </xf>
    <xf numFmtId="165" fontId="7" fillId="0" borderId="31" xfId="0" applyNumberFormat="1" applyFont="1" applyBorder="1" applyAlignment="1">
      <alignment vertical="center"/>
    </xf>
    <xf numFmtId="42" fontId="7" fillId="0" borderId="31" xfId="0" applyNumberFormat="1" applyFont="1" applyBorder="1" applyAlignment="1">
      <alignment vertical="center"/>
    </xf>
    <xf numFmtId="42" fontId="6" fillId="36" borderId="89" xfId="0" applyNumberFormat="1" applyFont="1" applyFill="1" applyBorder="1" applyAlignment="1">
      <alignment vertical="center"/>
    </xf>
    <xf numFmtId="164" fontId="6" fillId="36" borderId="1" xfId="0" applyNumberFormat="1" applyFont="1" applyFill="1" applyBorder="1" applyAlignment="1">
      <alignment vertical="center"/>
    </xf>
    <xf numFmtId="164" fontId="7" fillId="36" borderId="1" xfId="0" applyNumberFormat="1" applyFont="1" applyFill="1" applyBorder="1" applyAlignment="1">
      <alignment vertical="center"/>
    </xf>
    <xf numFmtId="42" fontId="7" fillId="5" borderId="89" xfId="0" applyNumberFormat="1" applyFont="1" applyFill="1" applyBorder="1" applyAlignment="1">
      <alignment vertical="center"/>
    </xf>
    <xf numFmtId="42" fontId="6" fillId="15" borderId="93" xfId="0" applyNumberFormat="1" applyFont="1" applyFill="1" applyBorder="1" applyAlignment="1">
      <alignment vertical="center"/>
    </xf>
    <xf numFmtId="164" fontId="6" fillId="15" borderId="1" xfId="0" applyNumberFormat="1" applyFont="1" applyFill="1" applyBorder="1" applyAlignment="1">
      <alignment vertical="center"/>
    </xf>
    <xf numFmtId="42" fontId="6" fillId="38" borderId="89" xfId="0" applyNumberFormat="1" applyFont="1" applyFill="1" applyBorder="1" applyAlignment="1">
      <alignment vertical="center"/>
    </xf>
    <xf numFmtId="164" fontId="6" fillId="38" borderId="1" xfId="0" applyNumberFormat="1" applyFont="1" applyFill="1" applyBorder="1" applyAlignment="1">
      <alignment vertical="center"/>
    </xf>
    <xf numFmtId="0" fontId="6" fillId="36" borderId="30" xfId="0" applyFont="1" applyFill="1" applyBorder="1" applyAlignment="1">
      <alignment vertical="center"/>
    </xf>
    <xf numFmtId="0" fontId="6" fillId="36" borderId="84" xfId="0" applyFont="1" applyFill="1" applyBorder="1" applyAlignment="1">
      <alignment vertical="center"/>
    </xf>
    <xf numFmtId="42" fontId="7" fillId="34" borderId="94" xfId="0" applyNumberFormat="1" applyFont="1" applyFill="1" applyBorder="1" applyAlignment="1">
      <alignment vertical="center"/>
    </xf>
    <xf numFmtId="164" fontId="7" fillId="34" borderId="1" xfId="0" applyNumberFormat="1" applyFont="1" applyFill="1" applyBorder="1" applyAlignment="1">
      <alignment vertical="center"/>
    </xf>
    <xf numFmtId="164" fontId="6" fillId="35" borderId="1" xfId="0" applyNumberFormat="1" applyFont="1" applyFill="1" applyBorder="1" applyAlignment="1">
      <alignment vertical="center"/>
    </xf>
    <xf numFmtId="164" fontId="7" fillId="16" borderId="7" xfId="0" applyNumberFormat="1" applyFont="1" applyFill="1" applyBorder="1" applyAlignment="1">
      <alignment vertical="center"/>
    </xf>
    <xf numFmtId="164" fontId="7" fillId="16" borderId="10" xfId="0" applyNumberFormat="1" applyFont="1" applyFill="1" applyBorder="1" applyAlignment="1">
      <alignment vertical="center"/>
    </xf>
    <xf numFmtId="164" fontId="7" fillId="16" borderId="45" xfId="0" applyNumberFormat="1" applyFont="1" applyFill="1" applyBorder="1" applyAlignment="1">
      <alignment vertical="center"/>
    </xf>
    <xf numFmtId="42" fontId="7" fillId="32" borderId="1" xfId="0" applyNumberFormat="1" applyFont="1" applyFill="1" applyBorder="1" applyAlignment="1">
      <alignment vertical="center"/>
    </xf>
    <xf numFmtId="42" fontId="6" fillId="32" borderId="1" xfId="0" applyNumberFormat="1" applyFont="1" applyFill="1" applyBorder="1" applyAlignment="1">
      <alignment vertical="center"/>
    </xf>
    <xf numFmtId="42" fontId="7" fillId="9" borderId="1" xfId="0" applyNumberFormat="1" applyFont="1" applyFill="1" applyBorder="1" applyAlignment="1">
      <alignment vertical="center"/>
    </xf>
    <xf numFmtId="42" fontId="7" fillId="16" borderId="63" xfId="0" applyNumberFormat="1" applyFont="1" applyFill="1" applyBorder="1" applyAlignment="1">
      <alignment vertical="center"/>
    </xf>
    <xf numFmtId="42" fontId="7" fillId="16" borderId="35" xfId="0" applyNumberFormat="1" applyFont="1" applyFill="1" applyBorder="1" applyAlignment="1">
      <alignment vertical="center"/>
    </xf>
    <xf numFmtId="164" fontId="6" fillId="9" borderId="1" xfId="0" applyNumberFormat="1" applyFont="1" applyFill="1" applyBorder="1" applyAlignment="1">
      <alignment vertical="center"/>
    </xf>
    <xf numFmtId="170" fontId="7" fillId="16" borderId="1" xfId="0" applyNumberFormat="1" applyFont="1" applyFill="1" applyBorder="1" applyAlignment="1">
      <alignment vertical="center"/>
    </xf>
    <xf numFmtId="164" fontId="6" fillId="33" borderId="10" xfId="0" applyNumberFormat="1" applyFont="1" applyFill="1" applyBorder="1" applyAlignment="1">
      <alignment vertical="center"/>
    </xf>
    <xf numFmtId="164" fontId="6" fillId="32" borderId="29" xfId="0" applyNumberFormat="1" applyFont="1" applyFill="1" applyBorder="1" applyAlignment="1">
      <alignment vertical="center"/>
    </xf>
    <xf numFmtId="164" fontId="7" fillId="5" borderId="10" xfId="0" applyNumberFormat="1" applyFont="1" applyFill="1" applyBorder="1" applyAlignment="1">
      <alignment vertical="center"/>
    </xf>
    <xf numFmtId="0" fontId="7" fillId="6" borderId="55" xfId="0" applyFont="1" applyFill="1" applyBorder="1" applyAlignment="1">
      <alignment horizontal="center" vertical="center"/>
    </xf>
    <xf numFmtId="42" fontId="6" fillId="6" borderId="54" xfId="0" applyNumberFormat="1" applyFont="1" applyFill="1" applyBorder="1" applyAlignment="1">
      <alignment vertical="center"/>
    </xf>
    <xf numFmtId="42" fontId="7" fillId="6" borderId="83" xfId="0" applyNumberFormat="1" applyFont="1" applyFill="1" applyBorder="1" applyAlignment="1">
      <alignment vertical="center"/>
    </xf>
    <xf numFmtId="0" fontId="7" fillId="6" borderId="1" xfId="0" applyFont="1" applyFill="1" applyBorder="1" applyAlignment="1">
      <alignment horizontal="right" vertical="center"/>
    </xf>
    <xf numFmtId="42" fontId="6" fillId="6" borderId="89" xfId="0" applyNumberFormat="1" applyFont="1" applyFill="1" applyBorder="1" applyAlignment="1">
      <alignment vertical="center"/>
    </xf>
    <xf numFmtId="170" fontId="6" fillId="6" borderId="1" xfId="0" applyNumberFormat="1" applyFont="1" applyFill="1" applyBorder="1" applyAlignment="1">
      <alignment vertical="center"/>
    </xf>
    <xf numFmtId="42" fontId="6" fillId="6" borderId="15" xfId="0" applyNumberFormat="1" applyFont="1" applyFill="1" applyBorder="1" applyAlignment="1">
      <alignment vertical="center"/>
    </xf>
    <xf numFmtId="42" fontId="7" fillId="6" borderId="15" xfId="0" applyNumberFormat="1" applyFont="1" applyFill="1" applyBorder="1" applyAlignment="1">
      <alignment vertical="center"/>
    </xf>
    <xf numFmtId="42" fontId="7" fillId="34" borderId="1" xfId="0" applyNumberFormat="1" applyFont="1" applyFill="1" applyBorder="1" applyAlignment="1">
      <alignment vertical="center"/>
    </xf>
    <xf numFmtId="3" fontId="7" fillId="16" borderId="16" xfId="0" applyNumberFormat="1" applyFont="1" applyFill="1" applyBorder="1" applyAlignment="1">
      <alignment vertical="center"/>
    </xf>
    <xf numFmtId="42" fontId="7" fillId="16" borderId="1" xfId="0" applyNumberFormat="1" applyFont="1" applyFill="1" applyBorder="1" applyAlignment="1">
      <alignment vertical="center"/>
    </xf>
    <xf numFmtId="0" fontId="55" fillId="9" borderId="0" xfId="0" applyFont="1" applyFill="1" applyAlignment="1">
      <alignment vertical="center"/>
    </xf>
    <xf numFmtId="0" fontId="57" fillId="0" borderId="1" xfId="0" applyFont="1" applyBorder="1" applyAlignment="1">
      <alignment vertical="center" wrapText="1"/>
    </xf>
    <xf numFmtId="164" fontId="7" fillId="34" borderId="1" xfId="0" applyNumberFormat="1" applyFont="1" applyFill="1" applyBorder="1" applyAlignment="1">
      <alignment horizontal="center" vertical="center"/>
    </xf>
    <xf numFmtId="0" fontId="7" fillId="33" borderId="5" xfId="0" applyFont="1" applyFill="1" applyBorder="1" applyAlignment="1">
      <alignment vertical="center"/>
    </xf>
    <xf numFmtId="0" fontId="7" fillId="6" borderId="10" xfId="0" applyFont="1" applyFill="1" applyBorder="1" applyAlignment="1">
      <alignment horizontal="center" vertical="center"/>
    </xf>
    <xf numFmtId="0" fontId="7" fillId="6" borderId="49" xfId="0" applyFont="1" applyFill="1" applyBorder="1" applyAlignment="1">
      <alignment horizontal="center" vertical="center"/>
    </xf>
    <xf numFmtId="0" fontId="7" fillId="6" borderId="1" xfId="0" applyFont="1" applyFill="1" applyBorder="1" applyAlignment="1">
      <alignment vertical="center"/>
    </xf>
    <xf numFmtId="0" fontId="9" fillId="0" borderId="1" xfId="0" applyFont="1" applyBorder="1" applyAlignment="1">
      <alignment vertical="center"/>
    </xf>
    <xf numFmtId="0" fontId="7" fillId="9" borderId="1" xfId="0" applyFont="1" applyFill="1" applyBorder="1" applyAlignment="1">
      <alignment vertical="center"/>
    </xf>
    <xf numFmtId="0" fontId="7" fillId="33" borderId="1" xfId="0" applyFont="1" applyFill="1" applyBorder="1" applyAlignment="1">
      <alignment vertical="center"/>
    </xf>
    <xf numFmtId="0" fontId="7" fillId="31" borderId="1" xfId="0" applyFont="1" applyFill="1" applyBorder="1" applyAlignment="1">
      <alignment vertical="center"/>
    </xf>
    <xf numFmtId="49" fontId="7" fillId="34" borderId="1" xfId="0" applyNumberFormat="1" applyFont="1" applyFill="1" applyBorder="1" applyAlignment="1">
      <alignment horizontal="center" vertical="center" wrapText="1"/>
    </xf>
    <xf numFmtId="0" fontId="7" fillId="34" borderId="1" xfId="0" applyFont="1" applyFill="1" applyBorder="1" applyAlignment="1">
      <alignment vertical="center"/>
    </xf>
    <xf numFmtId="44" fontId="7" fillId="0" borderId="1" xfId="0" applyNumberFormat="1" applyFont="1" applyBorder="1" applyAlignment="1">
      <alignment vertical="center"/>
    </xf>
    <xf numFmtId="166" fontId="7" fillId="0" borderId="1" xfId="0" applyNumberFormat="1" applyFont="1" applyBorder="1" applyAlignment="1">
      <alignment vertical="center"/>
    </xf>
    <xf numFmtId="42" fontId="6" fillId="9" borderId="1" xfId="0" applyNumberFormat="1" applyFont="1" applyFill="1" applyBorder="1" applyAlignment="1">
      <alignment vertical="center"/>
    </xf>
    <xf numFmtId="42" fontId="6" fillId="6" borderId="1" xfId="0" applyNumberFormat="1" applyFont="1" applyFill="1" applyBorder="1" applyAlignment="1">
      <alignment vertical="center"/>
    </xf>
    <xf numFmtId="42" fontId="7" fillId="0" borderId="1" xfId="0" applyNumberFormat="1" applyFont="1" applyBorder="1" applyAlignment="1">
      <alignment vertical="center"/>
    </xf>
    <xf numFmtId="42" fontId="6" fillId="33" borderId="1" xfId="0" applyNumberFormat="1" applyFont="1" applyFill="1" applyBorder="1" applyAlignment="1">
      <alignment vertical="center"/>
    </xf>
    <xf numFmtId="42" fontId="7" fillId="38" borderId="1" xfId="0" applyNumberFormat="1" applyFont="1" applyFill="1" applyBorder="1" applyAlignment="1">
      <alignment vertical="center"/>
    </xf>
    <xf numFmtId="42" fontId="6" fillId="38" borderId="1" xfId="0" applyNumberFormat="1" applyFont="1" applyFill="1" applyBorder="1" applyAlignment="1">
      <alignment vertical="center"/>
    </xf>
    <xf numFmtId="42" fontId="6" fillId="36" borderId="1" xfId="0" applyNumberFormat="1" applyFont="1" applyFill="1" applyBorder="1" applyAlignment="1">
      <alignment vertical="center"/>
    </xf>
    <xf numFmtId="42" fontId="7" fillId="35" borderId="1" xfId="0" applyNumberFormat="1" applyFont="1" applyFill="1" applyBorder="1" applyAlignment="1">
      <alignment vertical="center"/>
    </xf>
    <xf numFmtId="42" fontId="6" fillId="35" borderId="1" xfId="0" applyNumberFormat="1" applyFont="1" applyFill="1" applyBorder="1" applyAlignment="1">
      <alignment vertical="center"/>
    </xf>
    <xf numFmtId="42" fontId="7" fillId="5" borderId="1" xfId="0" applyNumberFormat="1" applyFont="1" applyFill="1" applyBorder="1" applyAlignment="1">
      <alignment vertical="center"/>
    </xf>
    <xf numFmtId="42" fontId="6" fillId="15" borderId="1" xfId="0" applyNumberFormat="1" applyFont="1" applyFill="1" applyBorder="1" applyAlignment="1">
      <alignment vertical="center"/>
    </xf>
    <xf numFmtId="0" fontId="7" fillId="32" borderId="1" xfId="0" applyFont="1" applyFill="1" applyBorder="1" applyAlignment="1">
      <alignment vertical="center"/>
    </xf>
    <xf numFmtId="0" fontId="7" fillId="35" borderId="1" xfId="0" applyFont="1" applyFill="1" applyBorder="1" applyAlignment="1">
      <alignment vertical="center"/>
    </xf>
    <xf numFmtId="0" fontId="26" fillId="0" borderId="1" xfId="0" applyFont="1" applyBorder="1" applyAlignment="1">
      <alignment horizontal="center" vertical="center"/>
    </xf>
    <xf numFmtId="164" fontId="6" fillId="34" borderId="1" xfId="0" applyNumberFormat="1" applyFont="1" applyFill="1" applyBorder="1" applyAlignment="1">
      <alignment vertical="center"/>
    </xf>
    <xf numFmtId="42" fontId="7" fillId="5" borderId="83" xfId="0" applyNumberFormat="1" applyFont="1" applyFill="1" applyBorder="1" applyAlignment="1">
      <alignment vertical="center"/>
    </xf>
    <xf numFmtId="44" fontId="7" fillId="34" borderId="87" xfId="0" applyNumberFormat="1" applyFont="1" applyFill="1" applyBorder="1" applyAlignment="1">
      <alignment vertical="center"/>
    </xf>
    <xf numFmtId="165" fontId="7" fillId="0" borderId="45" xfId="0" applyNumberFormat="1" applyFont="1" applyBorder="1" applyAlignment="1">
      <alignment vertical="center"/>
    </xf>
    <xf numFmtId="0" fontId="59" fillId="0" borderId="0" xfId="0" applyFont="1" applyAlignment="1">
      <alignment vertical="center"/>
    </xf>
    <xf numFmtId="49" fontId="59" fillId="0" borderId="0" xfId="0" applyNumberFormat="1" applyFont="1" applyAlignment="1">
      <alignment vertical="center" wrapText="1"/>
    </xf>
    <xf numFmtId="49" fontId="58" fillId="0" borderId="0" xfId="0" applyNumberFormat="1" applyFont="1" applyAlignment="1">
      <alignment horizontal="left" vertical="center" wrapText="1"/>
    </xf>
    <xf numFmtId="49" fontId="58" fillId="0" borderId="0" xfId="0" applyNumberFormat="1" applyFont="1" applyAlignment="1">
      <alignment vertical="center" wrapText="1"/>
    </xf>
    <xf numFmtId="0" fontId="10" fillId="24" borderId="1" xfId="0" applyFont="1" applyFill="1" applyBorder="1" applyAlignment="1">
      <alignment horizontal="center" vertical="center"/>
    </xf>
    <xf numFmtId="49" fontId="8" fillId="33" borderId="16" xfId="0" applyNumberFormat="1" applyFont="1" applyFill="1" applyBorder="1" applyAlignment="1">
      <alignment horizontal="center" vertical="center" wrapText="1"/>
    </xf>
    <xf numFmtId="49" fontId="8" fillId="33" borderId="1" xfId="0" applyNumberFormat="1" applyFont="1" applyFill="1" applyBorder="1" applyAlignment="1">
      <alignment horizontal="center" vertical="center" wrapText="1"/>
    </xf>
    <xf numFmtId="49" fontId="8" fillId="33" borderId="15" xfId="0" applyNumberFormat="1" applyFont="1" applyFill="1" applyBorder="1" applyAlignment="1">
      <alignment horizontal="center" vertical="center" wrapText="1"/>
    </xf>
    <xf numFmtId="0" fontId="62" fillId="0" borderId="0" xfId="0" applyFont="1" applyAlignment="1">
      <alignment vertical="center"/>
    </xf>
    <xf numFmtId="0" fontId="62" fillId="4" borderId="0" xfId="0" applyFont="1" applyFill="1" applyAlignment="1">
      <alignment vertical="center"/>
    </xf>
    <xf numFmtId="0" fontId="55" fillId="0" borderId="0" xfId="0" applyFont="1" applyAlignment="1">
      <alignment horizontal="left" vertical="center" wrapText="1"/>
    </xf>
    <xf numFmtId="0" fontId="55" fillId="0" borderId="0" xfId="5" applyFont="1" applyAlignment="1">
      <alignment vertical="center"/>
    </xf>
    <xf numFmtId="0" fontId="62" fillId="0" borderId="0" xfId="5" applyFont="1" applyAlignment="1">
      <alignment vertical="center"/>
    </xf>
    <xf numFmtId="0" fontId="69" fillId="0" borderId="0" xfId="12" applyFont="1" applyAlignment="1">
      <alignment vertical="center"/>
    </xf>
    <xf numFmtId="0" fontId="70" fillId="0" borderId="1" xfId="12" applyFont="1" applyBorder="1" applyAlignment="1">
      <alignment vertical="center"/>
    </xf>
    <xf numFmtId="171" fontId="62" fillId="0" borderId="1" xfId="13" applyNumberFormat="1" applyFont="1" applyFill="1" applyBorder="1" applyAlignment="1">
      <alignment vertical="center"/>
    </xf>
    <xf numFmtId="171" fontId="62" fillId="0" borderId="0" xfId="13" applyNumberFormat="1" applyFont="1" applyAlignment="1">
      <alignment vertical="center"/>
    </xf>
    <xf numFmtId="171" fontId="70" fillId="0" borderId="0" xfId="13" applyNumberFormat="1" applyFont="1" applyAlignment="1">
      <alignment vertical="center"/>
    </xf>
    <xf numFmtId="171" fontId="63" fillId="0" borderId="1" xfId="13" applyNumberFormat="1" applyFont="1" applyBorder="1" applyAlignment="1">
      <alignment vertical="center"/>
    </xf>
    <xf numFmtId="0" fontId="62" fillId="0" borderId="0" xfId="0" applyFont="1" applyAlignment="1">
      <alignment horizontal="justify" vertical="center"/>
    </xf>
    <xf numFmtId="0" fontId="59" fillId="37" borderId="0" xfId="0" applyFont="1" applyFill="1" applyAlignment="1">
      <alignment vertical="center"/>
    </xf>
    <xf numFmtId="0" fontId="77" fillId="37" borderId="0" xfId="0" applyFont="1" applyFill="1" applyAlignment="1">
      <alignment vertical="center"/>
    </xf>
    <xf numFmtId="0" fontId="74" fillId="37" borderId="0" xfId="0" applyFont="1" applyFill="1" applyAlignment="1">
      <alignment horizontal="left" vertical="center" wrapText="1"/>
    </xf>
    <xf numFmtId="0" fontId="77" fillId="37" borderId="0" xfId="0" applyFont="1" applyFill="1" applyAlignment="1">
      <alignment vertical="center" wrapText="1"/>
    </xf>
    <xf numFmtId="0" fontId="59" fillId="37" borderId="0" xfId="0" applyFont="1" applyFill="1" applyAlignment="1">
      <alignment horizontal="left" vertical="center"/>
    </xf>
    <xf numFmtId="0" fontId="59" fillId="0" borderId="0" xfId="0" applyFont="1" applyAlignment="1">
      <alignment horizontal="left" vertical="center"/>
    </xf>
    <xf numFmtId="0" fontId="59" fillId="37" borderId="0" xfId="0" applyFont="1" applyFill="1" applyAlignment="1">
      <alignment horizontal="justify" vertical="center"/>
    </xf>
    <xf numFmtId="0" fontId="55" fillId="36" borderId="0" xfId="0" applyFont="1" applyFill="1" applyAlignment="1">
      <alignment vertical="center"/>
    </xf>
    <xf numFmtId="0" fontId="64" fillId="0" borderId="1" xfId="0" applyFont="1" applyBorder="1" applyAlignment="1">
      <alignment vertical="center" wrapText="1"/>
    </xf>
    <xf numFmtId="166" fontId="64" fillId="0" borderId="1" xfId="0" applyNumberFormat="1" applyFont="1" applyBorder="1" applyAlignment="1">
      <alignment vertical="center" wrapText="1"/>
    </xf>
    <xf numFmtId="0" fontId="64" fillId="0" borderId="1" xfId="0" applyFont="1" applyBorder="1" applyAlignment="1">
      <alignment horizontal="center" vertical="center" wrapText="1"/>
    </xf>
    <xf numFmtId="0" fontId="80" fillId="36" borderId="0" xfId="0" applyFont="1" applyFill="1" applyAlignment="1">
      <alignment vertical="center"/>
    </xf>
    <xf numFmtId="0" fontId="80" fillId="0" borderId="1" xfId="0" applyFont="1" applyBorder="1" applyAlignment="1">
      <alignment vertical="center" wrapText="1"/>
    </xf>
    <xf numFmtId="6" fontId="80" fillId="0" borderId="1" xfId="0" applyNumberFormat="1" applyFont="1" applyBorder="1" applyAlignment="1">
      <alignment vertical="center" wrapText="1"/>
    </xf>
    <xf numFmtId="166" fontId="80" fillId="0" borderId="1" xfId="0" applyNumberFormat="1" applyFont="1" applyBorder="1" applyAlignment="1">
      <alignment vertical="center" wrapText="1"/>
    </xf>
    <xf numFmtId="0" fontId="80" fillId="0" borderId="1" xfId="0" applyFont="1" applyBorder="1" applyAlignment="1">
      <alignment horizontal="center" vertical="center" wrapText="1"/>
    </xf>
    <xf numFmtId="8" fontId="80" fillId="0" borderId="1" xfId="0" applyNumberFormat="1" applyFont="1" applyBorder="1" applyAlignment="1">
      <alignment vertical="center" wrapText="1"/>
    </xf>
    <xf numFmtId="0" fontId="80" fillId="0" borderId="1" xfId="0" applyFont="1" applyBorder="1" applyAlignment="1">
      <alignment horizontal="left" vertical="center" wrapText="1"/>
    </xf>
    <xf numFmtId="0" fontId="81" fillId="36" borderId="0" xfId="0" applyFont="1" applyFill="1" applyAlignment="1">
      <alignment horizontal="left" vertical="center" wrapText="1"/>
    </xf>
    <xf numFmtId="8" fontId="81" fillId="36" borderId="0" xfId="0" applyNumberFormat="1" applyFont="1" applyFill="1" applyAlignment="1">
      <alignment vertical="center" wrapText="1"/>
    </xf>
    <xf numFmtId="0" fontId="80" fillId="0" borderId="6" xfId="0" applyFont="1" applyBorder="1" applyAlignment="1">
      <alignment horizontal="center" vertical="center" wrapText="1"/>
    </xf>
    <xf numFmtId="0" fontId="80" fillId="0" borderId="6" xfId="0" applyFont="1" applyBorder="1" applyAlignment="1">
      <alignment vertical="center" wrapText="1"/>
    </xf>
    <xf numFmtId="0" fontId="80" fillId="0" borderId="98" xfId="0" applyFont="1" applyBorder="1" applyAlignment="1">
      <alignment vertical="center" wrapText="1"/>
    </xf>
    <xf numFmtId="6" fontId="80" fillId="0" borderId="98" xfId="0" applyNumberFormat="1" applyFont="1" applyBorder="1" applyAlignment="1">
      <alignment vertical="center" wrapText="1"/>
    </xf>
    <xf numFmtId="0" fontId="80" fillId="0" borderId="98" xfId="0" applyFont="1" applyBorder="1" applyAlignment="1">
      <alignment horizontal="center" vertical="center" wrapText="1"/>
    </xf>
    <xf numFmtId="0" fontId="80" fillId="0" borderId="99" xfId="0" applyFont="1" applyBorder="1" applyAlignment="1">
      <alignment vertical="center" wrapText="1"/>
    </xf>
    <xf numFmtId="0" fontId="69" fillId="37" borderId="32" xfId="12" applyFont="1" applyFill="1" applyBorder="1" applyAlignment="1">
      <alignment vertical="center"/>
    </xf>
    <xf numFmtId="171" fontId="62" fillId="37" borderId="33" xfId="13" applyNumberFormat="1" applyFont="1" applyFill="1" applyBorder="1" applyAlignment="1">
      <alignment vertical="center"/>
    </xf>
    <xf numFmtId="171" fontId="70" fillId="37" borderId="33" xfId="13" applyNumberFormat="1" applyFont="1" applyFill="1" applyBorder="1" applyAlignment="1">
      <alignment vertical="center"/>
    </xf>
    <xf numFmtId="0" fontId="69" fillId="37" borderId="34" xfId="12" applyFont="1" applyFill="1" applyBorder="1" applyAlignment="1">
      <alignment vertical="center"/>
    </xf>
    <xf numFmtId="0" fontId="62" fillId="37" borderId="36" xfId="5" applyFont="1" applyFill="1" applyBorder="1" applyAlignment="1">
      <alignment vertical="center"/>
    </xf>
    <xf numFmtId="0" fontId="62" fillId="37" borderId="0" xfId="5" applyFont="1" applyFill="1" applyAlignment="1">
      <alignment horizontal="center" vertical="center"/>
    </xf>
    <xf numFmtId="171" fontId="62" fillId="37" borderId="0" xfId="5" applyNumberFormat="1" applyFont="1" applyFill="1" applyAlignment="1">
      <alignment horizontal="left" vertical="center"/>
    </xf>
    <xf numFmtId="0" fontId="62" fillId="37" borderId="0" xfId="5" applyFont="1" applyFill="1" applyAlignment="1">
      <alignment vertical="center"/>
    </xf>
    <xf numFmtId="0" fontId="62" fillId="37" borderId="37" xfId="5" applyFont="1" applyFill="1" applyBorder="1" applyAlignment="1">
      <alignment vertical="center"/>
    </xf>
    <xf numFmtId="0" fontId="62" fillId="37" borderId="0" xfId="5" applyFont="1" applyFill="1" applyAlignment="1">
      <alignment horizontal="left" vertical="center"/>
    </xf>
    <xf numFmtId="0" fontId="69" fillId="37" borderId="36" xfId="12" applyFont="1" applyFill="1" applyBorder="1" applyAlignment="1">
      <alignment vertical="center"/>
    </xf>
    <xf numFmtId="171" fontId="62" fillId="37" borderId="0" xfId="13" applyNumberFormat="1" applyFont="1" applyFill="1" applyBorder="1" applyAlignment="1">
      <alignment vertical="center"/>
    </xf>
    <xf numFmtId="171" fontId="70" fillId="37" borderId="0" xfId="13" applyNumberFormat="1" applyFont="1" applyFill="1" applyBorder="1" applyAlignment="1">
      <alignment vertical="center"/>
    </xf>
    <xf numFmtId="0" fontId="69" fillId="37" borderId="37" xfId="12" applyFont="1" applyFill="1" applyBorder="1" applyAlignment="1">
      <alignment vertical="center"/>
    </xf>
    <xf numFmtId="0" fontId="69" fillId="37" borderId="38" xfId="12" applyFont="1" applyFill="1" applyBorder="1" applyAlignment="1">
      <alignment vertical="center"/>
    </xf>
    <xf numFmtId="171" fontId="62" fillId="37" borderId="40" xfId="13" applyNumberFormat="1" applyFont="1" applyFill="1" applyBorder="1" applyAlignment="1">
      <alignment vertical="center"/>
    </xf>
    <xf numFmtId="171" fontId="70" fillId="37" borderId="40" xfId="13" applyNumberFormat="1" applyFont="1" applyFill="1" applyBorder="1" applyAlignment="1">
      <alignment vertical="center"/>
    </xf>
    <xf numFmtId="0" fontId="69" fillId="37" borderId="44" xfId="12" applyFont="1" applyFill="1" applyBorder="1" applyAlignment="1">
      <alignment vertical="center"/>
    </xf>
    <xf numFmtId="49" fontId="55" fillId="0" borderId="1" xfId="5" applyNumberFormat="1" applyFont="1" applyBorder="1" applyAlignment="1" applyProtection="1">
      <alignment horizontal="left" vertical="center" wrapText="1"/>
      <protection locked="0"/>
    </xf>
    <xf numFmtId="166" fontId="64" fillId="0" borderId="1" xfId="0" applyNumberFormat="1" applyFont="1" applyBorder="1" applyAlignment="1">
      <alignment horizontal="right" vertical="center" wrapText="1"/>
    </xf>
    <xf numFmtId="0" fontId="55" fillId="0" borderId="0" xfId="0" applyFont="1" applyAlignment="1">
      <alignment vertical="center" wrapText="1"/>
    </xf>
    <xf numFmtId="0" fontId="63" fillId="0" borderId="0" xfId="0" applyFont="1" applyAlignment="1">
      <alignment horizontal="justify" vertical="center"/>
    </xf>
    <xf numFmtId="0" fontId="62" fillId="0" borderId="0" xfId="0" applyFont="1" applyAlignment="1">
      <alignment vertical="center" wrapText="1"/>
    </xf>
    <xf numFmtId="0" fontId="55" fillId="0" borderId="0" xfId="0" applyFont="1" applyAlignment="1">
      <alignment horizontal="left" vertical="center"/>
    </xf>
    <xf numFmtId="0" fontId="55" fillId="36" borderId="32" xfId="0" applyFont="1" applyFill="1" applyBorder="1" applyAlignment="1">
      <alignment vertical="center"/>
    </xf>
    <xf numFmtId="0" fontId="55" fillId="36" borderId="33" xfId="0" applyFont="1" applyFill="1" applyBorder="1" applyAlignment="1">
      <alignment vertical="center"/>
    </xf>
    <xf numFmtId="0" fontId="55" fillId="36" borderId="34" xfId="0" applyFont="1" applyFill="1" applyBorder="1" applyAlignment="1">
      <alignment vertical="center"/>
    </xf>
    <xf numFmtId="0" fontId="55" fillId="36" borderId="36" xfId="0" applyFont="1" applyFill="1" applyBorder="1" applyAlignment="1">
      <alignment vertical="center"/>
    </xf>
    <xf numFmtId="0" fontId="55" fillId="36" borderId="37" xfId="0" applyFont="1" applyFill="1" applyBorder="1" applyAlignment="1">
      <alignment vertical="center"/>
    </xf>
    <xf numFmtId="0" fontId="55" fillId="36" borderId="38" xfId="0" applyFont="1" applyFill="1" applyBorder="1" applyAlignment="1">
      <alignment vertical="center"/>
    </xf>
    <xf numFmtId="0" fontId="55" fillId="36" borderId="40" xfId="0" applyFont="1" applyFill="1" applyBorder="1" applyAlignment="1">
      <alignment vertical="center"/>
    </xf>
    <xf numFmtId="0" fontId="55" fillId="36" borderId="44" xfId="0" applyFont="1" applyFill="1" applyBorder="1" applyAlignment="1">
      <alignment vertical="center"/>
    </xf>
    <xf numFmtId="0" fontId="55" fillId="36" borderId="28" xfId="0" applyFont="1" applyFill="1" applyBorder="1" applyAlignment="1">
      <alignment vertical="center"/>
    </xf>
    <xf numFmtId="0" fontId="83" fillId="0" borderId="0" xfId="0" applyFont="1" applyAlignment="1">
      <alignment vertical="center"/>
    </xf>
    <xf numFmtId="164" fontId="56" fillId="32" borderId="1" xfId="5" quotePrefix="1" applyNumberFormat="1" applyFont="1" applyFill="1" applyBorder="1" applyAlignment="1">
      <alignment horizontal="center" vertical="center" textRotation="90" wrapText="1"/>
    </xf>
    <xf numFmtId="0" fontId="55" fillId="0" borderId="0" xfId="5" applyFont="1" applyAlignment="1">
      <alignment horizontal="center" vertical="center"/>
    </xf>
    <xf numFmtId="164" fontId="56" fillId="0" borderId="1" xfId="5" applyNumberFormat="1" applyFont="1" applyBorder="1" applyAlignment="1">
      <alignment horizontal="center" vertical="center" wrapText="1"/>
    </xf>
    <xf numFmtId="0" fontId="56" fillId="0" borderId="0" xfId="5" applyFont="1" applyAlignment="1">
      <alignment vertical="center"/>
    </xf>
    <xf numFmtId="38" fontId="55" fillId="0" borderId="1" xfId="5" applyNumberFormat="1" applyFont="1" applyBorder="1" applyAlignment="1" applyProtection="1">
      <alignment horizontal="center" vertical="center"/>
      <protection locked="0"/>
    </xf>
    <xf numFmtId="164" fontId="55" fillId="0" borderId="1" xfId="5" applyNumberFormat="1" applyFont="1" applyBorder="1" applyAlignment="1" applyProtection="1">
      <alignment horizontal="center" vertical="center"/>
      <protection locked="0"/>
    </xf>
    <xf numFmtId="38" fontId="55" fillId="0" borderId="1" xfId="5" applyNumberFormat="1" applyFont="1" applyBorder="1" applyAlignment="1">
      <alignment horizontal="center" vertical="center"/>
    </xf>
    <xf numFmtId="1" fontId="55" fillId="0" borderId="1" xfId="5" applyNumberFormat="1" applyFont="1" applyBorder="1" applyAlignment="1" applyProtection="1">
      <alignment horizontal="center" vertical="center"/>
      <protection locked="0"/>
    </xf>
    <xf numFmtId="3" fontId="55" fillId="0" borderId="1" xfId="5" applyNumberFormat="1" applyFont="1" applyBorder="1" applyAlignment="1" applyProtection="1">
      <alignment horizontal="center" vertical="center"/>
      <protection locked="0"/>
    </xf>
    <xf numFmtId="164" fontId="55" fillId="16" borderId="1" xfId="11" applyNumberFormat="1" applyFont="1" applyFill="1" applyBorder="1" applyAlignment="1" applyProtection="1">
      <alignment horizontal="center" vertical="center"/>
    </xf>
    <xf numFmtId="164" fontId="83" fillId="16" borderId="1" xfId="5" applyNumberFormat="1" applyFont="1" applyFill="1" applyBorder="1" applyAlignment="1">
      <alignment horizontal="center" vertical="center"/>
    </xf>
    <xf numFmtId="164" fontId="55" fillId="25" borderId="1" xfId="11" applyNumberFormat="1" applyFont="1" applyFill="1" applyBorder="1" applyAlignment="1" applyProtection="1">
      <alignment horizontal="right" vertical="center"/>
    </xf>
    <xf numFmtId="0" fontId="56" fillId="36" borderId="0" xfId="0" applyFont="1" applyFill="1" applyAlignment="1">
      <alignment vertical="center"/>
    </xf>
    <xf numFmtId="49" fontId="56" fillId="16" borderId="1" xfId="5" applyNumberFormat="1" applyFont="1" applyFill="1" applyBorder="1" applyAlignment="1" applyProtection="1">
      <alignment horizontal="center" vertical="center" wrapText="1"/>
      <protection locked="0"/>
    </xf>
    <xf numFmtId="38" fontId="55" fillId="16" borderId="1" xfId="5" applyNumberFormat="1" applyFont="1" applyFill="1" applyBorder="1" applyAlignment="1">
      <alignment horizontal="center" vertical="center"/>
    </xf>
    <xf numFmtId="164" fontId="56" fillId="16" borderId="1" xfId="5" applyNumberFormat="1" applyFont="1" applyFill="1" applyBorder="1" applyAlignment="1">
      <alignment horizontal="center" vertical="center" wrapText="1"/>
    </xf>
    <xf numFmtId="38" fontId="55" fillId="0" borderId="2" xfId="5" applyNumberFormat="1" applyFont="1" applyBorder="1" applyAlignment="1">
      <alignment horizontal="center" vertical="center"/>
    </xf>
    <xf numFmtId="164" fontId="56" fillId="33" borderId="1" xfId="5" quotePrefix="1" applyNumberFormat="1" applyFont="1" applyFill="1" applyBorder="1" applyAlignment="1">
      <alignment horizontal="center" vertical="center" textRotation="90" wrapText="1"/>
    </xf>
    <xf numFmtId="0" fontId="0" fillId="0" borderId="1" xfId="0" applyBorder="1" applyAlignment="1">
      <alignment vertical="center"/>
    </xf>
    <xf numFmtId="164" fontId="56" fillId="16" borderId="1" xfId="5" applyNumberFormat="1" applyFont="1" applyFill="1" applyBorder="1" applyAlignment="1" applyProtection="1">
      <alignment horizontal="center" vertical="center" wrapText="1"/>
      <protection locked="0"/>
    </xf>
    <xf numFmtId="0" fontId="7" fillId="9" borderId="1" xfId="0" applyFont="1" applyFill="1" applyBorder="1" applyAlignment="1">
      <alignment horizontal="center" vertical="center"/>
    </xf>
    <xf numFmtId="0" fontId="56" fillId="0" borderId="10" xfId="0" applyFont="1" applyBorder="1" applyAlignment="1">
      <alignment horizontal="center" vertical="center"/>
    </xf>
    <xf numFmtId="0" fontId="56" fillId="0" borderId="0" xfId="0" applyFont="1" applyAlignment="1">
      <alignment vertical="center"/>
    </xf>
    <xf numFmtId="0" fontId="56" fillId="0" borderId="1" xfId="0" applyFont="1" applyBorder="1" applyAlignment="1">
      <alignment horizontal="center" vertical="center" wrapText="1"/>
    </xf>
    <xf numFmtId="0" fontId="55" fillId="16" borderId="0" xfId="0" applyFont="1" applyFill="1" applyAlignment="1">
      <alignment vertical="center"/>
    </xf>
    <xf numFmtId="49" fontId="55" fillId="0" borderId="0" xfId="0" applyNumberFormat="1" applyFont="1" applyAlignment="1">
      <alignment horizontal="center" vertical="center" wrapText="1"/>
    </xf>
    <xf numFmtId="49" fontId="87" fillId="34" borderId="1" xfId="0" applyNumberFormat="1" applyFont="1" applyFill="1" applyBorder="1" applyAlignment="1">
      <alignment horizontal="center" vertical="center" wrapText="1"/>
    </xf>
    <xf numFmtId="164" fontId="86" fillId="34" borderId="1" xfId="0" applyNumberFormat="1" applyFont="1" applyFill="1" applyBorder="1" applyAlignment="1">
      <alignment horizontal="center" vertical="center"/>
    </xf>
    <xf numFmtId="164" fontId="86" fillId="34" borderId="1" xfId="0" applyNumberFormat="1" applyFont="1" applyFill="1" applyBorder="1" applyAlignment="1">
      <alignment vertical="center"/>
    </xf>
    <xf numFmtId="0" fontId="55" fillId="31" borderId="0" xfId="0" applyFont="1" applyFill="1" applyAlignment="1">
      <alignment vertical="center"/>
    </xf>
    <xf numFmtId="164" fontId="85" fillId="34" borderId="1" xfId="0" applyNumberFormat="1" applyFont="1" applyFill="1" applyBorder="1" applyAlignment="1">
      <alignment vertical="center"/>
    </xf>
    <xf numFmtId="164" fontId="86" fillId="0" borderId="1" xfId="0" applyNumberFormat="1" applyFont="1" applyBorder="1" applyAlignment="1">
      <alignment vertical="center"/>
    </xf>
    <xf numFmtId="0" fontId="55" fillId="38" borderId="0" xfId="0" applyFont="1" applyFill="1" applyAlignment="1">
      <alignment vertical="center"/>
    </xf>
    <xf numFmtId="0" fontId="55" fillId="32" borderId="0" xfId="0" applyFont="1" applyFill="1" applyAlignment="1">
      <alignment vertical="center"/>
    </xf>
    <xf numFmtId="164" fontId="85" fillId="33" borderId="1" xfId="0" applyNumberFormat="1" applyFont="1" applyFill="1" applyBorder="1" applyAlignment="1">
      <alignment vertical="center"/>
    </xf>
    <xf numFmtId="165" fontId="86" fillId="0" borderId="1" xfId="0" applyNumberFormat="1" applyFont="1" applyBorder="1" applyAlignment="1">
      <alignment vertical="center"/>
    </xf>
    <xf numFmtId="0" fontId="55" fillId="35" borderId="0" xfId="0" applyFont="1" applyFill="1" applyAlignment="1">
      <alignment vertical="center"/>
    </xf>
    <xf numFmtId="0" fontId="55" fillId="34" borderId="0" xfId="0" applyFont="1" applyFill="1" applyAlignment="1">
      <alignment vertical="center"/>
    </xf>
    <xf numFmtId="0" fontId="55" fillId="15" borderId="0" xfId="0" applyFont="1" applyFill="1" applyAlignment="1">
      <alignment vertical="center"/>
    </xf>
    <xf numFmtId="0" fontId="55" fillId="0" borderId="0" xfId="0" applyFont="1" applyAlignment="1">
      <alignment horizontal="center" vertical="center"/>
    </xf>
    <xf numFmtId="0" fontId="0" fillId="36" borderId="0" xfId="0" applyFill="1"/>
    <xf numFmtId="0" fontId="0" fillId="0" borderId="1" xfId="0" applyBorder="1"/>
    <xf numFmtId="0" fontId="80" fillId="36" borderId="0" xfId="0" applyFont="1" applyFill="1" applyAlignment="1">
      <alignment horizontal="center" vertical="center" wrapText="1"/>
    </xf>
    <xf numFmtId="164" fontId="80" fillId="36" borderId="0" xfId="0" applyNumberFormat="1" applyFont="1" applyFill="1" applyAlignment="1">
      <alignment vertical="center" wrapText="1"/>
    </xf>
    <xf numFmtId="8" fontId="80" fillId="36" borderId="0" xfId="0" applyNumberFormat="1" applyFont="1" applyFill="1" applyAlignment="1">
      <alignment vertical="center" wrapText="1"/>
    </xf>
    <xf numFmtId="6" fontId="80" fillId="36" borderId="0" xfId="0" applyNumberFormat="1" applyFont="1" applyFill="1" applyAlignment="1">
      <alignment vertical="center" wrapText="1"/>
    </xf>
    <xf numFmtId="8" fontId="80" fillId="0" borderId="98" xfId="0" applyNumberFormat="1" applyFont="1" applyBorder="1" applyAlignment="1">
      <alignment vertical="center" wrapText="1"/>
    </xf>
    <xf numFmtId="0" fontId="0" fillId="0" borderId="98" xfId="0" applyBorder="1"/>
    <xf numFmtId="0" fontId="80" fillId="0" borderId="3" xfId="0" applyFont="1" applyBorder="1" applyAlignment="1">
      <alignment vertical="center" wrapText="1"/>
    </xf>
    <xf numFmtId="0" fontId="80" fillId="0" borderId="3" xfId="0" applyFont="1" applyBorder="1" applyAlignment="1">
      <alignment horizontal="center" vertical="center" wrapText="1"/>
    </xf>
    <xf numFmtId="8" fontId="80" fillId="0" borderId="3" xfId="0" applyNumberFormat="1" applyFont="1" applyBorder="1" applyAlignment="1">
      <alignment vertical="center" wrapText="1"/>
    </xf>
    <xf numFmtId="6" fontId="80" fillId="0" borderId="3" xfId="0" applyNumberFormat="1" applyFont="1" applyBorder="1" applyAlignment="1">
      <alignment vertical="center" wrapText="1"/>
    </xf>
    <xf numFmtId="0" fontId="0" fillId="0" borderId="3" xfId="0" applyBorder="1"/>
    <xf numFmtId="0" fontId="80" fillId="0" borderId="4" xfId="0" applyFont="1" applyBorder="1" applyAlignment="1">
      <alignment vertical="center" wrapText="1"/>
    </xf>
    <xf numFmtId="167" fontId="55" fillId="0" borderId="1" xfId="4" applyFont="1" applyBorder="1" applyAlignment="1">
      <alignment horizontal="left" vertical="center"/>
    </xf>
    <xf numFmtId="3" fontId="55" fillId="0" borderId="1" xfId="4" applyNumberFormat="1" applyFont="1" applyBorder="1" applyAlignment="1">
      <alignment horizontal="center" vertical="center"/>
    </xf>
    <xf numFmtId="7" fontId="55" fillId="0" borderId="1" xfId="4" applyNumberFormat="1" applyFont="1" applyBorder="1" applyAlignment="1">
      <alignment horizontal="right" vertical="center"/>
    </xf>
    <xf numFmtId="8" fontId="55" fillId="0" borderId="1" xfId="3" applyNumberFormat="1" applyFont="1" applyBorder="1" applyAlignment="1">
      <alignment horizontal="right" vertical="center"/>
    </xf>
    <xf numFmtId="0" fontId="55" fillId="0" borderId="1" xfId="3" applyFont="1" applyBorder="1" applyAlignment="1">
      <alignment horizontal="center" vertical="center"/>
    </xf>
    <xf numFmtId="1" fontId="55" fillId="0" borderId="1" xfId="4" applyNumberFormat="1" applyFont="1" applyBorder="1" applyAlignment="1">
      <alignment horizontal="center" vertical="center"/>
    </xf>
    <xf numFmtId="44" fontId="55" fillId="0" borderId="1" xfId="1" applyFont="1" applyFill="1" applyBorder="1" applyAlignment="1">
      <alignment horizontal="right" vertical="center"/>
    </xf>
    <xf numFmtId="0" fontId="55" fillId="0" borderId="1" xfId="3" applyFont="1" applyBorder="1" applyAlignment="1">
      <alignment vertical="center"/>
    </xf>
    <xf numFmtId="0" fontId="55" fillId="0" borderId="1" xfId="3" applyFont="1" applyBorder="1" applyAlignment="1">
      <alignment horizontal="left" vertical="center"/>
    </xf>
    <xf numFmtId="16" fontId="55" fillId="0" borderId="1" xfId="0" applyNumberFormat="1" applyFont="1" applyBorder="1" applyAlignment="1">
      <alignment horizontal="center" vertical="center"/>
    </xf>
    <xf numFmtId="8" fontId="56" fillId="36" borderId="14" xfId="3" applyNumberFormat="1" applyFont="1" applyFill="1" applyBorder="1" applyAlignment="1">
      <alignment horizontal="right" vertical="center"/>
    </xf>
    <xf numFmtId="0" fontId="55" fillId="0" borderId="0" xfId="0" applyFont="1" applyAlignment="1">
      <alignment horizontal="justify" vertical="center"/>
    </xf>
    <xf numFmtId="0" fontId="55" fillId="36" borderId="0" xfId="3" applyFont="1" applyFill="1" applyAlignment="1">
      <alignment horizontal="center" vertical="center"/>
    </xf>
    <xf numFmtId="167" fontId="55" fillId="36" borderId="0" xfId="4" applyFont="1" applyFill="1" applyAlignment="1">
      <alignment horizontal="left" vertical="center"/>
    </xf>
    <xf numFmtId="3" fontId="55" fillId="36" borderId="0" xfId="4" applyNumberFormat="1" applyFont="1" applyFill="1" applyAlignment="1">
      <alignment horizontal="center" vertical="center"/>
    </xf>
    <xf numFmtId="7" fontId="55" fillId="36" borderId="0" xfId="4" applyNumberFormat="1" applyFont="1" applyFill="1" applyAlignment="1">
      <alignment horizontal="right" vertical="center"/>
    </xf>
    <xf numFmtId="8" fontId="55" fillId="36" borderId="0" xfId="3" applyNumberFormat="1" applyFont="1" applyFill="1" applyAlignment="1">
      <alignment horizontal="right" vertical="center"/>
    </xf>
    <xf numFmtId="0" fontId="55" fillId="0" borderId="1" xfId="3" applyFont="1" applyBorder="1" applyAlignment="1">
      <alignment horizontal="center" vertical="center" wrapText="1"/>
    </xf>
    <xf numFmtId="0" fontId="56" fillId="33" borderId="1" xfId="0" applyFont="1" applyFill="1" applyBorder="1" applyAlignment="1">
      <alignment vertical="center"/>
    </xf>
    <xf numFmtId="0" fontId="55" fillId="36" borderId="0" xfId="2" applyFont="1" applyFill="1" applyAlignment="1">
      <alignment vertical="center"/>
    </xf>
    <xf numFmtId="0" fontId="56" fillId="36" borderId="0" xfId="0" applyFont="1" applyFill="1" applyAlignment="1">
      <alignment horizontal="center" vertical="center"/>
    </xf>
    <xf numFmtId="0" fontId="55" fillId="36" borderId="0" xfId="3" applyFont="1" applyFill="1" applyAlignment="1">
      <alignment vertical="center"/>
    </xf>
    <xf numFmtId="0" fontId="55" fillId="36" borderId="0" xfId="3" applyFont="1" applyFill="1" applyAlignment="1">
      <alignment horizontal="right" vertical="center"/>
    </xf>
    <xf numFmtId="0" fontId="56" fillId="9" borderId="1" xfId="3" applyFont="1" applyFill="1" applyBorder="1" applyAlignment="1">
      <alignment horizontal="right" vertical="center"/>
    </xf>
    <xf numFmtId="0" fontId="56" fillId="9" borderId="1" xfId="3" applyFont="1" applyFill="1" applyBorder="1" applyAlignment="1">
      <alignment horizontal="center" vertical="center" wrapText="1"/>
    </xf>
    <xf numFmtId="0" fontId="56" fillId="9" borderId="1" xfId="3" applyFont="1" applyFill="1" applyBorder="1" applyAlignment="1">
      <alignment horizontal="center" vertical="center"/>
    </xf>
    <xf numFmtId="0" fontId="56" fillId="9" borderId="2" xfId="3" applyFont="1" applyFill="1" applyBorder="1" applyAlignment="1">
      <alignment horizontal="center" vertical="center" wrapText="1"/>
    </xf>
    <xf numFmtId="0" fontId="81" fillId="9" borderId="1" xfId="0" applyFont="1" applyFill="1" applyBorder="1" applyAlignment="1">
      <alignment horizontal="center" vertical="center" wrapText="1"/>
    </xf>
    <xf numFmtId="8" fontId="55" fillId="16" borderId="1" xfId="3" applyNumberFormat="1" applyFont="1" applyFill="1" applyBorder="1" applyAlignment="1">
      <alignment horizontal="right" vertical="center"/>
    </xf>
    <xf numFmtId="8" fontId="56" fillId="16" borderId="1" xfId="3" applyNumberFormat="1" applyFont="1" applyFill="1" applyBorder="1" applyAlignment="1">
      <alignment horizontal="right" vertical="center"/>
    </xf>
    <xf numFmtId="0" fontId="74" fillId="33" borderId="8" xfId="0" applyFont="1" applyFill="1" applyBorder="1" applyAlignment="1">
      <alignment horizontal="center" vertical="center" wrapText="1"/>
    </xf>
    <xf numFmtId="0" fontId="74" fillId="33" borderId="3" xfId="0" applyFont="1" applyFill="1" applyBorder="1" applyAlignment="1">
      <alignment horizontal="center" vertical="center" wrapText="1"/>
    </xf>
    <xf numFmtId="0" fontId="74" fillId="33" borderId="4" xfId="0" applyFont="1" applyFill="1" applyBorder="1" applyAlignment="1">
      <alignment horizontal="center" vertical="center" wrapText="1"/>
    </xf>
    <xf numFmtId="164" fontId="81" fillId="16" borderId="1" xfId="0" applyNumberFormat="1" applyFont="1" applyFill="1" applyBorder="1" applyAlignment="1">
      <alignment vertical="center" wrapText="1"/>
    </xf>
    <xf numFmtId="164" fontId="81" fillId="16" borderId="98" xfId="0" applyNumberFormat="1" applyFont="1" applyFill="1" applyBorder="1" applyAlignment="1">
      <alignment vertical="center" wrapText="1"/>
    </xf>
    <xf numFmtId="164" fontId="81" fillId="16" borderId="10" xfId="0" applyNumberFormat="1" applyFont="1" applyFill="1" applyBorder="1" applyAlignment="1">
      <alignment vertical="center" wrapText="1"/>
    </xf>
    <xf numFmtId="6" fontId="81" fillId="16" borderId="1" xfId="0" applyNumberFormat="1" applyFont="1" applyFill="1" applyBorder="1" applyAlignment="1">
      <alignment vertical="center" wrapText="1"/>
    </xf>
    <xf numFmtId="6" fontId="81" fillId="16" borderId="98" xfId="0" applyNumberFormat="1" applyFont="1" applyFill="1" applyBorder="1" applyAlignment="1">
      <alignment vertical="center" wrapText="1"/>
    </xf>
    <xf numFmtId="6" fontId="81" fillId="16" borderId="10" xfId="0" applyNumberFormat="1" applyFont="1" applyFill="1" applyBorder="1" applyAlignment="1">
      <alignment vertical="center" wrapText="1"/>
    </xf>
    <xf numFmtId="164" fontId="81" fillId="16" borderId="3" xfId="0" applyNumberFormat="1" applyFont="1" applyFill="1" applyBorder="1" applyAlignment="1">
      <alignment vertical="center" wrapText="1"/>
    </xf>
    <xf numFmtId="6" fontId="81" fillId="16" borderId="3" xfId="0" applyNumberFormat="1" applyFont="1" applyFill="1" applyBorder="1" applyAlignment="1">
      <alignment vertical="center" wrapText="1"/>
    </xf>
    <xf numFmtId="0" fontId="56" fillId="33" borderId="1" xfId="0" applyFont="1" applyFill="1" applyBorder="1" applyAlignment="1">
      <alignment horizontal="left" vertical="center"/>
    </xf>
    <xf numFmtId="164" fontId="55" fillId="0" borderId="1" xfId="5" applyNumberFormat="1" applyFont="1" applyBorder="1" applyAlignment="1" applyProtection="1">
      <alignment horizontal="right" vertical="center"/>
      <protection locked="0"/>
    </xf>
    <xf numFmtId="164" fontId="55" fillId="0" borderId="1" xfId="5" applyNumberFormat="1" applyFont="1" applyBorder="1" applyAlignment="1">
      <alignment horizontal="right" vertical="center"/>
    </xf>
    <xf numFmtId="164" fontId="55" fillId="0" borderId="1" xfId="11" applyNumberFormat="1" applyFont="1" applyFill="1" applyBorder="1" applyAlignment="1" applyProtection="1">
      <alignment horizontal="right" vertical="center"/>
    </xf>
    <xf numFmtId="0" fontId="59" fillId="36" borderId="0" xfId="0" applyFont="1" applyFill="1" applyAlignment="1">
      <alignment horizontal="left" vertical="center" wrapText="1"/>
    </xf>
    <xf numFmtId="0" fontId="56" fillId="0" borderId="1" xfId="0" applyFont="1" applyBorder="1" applyAlignment="1">
      <alignment horizontal="right" vertical="center"/>
    </xf>
    <xf numFmtId="1" fontId="55" fillId="0" borderId="0" xfId="5" applyNumberFormat="1" applyFont="1" applyAlignment="1">
      <alignment horizontal="center" vertical="center"/>
    </xf>
    <xf numFmtId="164" fontId="63" fillId="31" borderId="1" xfId="5" quotePrefix="1" applyNumberFormat="1" applyFont="1" applyFill="1" applyBorder="1" applyAlignment="1">
      <alignment horizontal="center" vertical="center" wrapText="1"/>
    </xf>
    <xf numFmtId="0" fontId="63" fillId="33" borderId="1" xfId="5" applyFont="1" applyFill="1" applyBorder="1" applyAlignment="1">
      <alignment horizontal="center" vertical="center" wrapText="1"/>
    </xf>
    <xf numFmtId="164" fontId="63" fillId="32" borderId="1" xfId="5" quotePrefix="1" applyNumberFormat="1" applyFont="1" applyFill="1" applyBorder="1" applyAlignment="1">
      <alignment horizontal="center" vertical="center" wrapText="1"/>
    </xf>
    <xf numFmtId="164" fontId="63" fillId="33" borderId="1" xfId="5" quotePrefix="1" applyNumberFormat="1" applyFont="1" applyFill="1" applyBorder="1" applyAlignment="1">
      <alignment horizontal="center" vertical="center" wrapText="1"/>
    </xf>
    <xf numFmtId="0" fontId="63" fillId="25" borderId="1" xfId="0" applyFont="1" applyFill="1" applyBorder="1" applyAlignment="1">
      <alignment horizontal="right" vertical="center"/>
    </xf>
    <xf numFmtId="166" fontId="64" fillId="16" borderId="1" xfId="0" applyNumberFormat="1" applyFont="1" applyFill="1" applyBorder="1" applyAlignment="1">
      <alignment vertical="center" wrapText="1"/>
    </xf>
    <xf numFmtId="0" fontId="64" fillId="0" borderId="10" xfId="0" applyFont="1" applyBorder="1" applyAlignment="1">
      <alignment vertical="center" wrapText="1"/>
    </xf>
    <xf numFmtId="0" fontId="64" fillId="0" borderId="10" xfId="0" applyFont="1" applyBorder="1" applyAlignment="1">
      <alignment horizontal="center" vertical="center" wrapText="1"/>
    </xf>
    <xf numFmtId="166" fontId="64" fillId="0" borderId="10" xfId="0" applyNumberFormat="1" applyFont="1" applyBorder="1" applyAlignment="1">
      <alignment vertical="center" wrapText="1"/>
    </xf>
    <xf numFmtId="0" fontId="64" fillId="36" borderId="0" xfId="0" applyFont="1" applyFill="1" applyAlignment="1">
      <alignment horizontal="center" vertical="center" wrapText="1"/>
    </xf>
    <xf numFmtId="0" fontId="64" fillId="36" borderId="0" xfId="0" applyFont="1" applyFill="1" applyAlignment="1">
      <alignment vertical="center" wrapText="1"/>
    </xf>
    <xf numFmtId="166" fontId="64" fillId="36" borderId="0" xfId="0" applyNumberFormat="1" applyFont="1" applyFill="1" applyAlignment="1">
      <alignment vertical="center" wrapText="1"/>
    </xf>
    <xf numFmtId="0" fontId="78" fillId="36" borderId="0" xfId="0" applyFont="1" applyFill="1" applyAlignment="1">
      <alignment vertical="center"/>
    </xf>
    <xf numFmtId="0" fontId="64" fillId="0" borderId="31" xfId="0" applyFont="1" applyBorder="1" applyAlignment="1">
      <alignment vertical="center" wrapText="1"/>
    </xf>
    <xf numFmtId="0" fontId="64" fillId="0" borderId="49" xfId="0" applyFont="1" applyBorder="1" applyAlignment="1">
      <alignment vertical="center" wrapText="1"/>
    </xf>
    <xf numFmtId="6" fontId="73" fillId="16" borderId="100" xfId="0" applyNumberFormat="1" applyFont="1" applyFill="1" applyBorder="1" applyAlignment="1">
      <alignment vertical="center" wrapText="1"/>
    </xf>
    <xf numFmtId="0" fontId="64" fillId="0" borderId="43" xfId="0" applyFont="1" applyBorder="1" applyAlignment="1">
      <alignment vertical="center" wrapText="1"/>
    </xf>
    <xf numFmtId="0" fontId="64" fillId="0" borderId="3" xfId="0" applyFont="1" applyBorder="1" applyAlignment="1">
      <alignment vertical="center" wrapText="1"/>
    </xf>
    <xf numFmtId="0" fontId="64" fillId="0" borderId="3" xfId="0" applyFont="1" applyBorder="1" applyAlignment="1">
      <alignment horizontal="center" vertical="center" wrapText="1"/>
    </xf>
    <xf numFmtId="166" fontId="64" fillId="0" borderId="3" xfId="0" applyNumberFormat="1" applyFont="1" applyBorder="1" applyAlignment="1">
      <alignment vertical="center" wrapText="1"/>
    </xf>
    <xf numFmtId="166" fontId="64" fillId="16" borderId="3" xfId="0" applyNumberFormat="1" applyFont="1" applyFill="1" applyBorder="1" applyAlignment="1">
      <alignment vertical="center" wrapText="1"/>
    </xf>
    <xf numFmtId="0" fontId="64" fillId="0" borderId="4" xfId="0" applyFont="1" applyBorder="1" applyAlignment="1">
      <alignment horizontal="center" vertical="center" wrapText="1"/>
    </xf>
    <xf numFmtId="0" fontId="64" fillId="0" borderId="6" xfId="0" applyFont="1" applyBorder="1" applyAlignment="1">
      <alignment horizontal="center" vertical="center" wrapText="1"/>
    </xf>
    <xf numFmtId="0" fontId="64" fillId="0" borderId="11" xfId="0" applyFont="1" applyBorder="1" applyAlignment="1">
      <alignment horizontal="center" vertical="center" wrapText="1"/>
    </xf>
    <xf numFmtId="0" fontId="64" fillId="0" borderId="48" xfId="0" applyFont="1" applyBorder="1" applyAlignment="1">
      <alignment vertical="center" wrapText="1"/>
    </xf>
    <xf numFmtId="0" fontId="64" fillId="0" borderId="98" xfId="0" applyFont="1" applyBorder="1" applyAlignment="1">
      <alignment vertical="center" wrapText="1"/>
    </xf>
    <xf numFmtId="0" fontId="64" fillId="0" borderId="98" xfId="0" applyFont="1" applyBorder="1" applyAlignment="1">
      <alignment horizontal="center" vertical="center" wrapText="1"/>
    </xf>
    <xf numFmtId="166" fontId="64" fillId="0" borderId="98" xfId="0" applyNumberFormat="1" applyFont="1" applyBorder="1" applyAlignment="1">
      <alignment vertical="center" wrapText="1"/>
    </xf>
    <xf numFmtId="166" fontId="64" fillId="16" borderId="98" xfId="0" applyNumberFormat="1" applyFont="1" applyFill="1" applyBorder="1" applyAlignment="1">
      <alignment vertical="center" wrapText="1"/>
    </xf>
    <xf numFmtId="0" fontId="64" fillId="0" borderId="99" xfId="0" applyFont="1" applyBorder="1" applyAlignment="1">
      <alignment horizontal="center" vertical="center" wrapText="1"/>
    </xf>
    <xf numFmtId="166" fontId="73" fillId="16" borderId="100" xfId="0" applyNumberFormat="1" applyFont="1" applyFill="1" applyBorder="1" applyAlignment="1">
      <alignment vertical="center" wrapText="1"/>
    </xf>
    <xf numFmtId="0" fontId="74" fillId="9" borderId="43" xfId="0" applyFont="1" applyFill="1" applyBorder="1" applyAlignment="1">
      <alignment horizontal="center" vertical="center" wrapText="1"/>
    </xf>
    <xf numFmtId="0" fontId="74" fillId="9" borderId="3" xfId="0" applyFont="1" applyFill="1" applyBorder="1" applyAlignment="1">
      <alignment horizontal="center" vertical="center" wrapText="1"/>
    </xf>
    <xf numFmtId="0" fontId="73" fillId="16" borderId="3" xfId="0" applyFont="1" applyFill="1" applyBorder="1" applyAlignment="1">
      <alignment horizontal="center" vertical="center" wrapText="1"/>
    </xf>
    <xf numFmtId="0" fontId="74" fillId="9" borderId="4" xfId="0" applyFont="1" applyFill="1" applyBorder="1" applyAlignment="1">
      <alignment horizontal="center" vertical="center" wrapText="1"/>
    </xf>
    <xf numFmtId="0" fontId="56" fillId="25" borderId="67" xfId="0" applyFont="1" applyFill="1" applyBorder="1" applyAlignment="1">
      <alignment horizontal="right" vertical="center"/>
    </xf>
    <xf numFmtId="0" fontId="77" fillId="37" borderId="0" xfId="0" applyFont="1" applyFill="1" applyAlignment="1">
      <alignment horizontal="left" vertical="center" wrapText="1"/>
    </xf>
    <xf numFmtId="0" fontId="77" fillId="37" borderId="0" xfId="0" applyFont="1" applyFill="1" applyAlignment="1">
      <alignment horizontal="center" vertical="center" wrapText="1"/>
    </xf>
    <xf numFmtId="166" fontId="77" fillId="37" borderId="0" xfId="0" applyNumberFormat="1" applyFont="1" applyFill="1" applyAlignment="1">
      <alignment vertical="center" wrapText="1"/>
    </xf>
    <xf numFmtId="166" fontId="77" fillId="0" borderId="1" xfId="0" applyNumberFormat="1" applyFont="1" applyBorder="1" applyAlignment="1">
      <alignment horizontal="right" vertical="center" wrapText="1"/>
    </xf>
    <xf numFmtId="166" fontId="77" fillId="0" borderId="1" xfId="0" applyNumberFormat="1" applyFont="1" applyBorder="1" applyAlignment="1">
      <alignment vertical="center" wrapText="1"/>
    </xf>
    <xf numFmtId="0" fontId="77" fillId="0" borderId="1" xfId="0" applyFont="1" applyBorder="1" applyAlignment="1">
      <alignment horizontal="center" vertical="center" wrapText="1"/>
    </xf>
    <xf numFmtId="0" fontId="77" fillId="0" borderId="1" xfId="0" applyFont="1" applyBorder="1" applyAlignment="1">
      <alignment horizontal="left" vertical="center" wrapText="1"/>
    </xf>
    <xf numFmtId="0" fontId="84" fillId="9" borderId="1" xfId="0" applyFont="1" applyFill="1" applyBorder="1" applyAlignment="1">
      <alignment horizontal="right" vertical="center"/>
    </xf>
    <xf numFmtId="0" fontId="58" fillId="0" borderId="12" xfId="0" applyFont="1" applyBorder="1" applyAlignment="1">
      <alignment horizontal="right" vertical="center"/>
    </xf>
    <xf numFmtId="166" fontId="77" fillId="16" borderId="1" xfId="0" applyNumberFormat="1" applyFont="1" applyFill="1" applyBorder="1" applyAlignment="1">
      <alignment vertical="center" wrapText="1"/>
    </xf>
    <xf numFmtId="0" fontId="58" fillId="37" borderId="0" xfId="0" applyFont="1" applyFill="1" applyAlignment="1">
      <alignment vertical="center" wrapText="1"/>
    </xf>
    <xf numFmtId="0" fontId="77" fillId="0" borderId="6" xfId="0" applyFont="1" applyBorder="1" applyAlignment="1">
      <alignment horizontal="center" vertical="center" wrapText="1"/>
    </xf>
    <xf numFmtId="0" fontId="77" fillId="0" borderId="98" xfId="0" applyFont="1" applyBorder="1" applyAlignment="1">
      <alignment horizontal="left" vertical="center" wrapText="1"/>
    </xf>
    <xf numFmtId="0" fontId="77" fillId="0" borderId="98" xfId="0" applyFont="1" applyBorder="1" applyAlignment="1">
      <alignment horizontal="center" vertical="center" wrapText="1"/>
    </xf>
    <xf numFmtId="166" fontId="77" fillId="0" borderId="98" xfId="0" applyNumberFormat="1" applyFont="1" applyBorder="1" applyAlignment="1">
      <alignment vertical="center" wrapText="1"/>
    </xf>
    <xf numFmtId="166" fontId="77" fillId="16" borderId="98" xfId="0" applyNumberFormat="1" applyFont="1" applyFill="1" applyBorder="1" applyAlignment="1">
      <alignment vertical="center" wrapText="1"/>
    </xf>
    <xf numFmtId="0" fontId="77" fillId="0" borderId="99" xfId="0" applyFont="1" applyBorder="1" applyAlignment="1">
      <alignment horizontal="center" vertical="center" wrapText="1"/>
    </xf>
    <xf numFmtId="6" fontId="74" fillId="16" borderId="100" xfId="0" applyNumberFormat="1" applyFont="1" applyFill="1" applyBorder="1" applyAlignment="1">
      <alignment vertical="center" wrapText="1"/>
    </xf>
    <xf numFmtId="0" fontId="59" fillId="0" borderId="3" xfId="0" applyFont="1" applyBorder="1" applyAlignment="1">
      <alignment vertical="center"/>
    </xf>
    <xf numFmtId="0" fontId="77" fillId="0" borderId="3" xfId="0" applyFont="1" applyBorder="1" applyAlignment="1">
      <alignment horizontal="center" vertical="center" wrapText="1"/>
    </xf>
    <xf numFmtId="166" fontId="77" fillId="0" borderId="3" xfId="0" applyNumberFormat="1" applyFont="1" applyBorder="1" applyAlignment="1">
      <alignment vertical="center" wrapText="1"/>
    </xf>
    <xf numFmtId="166" fontId="77" fillId="16" borderId="3" xfId="0" applyNumberFormat="1" applyFont="1" applyFill="1" applyBorder="1" applyAlignment="1">
      <alignment vertical="center" wrapText="1"/>
    </xf>
    <xf numFmtId="0" fontId="77" fillId="0" borderId="4" xfId="0" applyFont="1" applyBorder="1" applyAlignment="1">
      <alignment horizontal="center" vertical="center" wrapText="1"/>
    </xf>
    <xf numFmtId="166" fontId="74" fillId="16" borderId="100" xfId="0" applyNumberFormat="1" applyFont="1" applyFill="1" applyBorder="1" applyAlignment="1">
      <alignment vertical="center" wrapText="1"/>
    </xf>
    <xf numFmtId="164" fontId="71" fillId="9" borderId="1" xfId="13" applyNumberFormat="1" applyFont="1" applyFill="1" applyBorder="1" applyAlignment="1">
      <alignment vertical="center"/>
    </xf>
    <xf numFmtId="164" fontId="72" fillId="9" borderId="1" xfId="13" applyNumberFormat="1" applyFont="1" applyFill="1" applyBorder="1" applyAlignment="1">
      <alignment vertical="center"/>
    </xf>
    <xf numFmtId="164" fontId="70" fillId="16" borderId="1" xfId="13" applyNumberFormat="1" applyFont="1" applyFill="1" applyBorder="1" applyAlignment="1">
      <alignment vertical="center"/>
    </xf>
    <xf numFmtId="171" fontId="70" fillId="38" borderId="1" xfId="13" applyNumberFormat="1" applyFont="1" applyFill="1" applyBorder="1" applyAlignment="1">
      <alignment horizontal="center" vertical="center"/>
    </xf>
    <xf numFmtId="171" fontId="63" fillId="0" borderId="31" xfId="13" applyNumberFormat="1" applyFont="1" applyBorder="1" applyAlignment="1">
      <alignment vertical="center"/>
    </xf>
    <xf numFmtId="0" fontId="68" fillId="41" borderId="1" xfId="12" applyFont="1" applyFill="1" applyBorder="1" applyAlignment="1">
      <alignment vertical="center"/>
    </xf>
    <xf numFmtId="0" fontId="68" fillId="40" borderId="1" xfId="12" applyFont="1" applyFill="1" applyBorder="1" applyAlignment="1">
      <alignment vertical="center"/>
    </xf>
    <xf numFmtId="0" fontId="68" fillId="39" borderId="1" xfId="12" applyFont="1" applyFill="1" applyBorder="1" applyAlignment="1">
      <alignment vertical="center"/>
    </xf>
    <xf numFmtId="164" fontId="63" fillId="9" borderId="1" xfId="13" applyNumberFormat="1" applyFont="1" applyFill="1" applyBorder="1" applyAlignment="1">
      <alignment vertical="center"/>
    </xf>
    <xf numFmtId="0" fontId="73" fillId="34" borderId="95" xfId="0" applyFont="1" applyFill="1" applyBorder="1" applyAlignment="1">
      <alignment horizontal="center" vertical="center" wrapText="1"/>
    </xf>
    <xf numFmtId="0" fontId="56" fillId="25" borderId="1" xfId="3" applyFont="1" applyFill="1" applyBorder="1" applyAlignment="1">
      <alignment horizontal="center" vertical="center"/>
    </xf>
    <xf numFmtId="0" fontId="73" fillId="34" borderId="67" xfId="0" applyFont="1" applyFill="1" applyBorder="1" applyAlignment="1">
      <alignment horizontal="center" vertical="center" wrapText="1"/>
    </xf>
    <xf numFmtId="0" fontId="55" fillId="0" borderId="8" xfId="0" applyFont="1" applyBorder="1" applyAlignment="1">
      <alignment vertical="center"/>
    </xf>
    <xf numFmtId="0" fontId="73" fillId="0" borderId="5" xfId="0" applyFont="1" applyBorder="1" applyAlignment="1">
      <alignment vertical="center" wrapText="1"/>
    </xf>
    <xf numFmtId="0" fontId="73" fillId="0" borderId="97" xfId="0" applyFont="1" applyBorder="1" applyAlignment="1">
      <alignment vertical="center" wrapText="1"/>
    </xf>
    <xf numFmtId="0" fontId="55" fillId="0" borderId="1" xfId="0" applyFont="1" applyBorder="1" applyAlignment="1">
      <alignment horizontal="center" vertical="center"/>
    </xf>
    <xf numFmtId="0" fontId="64" fillId="0" borderId="9" xfId="0" applyFont="1" applyBorder="1" applyAlignment="1">
      <alignment horizontal="center" vertical="center" wrapText="1"/>
    </xf>
    <xf numFmtId="0" fontId="64" fillId="0" borderId="5" xfId="0" applyFont="1" applyBorder="1" applyAlignment="1">
      <alignment horizontal="center" vertical="center" wrapText="1"/>
    </xf>
    <xf numFmtId="0" fontId="64" fillId="0" borderId="97" xfId="0" applyFont="1" applyBorder="1" applyAlignment="1">
      <alignment horizontal="center" vertical="center" wrapText="1"/>
    </xf>
    <xf numFmtId="0" fontId="55" fillId="37" borderId="0" xfId="0" applyFont="1" applyFill="1" applyAlignment="1">
      <alignment vertical="center"/>
    </xf>
    <xf numFmtId="0" fontId="62" fillId="37" borderId="0" xfId="0" applyFont="1" applyFill="1" applyAlignment="1">
      <alignment vertical="center"/>
    </xf>
    <xf numFmtId="0" fontId="64" fillId="37" borderId="0" xfId="0" applyFont="1" applyFill="1" applyAlignment="1">
      <alignment vertical="center" wrapText="1"/>
    </xf>
    <xf numFmtId="0" fontId="62" fillId="33" borderId="1" xfId="0" applyFont="1" applyFill="1" applyBorder="1" applyAlignment="1">
      <alignment horizontal="center" vertical="center"/>
    </xf>
    <xf numFmtId="0" fontId="62" fillId="37" borderId="0" xfId="0" applyFont="1" applyFill="1" applyAlignment="1">
      <alignment vertical="center" wrapText="1"/>
    </xf>
    <xf numFmtId="0" fontId="63" fillId="37" borderId="0" xfId="0" applyFont="1" applyFill="1" applyAlignment="1">
      <alignment vertical="center"/>
    </xf>
    <xf numFmtId="0" fontId="67" fillId="37" borderId="0" xfId="0" applyFont="1" applyFill="1" applyAlignment="1">
      <alignment vertical="center"/>
    </xf>
    <xf numFmtId="0" fontId="63" fillId="29" borderId="1" xfId="0" applyFont="1" applyFill="1" applyBorder="1" applyAlignment="1">
      <alignment horizontal="center" vertical="center"/>
    </xf>
    <xf numFmtId="0" fontId="62" fillId="31" borderId="1" xfId="0" applyFont="1" applyFill="1" applyBorder="1" applyAlignment="1">
      <alignment horizontal="center" vertical="center"/>
    </xf>
    <xf numFmtId="0" fontId="62" fillId="32" borderId="1" xfId="0" applyFont="1" applyFill="1" applyBorder="1" applyAlignment="1">
      <alignment horizontal="center" vertical="center"/>
    </xf>
    <xf numFmtId="0" fontId="62" fillId="25" borderId="1" xfId="0" applyFont="1" applyFill="1" applyBorder="1" applyAlignment="1">
      <alignment horizontal="center" vertical="center"/>
    </xf>
    <xf numFmtId="0" fontId="62" fillId="24" borderId="1" xfId="0" applyFont="1" applyFill="1" applyBorder="1" applyAlignment="1">
      <alignment horizontal="center" vertical="center"/>
    </xf>
    <xf numFmtId="0" fontId="62" fillId="9" borderId="1" xfId="0" applyFont="1" applyFill="1" applyBorder="1" applyAlignment="1">
      <alignment horizontal="center" vertical="center"/>
    </xf>
    <xf numFmtId="0" fontId="63" fillId="9" borderId="1" xfId="0" applyFont="1" applyFill="1" applyBorder="1" applyAlignment="1">
      <alignment vertical="center"/>
    </xf>
    <xf numFmtId="164" fontId="85" fillId="9" borderId="1" xfId="0" applyNumberFormat="1" applyFont="1" applyFill="1" applyBorder="1" applyAlignment="1">
      <alignment vertical="center"/>
    </xf>
    <xf numFmtId="164" fontId="85" fillId="32" borderId="1" xfId="0" applyNumberFormat="1" applyFont="1" applyFill="1" applyBorder="1" applyAlignment="1">
      <alignment vertical="center"/>
    </xf>
    <xf numFmtId="164" fontId="85" fillId="9" borderId="1" xfId="0" applyNumberFormat="1" applyFont="1" applyFill="1" applyBorder="1" applyAlignment="1">
      <alignment horizontal="center" vertical="center"/>
    </xf>
    <xf numFmtId="164" fontId="85" fillId="33" borderId="1" xfId="0" applyNumberFormat="1" applyFont="1" applyFill="1" applyBorder="1" applyAlignment="1">
      <alignment horizontal="center" vertical="center"/>
    </xf>
    <xf numFmtId="164" fontId="85" fillId="8" borderId="1" xfId="0" applyNumberFormat="1" applyFont="1" applyFill="1" applyBorder="1" applyAlignment="1">
      <alignment horizontal="center" vertical="center"/>
    </xf>
    <xf numFmtId="4" fontId="86" fillId="0" borderId="1" xfId="0" applyNumberFormat="1" applyFont="1" applyBorder="1" applyAlignment="1">
      <alignment vertical="center"/>
    </xf>
    <xf numFmtId="164" fontId="85" fillId="32" borderId="1" xfId="0" applyNumberFormat="1" applyFont="1" applyFill="1" applyBorder="1" applyAlignment="1">
      <alignment horizontal="center" vertical="center"/>
    </xf>
    <xf numFmtId="164" fontId="85" fillId="35" borderId="1" xfId="0" applyNumberFormat="1" applyFont="1" applyFill="1" applyBorder="1" applyAlignment="1">
      <alignment horizontal="center" vertical="center"/>
    </xf>
    <xf numFmtId="164" fontId="85" fillId="38" borderId="1" xfId="0" applyNumberFormat="1" applyFont="1" applyFill="1" applyBorder="1" applyAlignment="1">
      <alignment horizontal="center" vertical="center"/>
    </xf>
    <xf numFmtId="164" fontId="85" fillId="34" borderId="1" xfId="0" applyNumberFormat="1" applyFont="1" applyFill="1" applyBorder="1" applyAlignment="1">
      <alignment horizontal="center" vertical="center"/>
    </xf>
    <xf numFmtId="49" fontId="55" fillId="0" borderId="0" xfId="0" applyNumberFormat="1" applyFont="1" applyAlignment="1">
      <alignment vertical="center" wrapText="1"/>
    </xf>
    <xf numFmtId="2" fontId="86" fillId="0" borderId="1" xfId="0" applyNumberFormat="1" applyFont="1" applyBorder="1" applyAlignment="1">
      <alignment vertical="center"/>
    </xf>
    <xf numFmtId="2" fontId="56" fillId="6" borderId="1" xfId="0" applyNumberFormat="1" applyFont="1" applyFill="1" applyBorder="1" applyAlignment="1">
      <alignment horizontal="center" vertical="center"/>
    </xf>
    <xf numFmtId="2" fontId="85" fillId="8" borderId="1" xfId="0" applyNumberFormat="1" applyFont="1" applyFill="1" applyBorder="1" applyAlignment="1">
      <alignment horizontal="center" vertical="center"/>
    </xf>
    <xf numFmtId="4" fontId="85" fillId="34" borderId="1" xfId="0" applyNumberFormat="1" applyFont="1" applyFill="1" applyBorder="1" applyAlignment="1">
      <alignment horizontal="center" vertical="center"/>
    </xf>
    <xf numFmtId="0" fontId="56" fillId="31" borderId="0" xfId="0" applyFont="1" applyFill="1" applyAlignment="1">
      <alignment vertical="center"/>
    </xf>
    <xf numFmtId="0" fontId="86" fillId="0" borderId="0" xfId="0" applyFont="1" applyAlignment="1">
      <alignment vertical="center"/>
    </xf>
    <xf numFmtId="0" fontId="88" fillId="0" borderId="0" xfId="0" applyFont="1" applyAlignment="1">
      <alignment vertical="center"/>
    </xf>
    <xf numFmtId="0" fontId="87" fillId="0" borderId="0" xfId="0" applyFont="1" applyAlignment="1">
      <alignment vertical="center"/>
    </xf>
    <xf numFmtId="0" fontId="87" fillId="0" borderId="0" xfId="0" applyFont="1" applyAlignment="1">
      <alignment horizontal="center" vertical="center"/>
    </xf>
    <xf numFmtId="0" fontId="85" fillId="0" borderId="0" xfId="0" applyFont="1" applyAlignment="1">
      <alignment vertical="center"/>
    </xf>
    <xf numFmtId="42" fontId="85" fillId="0" borderId="0" xfId="0" applyNumberFormat="1" applyFont="1" applyAlignment="1">
      <alignment vertical="center"/>
    </xf>
    <xf numFmtId="0" fontId="58" fillId="37" borderId="1" xfId="0" applyFont="1" applyFill="1" applyBorder="1" applyAlignment="1">
      <alignment vertical="center"/>
    </xf>
    <xf numFmtId="0" fontId="89" fillId="9" borderId="1" xfId="0" applyFont="1" applyFill="1" applyBorder="1" applyAlignment="1">
      <alignment horizontal="center" vertical="center"/>
    </xf>
    <xf numFmtId="0" fontId="89" fillId="34" borderId="1" xfId="0" applyFont="1" applyFill="1" applyBorder="1" applyAlignment="1">
      <alignment horizontal="center" vertical="center"/>
    </xf>
    <xf numFmtId="0" fontId="55" fillId="6" borderId="1" xfId="0" applyFont="1" applyFill="1" applyBorder="1" applyAlignment="1">
      <alignment horizontal="center" vertical="center"/>
    </xf>
    <xf numFmtId="0" fontId="55" fillId="0" borderId="5" xfId="0" applyFont="1" applyBorder="1" applyAlignment="1">
      <alignment horizontal="right" vertical="center"/>
    </xf>
    <xf numFmtId="0" fontId="55" fillId="0" borderId="1" xfId="0" applyFont="1" applyBorder="1" applyAlignment="1">
      <alignment horizontal="right" vertical="center"/>
    </xf>
    <xf numFmtId="164" fontId="55" fillId="34" borderId="1" xfId="0" applyNumberFormat="1" applyFont="1" applyFill="1" applyBorder="1" applyAlignment="1">
      <alignment vertical="center"/>
    </xf>
    <xf numFmtId="164" fontId="55" fillId="6" borderId="1" xfId="0" applyNumberFormat="1" applyFont="1" applyFill="1" applyBorder="1" applyAlignment="1">
      <alignment horizontal="center" vertical="center"/>
    </xf>
    <xf numFmtId="164" fontId="56" fillId="6" borderId="1" xfId="0" applyNumberFormat="1" applyFont="1" applyFill="1" applyBorder="1" applyAlignment="1">
      <alignment vertical="center"/>
    </xf>
    <xf numFmtId="164" fontId="89" fillId="34" borderId="1" xfId="0" applyNumberFormat="1" applyFont="1" applyFill="1" applyBorder="1" applyAlignment="1">
      <alignment horizontal="center" vertical="center"/>
    </xf>
    <xf numFmtId="0" fontId="89" fillId="25" borderId="1" xfId="0" applyFont="1" applyFill="1" applyBorder="1" applyAlignment="1">
      <alignment horizontal="center" vertical="center" wrapText="1"/>
    </xf>
    <xf numFmtId="164" fontId="55" fillId="0" borderId="1" xfId="0" applyNumberFormat="1" applyFont="1" applyBorder="1" applyAlignment="1">
      <alignment vertical="center"/>
    </xf>
    <xf numFmtId="4" fontId="55" fillId="0" borderId="1" xfId="0" applyNumberFormat="1" applyFont="1" applyBorder="1" applyAlignment="1">
      <alignment vertical="center"/>
    </xf>
    <xf numFmtId="0" fontId="55" fillId="0" borderId="1" xfId="0" quotePrefix="1" applyFont="1" applyBorder="1" applyAlignment="1">
      <alignment vertical="center" wrapText="1"/>
    </xf>
    <xf numFmtId="0" fontId="59" fillId="43" borderId="36" xfId="0" applyFont="1" applyFill="1" applyBorder="1" applyAlignment="1">
      <alignment vertical="center"/>
    </xf>
    <xf numFmtId="49" fontId="59" fillId="43" borderId="36" xfId="0" applyNumberFormat="1" applyFont="1" applyFill="1" applyBorder="1" applyAlignment="1">
      <alignment vertical="center" wrapText="1"/>
    </xf>
    <xf numFmtId="0" fontId="59" fillId="43" borderId="38" xfId="0" applyFont="1" applyFill="1" applyBorder="1" applyAlignment="1">
      <alignment vertical="center"/>
    </xf>
    <xf numFmtId="0" fontId="59" fillId="43" borderId="37" xfId="0" applyFont="1" applyFill="1" applyBorder="1" applyAlignment="1">
      <alignment vertical="center"/>
    </xf>
    <xf numFmtId="49" fontId="59" fillId="43" borderId="37" xfId="0" applyNumberFormat="1" applyFont="1" applyFill="1" applyBorder="1" applyAlignment="1">
      <alignment vertical="center" wrapText="1"/>
    </xf>
    <xf numFmtId="49" fontId="59" fillId="43" borderId="37" xfId="0" applyNumberFormat="1" applyFont="1" applyFill="1" applyBorder="1" applyAlignment="1">
      <alignment horizontal="left" vertical="center" wrapText="1"/>
    </xf>
    <xf numFmtId="0" fontId="59" fillId="43" borderId="44" xfId="0" applyFont="1" applyFill="1" applyBorder="1" applyAlignment="1">
      <alignment vertical="center"/>
    </xf>
    <xf numFmtId="0" fontId="59" fillId="43" borderId="0" xfId="0" applyFont="1" applyFill="1" applyAlignment="1">
      <alignment vertical="center"/>
    </xf>
    <xf numFmtId="49" fontId="59" fillId="43" borderId="0" xfId="0" applyNumberFormat="1" applyFont="1" applyFill="1" applyAlignment="1">
      <alignment horizontal="left" vertical="center" wrapText="1"/>
    </xf>
    <xf numFmtId="0" fontId="58" fillId="43" borderId="0" xfId="0" applyFont="1" applyFill="1" applyAlignment="1">
      <alignment vertical="center"/>
    </xf>
    <xf numFmtId="49" fontId="59" fillId="43" borderId="0" xfId="0" applyNumberFormat="1" applyFont="1" applyFill="1" applyAlignment="1">
      <alignment vertical="center" wrapText="1"/>
    </xf>
    <xf numFmtId="0" fontId="59" fillId="43" borderId="40" xfId="0" applyFont="1" applyFill="1" applyBorder="1" applyAlignment="1">
      <alignment vertical="center"/>
    </xf>
    <xf numFmtId="0" fontId="62" fillId="31" borderId="73" xfId="0" applyFont="1" applyFill="1" applyBorder="1" applyAlignment="1">
      <alignment vertical="center"/>
    </xf>
    <xf numFmtId="0" fontId="62" fillId="31" borderId="87" xfId="0" applyFont="1" applyFill="1" applyBorder="1" applyAlignment="1">
      <alignment vertical="center"/>
    </xf>
    <xf numFmtId="0" fontId="62" fillId="31" borderId="12" xfId="0" applyFont="1" applyFill="1" applyBorder="1" applyAlignment="1">
      <alignment vertical="center"/>
    </xf>
    <xf numFmtId="0" fontId="62" fillId="31" borderId="29" xfId="0" applyFont="1" applyFill="1" applyBorder="1" applyAlignment="1">
      <alignment horizontal="right" vertical="center" wrapText="1"/>
    </xf>
    <xf numFmtId="164" fontId="62" fillId="31" borderId="29" xfId="0" applyNumberFormat="1" applyFont="1" applyFill="1" applyBorder="1" applyAlignment="1">
      <alignment horizontal="right" vertical="center" wrapText="1"/>
    </xf>
    <xf numFmtId="0" fontId="62" fillId="31" borderId="49" xfId="0" applyFont="1" applyFill="1" applyBorder="1" applyAlignment="1">
      <alignment vertical="center"/>
    </xf>
    <xf numFmtId="0" fontId="55" fillId="43" borderId="0" xfId="0" applyFont="1" applyFill="1" applyAlignment="1">
      <alignment vertical="center"/>
    </xf>
    <xf numFmtId="0" fontId="62" fillId="43" borderId="0" xfId="0" applyFont="1" applyFill="1" applyAlignment="1">
      <alignment vertical="center"/>
    </xf>
    <xf numFmtId="0" fontId="62" fillId="43" borderId="29" xfId="0" applyFont="1" applyFill="1" applyBorder="1" applyAlignment="1">
      <alignment vertical="center"/>
    </xf>
    <xf numFmtId="0" fontId="67" fillId="43" borderId="0" xfId="0" applyFont="1" applyFill="1" applyAlignment="1">
      <alignment horizontal="center" vertical="center"/>
    </xf>
    <xf numFmtId="0" fontId="67" fillId="43" borderId="0" xfId="0" applyFont="1" applyFill="1" applyAlignment="1">
      <alignment vertical="center"/>
    </xf>
    <xf numFmtId="0" fontId="64" fillId="43" borderId="0" xfId="0" applyFont="1" applyFill="1" applyAlignment="1">
      <alignment vertical="center" wrapText="1"/>
    </xf>
    <xf numFmtId="0" fontId="62" fillId="43" borderId="0" xfId="0" applyFont="1" applyFill="1" applyAlignment="1">
      <alignment vertical="center" wrapText="1"/>
    </xf>
    <xf numFmtId="0" fontId="63" fillId="43" borderId="0" xfId="0" applyFont="1" applyFill="1" applyAlignment="1">
      <alignment vertical="center"/>
    </xf>
    <xf numFmtId="0" fontId="63" fillId="43" borderId="0" xfId="0" applyFont="1" applyFill="1" applyAlignment="1">
      <alignment vertical="center" wrapText="1"/>
    </xf>
    <xf numFmtId="0" fontId="56" fillId="43" borderId="0" xfId="0" applyFont="1" applyFill="1" applyAlignment="1">
      <alignment vertical="center" wrapText="1"/>
    </xf>
    <xf numFmtId="6" fontId="62" fillId="43" borderId="0" xfId="0" applyNumberFormat="1" applyFont="1" applyFill="1" applyAlignment="1">
      <alignment horizontal="right" vertical="center" wrapText="1"/>
    </xf>
    <xf numFmtId="0" fontId="58" fillId="43" borderId="0" xfId="0" applyFont="1" applyFill="1" applyAlignment="1">
      <alignment vertical="center" wrapText="1"/>
    </xf>
    <xf numFmtId="0" fontId="56" fillId="43" borderId="0" xfId="0" applyFont="1" applyFill="1" applyAlignment="1">
      <alignment vertical="center"/>
    </xf>
    <xf numFmtId="168" fontId="63" fillId="0" borderId="1" xfId="0" applyNumberFormat="1" applyFont="1" applyBorder="1" applyAlignment="1">
      <alignment horizontal="center" vertical="center"/>
    </xf>
    <xf numFmtId="0" fontId="94" fillId="43" borderId="0" xfId="0" applyFont="1" applyFill="1" applyAlignment="1">
      <alignment vertical="center"/>
    </xf>
    <xf numFmtId="0" fontId="95" fillId="43" borderId="0" xfId="0" applyFont="1" applyFill="1" applyAlignment="1">
      <alignment vertical="center"/>
    </xf>
    <xf numFmtId="0" fontId="94" fillId="14" borderId="0" xfId="0" applyFont="1" applyFill="1" applyAlignment="1">
      <alignment vertical="center"/>
    </xf>
    <xf numFmtId="0" fontId="94" fillId="0" borderId="0" xfId="0" applyFont="1" applyAlignment="1">
      <alignment vertical="center"/>
    </xf>
    <xf numFmtId="0" fontId="97" fillId="43" borderId="0" xfId="0" applyFont="1" applyFill="1" applyAlignment="1">
      <alignment vertical="center"/>
    </xf>
    <xf numFmtId="0" fontId="99" fillId="33" borderId="1" xfId="0" applyFont="1" applyFill="1" applyBorder="1" applyAlignment="1">
      <alignment horizontal="center" vertical="center" wrapText="1"/>
    </xf>
    <xf numFmtId="0" fontId="94" fillId="0" borderId="40" xfId="0" applyFont="1" applyBorder="1" applyAlignment="1">
      <alignment vertical="center"/>
    </xf>
    <xf numFmtId="0" fontId="101" fillId="43" borderId="0" xfId="0" applyFont="1" applyFill="1" applyAlignment="1">
      <alignment horizontal="center" vertical="center"/>
    </xf>
    <xf numFmtId="0" fontId="101" fillId="33" borderId="1" xfId="0" applyFont="1" applyFill="1" applyBorder="1" applyAlignment="1">
      <alignment horizontal="center" vertical="center" wrapText="1"/>
    </xf>
    <xf numFmtId="0" fontId="101" fillId="25" borderId="1" xfId="0" applyFont="1" applyFill="1" applyBorder="1" applyAlignment="1">
      <alignment horizontal="center" vertical="center" wrapText="1"/>
    </xf>
    <xf numFmtId="0" fontId="101" fillId="34" borderId="10" xfId="0" applyFont="1" applyFill="1" applyBorder="1" applyAlignment="1">
      <alignment horizontal="center" vertical="center"/>
    </xf>
    <xf numFmtId="0" fontId="101" fillId="0" borderId="29" xfId="0" applyFont="1" applyBorder="1" applyAlignment="1">
      <alignment horizontal="center" vertical="center"/>
    </xf>
    <xf numFmtId="0" fontId="98" fillId="33" borderId="1" xfId="0" applyFont="1" applyFill="1" applyBorder="1" applyAlignment="1">
      <alignment horizontal="center" vertical="center" wrapText="1"/>
    </xf>
    <xf numFmtId="0" fontId="98" fillId="25" borderId="1" xfId="0" applyFont="1" applyFill="1" applyBorder="1" applyAlignment="1">
      <alignment horizontal="center" vertical="center" wrapText="1"/>
    </xf>
    <xf numFmtId="0" fontId="98" fillId="34" borderId="1" xfId="0" applyFont="1" applyFill="1" applyBorder="1" applyAlignment="1">
      <alignment horizontal="center" vertical="center" wrapText="1"/>
    </xf>
    <xf numFmtId="0" fontId="98" fillId="38" borderId="1" xfId="0" applyFont="1" applyFill="1" applyBorder="1" applyAlignment="1">
      <alignment horizontal="center" vertical="center" wrapText="1"/>
    </xf>
    <xf numFmtId="49" fontId="94" fillId="0" borderId="1" xfId="0" applyNumberFormat="1" applyFont="1" applyBorder="1" applyAlignment="1">
      <alignment vertical="center"/>
    </xf>
    <xf numFmtId="49" fontId="94" fillId="0" borderId="1" xfId="0" applyNumberFormat="1" applyFont="1" applyBorder="1" applyAlignment="1">
      <alignment horizontal="left" vertical="center"/>
    </xf>
    <xf numFmtId="164" fontId="94" fillId="0" borderId="1" xfId="0" applyNumberFormat="1" applyFont="1" applyBorder="1" applyAlignment="1">
      <alignment vertical="center"/>
    </xf>
    <xf numFmtId="165" fontId="94" fillId="0" borderId="1" xfId="14" applyNumberFormat="1" applyFont="1" applyBorder="1" applyAlignment="1">
      <alignment horizontal="right" vertical="center"/>
    </xf>
    <xf numFmtId="164" fontId="94" fillId="34" borderId="1" xfId="0" applyNumberFormat="1" applyFont="1" applyFill="1" applyBorder="1" applyAlignment="1">
      <alignment vertical="center"/>
    </xf>
    <xf numFmtId="0" fontId="94" fillId="10" borderId="30" xfId="0" applyFont="1" applyFill="1" applyBorder="1" applyAlignment="1">
      <alignment vertical="center"/>
    </xf>
    <xf numFmtId="0" fontId="98" fillId="43" borderId="0" xfId="0" applyFont="1" applyFill="1" applyAlignment="1">
      <alignment vertical="center"/>
    </xf>
    <xf numFmtId="0" fontId="94" fillId="43" borderId="0" xfId="0" applyFont="1" applyFill="1" applyAlignment="1">
      <alignment horizontal="center" vertical="center"/>
    </xf>
    <xf numFmtId="0" fontId="94" fillId="25" borderId="1" xfId="0" applyFont="1" applyFill="1" applyBorder="1" applyAlignment="1">
      <alignment horizontal="center" vertical="center"/>
    </xf>
    <xf numFmtId="0" fontId="98" fillId="25" borderId="1" xfId="0" applyFont="1" applyFill="1" applyBorder="1" applyAlignment="1">
      <alignment horizontal="center" vertical="center"/>
    </xf>
    <xf numFmtId="0" fontId="98" fillId="14" borderId="0" xfId="0" applyFont="1" applyFill="1" applyAlignment="1">
      <alignment vertical="center"/>
    </xf>
    <xf numFmtId="0" fontId="94" fillId="0" borderId="2" xfId="0" applyFont="1" applyBorder="1" applyAlignment="1">
      <alignment vertical="center"/>
    </xf>
    <xf numFmtId="0" fontId="98" fillId="38" borderId="21" xfId="0" applyFont="1" applyFill="1" applyBorder="1" applyAlignment="1">
      <alignment horizontal="center" vertical="center" wrapText="1"/>
    </xf>
    <xf numFmtId="0" fontId="98" fillId="38" borderId="22" xfId="0" applyFont="1" applyFill="1" applyBorder="1" applyAlignment="1">
      <alignment horizontal="center" vertical="center"/>
    </xf>
    <xf numFmtId="0" fontId="98" fillId="33" borderId="22" xfId="0" applyFont="1" applyFill="1" applyBorder="1" applyAlignment="1">
      <alignment horizontal="center" vertical="center" wrapText="1"/>
    </xf>
    <xf numFmtId="0" fontId="98" fillId="9" borderId="22" xfId="0" applyFont="1" applyFill="1" applyBorder="1" applyAlignment="1">
      <alignment horizontal="center" vertical="center" wrapText="1"/>
    </xf>
    <xf numFmtId="0" fontId="98" fillId="34" borderId="67" xfId="0" applyFont="1" applyFill="1" applyBorder="1" applyAlignment="1">
      <alignment horizontal="center" vertical="center" wrapText="1"/>
    </xf>
    <xf numFmtId="0" fontId="98" fillId="7" borderId="26" xfId="0" applyFont="1" applyFill="1" applyBorder="1" applyAlignment="1">
      <alignment horizontal="center" vertical="center" wrapText="1"/>
    </xf>
    <xf numFmtId="0" fontId="94" fillId="0" borderId="9" xfId="0" applyFont="1" applyBorder="1" applyAlignment="1">
      <alignment horizontal="center" vertical="center"/>
    </xf>
    <xf numFmtId="0" fontId="94" fillId="0" borderId="10" xfId="0" applyFont="1" applyBorder="1" applyAlignment="1">
      <alignment vertical="center"/>
    </xf>
    <xf numFmtId="166" fontId="94" fillId="0" borderId="10" xfId="0" applyNumberFormat="1" applyFont="1" applyBorder="1" applyAlignment="1">
      <alignment vertical="center"/>
    </xf>
    <xf numFmtId="166" fontId="94" fillId="34" borderId="102" xfId="0" applyNumberFormat="1" applyFont="1" applyFill="1" applyBorder="1" applyAlignment="1">
      <alignment vertical="center"/>
    </xf>
    <xf numFmtId="166" fontId="94" fillId="0" borderId="1" xfId="0" applyNumberFormat="1" applyFont="1" applyBorder="1" applyAlignment="1">
      <alignment vertical="center"/>
    </xf>
    <xf numFmtId="166" fontId="94" fillId="34" borderId="96" xfId="0" applyNumberFormat="1" applyFont="1" applyFill="1" applyBorder="1" applyAlignment="1">
      <alignment vertical="center"/>
    </xf>
    <xf numFmtId="0" fontId="94" fillId="0" borderId="7" xfId="0" applyFont="1" applyBorder="1" applyAlignment="1">
      <alignment vertical="center"/>
    </xf>
    <xf numFmtId="166" fontId="94" fillId="0" borderId="7" xfId="0" applyNumberFormat="1" applyFont="1" applyBorder="1" applyAlignment="1">
      <alignment vertical="center"/>
    </xf>
    <xf numFmtId="166" fontId="94" fillId="34" borderId="69" xfId="0" applyNumberFormat="1" applyFont="1" applyFill="1" applyBorder="1" applyAlignment="1">
      <alignment vertical="center"/>
    </xf>
    <xf numFmtId="166" fontId="98" fillId="34" borderId="21" xfId="0" applyNumberFormat="1" applyFont="1" applyFill="1" applyBorder="1" applyAlignment="1">
      <alignment vertical="center"/>
    </xf>
    <xf numFmtId="166" fontId="98" fillId="34" borderId="67" xfId="0" applyNumberFormat="1" applyFont="1" applyFill="1" applyBorder="1" applyAlignment="1">
      <alignment vertical="center"/>
    </xf>
    <xf numFmtId="0" fontId="94" fillId="0" borderId="74" xfId="0" applyFont="1" applyBorder="1" applyAlignment="1">
      <alignment horizontal="center" vertical="center"/>
    </xf>
    <xf numFmtId="0" fontId="94" fillId="0" borderId="3" xfId="0" applyFont="1" applyBorder="1" applyAlignment="1">
      <alignment vertical="center"/>
    </xf>
    <xf numFmtId="166" fontId="94" fillId="0" borderId="3" xfId="0" applyNumberFormat="1" applyFont="1" applyBorder="1" applyAlignment="1">
      <alignment vertical="center"/>
    </xf>
    <xf numFmtId="166" fontId="94" fillId="0" borderId="4" xfId="0" applyNumberFormat="1" applyFont="1" applyBorder="1" applyAlignment="1">
      <alignment vertical="center"/>
    </xf>
    <xf numFmtId="166" fontId="94" fillId="34" borderId="65" xfId="0" applyNumberFormat="1" applyFont="1" applyFill="1" applyBorder="1" applyAlignment="1">
      <alignment vertical="center"/>
    </xf>
    <xf numFmtId="0" fontId="94" fillId="0" borderId="5" xfId="0" applyFont="1" applyBorder="1" applyAlignment="1">
      <alignment horizontal="center" vertical="center"/>
    </xf>
    <xf numFmtId="166" fontId="94" fillId="0" borderId="6" xfId="0" applyNumberFormat="1" applyFont="1" applyBorder="1" applyAlignment="1">
      <alignment vertical="center"/>
    </xf>
    <xf numFmtId="166" fontId="94" fillId="34" borderId="15" xfId="0" applyNumberFormat="1" applyFont="1" applyFill="1" applyBorder="1" applyAlignment="1">
      <alignment vertical="center"/>
    </xf>
    <xf numFmtId="0" fontId="94" fillId="0" borderId="98" xfId="0" applyFont="1" applyBorder="1" applyAlignment="1">
      <alignment vertical="center"/>
    </xf>
    <xf numFmtId="166" fontId="94" fillId="0" borderId="13" xfId="0" applyNumberFormat="1" applyFont="1" applyBorder="1" applyAlignment="1">
      <alignment vertical="center"/>
    </xf>
    <xf numFmtId="166" fontId="94" fillId="34" borderId="72" xfId="0" applyNumberFormat="1" applyFont="1" applyFill="1" applyBorder="1" applyAlignment="1">
      <alignment vertical="center"/>
    </xf>
    <xf numFmtId="166" fontId="98" fillId="34" borderId="70" xfId="0" applyNumberFormat="1" applyFont="1" applyFill="1" applyBorder="1" applyAlignment="1">
      <alignment vertical="center"/>
    </xf>
    <xf numFmtId="166" fontId="98" fillId="34" borderId="68" xfId="0" applyNumberFormat="1" applyFont="1" applyFill="1" applyBorder="1" applyAlignment="1">
      <alignment vertical="center"/>
    </xf>
    <xf numFmtId="166" fontId="98" fillId="34" borderId="71" xfId="0" applyNumberFormat="1" applyFont="1" applyFill="1" applyBorder="1" applyAlignment="1">
      <alignment vertical="center"/>
    </xf>
    <xf numFmtId="166" fontId="94" fillId="0" borderId="11" xfId="0" applyNumberFormat="1" applyFont="1" applyBorder="1" applyAlignment="1">
      <alignment vertical="center"/>
    </xf>
    <xf numFmtId="166" fontId="98" fillId="34" borderId="22" xfId="0" applyNumberFormat="1" applyFont="1" applyFill="1" applyBorder="1" applyAlignment="1">
      <alignment vertical="center"/>
    </xf>
    <xf numFmtId="166" fontId="98" fillId="34" borderId="24" xfId="0" applyNumberFormat="1" applyFont="1" applyFill="1" applyBorder="1" applyAlignment="1">
      <alignment vertical="center"/>
    </xf>
    <xf numFmtId="0" fontId="94" fillId="0" borderId="97" xfId="0" applyFont="1" applyBorder="1" applyAlignment="1">
      <alignment horizontal="center" vertical="center"/>
    </xf>
    <xf numFmtId="166" fontId="94" fillId="0" borderId="98" xfId="0" applyNumberFormat="1" applyFont="1" applyBorder="1" applyAlignment="1">
      <alignment vertical="center"/>
    </xf>
    <xf numFmtId="166" fontId="94" fillId="0" borderId="99" xfId="0" applyNumberFormat="1" applyFont="1" applyBorder="1" applyAlignment="1">
      <alignment vertical="center"/>
    </xf>
    <xf numFmtId="166" fontId="98" fillId="34" borderId="46" xfId="0" applyNumberFormat="1" applyFont="1" applyFill="1" applyBorder="1" applyAlignment="1">
      <alignment vertical="center"/>
    </xf>
    <xf numFmtId="166" fontId="98" fillId="34" borderId="38" xfId="0" applyNumberFormat="1" applyFont="1" applyFill="1" applyBorder="1" applyAlignment="1">
      <alignment vertical="center"/>
    </xf>
    <xf numFmtId="166" fontId="98" fillId="34" borderId="100" xfId="0" applyNumberFormat="1" applyFont="1" applyFill="1" applyBorder="1" applyAlignment="1">
      <alignment vertical="center"/>
    </xf>
    <xf numFmtId="166" fontId="98" fillId="7" borderId="67" xfId="0" applyNumberFormat="1" applyFont="1" applyFill="1" applyBorder="1" applyAlignment="1">
      <alignment vertical="center"/>
    </xf>
    <xf numFmtId="0" fontId="98" fillId="0" borderId="0" xfId="0" applyFont="1" applyAlignment="1">
      <alignment vertical="center"/>
    </xf>
    <xf numFmtId="0" fontId="98" fillId="25" borderId="67" xfId="0" applyFont="1" applyFill="1" applyBorder="1" applyAlignment="1">
      <alignment horizontal="center" vertical="center" wrapText="1"/>
    </xf>
    <xf numFmtId="164" fontId="98" fillId="8" borderId="67" xfId="0" applyNumberFormat="1" applyFont="1" applyFill="1" applyBorder="1" applyAlignment="1">
      <alignment vertical="center"/>
    </xf>
    <xf numFmtId="0" fontId="94" fillId="0" borderId="0" xfId="0" applyFont="1" applyAlignment="1">
      <alignment horizontal="left" vertical="center"/>
    </xf>
    <xf numFmtId="0" fontId="94" fillId="0" borderId="0" xfId="0" applyFont="1" applyAlignment="1">
      <alignment vertical="center" wrapText="1"/>
    </xf>
    <xf numFmtId="0" fontId="94" fillId="0" borderId="8" xfId="0" applyFont="1" applyBorder="1" applyAlignment="1">
      <alignment horizontal="center" vertical="center"/>
    </xf>
    <xf numFmtId="0" fontId="94" fillId="0" borderId="43" xfId="0" applyFont="1" applyBorder="1" applyAlignment="1">
      <alignment vertical="center"/>
    </xf>
    <xf numFmtId="0" fontId="94" fillId="0" borderId="31" xfId="0" applyFont="1" applyBorder="1" applyAlignment="1">
      <alignment vertical="center"/>
    </xf>
    <xf numFmtId="0" fontId="94" fillId="0" borderId="18" xfId="0" applyFont="1" applyBorder="1" applyAlignment="1">
      <alignment horizontal="center" vertical="center"/>
    </xf>
    <xf numFmtId="0" fontId="94" fillId="0" borderId="50" xfId="0" applyFont="1" applyBorder="1" applyAlignment="1">
      <alignment vertical="center"/>
    </xf>
    <xf numFmtId="0" fontId="94" fillId="36" borderId="32" xfId="0" applyFont="1" applyFill="1" applyBorder="1"/>
    <xf numFmtId="0" fontId="94" fillId="36" borderId="33" xfId="0" applyFont="1" applyFill="1" applyBorder="1"/>
    <xf numFmtId="0" fontId="94" fillId="36" borderId="34" xfId="0" applyFont="1" applyFill="1" applyBorder="1"/>
    <xf numFmtId="0" fontId="94" fillId="0" borderId="0" xfId="0" applyFont="1"/>
    <xf numFmtId="0" fontId="94" fillId="36" borderId="36" xfId="0" applyFont="1" applyFill="1" applyBorder="1" applyAlignment="1">
      <alignment vertical="center"/>
    </xf>
    <xf numFmtId="0" fontId="94" fillId="36" borderId="0" xfId="0" applyFont="1" applyFill="1" applyAlignment="1">
      <alignment vertical="center"/>
    </xf>
    <xf numFmtId="0" fontId="94" fillId="36" borderId="37" xfId="0" applyFont="1" applyFill="1" applyBorder="1" applyAlignment="1">
      <alignment vertical="center"/>
    </xf>
    <xf numFmtId="0" fontId="94" fillId="36" borderId="36" xfId="0" applyFont="1" applyFill="1" applyBorder="1"/>
    <xf numFmtId="0" fontId="94" fillId="36" borderId="37" xfId="0" applyFont="1" applyFill="1" applyBorder="1"/>
    <xf numFmtId="0" fontId="94" fillId="36" borderId="38" xfId="0" applyFont="1" applyFill="1" applyBorder="1"/>
    <xf numFmtId="0" fontId="94" fillId="36" borderId="40" xfId="0" applyFont="1" applyFill="1" applyBorder="1"/>
    <xf numFmtId="0" fontId="103" fillId="36" borderId="40" xfId="0" applyFont="1" applyFill="1" applyBorder="1" applyAlignment="1">
      <alignment horizontal="justify" vertical="center"/>
    </xf>
    <xf numFmtId="0" fontId="94" fillId="36" borderId="44" xfId="0" applyFont="1" applyFill="1" applyBorder="1"/>
    <xf numFmtId="0" fontId="94" fillId="0" borderId="0" xfId="0" applyFont="1" applyAlignment="1">
      <alignment horizontal="left" vertical="top"/>
    </xf>
    <xf numFmtId="0" fontId="58" fillId="31" borderId="67" xfId="0" applyFont="1" applyFill="1" applyBorder="1" applyAlignment="1">
      <alignment vertical="center" wrapText="1"/>
    </xf>
    <xf numFmtId="0" fontId="98" fillId="31" borderId="1" xfId="0" applyFont="1" applyFill="1" applyBorder="1" applyAlignment="1">
      <alignment horizontal="center" vertical="center" wrapText="1"/>
    </xf>
    <xf numFmtId="0" fontId="86" fillId="24" borderId="2" xfId="0" quotePrefix="1" applyFont="1" applyFill="1" applyBorder="1" applyAlignment="1">
      <alignment vertical="center"/>
    </xf>
    <xf numFmtId="0" fontId="86" fillId="24" borderId="1" xfId="0" quotePrefix="1" applyFont="1" applyFill="1" applyBorder="1" applyAlignment="1">
      <alignment vertical="center"/>
    </xf>
    <xf numFmtId="0" fontId="56" fillId="45" borderId="32" xfId="0" applyFont="1" applyFill="1" applyBorder="1" applyAlignment="1">
      <alignment horizontal="center" vertical="center"/>
    </xf>
    <xf numFmtId="0" fontId="56" fillId="45" borderId="33" xfId="0" applyFont="1" applyFill="1" applyBorder="1" applyAlignment="1">
      <alignment horizontal="center" vertical="center"/>
    </xf>
    <xf numFmtId="0" fontId="55" fillId="45" borderId="33" xfId="0" applyFont="1" applyFill="1" applyBorder="1" applyAlignment="1">
      <alignment vertical="center"/>
    </xf>
    <xf numFmtId="0" fontId="86" fillId="45" borderId="33" xfId="0" applyFont="1" applyFill="1" applyBorder="1" applyAlignment="1">
      <alignment horizontal="center" vertical="center"/>
    </xf>
    <xf numFmtId="0" fontId="86" fillId="45" borderId="33" xfId="0" applyFont="1" applyFill="1" applyBorder="1" applyAlignment="1">
      <alignment vertical="center"/>
    </xf>
    <xf numFmtId="0" fontId="86" fillId="45" borderId="34" xfId="0" applyFont="1" applyFill="1" applyBorder="1" applyAlignment="1">
      <alignment horizontal="center" vertical="center"/>
    </xf>
    <xf numFmtId="0" fontId="86" fillId="45" borderId="0" xfId="0" applyFont="1" applyFill="1" applyAlignment="1">
      <alignment vertical="center"/>
    </xf>
    <xf numFmtId="0" fontId="86" fillId="45" borderId="37" xfId="0" applyFont="1" applyFill="1" applyBorder="1" applyAlignment="1">
      <alignment horizontal="center" vertical="center"/>
    </xf>
    <xf numFmtId="0" fontId="55" fillId="45" borderId="36" xfId="0" applyFont="1" applyFill="1" applyBorder="1" applyAlignment="1">
      <alignment vertical="center"/>
    </xf>
    <xf numFmtId="0" fontId="55" fillId="45" borderId="0" xfId="0" applyFont="1" applyFill="1" applyAlignment="1">
      <alignment vertical="center"/>
    </xf>
    <xf numFmtId="0" fontId="85" fillId="45" borderId="36" xfId="0" applyFont="1" applyFill="1" applyBorder="1" applyAlignment="1">
      <alignment vertical="center"/>
    </xf>
    <xf numFmtId="0" fontId="85" fillId="45" borderId="0" xfId="0" applyFont="1" applyFill="1" applyAlignment="1">
      <alignment vertical="center"/>
    </xf>
    <xf numFmtId="49" fontId="55" fillId="45" borderId="0" xfId="0" applyNumberFormat="1" applyFont="1" applyFill="1" applyAlignment="1">
      <alignment horizontal="center" vertical="center" wrapText="1"/>
    </xf>
    <xf numFmtId="165" fontId="86" fillId="45" borderId="0" xfId="0" applyNumberFormat="1" applyFont="1" applyFill="1" applyAlignment="1">
      <alignment vertical="center"/>
    </xf>
    <xf numFmtId="49" fontId="55" fillId="45" borderId="0" xfId="0" applyNumberFormat="1" applyFont="1" applyFill="1" applyAlignment="1">
      <alignment vertical="center" wrapText="1"/>
    </xf>
    <xf numFmtId="0" fontId="55" fillId="45" borderId="40" xfId="0" applyFont="1" applyFill="1" applyBorder="1" applyAlignment="1">
      <alignment vertical="center"/>
    </xf>
    <xf numFmtId="0" fontId="55" fillId="45" borderId="37" xfId="0" applyFont="1" applyFill="1" applyBorder="1" applyAlignment="1">
      <alignment vertical="center"/>
    </xf>
    <xf numFmtId="0" fontId="55" fillId="45" borderId="38" xfId="0" applyFont="1" applyFill="1" applyBorder="1" applyAlignment="1">
      <alignment vertical="center"/>
    </xf>
    <xf numFmtId="49" fontId="55" fillId="45" borderId="40" xfId="0" applyNumberFormat="1" applyFont="1" applyFill="1" applyBorder="1" applyAlignment="1">
      <alignment vertical="center" wrapText="1"/>
    </xf>
    <xf numFmtId="0" fontId="55" fillId="45" borderId="44" xfId="0" applyFont="1" applyFill="1" applyBorder="1" applyAlignment="1">
      <alignment vertical="center"/>
    </xf>
    <xf numFmtId="0" fontId="85" fillId="45" borderId="37" xfId="0" applyFont="1" applyFill="1" applyBorder="1" applyAlignment="1">
      <alignment vertical="center"/>
    </xf>
    <xf numFmtId="0" fontId="87" fillId="45" borderId="0" xfId="0" applyFont="1" applyFill="1" applyAlignment="1">
      <alignment horizontal="center" vertical="center"/>
    </xf>
    <xf numFmtId="0" fontId="55" fillId="45" borderId="1" xfId="0" applyFont="1" applyFill="1" applyBorder="1" applyAlignment="1">
      <alignment vertical="center"/>
    </xf>
    <xf numFmtId="49" fontId="87" fillId="45" borderId="0" xfId="0" applyNumberFormat="1" applyFont="1" applyFill="1" applyAlignment="1">
      <alignment horizontal="center" vertical="center" wrapText="1"/>
    </xf>
    <xf numFmtId="164" fontId="86" fillId="45" borderId="0" xfId="0" applyNumberFormat="1" applyFont="1" applyFill="1" applyAlignment="1">
      <alignment vertical="center"/>
    </xf>
    <xf numFmtId="164" fontId="85" fillId="45" borderId="0" xfId="0" applyNumberFormat="1" applyFont="1" applyFill="1" applyAlignment="1">
      <alignment vertical="center"/>
    </xf>
    <xf numFmtId="44" fontId="85" fillId="45" borderId="0" xfId="0" applyNumberFormat="1" applyFont="1" applyFill="1" applyAlignment="1">
      <alignment vertical="center"/>
    </xf>
    <xf numFmtId="166" fontId="86" fillId="45" borderId="0" xfId="0" applyNumberFormat="1" applyFont="1" applyFill="1" applyAlignment="1">
      <alignment vertical="center"/>
    </xf>
    <xf numFmtId="0" fontId="86" fillId="45" borderId="73" xfId="0" applyFont="1" applyFill="1" applyBorder="1" applyAlignment="1">
      <alignment vertical="center"/>
    </xf>
    <xf numFmtId="4" fontId="85" fillId="45" borderId="0" xfId="0" applyNumberFormat="1" applyFont="1" applyFill="1" applyAlignment="1">
      <alignment horizontal="center" vertical="center"/>
    </xf>
    <xf numFmtId="164" fontId="85" fillId="45" borderId="0" xfId="0" applyNumberFormat="1" applyFont="1" applyFill="1" applyAlignment="1">
      <alignment horizontal="center" vertical="center"/>
    </xf>
    <xf numFmtId="42" fontId="86" fillId="45" borderId="0" xfId="0" applyNumberFormat="1" applyFont="1" applyFill="1" applyAlignment="1">
      <alignment vertical="center"/>
    </xf>
    <xf numFmtId="2" fontId="56" fillId="45" borderId="0" xfId="0" applyNumberFormat="1" applyFont="1" applyFill="1" applyAlignment="1">
      <alignment horizontal="center" vertical="center"/>
    </xf>
    <xf numFmtId="0" fontId="85" fillId="45" borderId="0" xfId="0" applyFont="1" applyFill="1" applyAlignment="1">
      <alignment horizontal="right" vertical="center"/>
    </xf>
    <xf numFmtId="164" fontId="85" fillId="45" borderId="0" xfId="0" applyNumberFormat="1" applyFont="1" applyFill="1" applyAlignment="1">
      <alignment horizontal="right" vertical="center"/>
    </xf>
    <xf numFmtId="0" fontId="85" fillId="45" borderId="36" xfId="0" applyFont="1" applyFill="1" applyBorder="1" applyAlignment="1">
      <alignment horizontal="right" vertical="center"/>
    </xf>
    <xf numFmtId="0" fontId="86" fillId="45" borderId="7" xfId="0" applyFont="1" applyFill="1" applyBorder="1" applyAlignment="1">
      <alignment vertical="center"/>
    </xf>
    <xf numFmtId="0" fontId="85" fillId="45" borderId="73" xfId="0" applyFont="1" applyFill="1" applyBorder="1" applyAlignment="1">
      <alignment vertical="center"/>
    </xf>
    <xf numFmtId="0" fontId="55" fillId="45" borderId="87" xfId="0" applyFont="1" applyFill="1" applyBorder="1" applyAlignment="1">
      <alignment vertical="center"/>
    </xf>
    <xf numFmtId="0" fontId="86" fillId="45" borderId="28" xfId="0" applyFont="1" applyFill="1" applyBorder="1" applyAlignment="1">
      <alignment vertical="center"/>
    </xf>
    <xf numFmtId="0" fontId="86" fillId="45" borderId="50" xfId="0" applyFont="1" applyFill="1" applyBorder="1" applyAlignment="1">
      <alignment vertical="center"/>
    </xf>
    <xf numFmtId="0" fontId="86" fillId="45" borderId="87" xfId="0" applyFont="1" applyFill="1" applyBorder="1" applyAlignment="1">
      <alignment vertical="center"/>
    </xf>
    <xf numFmtId="164" fontId="85" fillId="45" borderId="28" xfId="0" applyNumberFormat="1" applyFont="1" applyFill="1" applyBorder="1" applyAlignment="1">
      <alignment horizontal="center" vertical="center"/>
    </xf>
    <xf numFmtId="164" fontId="85" fillId="45" borderId="28" xfId="0" applyNumberFormat="1" applyFont="1" applyFill="1" applyBorder="1" applyAlignment="1">
      <alignment vertical="center"/>
    </xf>
    <xf numFmtId="0" fontId="86" fillId="45" borderId="14" xfId="0" applyFont="1" applyFill="1" applyBorder="1" applyAlignment="1">
      <alignment vertical="center"/>
    </xf>
    <xf numFmtId="164" fontId="85" fillId="45" borderId="7" xfId="0" applyNumberFormat="1" applyFont="1" applyFill="1" applyBorder="1" applyAlignment="1">
      <alignment horizontal="center" vertical="center"/>
    </xf>
    <xf numFmtId="164" fontId="85" fillId="45" borderId="28" xfId="0" applyNumberFormat="1" applyFont="1" applyFill="1" applyBorder="1" applyAlignment="1">
      <alignment horizontal="right" vertical="center"/>
    </xf>
    <xf numFmtId="164" fontId="86" fillId="6" borderId="1" xfId="0" applyNumberFormat="1" applyFont="1" applyFill="1" applyBorder="1" applyAlignment="1">
      <alignment vertical="center"/>
    </xf>
    <xf numFmtId="164" fontId="86" fillId="32" borderId="1" xfId="0" applyNumberFormat="1" applyFont="1" applyFill="1" applyBorder="1" applyAlignment="1">
      <alignment vertical="center"/>
    </xf>
    <xf numFmtId="164" fontId="86" fillId="9" borderId="1" xfId="0" applyNumberFormat="1" applyFont="1" applyFill="1" applyBorder="1" applyAlignment="1">
      <alignment vertical="center"/>
    </xf>
    <xf numFmtId="164" fontId="86" fillId="38" borderId="1" xfId="0" applyNumberFormat="1" applyFont="1" applyFill="1" applyBorder="1" applyAlignment="1">
      <alignment vertical="center"/>
    </xf>
    <xf numFmtId="4" fontId="86" fillId="34" borderId="1" xfId="0" applyNumberFormat="1" applyFont="1" applyFill="1" applyBorder="1" applyAlignment="1">
      <alignment vertical="center"/>
    </xf>
    <xf numFmtId="164" fontId="86" fillId="35" borderId="1" xfId="0" applyNumberFormat="1" applyFont="1" applyFill="1" applyBorder="1" applyAlignment="1">
      <alignment vertical="center"/>
    </xf>
    <xf numFmtId="0" fontId="55" fillId="43" borderId="36" xfId="0" applyFont="1" applyFill="1" applyBorder="1" applyAlignment="1">
      <alignment vertical="center"/>
    </xf>
    <xf numFmtId="0" fontId="85" fillId="43" borderId="0" xfId="0" applyFont="1" applyFill="1" applyAlignment="1">
      <alignment vertical="center"/>
    </xf>
    <xf numFmtId="0" fontId="85" fillId="43" borderId="0" xfId="0" applyFont="1" applyFill="1" applyAlignment="1">
      <alignment horizontal="right" vertical="center"/>
    </xf>
    <xf numFmtId="0" fontId="85" fillId="43" borderId="36" xfId="0" applyFont="1" applyFill="1" applyBorder="1" applyAlignment="1">
      <alignment horizontal="right" vertical="center"/>
    </xf>
    <xf numFmtId="0" fontId="94" fillId="45" borderId="32" xfId="0" applyFont="1" applyFill="1" applyBorder="1" applyAlignment="1">
      <alignment vertical="center"/>
    </xf>
    <xf numFmtId="0" fontId="94" fillId="45" borderId="36" xfId="0" applyFont="1" applyFill="1" applyBorder="1" applyAlignment="1">
      <alignment vertical="center"/>
    </xf>
    <xf numFmtId="0" fontId="98" fillId="45" borderId="36" xfId="0" applyFont="1" applyFill="1" applyBorder="1" applyAlignment="1">
      <alignment vertical="center"/>
    </xf>
    <xf numFmtId="0" fontId="94" fillId="45" borderId="38" xfId="0" applyFont="1" applyFill="1" applyBorder="1" applyAlignment="1">
      <alignment vertical="center"/>
    </xf>
    <xf numFmtId="0" fontId="98" fillId="45" borderId="0" xfId="0" applyFont="1" applyFill="1" applyAlignment="1">
      <alignment vertical="center"/>
    </xf>
    <xf numFmtId="0" fontId="94" fillId="45" borderId="0" xfId="0" applyFont="1" applyFill="1" applyAlignment="1">
      <alignment vertical="center"/>
    </xf>
    <xf numFmtId="0" fontId="94" fillId="45" borderId="40" xfId="0" applyFont="1" applyFill="1" applyBorder="1" applyAlignment="1">
      <alignment vertical="center"/>
    </xf>
    <xf numFmtId="0" fontId="94" fillId="45" borderId="40" xfId="0" applyFont="1" applyFill="1" applyBorder="1" applyAlignment="1">
      <alignment horizontal="left" vertical="center"/>
    </xf>
    <xf numFmtId="0" fontId="94" fillId="45" borderId="37" xfId="0" applyFont="1" applyFill="1" applyBorder="1" applyAlignment="1">
      <alignment vertical="center"/>
    </xf>
    <xf numFmtId="0" fontId="94" fillId="45" borderId="34" xfId="0" applyFont="1" applyFill="1" applyBorder="1" applyAlignment="1">
      <alignment vertical="center"/>
    </xf>
    <xf numFmtId="0" fontId="94" fillId="45" borderId="33" xfId="0" applyFont="1" applyFill="1" applyBorder="1" applyAlignment="1">
      <alignment vertical="center"/>
    </xf>
    <xf numFmtId="0" fontId="104" fillId="45" borderId="0" xfId="0" applyFont="1" applyFill="1" applyAlignment="1">
      <alignment vertical="center"/>
    </xf>
    <xf numFmtId="0" fontId="94" fillId="45" borderId="0" xfId="0" applyFont="1" applyFill="1" applyAlignment="1">
      <alignment vertical="top" wrapText="1"/>
    </xf>
    <xf numFmtId="0" fontId="97" fillId="45" borderId="0" xfId="0" applyFont="1" applyFill="1" applyAlignment="1">
      <alignment vertical="center"/>
    </xf>
    <xf numFmtId="0" fontId="94" fillId="45" borderId="0" xfId="0" applyFont="1" applyFill="1" applyAlignment="1">
      <alignment vertical="top"/>
    </xf>
    <xf numFmtId="166" fontId="94" fillId="45" borderId="0" xfId="0" applyNumberFormat="1" applyFont="1" applyFill="1" applyAlignment="1">
      <alignment vertical="center"/>
    </xf>
    <xf numFmtId="0" fontId="94" fillId="45" borderId="0" xfId="0" applyFont="1" applyFill="1" applyAlignment="1">
      <alignment horizontal="right" vertical="center"/>
    </xf>
    <xf numFmtId="166" fontId="98" fillId="45" borderId="0" xfId="0" applyNumberFormat="1" applyFont="1" applyFill="1" applyAlignment="1">
      <alignment vertical="center"/>
    </xf>
    <xf numFmtId="166" fontId="98" fillId="45" borderId="87" xfId="0" applyNumberFormat="1" applyFont="1" applyFill="1" applyBorder="1" applyAlignment="1">
      <alignment vertical="center"/>
    </xf>
    <xf numFmtId="0" fontId="98" fillId="24" borderId="2" xfId="0" applyFont="1" applyFill="1" applyBorder="1" applyAlignment="1">
      <alignment horizontal="center" vertical="center"/>
    </xf>
    <xf numFmtId="166" fontId="98" fillId="34" borderId="1" xfId="0" applyNumberFormat="1" applyFont="1" applyFill="1" applyBorder="1" applyAlignment="1">
      <alignment vertical="center"/>
    </xf>
    <xf numFmtId="166" fontId="94" fillId="0" borderId="45" xfId="0" applyNumberFormat="1" applyFont="1" applyBorder="1" applyAlignment="1">
      <alignment vertical="center"/>
    </xf>
    <xf numFmtId="166" fontId="94" fillId="0" borderId="104" xfId="0" applyNumberFormat="1" applyFont="1" applyBorder="1" applyAlignment="1">
      <alignment vertical="center"/>
    </xf>
    <xf numFmtId="0" fontId="94" fillId="0" borderId="27" xfId="0" applyFont="1" applyBorder="1" applyAlignment="1">
      <alignment vertical="center"/>
    </xf>
    <xf numFmtId="0" fontId="94" fillId="0" borderId="14" xfId="0" applyFont="1" applyBorder="1" applyAlignment="1">
      <alignment vertical="center"/>
    </xf>
    <xf numFmtId="0" fontId="94" fillId="0" borderId="47" xfId="0" applyFont="1" applyBorder="1" applyAlignment="1">
      <alignment vertical="center"/>
    </xf>
    <xf numFmtId="0" fontId="94" fillId="0" borderId="12" xfId="0" applyFont="1" applyBorder="1" applyAlignment="1">
      <alignment vertical="center"/>
    </xf>
    <xf numFmtId="166" fontId="94" fillId="34" borderId="35" xfId="0" applyNumberFormat="1" applyFont="1" applyFill="1" applyBorder="1" applyAlignment="1">
      <alignment vertical="center"/>
    </xf>
    <xf numFmtId="0" fontId="98" fillId="9" borderId="105" xfId="0" applyFont="1" applyFill="1" applyBorder="1" applyAlignment="1">
      <alignment horizontal="center" vertical="center" wrapText="1"/>
    </xf>
    <xf numFmtId="0" fontId="55" fillId="45" borderId="32" xfId="0" applyFont="1" applyFill="1" applyBorder="1" applyAlignment="1">
      <alignment vertical="center"/>
    </xf>
    <xf numFmtId="0" fontId="55" fillId="45" borderId="36" xfId="5" applyFont="1" applyFill="1" applyBorder="1" applyAlignment="1">
      <alignment vertical="center"/>
    </xf>
    <xf numFmtId="0" fontId="56" fillId="45" borderId="36" xfId="5" applyFont="1" applyFill="1" applyBorder="1" applyAlignment="1">
      <alignment vertical="center"/>
    </xf>
    <xf numFmtId="0" fontId="56" fillId="45" borderId="0" xfId="0" applyFont="1" applyFill="1" applyAlignment="1">
      <alignment horizontal="center" vertical="center"/>
    </xf>
    <xf numFmtId="0" fontId="55" fillId="45" borderId="34" xfId="0" applyFont="1" applyFill="1" applyBorder="1" applyAlignment="1">
      <alignment vertical="center"/>
    </xf>
    <xf numFmtId="0" fontId="55" fillId="45" borderId="0" xfId="5" applyFont="1" applyFill="1" applyAlignment="1">
      <alignment vertical="center"/>
    </xf>
    <xf numFmtId="0" fontId="55" fillId="45" borderId="37" xfId="5" applyFont="1" applyFill="1" applyBorder="1" applyAlignment="1">
      <alignment vertical="center"/>
    </xf>
    <xf numFmtId="0" fontId="59" fillId="45" borderId="0" xfId="0" applyFont="1" applyFill="1" applyAlignment="1">
      <alignment vertical="center" wrapText="1"/>
    </xf>
    <xf numFmtId="0" fontId="56" fillId="45" borderId="0" xfId="5" applyFont="1" applyFill="1" applyAlignment="1">
      <alignment vertical="center"/>
    </xf>
    <xf numFmtId="164" fontId="56" fillId="45" borderId="0" xfId="5" quotePrefix="1" applyNumberFormat="1" applyFont="1" applyFill="1" applyAlignment="1">
      <alignment horizontal="center" vertical="center" wrapText="1"/>
    </xf>
    <xf numFmtId="164" fontId="56" fillId="45" borderId="0" xfId="11" applyNumberFormat="1" applyFont="1" applyFill="1" applyBorder="1" applyAlignment="1" applyProtection="1">
      <alignment horizontal="center" vertical="center"/>
    </xf>
    <xf numFmtId="164" fontId="55" fillId="45" borderId="0" xfId="11" applyNumberFormat="1" applyFont="1" applyFill="1" applyBorder="1" applyAlignment="1" applyProtection="1">
      <alignment horizontal="center" vertical="center"/>
    </xf>
    <xf numFmtId="0" fontId="59" fillId="45" borderId="0" xfId="0" applyFont="1" applyFill="1" applyAlignment="1">
      <alignment horizontal="left" vertical="center" wrapText="1"/>
    </xf>
    <xf numFmtId="0" fontId="59" fillId="45" borderId="40" xfId="0" applyFont="1" applyFill="1" applyBorder="1" applyAlignment="1">
      <alignment horizontal="left" vertical="center" wrapText="1"/>
    </xf>
    <xf numFmtId="0" fontId="56" fillId="45" borderId="40" xfId="0" applyFont="1" applyFill="1" applyBorder="1" applyAlignment="1">
      <alignment horizontal="right" vertical="center"/>
    </xf>
    <xf numFmtId="49" fontId="56" fillId="45" borderId="0" xfId="5" applyNumberFormat="1" applyFont="1" applyFill="1" applyAlignment="1" applyProtection="1">
      <alignment vertical="center" wrapText="1"/>
      <protection locked="0"/>
    </xf>
    <xf numFmtId="164" fontId="56" fillId="45" borderId="0" xfId="5" applyNumberFormat="1" applyFont="1" applyFill="1" applyAlignment="1">
      <alignment horizontal="center" vertical="center"/>
    </xf>
    <xf numFmtId="164" fontId="55" fillId="45" borderId="0" xfId="5" applyNumberFormat="1" applyFont="1" applyFill="1" applyAlignment="1">
      <alignment horizontal="center" vertical="center"/>
    </xf>
    <xf numFmtId="164" fontId="56" fillId="45" borderId="0" xfId="5" applyNumberFormat="1" applyFont="1" applyFill="1" applyAlignment="1" applyProtection="1">
      <alignment vertical="center" wrapText="1"/>
      <protection locked="0"/>
    </xf>
    <xf numFmtId="164" fontId="56" fillId="45" borderId="0" xfId="5" applyNumberFormat="1" applyFont="1" applyFill="1" applyAlignment="1">
      <alignment horizontal="center" vertical="center" wrapText="1"/>
    </xf>
    <xf numFmtId="0" fontId="56" fillId="45" borderId="37" xfId="5" applyFont="1" applyFill="1" applyBorder="1" applyAlignment="1">
      <alignment vertical="center"/>
    </xf>
    <xf numFmtId="0" fontId="79" fillId="45" borderId="0" xfId="0" applyFont="1" applyFill="1" applyAlignment="1">
      <alignment vertical="center"/>
    </xf>
    <xf numFmtId="0" fontId="58" fillId="45" borderId="0" xfId="0" applyFont="1" applyFill="1" applyAlignment="1">
      <alignment horizontal="center" vertical="center" wrapText="1"/>
    </xf>
    <xf numFmtId="164" fontId="56" fillId="0" borderId="31" xfId="5" applyNumberFormat="1" applyFont="1" applyBorder="1" applyAlignment="1">
      <alignment horizontal="center" vertical="center" wrapText="1"/>
    </xf>
    <xf numFmtId="38" fontId="55" fillId="16" borderId="7" xfId="5" applyNumberFormat="1" applyFont="1" applyFill="1" applyBorder="1" applyAlignment="1">
      <alignment horizontal="center" vertical="center"/>
    </xf>
    <xf numFmtId="164" fontId="56" fillId="0" borderId="49" xfId="5" applyNumberFormat="1" applyFont="1" applyBorder="1" applyAlignment="1">
      <alignment horizontal="center" vertical="center" wrapText="1"/>
    </xf>
    <xf numFmtId="164" fontId="56" fillId="16" borderId="10" xfId="5" applyNumberFormat="1" applyFont="1" applyFill="1" applyBorder="1" applyAlignment="1">
      <alignment horizontal="center" vertical="center" wrapText="1"/>
    </xf>
    <xf numFmtId="164" fontId="56" fillId="8" borderId="1" xfId="0" applyNumberFormat="1" applyFont="1" applyFill="1" applyBorder="1" applyAlignment="1">
      <alignment horizontal="center" vertical="center" wrapText="1"/>
    </xf>
    <xf numFmtId="0" fontId="89" fillId="45" borderId="0" xfId="0" applyFont="1" applyFill="1" applyAlignment="1">
      <alignment horizontal="center" vertical="center"/>
    </xf>
    <xf numFmtId="0" fontId="89" fillId="45" borderId="0" xfId="0" applyFont="1" applyFill="1" applyAlignment="1">
      <alignment horizontal="center" vertical="center" wrapText="1"/>
    </xf>
    <xf numFmtId="164" fontId="55" fillId="45" borderId="0" xfId="0" applyNumberFormat="1" applyFont="1" applyFill="1" applyAlignment="1">
      <alignment vertical="center"/>
    </xf>
    <xf numFmtId="164" fontId="56" fillId="45" borderId="0" xfId="0" applyNumberFormat="1" applyFont="1" applyFill="1" applyAlignment="1">
      <alignment vertical="center"/>
    </xf>
    <xf numFmtId="164" fontId="55" fillId="45" borderId="0" xfId="0" applyNumberFormat="1" applyFont="1" applyFill="1" applyAlignment="1">
      <alignment horizontal="center" vertical="center"/>
    </xf>
    <xf numFmtId="38" fontId="56" fillId="45" borderId="28" xfId="0" applyNumberFormat="1" applyFont="1" applyFill="1" applyBorder="1" applyAlignment="1">
      <alignment vertical="center"/>
    </xf>
    <xf numFmtId="164" fontId="55" fillId="45" borderId="0" xfId="0" applyNumberFormat="1" applyFont="1" applyFill="1" applyAlignment="1">
      <alignment horizontal="right" vertical="center"/>
    </xf>
    <xf numFmtId="164" fontId="56" fillId="45" borderId="28" xfId="0" applyNumberFormat="1" applyFont="1" applyFill="1" applyBorder="1" applyAlignment="1">
      <alignment vertical="center"/>
    </xf>
    <xf numFmtId="0" fontId="56" fillId="45" borderId="0" xfId="0" applyFont="1" applyFill="1" applyAlignment="1">
      <alignment vertical="center"/>
    </xf>
    <xf numFmtId="3" fontId="56" fillId="45" borderId="0" xfId="0" applyNumberFormat="1" applyFont="1" applyFill="1" applyAlignment="1">
      <alignment vertical="center"/>
    </xf>
    <xf numFmtId="3" fontId="55" fillId="45" borderId="0" xfId="0" applyNumberFormat="1" applyFont="1" applyFill="1" applyAlignment="1">
      <alignment vertical="center"/>
    </xf>
    <xf numFmtId="38" fontId="55" fillId="45" borderId="28" xfId="0" applyNumberFormat="1" applyFont="1" applyFill="1" applyBorder="1" applyAlignment="1">
      <alignment vertical="center"/>
    </xf>
    <xf numFmtId="38" fontId="55" fillId="45" borderId="28" xfId="0" applyNumberFormat="1" applyFont="1" applyFill="1" applyBorder="1" applyAlignment="1">
      <alignment horizontal="right" vertical="center"/>
    </xf>
    <xf numFmtId="0" fontId="55" fillId="45" borderId="0" xfId="0" applyFont="1" applyFill="1" applyAlignment="1">
      <alignment horizontal="center" vertical="center" wrapText="1"/>
    </xf>
    <xf numFmtId="0" fontId="57" fillId="45" borderId="0" xfId="0" applyFont="1" applyFill="1" applyAlignment="1">
      <alignment vertical="center"/>
    </xf>
    <xf numFmtId="0" fontId="56" fillId="45" borderId="0" xfId="0" applyFont="1" applyFill="1" applyAlignment="1">
      <alignment horizontal="center" vertical="center" wrapText="1"/>
    </xf>
    <xf numFmtId="0" fontId="58" fillId="45" borderId="0" xfId="0" applyFont="1" applyFill="1" applyAlignment="1">
      <alignment vertical="center"/>
    </xf>
    <xf numFmtId="0" fontId="55" fillId="45" borderId="0" xfId="0" quotePrefix="1" applyFont="1" applyFill="1" applyAlignment="1">
      <alignment vertical="center"/>
    </xf>
    <xf numFmtId="0" fontId="56" fillId="45" borderId="0" xfId="0" applyFont="1" applyFill="1" applyAlignment="1">
      <alignment horizontal="right" vertical="center"/>
    </xf>
    <xf numFmtId="0" fontId="55" fillId="45" borderId="2" xfId="0" applyFont="1" applyFill="1" applyBorder="1" applyAlignment="1">
      <alignment vertical="center"/>
    </xf>
    <xf numFmtId="0" fontId="56" fillId="45" borderId="31" xfId="0" applyFont="1" applyFill="1" applyBorder="1" applyAlignment="1">
      <alignment horizontal="right" vertical="center"/>
    </xf>
    <xf numFmtId="4" fontId="56" fillId="45" borderId="28" xfId="0" applyNumberFormat="1" applyFont="1" applyFill="1" applyBorder="1" applyAlignment="1">
      <alignment vertical="center"/>
    </xf>
    <xf numFmtId="3" fontId="56" fillId="45" borderId="28" xfId="0" applyNumberFormat="1" applyFont="1" applyFill="1" applyBorder="1" applyAlignment="1">
      <alignment vertical="center"/>
    </xf>
    <xf numFmtId="0" fontId="89" fillId="45" borderId="0" xfId="0" applyFont="1" applyFill="1" applyAlignment="1">
      <alignment vertical="center"/>
    </xf>
    <xf numFmtId="0" fontId="89" fillId="45" borderId="0" xfId="0" applyFont="1" applyFill="1" applyAlignment="1">
      <alignment vertical="center" wrapText="1"/>
    </xf>
    <xf numFmtId="164" fontId="89" fillId="45" borderId="0" xfId="0" applyNumberFormat="1" applyFont="1" applyFill="1" applyAlignment="1">
      <alignment horizontal="center" vertical="center"/>
    </xf>
    <xf numFmtId="0" fontId="56" fillId="45" borderId="30" xfId="0" applyFont="1" applyFill="1" applyBorder="1" applyAlignment="1">
      <alignment horizontal="center" vertical="center"/>
    </xf>
    <xf numFmtId="0" fontId="56" fillId="45" borderId="87" xfId="0" applyFont="1" applyFill="1" applyBorder="1" applyAlignment="1">
      <alignment horizontal="right" vertical="center"/>
    </xf>
    <xf numFmtId="0" fontId="56" fillId="45" borderId="2" xfId="0" applyFont="1" applyFill="1" applyBorder="1" applyAlignment="1">
      <alignment horizontal="center" vertical="center"/>
    </xf>
    <xf numFmtId="0" fontId="86" fillId="0" borderId="2" xfId="0" applyFont="1" applyBorder="1" applyAlignment="1">
      <alignment horizontal="left" vertical="center"/>
    </xf>
    <xf numFmtId="0" fontId="86" fillId="0" borderId="1" xfId="0" applyFont="1" applyBorder="1" applyAlignment="1">
      <alignment vertical="center"/>
    </xf>
    <xf numFmtId="0" fontId="86" fillId="0" borderId="2" xfId="0" applyFont="1" applyBorder="1" applyAlignment="1">
      <alignment vertical="center"/>
    </xf>
    <xf numFmtId="4" fontId="86" fillId="6" borderId="1" xfId="0" applyNumberFormat="1" applyFont="1" applyFill="1" applyBorder="1" applyAlignment="1">
      <alignment vertical="center"/>
    </xf>
    <xf numFmtId="49" fontId="87" fillId="34" borderId="12" xfId="0" applyNumberFormat="1" applyFont="1" applyFill="1" applyBorder="1" applyAlignment="1">
      <alignment horizontal="center" vertical="center" wrapText="1"/>
    </xf>
    <xf numFmtId="0" fontId="57" fillId="9" borderId="10" xfId="0" applyFont="1" applyFill="1" applyBorder="1" applyAlignment="1">
      <alignment vertical="center" wrapText="1"/>
    </xf>
    <xf numFmtId="164" fontId="56" fillId="24" borderId="1" xfId="11" applyNumberFormat="1" applyFont="1" applyFill="1" applyBorder="1" applyAlignment="1" applyProtection="1">
      <alignment horizontal="right" vertical="center"/>
    </xf>
    <xf numFmtId="164" fontId="56" fillId="24" borderId="1" xfId="5" quotePrefix="1" applyNumberFormat="1" applyFont="1" applyFill="1" applyBorder="1" applyAlignment="1">
      <alignment horizontal="center" vertical="center" textRotation="90" wrapText="1"/>
    </xf>
    <xf numFmtId="164" fontId="56" fillId="25" borderId="1" xfId="5" quotePrefix="1" applyNumberFormat="1" applyFont="1" applyFill="1" applyBorder="1" applyAlignment="1">
      <alignment horizontal="center" vertical="center" textRotation="90" wrapText="1"/>
    </xf>
    <xf numFmtId="164" fontId="56" fillId="6" borderId="1" xfId="5" quotePrefix="1" applyNumberFormat="1" applyFont="1" applyFill="1" applyBorder="1" applyAlignment="1">
      <alignment horizontal="center" vertical="center" textRotation="90" wrapText="1"/>
    </xf>
    <xf numFmtId="164" fontId="63" fillId="6" borderId="1" xfId="5" quotePrefix="1" applyNumberFormat="1" applyFont="1" applyFill="1" applyBorder="1" applyAlignment="1">
      <alignment horizontal="center" vertical="center" wrapText="1"/>
    </xf>
    <xf numFmtId="164" fontId="63" fillId="25" borderId="1" xfId="5" quotePrefix="1" applyNumberFormat="1" applyFont="1" applyFill="1" applyBorder="1" applyAlignment="1">
      <alignment horizontal="center" vertical="center" wrapText="1"/>
    </xf>
    <xf numFmtId="164" fontId="63" fillId="24" borderId="1" xfId="5" quotePrefix="1" applyNumberFormat="1" applyFont="1" applyFill="1" applyBorder="1" applyAlignment="1">
      <alignment horizontal="center" vertical="center" wrapText="1"/>
    </xf>
    <xf numFmtId="164" fontId="56" fillId="35" borderId="1" xfId="5" quotePrefix="1" applyNumberFormat="1" applyFont="1" applyFill="1" applyBorder="1" applyAlignment="1">
      <alignment horizontal="center" vertical="center" textRotation="90" wrapText="1"/>
    </xf>
    <xf numFmtId="164" fontId="56" fillId="35" borderId="1" xfId="5" applyNumberFormat="1" applyFont="1" applyFill="1" applyBorder="1" applyAlignment="1" applyProtection="1">
      <alignment horizontal="center" vertical="center" textRotation="90" wrapText="1"/>
      <protection locked="0"/>
    </xf>
    <xf numFmtId="164" fontId="56" fillId="35" borderId="1" xfId="5" applyNumberFormat="1" applyFont="1" applyFill="1" applyBorder="1" applyAlignment="1">
      <alignment horizontal="center" vertical="center" textRotation="90" wrapText="1"/>
    </xf>
    <xf numFmtId="164" fontId="63" fillId="35" borderId="1" xfId="5" quotePrefix="1" applyNumberFormat="1" applyFont="1" applyFill="1" applyBorder="1" applyAlignment="1">
      <alignment horizontal="center" vertical="center" wrapText="1"/>
    </xf>
    <xf numFmtId="164" fontId="56" fillId="31" borderId="1" xfId="5" quotePrefix="1" applyNumberFormat="1" applyFont="1" applyFill="1" applyBorder="1" applyAlignment="1">
      <alignment horizontal="center" vertical="center" textRotation="90" wrapText="1"/>
    </xf>
    <xf numFmtId="164" fontId="56" fillId="37" borderId="1" xfId="11" applyNumberFormat="1" applyFont="1" applyFill="1" applyBorder="1" applyAlignment="1" applyProtection="1">
      <alignment horizontal="right" vertical="center"/>
    </xf>
    <xf numFmtId="164" fontId="56" fillId="37" borderId="1" xfId="5" applyNumberFormat="1" applyFont="1" applyFill="1" applyBorder="1" applyAlignment="1">
      <alignment horizontal="right" vertical="center" wrapText="1"/>
    </xf>
    <xf numFmtId="164" fontId="56" fillId="25" borderId="1" xfId="5" applyNumberFormat="1" applyFont="1" applyFill="1" applyBorder="1" applyAlignment="1">
      <alignment vertical="center" wrapText="1"/>
    </xf>
    <xf numFmtId="164" fontId="56" fillId="24" borderId="1" xfId="5" applyNumberFormat="1" applyFont="1" applyFill="1" applyBorder="1" applyAlignment="1">
      <alignment vertical="center" wrapText="1"/>
    </xf>
    <xf numFmtId="164" fontId="56" fillId="6" borderId="1" xfId="5" applyNumberFormat="1" applyFont="1" applyFill="1" applyBorder="1" applyAlignment="1">
      <alignment vertical="center" wrapText="1"/>
    </xf>
    <xf numFmtId="164" fontId="56" fillId="35" borderId="1" xfId="5" applyNumberFormat="1" applyFont="1" applyFill="1" applyBorder="1" applyAlignment="1">
      <alignment horizontal="center" vertical="center" wrapText="1"/>
    </xf>
    <xf numFmtId="164" fontId="56" fillId="35" borderId="1" xfId="5" applyNumberFormat="1" applyFont="1" applyFill="1" applyBorder="1" applyAlignment="1">
      <alignment vertical="center" wrapText="1"/>
    </xf>
    <xf numFmtId="164" fontId="56" fillId="31" borderId="31" xfId="5" applyNumberFormat="1" applyFont="1" applyFill="1" applyBorder="1" applyAlignment="1">
      <alignment horizontal="center" vertical="center" wrapText="1"/>
    </xf>
    <xf numFmtId="164" fontId="56" fillId="31" borderId="1" xfId="5" applyNumberFormat="1" applyFont="1" applyFill="1" applyBorder="1" applyAlignment="1">
      <alignment vertical="center" wrapText="1"/>
    </xf>
    <xf numFmtId="164" fontId="56" fillId="32" borderId="1" xfId="11" applyNumberFormat="1" applyFont="1" applyFill="1" applyBorder="1" applyAlignment="1" applyProtection="1">
      <alignment horizontal="center" vertical="center"/>
    </xf>
    <xf numFmtId="164" fontId="56" fillId="32" borderId="1" xfId="5" applyNumberFormat="1" applyFont="1" applyFill="1" applyBorder="1" applyAlignment="1">
      <alignment horizontal="center" vertical="center" wrapText="1"/>
    </xf>
    <xf numFmtId="164" fontId="56" fillId="24" borderId="10" xfId="5" applyNumberFormat="1" applyFont="1" applyFill="1" applyBorder="1" applyAlignment="1">
      <alignment vertical="center" wrapText="1"/>
    </xf>
    <xf numFmtId="164" fontId="55" fillId="35" borderId="1" xfId="11" applyNumberFormat="1" applyFont="1" applyFill="1" applyBorder="1" applyAlignment="1" applyProtection="1">
      <alignment horizontal="right" vertical="center"/>
    </xf>
    <xf numFmtId="164" fontId="55" fillId="31" borderId="1" xfId="5" applyNumberFormat="1" applyFont="1" applyFill="1" applyBorder="1" applyAlignment="1">
      <alignment horizontal="right" vertical="center"/>
    </xf>
    <xf numFmtId="164" fontId="55" fillId="32" borderId="1" xfId="5" applyNumberFormat="1" applyFont="1" applyFill="1" applyBorder="1" applyAlignment="1">
      <alignment horizontal="right" vertical="center"/>
    </xf>
    <xf numFmtId="164" fontId="55" fillId="6" borderId="1" xfId="11" applyNumberFormat="1" applyFont="1" applyFill="1" applyBorder="1" applyAlignment="1" applyProtection="1">
      <alignment horizontal="right" vertical="center"/>
    </xf>
    <xf numFmtId="164" fontId="55" fillId="24" borderId="1" xfId="11" applyNumberFormat="1" applyFont="1" applyFill="1" applyBorder="1" applyAlignment="1" applyProtection="1">
      <alignment horizontal="right" vertical="center"/>
    </xf>
    <xf numFmtId="0" fontId="70" fillId="0" borderId="1" xfId="12" applyFont="1" applyBorder="1" applyAlignment="1">
      <alignment horizontal="right" vertical="center"/>
    </xf>
    <xf numFmtId="0" fontId="85" fillId="34" borderId="1" xfId="0" applyFont="1" applyFill="1" applyBorder="1" applyAlignment="1">
      <alignment horizontal="right" vertical="center"/>
    </xf>
    <xf numFmtId="164" fontId="85" fillId="6" borderId="1" xfId="0" applyNumberFormat="1" applyFont="1" applyFill="1" applyBorder="1" applyAlignment="1">
      <alignment horizontal="center" vertical="center"/>
    </xf>
    <xf numFmtId="164" fontId="56" fillId="8" borderId="1" xfId="0" applyNumberFormat="1" applyFont="1" applyFill="1" applyBorder="1" applyAlignment="1">
      <alignment vertical="center"/>
    </xf>
    <xf numFmtId="0" fontId="56" fillId="32" borderId="1" xfId="0" applyFont="1" applyFill="1" applyBorder="1" applyAlignment="1">
      <alignment vertical="center" wrapText="1"/>
    </xf>
    <xf numFmtId="0" fontId="95" fillId="45" borderId="0" xfId="0" applyFont="1" applyFill="1" applyAlignment="1">
      <alignment horizontal="center" vertical="center"/>
    </xf>
    <xf numFmtId="0" fontId="56" fillId="45" borderId="28" xfId="0" applyFont="1" applyFill="1" applyBorder="1" applyAlignment="1">
      <alignment horizontal="center" vertical="center"/>
    </xf>
    <xf numFmtId="42" fontId="85" fillId="32" borderId="1" xfId="0" applyNumberFormat="1" applyFont="1" applyFill="1" applyBorder="1" applyAlignment="1">
      <alignment horizontal="center" vertical="center"/>
    </xf>
    <xf numFmtId="42" fontId="85" fillId="38" borderId="1" xfId="0" applyNumberFormat="1" applyFont="1" applyFill="1" applyBorder="1" applyAlignment="1">
      <alignment horizontal="center" vertical="center"/>
    </xf>
    <xf numFmtId="40" fontId="55" fillId="0" borderId="1" xfId="0" applyNumberFormat="1" applyFont="1" applyBorder="1" applyAlignment="1">
      <alignment vertical="center"/>
    </xf>
    <xf numFmtId="40" fontId="55" fillId="0" borderId="1" xfId="0" applyNumberFormat="1" applyFont="1" applyBorder="1" applyAlignment="1">
      <alignment horizontal="right" vertical="center"/>
    </xf>
    <xf numFmtId="40" fontId="56" fillId="6" borderId="1" xfId="0" applyNumberFormat="1" applyFont="1" applyFill="1" applyBorder="1" applyAlignment="1">
      <alignment vertical="center"/>
    </xf>
    <xf numFmtId="0" fontId="85" fillId="6" borderId="1" xfId="0" applyFont="1" applyFill="1" applyBorder="1" applyAlignment="1">
      <alignment horizontal="center" vertical="center" wrapText="1"/>
    </xf>
    <xf numFmtId="42" fontId="85" fillId="6" borderId="1" xfId="0" applyNumberFormat="1" applyFont="1" applyFill="1" applyBorder="1" applyAlignment="1">
      <alignment horizontal="center" vertical="center" wrapText="1"/>
    </xf>
    <xf numFmtId="164" fontId="85" fillId="25" borderId="1" xfId="0" applyNumberFormat="1" applyFont="1" applyFill="1" applyBorder="1" applyAlignment="1">
      <alignment horizontal="center" vertical="center"/>
    </xf>
    <xf numFmtId="2" fontId="85" fillId="45" borderId="0" xfId="0" applyNumberFormat="1" applyFont="1" applyFill="1" applyAlignment="1">
      <alignment horizontal="center" vertical="center"/>
    </xf>
    <xf numFmtId="164" fontId="85" fillId="31" borderId="1" xfId="0" applyNumberFormat="1" applyFont="1" applyFill="1" applyBorder="1" applyAlignment="1">
      <alignment horizontal="center" vertical="center"/>
    </xf>
    <xf numFmtId="164" fontId="56" fillId="45" borderId="87" xfId="0" applyNumberFormat="1" applyFont="1" applyFill="1" applyBorder="1" applyAlignment="1">
      <alignment vertical="center"/>
    </xf>
    <xf numFmtId="0" fontId="55" fillId="35" borderId="7" xfId="0" applyFont="1" applyFill="1" applyBorder="1" applyAlignment="1">
      <alignment vertical="center"/>
    </xf>
    <xf numFmtId="0" fontId="98" fillId="15" borderId="1" xfId="0" applyFont="1" applyFill="1" applyBorder="1" applyAlignment="1">
      <alignment horizontal="center" vertical="center" wrapText="1"/>
    </xf>
    <xf numFmtId="0" fontId="56" fillId="31" borderId="5" xfId="0" applyFont="1" applyFill="1" applyBorder="1" applyAlignment="1">
      <alignment horizontal="right" vertical="center"/>
    </xf>
    <xf numFmtId="49" fontId="59" fillId="0" borderId="1" xfId="0" applyNumberFormat="1" applyFont="1" applyBorder="1" applyAlignment="1">
      <alignment horizontal="left" vertical="center" wrapText="1"/>
    </xf>
    <xf numFmtId="164" fontId="55" fillId="0" borderId="1" xfId="0" applyNumberFormat="1" applyFont="1" applyBorder="1" applyAlignment="1">
      <alignment horizontal="right" vertical="center"/>
    </xf>
    <xf numFmtId="40" fontId="56" fillId="8" borderId="1" xfId="0" applyNumberFormat="1" applyFont="1" applyFill="1" applyBorder="1" applyAlignment="1">
      <alignment vertical="center"/>
    </xf>
    <xf numFmtId="40" fontId="56" fillId="6" borderId="1" xfId="0" applyNumberFormat="1" applyFont="1" applyFill="1" applyBorder="1" applyAlignment="1">
      <alignment horizontal="right" vertical="center"/>
    </xf>
    <xf numFmtId="164" fontId="56" fillId="6" borderId="1" xfId="0" applyNumberFormat="1" applyFont="1" applyFill="1" applyBorder="1" applyAlignment="1">
      <alignment horizontal="right" vertical="center"/>
    </xf>
    <xf numFmtId="164" fontId="56" fillId="34" borderId="1" xfId="0" applyNumberFormat="1" applyFont="1" applyFill="1" applyBorder="1" applyAlignment="1">
      <alignment vertical="center"/>
    </xf>
    <xf numFmtId="4" fontId="56" fillId="34" borderId="1" xfId="0" applyNumberFormat="1" applyFont="1" applyFill="1" applyBorder="1" applyAlignment="1">
      <alignment vertical="center"/>
    </xf>
    <xf numFmtId="2" fontId="56" fillId="34" borderId="1" xfId="0" applyNumberFormat="1" applyFont="1" applyFill="1" applyBorder="1" applyAlignment="1">
      <alignment vertical="center"/>
    </xf>
    <xf numFmtId="164" fontId="86" fillId="0" borderId="1" xfId="0" applyNumberFormat="1" applyFont="1" applyBorder="1" applyAlignment="1">
      <alignment horizontal="right" vertical="center"/>
    </xf>
    <xf numFmtId="9" fontId="55" fillId="0" borderId="1" xfId="14" applyFont="1" applyFill="1" applyBorder="1" applyAlignment="1">
      <alignment vertical="center"/>
    </xf>
    <xf numFmtId="164" fontId="55" fillId="32" borderId="1" xfId="0" applyNumberFormat="1" applyFont="1" applyFill="1" applyBorder="1" applyAlignment="1">
      <alignment vertical="center"/>
    </xf>
    <xf numFmtId="10" fontId="55" fillId="0" borderId="1" xfId="14" applyNumberFormat="1" applyFont="1" applyFill="1" applyBorder="1" applyAlignment="1">
      <alignment horizontal="center" vertical="center"/>
    </xf>
    <xf numFmtId="10" fontId="56" fillId="32" borderId="1" xfId="14" applyNumberFormat="1" applyFont="1" applyFill="1" applyBorder="1" applyAlignment="1">
      <alignment horizontal="center" vertical="center"/>
    </xf>
    <xf numFmtId="10" fontId="55" fillId="0" borderId="1" xfId="0" applyNumberFormat="1" applyFont="1" applyBorder="1" applyAlignment="1">
      <alignment vertical="center"/>
    </xf>
    <xf numFmtId="49" fontId="59" fillId="44" borderId="1" xfId="0" applyNumberFormat="1" applyFont="1" applyFill="1" applyBorder="1" applyAlignment="1">
      <alignment horizontal="left" vertical="center" wrapText="1"/>
    </xf>
    <xf numFmtId="49" fontId="59" fillId="44" borderId="1" xfId="0" applyNumberFormat="1" applyFont="1" applyFill="1" applyBorder="1" applyAlignment="1">
      <alignment vertical="center" wrapText="1"/>
    </xf>
    <xf numFmtId="0" fontId="63" fillId="0" borderId="1" xfId="0" applyFont="1" applyBorder="1" applyAlignment="1">
      <alignment horizontal="center" vertical="center"/>
    </xf>
    <xf numFmtId="0" fontId="63" fillId="35" borderId="1" xfId="0" applyFont="1" applyFill="1" applyBorder="1" applyAlignment="1">
      <alignment horizontal="center" vertical="center"/>
    </xf>
    <xf numFmtId="0" fontId="98" fillId="33" borderId="1" xfId="0" applyFont="1" applyFill="1" applyBorder="1" applyAlignment="1">
      <alignment horizontal="center" vertical="center"/>
    </xf>
    <xf numFmtId="0" fontId="94" fillId="0" borderId="1" xfId="0" applyFont="1" applyBorder="1" applyAlignment="1">
      <alignment vertical="center"/>
    </xf>
    <xf numFmtId="0" fontId="98" fillId="15" borderId="1" xfId="0" applyFont="1" applyFill="1" applyBorder="1" applyAlignment="1">
      <alignment horizontal="center" vertical="center"/>
    </xf>
    <xf numFmtId="0" fontId="85" fillId="38" borderId="1" xfId="0" applyFont="1" applyFill="1" applyBorder="1" applyAlignment="1">
      <alignment horizontal="center" vertical="center"/>
    </xf>
    <xf numFmtId="0" fontId="85" fillId="9" borderId="1" xfId="0" applyFont="1" applyFill="1" applyBorder="1" applyAlignment="1">
      <alignment horizontal="center" vertical="center"/>
    </xf>
    <xf numFmtId="0" fontId="85" fillId="32" borderId="1" xfId="0" applyFont="1" applyFill="1" applyBorder="1" applyAlignment="1">
      <alignment horizontal="center" vertical="center"/>
    </xf>
    <xf numFmtId="0" fontId="85" fillId="35" borderId="1" xfId="0" applyFont="1" applyFill="1" applyBorder="1" applyAlignment="1">
      <alignment horizontal="center" vertical="center"/>
    </xf>
    <xf numFmtId="0" fontId="85" fillId="33" borderId="1" xfId="0" applyFont="1" applyFill="1" applyBorder="1" applyAlignment="1">
      <alignment horizontal="center" vertical="center"/>
    </xf>
    <xf numFmtId="164" fontId="85" fillId="37" borderId="1" xfId="0" applyNumberFormat="1" applyFont="1" applyFill="1" applyBorder="1" applyAlignment="1">
      <alignment horizontal="center" vertical="center"/>
    </xf>
    <xf numFmtId="0" fontId="85" fillId="45" borderId="0" xfId="0" applyFont="1" applyFill="1" applyAlignment="1">
      <alignment horizontal="center" vertical="center"/>
    </xf>
    <xf numFmtId="0" fontId="85" fillId="32" borderId="1" xfId="0" applyFont="1" applyFill="1" applyBorder="1" applyAlignment="1">
      <alignment horizontal="right" vertical="center"/>
    </xf>
    <xf numFmtId="0" fontId="85" fillId="6" borderId="1" xfId="0" applyFont="1" applyFill="1" applyBorder="1" applyAlignment="1">
      <alignment horizontal="center" vertical="center"/>
    </xf>
    <xf numFmtId="0" fontId="86" fillId="45" borderId="0" xfId="0" applyFont="1" applyFill="1" applyAlignment="1">
      <alignment horizontal="center" vertical="center"/>
    </xf>
    <xf numFmtId="164" fontId="85" fillId="31" borderId="1" xfId="0" applyNumberFormat="1" applyFont="1" applyFill="1" applyBorder="1" applyAlignment="1">
      <alignment horizontal="center" vertical="center" wrapText="1"/>
    </xf>
    <xf numFmtId="0" fontId="55" fillId="45" borderId="0" xfId="0" applyFont="1" applyFill="1" applyAlignment="1">
      <alignment horizontal="center" vertical="center"/>
    </xf>
    <xf numFmtId="0" fontId="7" fillId="9" borderId="31" xfId="0" applyFont="1" applyFill="1" applyBorder="1" applyAlignment="1">
      <alignment horizontal="center" vertical="center"/>
    </xf>
    <xf numFmtId="0" fontId="7" fillId="6" borderId="31" xfId="0" applyFont="1" applyFill="1" applyBorder="1" applyAlignment="1">
      <alignment horizontal="center" vertical="center"/>
    </xf>
    <xf numFmtId="0" fontId="7" fillId="6" borderId="1" xfId="0" applyFont="1" applyFill="1" applyBorder="1" applyAlignment="1">
      <alignment horizontal="center" vertical="center"/>
    </xf>
    <xf numFmtId="0" fontId="7" fillId="32" borderId="31" xfId="0" applyFont="1" applyFill="1" applyBorder="1" applyAlignment="1">
      <alignment horizontal="center" vertical="center"/>
    </xf>
    <xf numFmtId="0" fontId="7" fillId="35" borderId="2" xfId="0" applyFont="1" applyFill="1" applyBorder="1" applyAlignment="1">
      <alignment horizontal="center" vertical="center"/>
    </xf>
    <xf numFmtId="0" fontId="7" fillId="35" borderId="31" xfId="0" applyFont="1" applyFill="1" applyBorder="1" applyAlignment="1">
      <alignment horizontal="center" vertical="center"/>
    </xf>
    <xf numFmtId="0" fontId="8" fillId="13" borderId="2" xfId="0" applyFont="1" applyFill="1" applyBorder="1" applyAlignment="1">
      <alignment horizontal="center"/>
    </xf>
    <xf numFmtId="0" fontId="8" fillId="13" borderId="27" xfId="0" applyFont="1" applyFill="1" applyBorder="1" applyAlignment="1">
      <alignment horizontal="center"/>
    </xf>
    <xf numFmtId="0" fontId="8" fillId="12" borderId="27" xfId="0" applyFont="1" applyFill="1" applyBorder="1" applyAlignment="1">
      <alignment horizontal="center"/>
    </xf>
    <xf numFmtId="0" fontId="56" fillId="32" borderId="1" xfId="0" applyFont="1" applyFill="1" applyBorder="1" applyAlignment="1">
      <alignment horizontal="center" vertical="center"/>
    </xf>
    <xf numFmtId="0" fontId="56" fillId="32" borderId="1" xfId="0" applyFont="1" applyFill="1" applyBorder="1" applyAlignment="1">
      <alignment horizontal="center" vertical="center" wrapText="1"/>
    </xf>
    <xf numFmtId="0" fontId="56" fillId="33" borderId="1" xfId="0" applyFont="1" applyFill="1" applyBorder="1" applyAlignment="1">
      <alignment horizontal="right" vertical="center"/>
    </xf>
    <xf numFmtId="0" fontId="89" fillId="25" borderId="1" xfId="0" applyFont="1" applyFill="1" applyBorder="1" applyAlignment="1">
      <alignment horizontal="center" vertical="center"/>
    </xf>
    <xf numFmtId="0" fontId="56" fillId="32" borderId="1" xfId="0" applyFont="1" applyFill="1" applyBorder="1" applyAlignment="1">
      <alignment horizontal="right" vertical="center"/>
    </xf>
    <xf numFmtId="0" fontId="56" fillId="33" borderId="1" xfId="0" applyFont="1" applyFill="1" applyBorder="1" applyAlignment="1">
      <alignment horizontal="center" vertical="center"/>
    </xf>
    <xf numFmtId="164" fontId="56" fillId="31" borderId="1" xfId="0" applyNumberFormat="1" applyFont="1" applyFill="1" applyBorder="1" applyAlignment="1">
      <alignment horizontal="center" vertical="center"/>
    </xf>
    <xf numFmtId="164" fontId="56" fillId="31" borderId="1" xfId="0" applyNumberFormat="1" applyFont="1" applyFill="1" applyBorder="1" applyAlignment="1">
      <alignment horizontal="center" vertical="center" wrapText="1"/>
    </xf>
    <xf numFmtId="164" fontId="56" fillId="32" borderId="1" xfId="0" applyNumberFormat="1" applyFont="1" applyFill="1" applyBorder="1" applyAlignment="1">
      <alignment horizontal="center" vertical="center"/>
    </xf>
    <xf numFmtId="0" fontId="80" fillId="36" borderId="0" xfId="0" applyFont="1" applyFill="1" applyAlignment="1">
      <alignment vertical="center" wrapText="1"/>
    </xf>
    <xf numFmtId="0" fontId="59" fillId="0" borderId="1" xfId="0" applyFont="1" applyBorder="1" applyAlignment="1">
      <alignment vertical="center"/>
    </xf>
    <xf numFmtId="0" fontId="59" fillId="0" borderId="1" xfId="0" applyFont="1" applyBorder="1" applyAlignment="1">
      <alignment horizontal="left" vertical="center" wrapText="1"/>
    </xf>
    <xf numFmtId="0" fontId="58" fillId="33" borderId="1" xfId="0" applyFont="1" applyFill="1" applyBorder="1" applyAlignment="1">
      <alignment horizontal="center" vertical="center" wrapText="1"/>
    </xf>
    <xf numFmtId="0" fontId="55" fillId="45" borderId="0" xfId="5" applyFont="1" applyFill="1" applyAlignment="1">
      <alignment horizontal="center" vertical="center"/>
    </xf>
    <xf numFmtId="49" fontId="56" fillId="45" borderId="0" xfId="5" applyNumberFormat="1" applyFont="1" applyFill="1" applyAlignment="1" applyProtection="1">
      <alignment horizontal="center" vertical="center" wrapText="1"/>
      <protection locked="0"/>
    </xf>
    <xf numFmtId="164" fontId="63" fillId="37" borderId="1" xfId="5" quotePrefix="1" applyNumberFormat="1" applyFont="1" applyFill="1" applyBorder="1" applyAlignment="1">
      <alignment horizontal="center" vertical="center" wrapText="1"/>
    </xf>
    <xf numFmtId="164" fontId="56" fillId="45" borderId="0" xfId="5" applyNumberFormat="1" applyFont="1" applyFill="1" applyAlignment="1" applyProtection="1">
      <alignment horizontal="center" vertical="center" wrapText="1"/>
      <protection locked="0"/>
    </xf>
    <xf numFmtId="0" fontId="55" fillId="0" borderId="1" xfId="0" applyFont="1" applyBorder="1" applyAlignment="1">
      <alignment vertical="center"/>
    </xf>
    <xf numFmtId="0" fontId="56" fillId="0" borderId="0" xfId="0" applyFont="1" applyAlignment="1">
      <alignment vertical="center" wrapText="1"/>
    </xf>
    <xf numFmtId="0" fontId="16" fillId="0" borderId="0" xfId="0" applyFont="1" applyAlignment="1">
      <alignment horizontal="center"/>
    </xf>
    <xf numFmtId="0" fontId="62" fillId="31" borderId="0" xfId="0" applyFont="1" applyFill="1" applyAlignment="1">
      <alignment horizontal="right" vertical="center" wrapText="1"/>
    </xf>
    <xf numFmtId="164" fontId="62" fillId="31" borderId="0" xfId="0" applyNumberFormat="1" applyFont="1" applyFill="1" applyAlignment="1">
      <alignment horizontal="right" vertical="center" wrapText="1"/>
    </xf>
    <xf numFmtId="49" fontId="59" fillId="44" borderId="1" xfId="0" applyNumberFormat="1" applyFont="1" applyFill="1" applyBorder="1" applyAlignment="1">
      <alignment horizontal="left" vertical="center" wrapText="1" indent="2"/>
    </xf>
    <xf numFmtId="0" fontId="61" fillId="34" borderId="2" xfId="0" applyFont="1" applyFill="1" applyBorder="1" applyAlignment="1">
      <alignment horizontal="center" vertical="center"/>
    </xf>
    <xf numFmtId="0" fontId="61" fillId="34" borderId="31" xfId="0" applyFont="1" applyFill="1" applyBorder="1" applyAlignment="1">
      <alignment horizontal="center" vertical="center"/>
    </xf>
    <xf numFmtId="0" fontId="61" fillId="34" borderId="1" xfId="0" applyFont="1" applyFill="1" applyBorder="1" applyAlignment="1">
      <alignment horizontal="center" vertical="center"/>
    </xf>
    <xf numFmtId="0" fontId="59" fillId="43" borderId="30" xfId="0" applyFont="1" applyFill="1" applyBorder="1" applyAlignment="1">
      <alignment horizontal="center" vertical="center"/>
    </xf>
    <xf numFmtId="0" fontId="58" fillId="33" borderId="7" xfId="0" applyFont="1" applyFill="1" applyBorder="1" applyAlignment="1">
      <alignment horizontal="center" vertical="center" wrapText="1"/>
    </xf>
    <xf numFmtId="0" fontId="58" fillId="33" borderId="45" xfId="0" applyFont="1" applyFill="1" applyBorder="1" applyAlignment="1">
      <alignment horizontal="center" vertical="center" wrapText="1"/>
    </xf>
    <xf numFmtId="0" fontId="58" fillId="33" borderId="10" xfId="0" applyFont="1" applyFill="1" applyBorder="1" applyAlignment="1">
      <alignment horizontal="center" vertical="center" wrapText="1"/>
    </xf>
    <xf numFmtId="0" fontId="58" fillId="33" borderId="7" xfId="0" applyFont="1" applyFill="1" applyBorder="1" applyAlignment="1">
      <alignment horizontal="center" vertical="center"/>
    </xf>
    <xf numFmtId="0" fontId="58" fillId="33" borderId="45" xfId="0" applyFont="1" applyFill="1" applyBorder="1" applyAlignment="1">
      <alignment horizontal="center" vertical="center"/>
    </xf>
    <xf numFmtId="0" fontId="58" fillId="33" borderId="10" xfId="0" applyFont="1" applyFill="1" applyBorder="1" applyAlignment="1">
      <alignment horizontal="center" vertical="center"/>
    </xf>
    <xf numFmtId="0" fontId="59" fillId="43" borderId="32" xfId="0" applyFont="1" applyFill="1" applyBorder="1" applyAlignment="1">
      <alignment horizontal="center" vertical="center"/>
    </xf>
    <xf numFmtId="0" fontId="59" fillId="43" borderId="33" xfId="0" applyFont="1" applyFill="1" applyBorder="1" applyAlignment="1">
      <alignment horizontal="center" vertical="center"/>
    </xf>
    <xf numFmtId="0" fontId="59" fillId="43" borderId="34" xfId="0" applyFont="1" applyFill="1" applyBorder="1" applyAlignment="1">
      <alignment horizontal="center" vertical="center"/>
    </xf>
    <xf numFmtId="49" fontId="59" fillId="44" borderId="1" xfId="0" applyNumberFormat="1" applyFont="1" applyFill="1" applyBorder="1" applyAlignment="1">
      <alignment horizontal="left" vertical="center" wrapText="1"/>
    </xf>
    <xf numFmtId="49" fontId="59" fillId="44" borderId="1" xfId="0" applyNumberFormat="1" applyFont="1" applyFill="1" applyBorder="1" applyAlignment="1">
      <alignment vertical="center" wrapText="1"/>
    </xf>
    <xf numFmtId="0" fontId="63" fillId="7" borderId="7" xfId="0" applyFont="1" applyFill="1" applyBorder="1" applyAlignment="1">
      <alignment horizontal="center" vertical="center"/>
    </xf>
    <xf numFmtId="0" fontId="63" fillId="43" borderId="0" xfId="0" applyFont="1" applyFill="1" applyAlignment="1">
      <alignment horizontal="left" vertical="center" wrapText="1"/>
    </xf>
    <xf numFmtId="0" fontId="63" fillId="7" borderId="1" xfId="0" applyFont="1" applyFill="1" applyBorder="1" applyAlignment="1">
      <alignment horizontal="left" vertical="center"/>
    </xf>
    <xf numFmtId="0" fontId="62" fillId="0" borderId="1" xfId="0" applyFont="1" applyBorder="1" applyAlignment="1">
      <alignment horizontal="left" vertical="center" wrapText="1" indent="1"/>
    </xf>
    <xf numFmtId="0" fontId="55" fillId="0" borderId="1" xfId="0" applyFont="1" applyBorder="1" applyAlignment="1">
      <alignment horizontal="left" vertical="center" wrapText="1" indent="1"/>
    </xf>
    <xf numFmtId="0" fontId="62" fillId="34" borderId="2" xfId="0" applyFont="1" applyFill="1" applyBorder="1" applyAlignment="1">
      <alignment horizontal="center" vertical="center" wrapText="1"/>
    </xf>
    <xf numFmtId="0" fontId="62" fillId="34" borderId="30" xfId="0" applyFont="1" applyFill="1" applyBorder="1" applyAlignment="1">
      <alignment horizontal="center" vertical="center" wrapText="1"/>
    </xf>
    <xf numFmtId="0" fontId="62" fillId="34" borderId="31" xfId="0" applyFont="1" applyFill="1" applyBorder="1" applyAlignment="1">
      <alignment horizontal="center" vertical="center" wrapText="1"/>
    </xf>
    <xf numFmtId="0" fontId="58" fillId="11" borderId="14" xfId="0" applyFont="1" applyFill="1" applyBorder="1" applyAlignment="1">
      <alignment horizontal="center" vertical="center" wrapText="1"/>
    </xf>
    <xf numFmtId="0" fontId="58" fillId="11" borderId="28" xfId="0" applyFont="1" applyFill="1" applyBorder="1" applyAlignment="1">
      <alignment horizontal="center" vertical="center" wrapText="1"/>
    </xf>
    <xf numFmtId="0" fontId="58" fillId="11" borderId="50" xfId="0" applyFont="1" applyFill="1" applyBorder="1" applyAlignment="1">
      <alignment horizontal="center" vertical="center" wrapText="1"/>
    </xf>
    <xf numFmtId="0" fontId="58" fillId="11" borderId="73" xfId="0" applyFont="1" applyFill="1" applyBorder="1" applyAlignment="1">
      <alignment horizontal="center" vertical="center" wrapText="1"/>
    </xf>
    <xf numFmtId="0" fontId="58" fillId="11" borderId="0" xfId="0" applyFont="1" applyFill="1" applyAlignment="1">
      <alignment horizontal="center" vertical="center" wrapText="1"/>
    </xf>
    <xf numFmtId="0" fontId="58" fillId="11" borderId="87" xfId="0" applyFont="1" applyFill="1" applyBorder="1" applyAlignment="1">
      <alignment horizontal="center" vertical="center" wrapText="1"/>
    </xf>
    <xf numFmtId="0" fontId="58" fillId="11" borderId="12" xfId="0" applyFont="1" applyFill="1" applyBorder="1" applyAlignment="1">
      <alignment horizontal="center" vertical="center" wrapText="1"/>
    </xf>
    <xf numFmtId="0" fontId="58" fillId="11" borderId="29" xfId="0" applyFont="1" applyFill="1" applyBorder="1" applyAlignment="1">
      <alignment horizontal="center" vertical="center" wrapText="1"/>
    </xf>
    <xf numFmtId="0" fontId="58" fillId="11" borderId="49" xfId="0" applyFont="1" applyFill="1" applyBorder="1" applyAlignment="1">
      <alignment horizontal="center" vertical="center" wrapText="1"/>
    </xf>
    <xf numFmtId="0" fontId="64" fillId="0" borderId="14" xfId="0" applyFont="1" applyBorder="1" applyAlignment="1">
      <alignment horizontal="left" vertical="center" wrapText="1" indent="1"/>
    </xf>
    <xf numFmtId="0" fontId="64" fillId="0" borderId="28" xfId="0" applyFont="1" applyBorder="1" applyAlignment="1">
      <alignment horizontal="left" vertical="center" wrapText="1" indent="1"/>
    </xf>
    <xf numFmtId="0" fontId="64" fillId="0" borderId="12" xfId="0" applyFont="1" applyBorder="1" applyAlignment="1">
      <alignment horizontal="left" vertical="center" wrapText="1" indent="1"/>
    </xf>
    <xf numFmtId="0" fontId="64" fillId="0" borderId="29" xfId="0" applyFont="1" applyBorder="1" applyAlignment="1">
      <alignment horizontal="left" vertical="center" wrapText="1" indent="1"/>
    </xf>
    <xf numFmtId="0" fontId="62" fillId="0" borderId="2" xfId="0" applyFont="1" applyBorder="1" applyAlignment="1">
      <alignment horizontal="left" vertical="center" wrapText="1" indent="1"/>
    </xf>
    <xf numFmtId="0" fontId="62" fillId="0" borderId="30" xfId="0" applyFont="1" applyBorder="1" applyAlignment="1">
      <alignment horizontal="left" vertical="center" wrapText="1" indent="1"/>
    </xf>
    <xf numFmtId="0" fontId="63" fillId="0" borderId="2" xfId="0" applyFont="1" applyBorder="1" applyAlignment="1">
      <alignment horizontal="center" vertical="center"/>
    </xf>
    <xf numFmtId="0" fontId="63" fillId="0" borderId="30" xfId="0" applyFont="1" applyBorder="1" applyAlignment="1">
      <alignment horizontal="center" vertical="center"/>
    </xf>
    <xf numFmtId="49" fontId="62" fillId="0" borderId="1" xfId="0" applyNumberFormat="1" applyFont="1" applyBorder="1" applyAlignment="1">
      <alignment horizontal="left" vertical="center" wrapText="1" indent="1"/>
    </xf>
    <xf numFmtId="0" fontId="62" fillId="0" borderId="14" xfId="0" applyFont="1" applyBorder="1" applyAlignment="1">
      <alignment horizontal="left" vertical="center" wrapText="1" indent="1"/>
    </xf>
    <xf numFmtId="0" fontId="62" fillId="0" borderId="28" xfId="0" applyFont="1" applyBorder="1" applyAlignment="1">
      <alignment horizontal="left" vertical="center" wrapText="1" indent="1"/>
    </xf>
    <xf numFmtId="0" fontId="62" fillId="0" borderId="12" xfId="0" applyFont="1" applyBorder="1" applyAlignment="1">
      <alignment horizontal="left" vertical="center" wrapText="1" indent="1"/>
    </xf>
    <xf numFmtId="0" fontId="62" fillId="0" borderId="29" xfId="0" applyFont="1" applyBorder="1" applyAlignment="1">
      <alignment horizontal="left" vertical="center" wrapText="1" indent="1"/>
    </xf>
    <xf numFmtId="0" fontId="62" fillId="0" borderId="49" xfId="0" applyFont="1" applyBorder="1" applyAlignment="1">
      <alignment horizontal="left" vertical="center" wrapText="1" indent="1"/>
    </xf>
    <xf numFmtId="0" fontId="91" fillId="7" borderId="1" xfId="0" applyFont="1" applyFill="1" applyBorder="1" applyAlignment="1">
      <alignment horizontal="center" vertical="center"/>
    </xf>
    <xf numFmtId="0" fontId="63" fillId="0" borderId="1" xfId="0" applyFont="1" applyBorder="1" applyAlignment="1">
      <alignment horizontal="center" vertical="center" wrapText="1"/>
    </xf>
    <xf numFmtId="0" fontId="63" fillId="0" borderId="1" xfId="0" applyFont="1" applyBorder="1" applyAlignment="1">
      <alignment horizontal="center" vertical="center"/>
    </xf>
    <xf numFmtId="0" fontId="63" fillId="7" borderId="2" xfId="0" applyFont="1" applyFill="1" applyBorder="1" applyAlignment="1">
      <alignment horizontal="center" vertical="center" wrapText="1"/>
    </xf>
    <xf numFmtId="0" fontId="63" fillId="7" borderId="31" xfId="0" applyFont="1" applyFill="1" applyBorder="1" applyAlignment="1">
      <alignment horizontal="center" vertical="center" wrapText="1"/>
    </xf>
    <xf numFmtId="0" fontId="62" fillId="0" borderId="1" xfId="0" applyFont="1" applyBorder="1" applyAlignment="1">
      <alignment horizontal="left" vertical="center" wrapText="1"/>
    </xf>
    <xf numFmtId="0" fontId="62" fillId="0" borderId="1" xfId="0" applyFont="1" applyBorder="1" applyAlignment="1">
      <alignment horizontal="left" vertical="center"/>
    </xf>
    <xf numFmtId="0" fontId="63" fillId="34" borderId="1" xfId="0" applyFont="1" applyFill="1" applyBorder="1" applyAlignment="1">
      <alignment horizontal="center" vertical="center"/>
    </xf>
    <xf numFmtId="0" fontId="63" fillId="35" borderId="1" xfId="0" applyFont="1" applyFill="1" applyBorder="1" applyAlignment="1">
      <alignment horizontal="center" vertical="center"/>
    </xf>
    <xf numFmtId="0" fontId="96" fillId="34" borderId="21" xfId="0" applyFont="1" applyFill="1" applyBorder="1" applyAlignment="1">
      <alignment horizontal="center" vertical="center"/>
    </xf>
    <xf numFmtId="0" fontId="96" fillId="34" borderId="24" xfId="0" applyFont="1" applyFill="1" applyBorder="1" applyAlignment="1">
      <alignment horizontal="center" vertical="center"/>
    </xf>
    <xf numFmtId="0" fontId="94" fillId="0" borderId="1" xfId="0" applyFont="1" applyBorder="1" applyAlignment="1">
      <alignment horizontal="left" vertical="center" wrapText="1"/>
    </xf>
    <xf numFmtId="0" fontId="103" fillId="0" borderId="1" xfId="0" applyFont="1" applyBorder="1" applyAlignment="1">
      <alignment horizontal="left" vertical="center"/>
    </xf>
    <xf numFmtId="0" fontId="95" fillId="34" borderId="1" xfId="0" applyFont="1" applyFill="1" applyBorder="1" applyAlignment="1">
      <alignment horizontal="center" vertical="center"/>
    </xf>
    <xf numFmtId="0" fontId="98" fillId="9" borderId="1" xfId="0" applyFont="1" applyFill="1" applyBorder="1" applyAlignment="1">
      <alignment horizontal="center" vertical="center"/>
    </xf>
    <xf numFmtId="0" fontId="101" fillId="31" borderId="2" xfId="0" applyFont="1" applyFill="1" applyBorder="1" applyAlignment="1">
      <alignment horizontal="center" vertical="center" wrapText="1"/>
    </xf>
    <xf numFmtId="0" fontId="101" fillId="31" borderId="31" xfId="0" applyFont="1" applyFill="1" applyBorder="1" applyAlignment="1">
      <alignment horizontal="center" vertical="center" wrapText="1"/>
    </xf>
    <xf numFmtId="0" fontId="98" fillId="15" borderId="7" xfId="0" applyFont="1" applyFill="1" applyBorder="1" applyAlignment="1">
      <alignment horizontal="center" vertical="center" wrapText="1"/>
    </xf>
    <xf numFmtId="0" fontId="98" fillId="15" borderId="10" xfId="0" applyFont="1" applyFill="1" applyBorder="1" applyAlignment="1">
      <alignment horizontal="center" vertical="center" wrapText="1"/>
    </xf>
    <xf numFmtId="0" fontId="100" fillId="33" borderId="7" xfId="0" applyFont="1" applyFill="1" applyBorder="1" applyAlignment="1">
      <alignment horizontal="center" vertical="center"/>
    </xf>
    <xf numFmtId="0" fontId="100" fillId="33" borderId="10" xfId="0" applyFont="1" applyFill="1" applyBorder="1" applyAlignment="1">
      <alignment horizontal="center" vertical="center"/>
    </xf>
    <xf numFmtId="0" fontId="99" fillId="35" borderId="1" xfId="0" applyFont="1" applyFill="1" applyBorder="1" applyAlignment="1">
      <alignment horizontal="center" vertical="center" wrapText="1"/>
    </xf>
    <xf numFmtId="0" fontId="99" fillId="37" borderId="1" xfId="0" applyFont="1" applyFill="1" applyBorder="1" applyAlignment="1">
      <alignment horizontal="center" vertical="center" wrapText="1"/>
    </xf>
    <xf numFmtId="0" fontId="99" fillId="16" borderId="1" xfId="0" applyFont="1" applyFill="1" applyBorder="1" applyAlignment="1">
      <alignment horizontal="center" vertical="center" wrapText="1"/>
    </xf>
    <xf numFmtId="0" fontId="99" fillId="31" borderId="1" xfId="0" applyFont="1" applyFill="1" applyBorder="1" applyAlignment="1">
      <alignment horizontal="center" vertical="center" wrapText="1"/>
    </xf>
    <xf numFmtId="0" fontId="99" fillId="32" borderId="1" xfId="0" applyFont="1" applyFill="1" applyBorder="1" applyAlignment="1">
      <alignment horizontal="center" vertical="center" wrapText="1"/>
    </xf>
    <xf numFmtId="0" fontId="98" fillId="15" borderId="1" xfId="0" applyFont="1" applyFill="1" applyBorder="1" applyAlignment="1">
      <alignment horizontal="center" vertical="center"/>
    </xf>
    <xf numFmtId="0" fontId="98" fillId="34" borderId="7" xfId="0" applyFont="1" applyFill="1" applyBorder="1" applyAlignment="1">
      <alignment horizontal="center" vertical="center" wrapText="1"/>
    </xf>
    <xf numFmtId="0" fontId="98" fillId="34" borderId="10" xfId="0" applyFont="1" applyFill="1" applyBorder="1" applyAlignment="1">
      <alignment horizontal="center" vertical="center" wrapText="1"/>
    </xf>
    <xf numFmtId="0" fontId="98" fillId="14" borderId="0" xfId="0" applyFont="1" applyFill="1" applyAlignment="1">
      <alignment horizontal="left" vertical="center" wrapText="1"/>
    </xf>
    <xf numFmtId="0" fontId="98" fillId="33" borderId="1" xfId="0" applyFont="1" applyFill="1" applyBorder="1" applyAlignment="1">
      <alignment horizontal="center" vertical="center"/>
    </xf>
    <xf numFmtId="0" fontId="94" fillId="0" borderId="1" xfId="0" applyFont="1" applyBorder="1" applyAlignment="1">
      <alignment vertical="center"/>
    </xf>
    <xf numFmtId="49" fontId="94" fillId="0" borderId="1" xfId="0" applyNumberFormat="1" applyFont="1" applyBorder="1" applyAlignment="1">
      <alignment vertical="center" wrapText="1"/>
    </xf>
    <xf numFmtId="164" fontId="85" fillId="31" borderId="1" xfId="0" applyNumberFormat="1" applyFont="1" applyFill="1" applyBorder="1" applyAlignment="1">
      <alignment horizontal="center" vertical="center" wrapText="1"/>
    </xf>
    <xf numFmtId="0" fontId="86" fillId="45" borderId="0" xfId="0" applyFont="1" applyFill="1" applyAlignment="1">
      <alignment horizontal="center" vertical="center"/>
    </xf>
    <xf numFmtId="164" fontId="85" fillId="37" borderId="1" xfId="0" applyNumberFormat="1" applyFont="1" applyFill="1" applyBorder="1" applyAlignment="1">
      <alignment horizontal="center" vertical="center"/>
    </xf>
    <xf numFmtId="0" fontId="86" fillId="45" borderId="28" xfId="0" applyFont="1" applyFill="1" applyBorder="1" applyAlignment="1">
      <alignment horizontal="center" vertical="center"/>
    </xf>
    <xf numFmtId="0" fontId="86" fillId="45" borderId="50" xfId="0" applyFont="1" applyFill="1" applyBorder="1" applyAlignment="1">
      <alignment horizontal="center" vertical="center"/>
    </xf>
    <xf numFmtId="0" fontId="55" fillId="0" borderId="16" xfId="0" applyFont="1" applyBorder="1" applyAlignment="1">
      <alignment horizontal="left" vertical="center" wrapText="1"/>
    </xf>
    <xf numFmtId="0" fontId="55" fillId="0" borderId="30" xfId="0" applyFont="1" applyBorder="1" applyAlignment="1">
      <alignment horizontal="left" vertical="center" wrapText="1"/>
    </xf>
    <xf numFmtId="0" fontId="55" fillId="0" borderId="31" xfId="0" applyFont="1" applyBorder="1" applyAlignment="1">
      <alignment horizontal="left" vertical="center" wrapText="1"/>
    </xf>
    <xf numFmtId="164" fontId="55" fillId="0" borderId="7" xfId="0" applyNumberFormat="1" applyFont="1" applyBorder="1" applyAlignment="1">
      <alignment horizontal="center" vertical="center"/>
    </xf>
    <xf numFmtId="164" fontId="55" fillId="0" borderId="10" xfId="0" applyNumberFormat="1" applyFont="1" applyBorder="1" applyAlignment="1">
      <alignment horizontal="center" vertical="center"/>
    </xf>
    <xf numFmtId="0" fontId="55" fillId="45" borderId="0" xfId="0" applyFont="1" applyFill="1" applyAlignment="1">
      <alignment horizontal="center" vertical="center"/>
    </xf>
    <xf numFmtId="164" fontId="85" fillId="15" borderId="1" xfId="0" applyNumberFormat="1" applyFont="1" applyFill="1" applyBorder="1" applyAlignment="1">
      <alignment horizontal="center" vertical="center"/>
    </xf>
    <xf numFmtId="165" fontId="85" fillId="31" borderId="1" xfId="0" applyNumberFormat="1" applyFont="1" applyFill="1" applyBorder="1" applyAlignment="1">
      <alignment horizontal="center" vertical="center"/>
    </xf>
    <xf numFmtId="0" fontId="86" fillId="0" borderId="0" xfId="0" applyFont="1" applyAlignment="1">
      <alignment horizontal="center" vertical="center"/>
    </xf>
    <xf numFmtId="0" fontId="85" fillId="9" borderId="1" xfId="0" applyFont="1" applyFill="1" applyBorder="1" applyAlignment="1">
      <alignment horizontal="center" vertical="center"/>
    </xf>
    <xf numFmtId="0" fontId="85" fillId="45" borderId="0" xfId="0" applyFont="1" applyFill="1" applyAlignment="1">
      <alignment horizontal="center" vertical="center"/>
    </xf>
    <xf numFmtId="0" fontId="88" fillId="25" borderId="2" xfId="0" applyFont="1" applyFill="1" applyBorder="1" applyAlignment="1">
      <alignment horizontal="center" vertical="center" wrapText="1"/>
    </xf>
    <xf numFmtId="0" fontId="88" fillId="25" borderId="31" xfId="0" applyFont="1" applyFill="1" applyBorder="1" applyAlignment="1">
      <alignment horizontal="center" vertical="center" wrapText="1"/>
    </xf>
    <xf numFmtId="0" fontId="85" fillId="8" borderId="2" xfId="0" applyFont="1" applyFill="1" applyBorder="1" applyAlignment="1">
      <alignment horizontal="center" vertical="center"/>
    </xf>
    <xf numFmtId="0" fontId="85" fillId="8" borderId="31" xfId="0" applyFont="1" applyFill="1" applyBorder="1" applyAlignment="1">
      <alignment horizontal="center" vertical="center"/>
    </xf>
    <xf numFmtId="0" fontId="85" fillId="34" borderId="2" xfId="0" applyFont="1" applyFill="1" applyBorder="1" applyAlignment="1">
      <alignment horizontal="center" vertical="center"/>
    </xf>
    <xf numFmtId="0" fontId="85" fillId="34" borderId="30" xfId="0" applyFont="1" applyFill="1" applyBorder="1" applyAlignment="1">
      <alignment horizontal="center" vertical="center"/>
    </xf>
    <xf numFmtId="0" fontId="85" fillId="34" borderId="31" xfId="0" applyFont="1" applyFill="1" applyBorder="1" applyAlignment="1">
      <alignment horizontal="center" vertical="center"/>
    </xf>
    <xf numFmtId="0" fontId="68" fillId="46" borderId="5" xfId="0" applyFont="1" applyFill="1" applyBorder="1" applyAlignment="1">
      <alignment horizontal="center" vertical="center" wrapText="1"/>
    </xf>
    <xf numFmtId="0" fontId="68" fillId="46" borderId="1" xfId="0" applyFont="1" applyFill="1" applyBorder="1" applyAlignment="1">
      <alignment horizontal="center" vertical="center" wrapText="1"/>
    </xf>
    <xf numFmtId="0" fontId="85" fillId="32" borderId="5" xfId="0" applyFont="1" applyFill="1" applyBorder="1" applyAlignment="1">
      <alignment horizontal="right" vertical="center"/>
    </xf>
    <xf numFmtId="0" fontId="85" fillId="32" borderId="1" xfId="0" applyFont="1" applyFill="1" applyBorder="1" applyAlignment="1">
      <alignment horizontal="right" vertical="center"/>
    </xf>
    <xf numFmtId="0" fontId="86" fillId="24" borderId="5" xfId="0" quotePrefix="1" applyFont="1" applyFill="1" applyBorder="1" applyAlignment="1">
      <alignment horizontal="center" vertical="center"/>
    </xf>
    <xf numFmtId="0" fontId="86" fillId="24" borderId="1" xfId="0" quotePrefix="1" applyFont="1" applyFill="1" applyBorder="1" applyAlignment="1">
      <alignment horizontal="center" vertical="center"/>
    </xf>
    <xf numFmtId="0" fontId="85" fillId="37" borderId="5" xfId="0" applyFont="1" applyFill="1" applyBorder="1" applyAlignment="1">
      <alignment horizontal="right" vertical="center"/>
    </xf>
    <xf numFmtId="0" fontId="85" fillId="37" borderId="1" xfId="0" applyFont="1" applyFill="1" applyBorder="1" applyAlignment="1">
      <alignment horizontal="right" vertical="center"/>
    </xf>
    <xf numFmtId="0" fontId="85" fillId="35" borderId="5" xfId="0" applyFont="1" applyFill="1" applyBorder="1" applyAlignment="1">
      <alignment horizontal="right" vertical="center"/>
    </xf>
    <xf numFmtId="0" fontId="85" fillId="35" borderId="1" xfId="0" applyFont="1" applyFill="1" applyBorder="1" applyAlignment="1">
      <alignment horizontal="right" vertical="center"/>
    </xf>
    <xf numFmtId="0" fontId="55" fillId="0" borderId="17" xfId="0" applyFont="1" applyBorder="1" applyAlignment="1">
      <alignment horizontal="left" vertical="center"/>
    </xf>
    <xf numFmtId="0" fontId="55" fillId="0" borderId="49" xfId="0" applyFont="1" applyBorder="1" applyAlignment="1">
      <alignment horizontal="left" vertical="center"/>
    </xf>
    <xf numFmtId="0" fontId="86" fillId="0" borderId="16" xfId="0" applyFont="1" applyBorder="1" applyAlignment="1">
      <alignment horizontal="left" vertical="center" wrapText="1"/>
    </xf>
    <xf numFmtId="0" fontId="86" fillId="0" borderId="31" xfId="0" applyFont="1" applyBorder="1" applyAlignment="1">
      <alignment horizontal="left" vertical="center" wrapText="1"/>
    </xf>
    <xf numFmtId="0" fontId="59" fillId="25" borderId="1" xfId="0" applyFont="1" applyFill="1" applyBorder="1" applyAlignment="1">
      <alignment horizontal="center" vertical="center"/>
    </xf>
    <xf numFmtId="49" fontId="87" fillId="34" borderId="36" xfId="0" applyNumberFormat="1" applyFont="1" applyFill="1" applyBorder="1" applyAlignment="1">
      <alignment horizontal="center" vertical="center" wrapText="1"/>
    </xf>
    <xf numFmtId="49" fontId="87" fillId="34" borderId="87" xfId="0" applyNumberFormat="1" applyFont="1" applyFill="1" applyBorder="1" applyAlignment="1">
      <alignment horizontal="center" vertical="center" wrapText="1"/>
    </xf>
    <xf numFmtId="0" fontId="85" fillId="6" borderId="5" xfId="0" applyFont="1" applyFill="1" applyBorder="1" applyAlignment="1">
      <alignment horizontal="center" vertical="center"/>
    </xf>
    <xf numFmtId="0" fontId="85" fillId="6" borderId="1" xfId="0" applyFont="1" applyFill="1" applyBorder="1" applyAlignment="1">
      <alignment horizontal="center" vertical="center"/>
    </xf>
    <xf numFmtId="0" fontId="85" fillId="7" borderId="1" xfId="0" applyFont="1" applyFill="1" applyBorder="1" applyAlignment="1">
      <alignment horizontal="center" vertical="center"/>
    </xf>
    <xf numFmtId="0" fontId="86" fillId="0" borderId="16" xfId="0" applyFont="1" applyBorder="1" applyAlignment="1">
      <alignment horizontal="left" vertical="center"/>
    </xf>
    <xf numFmtId="0" fontId="86" fillId="0" borderId="31" xfId="0" applyFont="1" applyBorder="1" applyAlignment="1">
      <alignment horizontal="left" vertical="center"/>
    </xf>
    <xf numFmtId="0" fontId="85" fillId="15" borderId="36" xfId="0" applyFont="1" applyFill="1" applyBorder="1" applyAlignment="1">
      <alignment horizontal="right" vertical="center"/>
    </xf>
    <xf numFmtId="0" fontId="85" fillId="15" borderId="0" xfId="0" applyFont="1" applyFill="1" applyAlignment="1">
      <alignment horizontal="right" vertical="center"/>
    </xf>
    <xf numFmtId="0" fontId="85" fillId="15" borderId="17" xfId="0" applyFont="1" applyFill="1" applyBorder="1" applyAlignment="1">
      <alignment horizontal="right" vertical="center"/>
    </xf>
    <xf numFmtId="0" fontId="85" fillId="15" borderId="29" xfId="0" applyFont="1" applyFill="1" applyBorder="1" applyAlignment="1">
      <alignment horizontal="right" vertical="center"/>
    </xf>
    <xf numFmtId="49" fontId="55" fillId="0" borderId="1" xfId="0" applyNumberFormat="1" applyFont="1" applyBorder="1" applyAlignment="1">
      <alignment horizontal="left" vertical="center" wrapText="1"/>
    </xf>
    <xf numFmtId="0" fontId="85" fillId="38" borderId="5" xfId="0" applyFont="1" applyFill="1" applyBorder="1" applyAlignment="1">
      <alignment horizontal="center" vertical="center"/>
    </xf>
    <xf numFmtId="0" fontId="85" fillId="38" borderId="1" xfId="0" applyFont="1" applyFill="1" applyBorder="1" applyAlignment="1">
      <alignment horizontal="center" vertical="center"/>
    </xf>
    <xf numFmtId="0" fontId="85" fillId="9" borderId="5" xfId="0" applyFont="1" applyFill="1" applyBorder="1" applyAlignment="1">
      <alignment horizontal="center" vertical="center"/>
    </xf>
    <xf numFmtId="0" fontId="85" fillId="32" borderId="5" xfId="0" applyFont="1" applyFill="1" applyBorder="1" applyAlignment="1">
      <alignment horizontal="center" vertical="center"/>
    </xf>
    <xf numFmtId="0" fontId="85" fillId="32" borderId="1" xfId="0" applyFont="1" applyFill="1" applyBorder="1" applyAlignment="1">
      <alignment horizontal="center" vertical="center"/>
    </xf>
    <xf numFmtId="0" fontId="86" fillId="0" borderId="5" xfId="0" applyFont="1" applyBorder="1" applyAlignment="1">
      <alignment horizontal="left" vertical="center" wrapText="1"/>
    </xf>
    <xf numFmtId="0" fontId="86" fillId="0" borderId="1" xfId="0" applyFont="1" applyBorder="1" applyAlignment="1">
      <alignment horizontal="left" vertical="center" wrapText="1"/>
    </xf>
    <xf numFmtId="0" fontId="86" fillId="0" borderId="17" xfId="0" applyFont="1" applyBorder="1" applyAlignment="1">
      <alignment horizontal="left" vertical="center" wrapText="1"/>
    </xf>
    <xf numFmtId="0" fontId="86" fillId="0" borderId="29" xfId="0" applyFont="1" applyBorder="1" applyAlignment="1">
      <alignment horizontal="left" vertical="center" wrapText="1"/>
    </xf>
    <xf numFmtId="0" fontId="85" fillId="35" borderId="5" xfId="0" applyFont="1" applyFill="1" applyBorder="1" applyAlignment="1">
      <alignment horizontal="center" vertical="center"/>
    </xf>
    <xf numFmtId="0" fontId="85" fillId="35" borderId="1" xfId="0" applyFont="1" applyFill="1" applyBorder="1" applyAlignment="1">
      <alignment horizontal="center" vertical="center"/>
    </xf>
    <xf numFmtId="0" fontId="56" fillId="42" borderId="25" xfId="0" applyFont="1" applyFill="1" applyBorder="1" applyAlignment="1">
      <alignment horizontal="center" vertical="center"/>
    </xf>
    <xf numFmtId="0" fontId="56" fillId="42" borderId="39" xfId="0" applyFont="1" applyFill="1" applyBorder="1" applyAlignment="1">
      <alignment horizontal="center" vertical="center"/>
    </xf>
    <xf numFmtId="0" fontId="56" fillId="42" borderId="26" xfId="0" applyFont="1" applyFill="1" applyBorder="1" applyAlignment="1">
      <alignment horizontal="center" vertical="center"/>
    </xf>
    <xf numFmtId="0" fontId="85" fillId="38" borderId="5" xfId="0" applyFont="1" applyFill="1" applyBorder="1" applyAlignment="1">
      <alignment horizontal="right" vertical="center"/>
    </xf>
    <xf numFmtId="0" fontId="85" fillId="38" borderId="1" xfId="0" applyFont="1" applyFill="1" applyBorder="1" applyAlignment="1">
      <alignment horizontal="right" vertical="center"/>
    </xf>
    <xf numFmtId="0" fontId="85" fillId="6" borderId="5" xfId="0" applyFont="1" applyFill="1" applyBorder="1" applyAlignment="1">
      <alignment horizontal="right" vertical="center"/>
    </xf>
    <xf numFmtId="0" fontId="85" fillId="6" borderId="1" xfId="0" applyFont="1" applyFill="1" applyBorder="1" applyAlignment="1">
      <alignment horizontal="right" vertical="center"/>
    </xf>
    <xf numFmtId="0" fontId="85" fillId="33" borderId="5" xfId="0" applyFont="1" applyFill="1" applyBorder="1" applyAlignment="1">
      <alignment horizontal="right" vertical="center"/>
    </xf>
    <xf numFmtId="0" fontId="85" fillId="33" borderId="1" xfId="0" applyFont="1" applyFill="1" applyBorder="1" applyAlignment="1">
      <alignment horizontal="right" vertical="center"/>
    </xf>
    <xf numFmtId="0" fontId="85" fillId="33" borderId="5" xfId="0" applyFont="1" applyFill="1" applyBorder="1" applyAlignment="1">
      <alignment horizontal="center" vertical="center"/>
    </xf>
    <xf numFmtId="0" fontId="85" fillId="33" borderId="1" xfId="0" applyFont="1" applyFill="1" applyBorder="1" applyAlignment="1">
      <alignment horizontal="center" vertical="center"/>
    </xf>
    <xf numFmtId="0" fontId="85" fillId="9" borderId="5" xfId="0" applyFont="1" applyFill="1" applyBorder="1" applyAlignment="1">
      <alignment horizontal="right" vertical="center"/>
    </xf>
    <xf numFmtId="0" fontId="85" fillId="9" borderId="1" xfId="0" applyFont="1" applyFill="1" applyBorder="1" applyAlignment="1">
      <alignment horizontal="right" vertical="center"/>
    </xf>
    <xf numFmtId="0" fontId="85" fillId="32" borderId="14" xfId="0" applyFont="1" applyFill="1" applyBorder="1" applyAlignment="1">
      <alignment horizontal="center" vertical="center"/>
    </xf>
    <xf numFmtId="0" fontId="85" fillId="32" borderId="50" xfId="0" applyFont="1" applyFill="1" applyBorder="1" applyAlignment="1">
      <alignment horizontal="center" vertical="center"/>
    </xf>
    <xf numFmtId="0" fontId="85" fillId="32" borderId="12" xfId="0" applyFont="1" applyFill="1" applyBorder="1" applyAlignment="1">
      <alignment horizontal="center" vertical="center"/>
    </xf>
    <xf numFmtId="0" fontId="85" fillId="32" borderId="49" xfId="0" applyFont="1" applyFill="1" applyBorder="1" applyAlignment="1">
      <alignment horizontal="center" vertical="center"/>
    </xf>
    <xf numFmtId="0" fontId="55" fillId="0" borderId="41" xfId="0" applyFont="1" applyBorder="1" applyAlignment="1">
      <alignment horizontal="left" vertical="center" wrapText="1"/>
    </xf>
    <xf numFmtId="0" fontId="55" fillId="0" borderId="66" xfId="0" applyFont="1" applyBorder="1" applyAlignment="1">
      <alignment horizontal="left" vertical="center" wrapText="1"/>
    </xf>
    <xf numFmtId="0" fontId="55" fillId="0" borderId="43" xfId="0" applyFont="1" applyBorder="1" applyAlignment="1">
      <alignment horizontal="left" vertical="center" wrapText="1"/>
    </xf>
    <xf numFmtId="0" fontId="94" fillId="34" borderId="25" xfId="0" applyFont="1" applyFill="1" applyBorder="1" applyAlignment="1">
      <alignment horizontal="right" vertical="center"/>
    </xf>
    <xf numFmtId="0" fontId="94" fillId="34" borderId="39" xfId="0" applyFont="1" applyFill="1" applyBorder="1" applyAlignment="1">
      <alignment horizontal="right" vertical="center"/>
    </xf>
    <xf numFmtId="0" fontId="94" fillId="34" borderId="26" xfId="0" applyFont="1" applyFill="1" applyBorder="1" applyAlignment="1">
      <alignment horizontal="right" vertical="center"/>
    </xf>
    <xf numFmtId="0" fontId="94" fillId="45" borderId="0" xfId="0" applyFont="1" applyFill="1" applyAlignment="1">
      <alignment horizontal="center" vertical="center"/>
    </xf>
    <xf numFmtId="0" fontId="94" fillId="45" borderId="40" xfId="0" applyFont="1" applyFill="1" applyBorder="1" applyAlignment="1">
      <alignment horizontal="center" vertical="center"/>
    </xf>
    <xf numFmtId="0" fontId="104" fillId="32" borderId="25" xfId="0" applyFont="1" applyFill="1" applyBorder="1" applyAlignment="1">
      <alignment horizontal="center" vertical="center"/>
    </xf>
    <xf numFmtId="0" fontId="104" fillId="32" borderId="26" xfId="0" applyFont="1" applyFill="1" applyBorder="1" applyAlignment="1">
      <alignment horizontal="center" vertical="center"/>
    </xf>
    <xf numFmtId="0" fontId="97" fillId="24" borderId="32" xfId="0" applyFont="1" applyFill="1" applyBorder="1" applyAlignment="1">
      <alignment horizontal="center" vertical="center"/>
    </xf>
    <xf numFmtId="0" fontId="97" fillId="24" borderId="34" xfId="0" applyFont="1" applyFill="1" applyBorder="1" applyAlignment="1">
      <alignment horizontal="center" vertical="center"/>
    </xf>
    <xf numFmtId="0" fontId="94" fillId="0" borderId="14" xfId="0" applyFont="1" applyBorder="1" applyAlignment="1">
      <alignment horizontal="left" vertical="center" wrapText="1"/>
    </xf>
    <xf numFmtId="0" fontId="94" fillId="0" borderId="28" xfId="0" applyFont="1" applyBorder="1" applyAlignment="1">
      <alignment horizontal="left" vertical="center" wrapText="1"/>
    </xf>
    <xf numFmtId="0" fontId="94" fillId="0" borderId="50" xfId="0" applyFont="1" applyBorder="1" applyAlignment="1">
      <alignment horizontal="left" vertical="center" wrapText="1"/>
    </xf>
    <xf numFmtId="0" fontId="94" fillId="0" borderId="73" xfId="0" applyFont="1" applyBorder="1" applyAlignment="1">
      <alignment horizontal="left" vertical="center" wrapText="1"/>
    </xf>
    <xf numFmtId="0" fontId="94" fillId="0" borderId="0" xfId="0" applyFont="1" applyAlignment="1">
      <alignment horizontal="left" vertical="center" wrapText="1"/>
    </xf>
    <xf numFmtId="0" fontId="94" fillId="0" borderId="87" xfId="0" applyFont="1" applyBorder="1" applyAlignment="1">
      <alignment horizontal="left" vertical="center" wrapText="1"/>
    </xf>
    <xf numFmtId="0" fontId="94" fillId="0" borderId="12" xfId="0" applyFont="1" applyBorder="1" applyAlignment="1">
      <alignment horizontal="left" vertical="center" wrapText="1"/>
    </xf>
    <xf numFmtId="0" fontId="94" fillId="0" borderId="29" xfId="0" applyFont="1" applyBorder="1" applyAlignment="1">
      <alignment horizontal="left" vertical="center" wrapText="1"/>
    </xf>
    <xf numFmtId="0" fontId="94" fillId="0" borderId="49" xfId="0" applyFont="1" applyBorder="1" applyAlignment="1">
      <alignment horizontal="left" vertical="center" wrapText="1"/>
    </xf>
    <xf numFmtId="0" fontId="0" fillId="16" borderId="2" xfId="0" applyFill="1" applyBorder="1" applyAlignment="1">
      <alignment horizontal="left" vertical="center"/>
    </xf>
    <xf numFmtId="0" fontId="0" fillId="16" borderId="30" xfId="0" applyFill="1" applyBorder="1" applyAlignment="1">
      <alignment horizontal="left" vertical="center"/>
    </xf>
    <xf numFmtId="0" fontId="0" fillId="16" borderId="49" xfId="0" applyFill="1" applyBorder="1" applyAlignment="1">
      <alignment horizontal="left" vertical="center"/>
    </xf>
    <xf numFmtId="0" fontId="3" fillId="0" borderId="1" xfId="0" applyFont="1" applyBorder="1" applyAlignment="1">
      <alignment horizontal="left" vertical="center"/>
    </xf>
    <xf numFmtId="49" fontId="3" fillId="0" borderId="1" xfId="0" applyNumberFormat="1" applyFont="1" applyBorder="1" applyAlignment="1">
      <alignment horizontal="left" vertical="center" wrapText="1"/>
    </xf>
    <xf numFmtId="165" fontId="7" fillId="34" borderId="47" xfId="0" applyNumberFormat="1" applyFont="1" applyFill="1" applyBorder="1" applyAlignment="1">
      <alignment horizontal="center" vertical="center"/>
    </xf>
    <xf numFmtId="165" fontId="7" fillId="34" borderId="81" xfId="0" applyNumberFormat="1" applyFont="1" applyFill="1" applyBorder="1" applyAlignment="1">
      <alignment horizontal="center" vertical="center"/>
    </xf>
    <xf numFmtId="165" fontId="7" fillId="34" borderId="82" xfId="0" applyNumberFormat="1" applyFont="1" applyFill="1" applyBorder="1" applyAlignment="1">
      <alignment horizontal="center" vertical="center"/>
    </xf>
    <xf numFmtId="166" fontId="7" fillId="34" borderId="47" xfId="0" applyNumberFormat="1" applyFont="1" applyFill="1" applyBorder="1" applyAlignment="1">
      <alignment horizontal="center" vertical="center"/>
    </xf>
    <xf numFmtId="166" fontId="7" fillId="34" borderId="81" xfId="0" applyNumberFormat="1" applyFont="1" applyFill="1" applyBorder="1" applyAlignment="1">
      <alignment horizontal="center" vertical="center"/>
    </xf>
    <xf numFmtId="166" fontId="7" fillId="34" borderId="82" xfId="0" applyNumberFormat="1" applyFont="1" applyFill="1" applyBorder="1" applyAlignment="1">
      <alignment horizontal="center" vertical="center"/>
    </xf>
    <xf numFmtId="0" fontId="6" fillId="15" borderId="1" xfId="0" applyFont="1" applyFill="1" applyBorder="1" applyAlignment="1">
      <alignment horizontal="right" vertical="center"/>
    </xf>
    <xf numFmtId="0" fontId="6" fillId="15" borderId="1" xfId="0" applyFont="1" applyFill="1" applyBorder="1" applyAlignment="1">
      <alignment horizontal="center" vertical="center"/>
    </xf>
    <xf numFmtId="0" fontId="6" fillId="15" borderId="90" xfId="0" applyFont="1" applyFill="1" applyBorder="1" applyAlignment="1">
      <alignment horizontal="center" vertical="center"/>
    </xf>
    <xf numFmtId="0" fontId="6" fillId="15" borderId="39" xfId="0" applyFont="1" applyFill="1" applyBorder="1" applyAlignment="1">
      <alignment horizontal="center" vertical="center"/>
    </xf>
    <xf numFmtId="0" fontId="6" fillId="15" borderId="91" xfId="0" applyFont="1" applyFill="1" applyBorder="1" applyAlignment="1">
      <alignment horizontal="center" vertical="center"/>
    </xf>
    <xf numFmtId="0" fontId="6" fillId="34" borderId="1" xfId="0" applyFont="1" applyFill="1" applyBorder="1" applyAlignment="1">
      <alignment horizontal="left" vertical="center"/>
    </xf>
    <xf numFmtId="165" fontId="7" fillId="0" borderId="14" xfId="0" applyNumberFormat="1" applyFont="1" applyBorder="1" applyAlignment="1">
      <alignment horizontal="center" vertical="center"/>
    </xf>
    <xf numFmtId="165" fontId="7" fillId="0" borderId="28" xfId="0" applyNumberFormat="1" applyFont="1" applyBorder="1" applyAlignment="1">
      <alignment horizontal="center" vertical="center"/>
    </xf>
    <xf numFmtId="165" fontId="7" fillId="0" borderId="73" xfId="0" applyNumberFormat="1" applyFont="1" applyBorder="1" applyAlignment="1">
      <alignment horizontal="center" vertical="center"/>
    </xf>
    <xf numFmtId="165" fontId="7" fillId="0" borderId="0" xfId="0" applyNumberFormat="1" applyFont="1" applyAlignment="1">
      <alignment horizontal="center" vertical="center"/>
    </xf>
    <xf numFmtId="165" fontId="7" fillId="0" borderId="37" xfId="0" applyNumberFormat="1" applyFont="1" applyBorder="1" applyAlignment="1">
      <alignment horizontal="center" vertical="center"/>
    </xf>
    <xf numFmtId="0" fontId="6" fillId="35" borderId="85" xfId="0" applyFont="1" applyFill="1" applyBorder="1" applyAlignment="1">
      <alignment horizontal="center" vertical="center"/>
    </xf>
    <xf numFmtId="0" fontId="6" fillId="35" borderId="30" xfId="0" applyFont="1" applyFill="1" applyBorder="1" applyAlignment="1">
      <alignment horizontal="center" vertical="center"/>
    </xf>
    <xf numFmtId="0" fontId="6" fillId="35" borderId="84" xfId="0" applyFont="1" applyFill="1" applyBorder="1" applyAlignment="1">
      <alignment horizontal="center" vertical="center"/>
    </xf>
    <xf numFmtId="44" fontId="7" fillId="35" borderId="85" xfId="0" applyNumberFormat="1" applyFont="1" applyFill="1" applyBorder="1" applyAlignment="1">
      <alignment horizontal="center" vertical="center"/>
    </xf>
    <xf numFmtId="44" fontId="7" fillId="35" borderId="30" xfId="0" applyNumberFormat="1" applyFont="1" applyFill="1" applyBorder="1" applyAlignment="1">
      <alignment horizontal="center" vertical="center"/>
    </xf>
    <xf numFmtId="44" fontId="7" fillId="35" borderId="84" xfId="0" applyNumberFormat="1" applyFont="1" applyFill="1" applyBorder="1" applyAlignment="1">
      <alignment horizontal="center" vertical="center"/>
    </xf>
    <xf numFmtId="0" fontId="6" fillId="5" borderId="1" xfId="0" applyFont="1" applyFill="1" applyBorder="1" applyAlignment="1">
      <alignment horizontal="left" vertical="center"/>
    </xf>
    <xf numFmtId="0" fontId="7" fillId="5" borderId="30" xfId="0" applyFont="1" applyFill="1" applyBorder="1" applyAlignment="1">
      <alignment horizontal="center" vertical="center"/>
    </xf>
    <xf numFmtId="0" fontId="7" fillId="5" borderId="1" xfId="0" applyFont="1" applyFill="1" applyBorder="1" applyAlignment="1">
      <alignment horizontal="center" vertical="center"/>
    </xf>
    <xf numFmtId="0" fontId="7" fillId="5" borderId="85" xfId="0" applyFont="1" applyFill="1" applyBorder="1" applyAlignment="1">
      <alignment horizontal="center" vertical="center"/>
    </xf>
    <xf numFmtId="0" fontId="7" fillId="5" borderId="84" xfId="0" applyFont="1" applyFill="1" applyBorder="1" applyAlignment="1">
      <alignment horizontal="center" vertical="center"/>
    </xf>
    <xf numFmtId="0" fontId="6" fillId="35" borderId="1" xfId="0" applyFont="1" applyFill="1" applyBorder="1" applyAlignment="1">
      <alignment horizontal="right" vertical="center"/>
    </xf>
    <xf numFmtId="0" fontId="6" fillId="35" borderId="2" xfId="0" applyFont="1" applyFill="1" applyBorder="1" applyAlignment="1">
      <alignment horizontal="center" vertical="center"/>
    </xf>
    <xf numFmtId="0" fontId="6" fillId="35" borderId="31" xfId="0" applyFont="1" applyFill="1" applyBorder="1" applyAlignment="1">
      <alignment horizontal="center" vertical="center"/>
    </xf>
    <xf numFmtId="0" fontId="7" fillId="35" borderId="2" xfId="0" applyFont="1" applyFill="1" applyBorder="1" applyAlignment="1">
      <alignment horizontal="center" vertical="center"/>
    </xf>
    <xf numFmtId="0" fontId="7" fillId="35" borderId="30" xfId="0" applyFont="1" applyFill="1" applyBorder="1" applyAlignment="1">
      <alignment horizontal="center" vertical="center"/>
    </xf>
    <xf numFmtId="0" fontId="7" fillId="35" borderId="28" xfId="0" applyFont="1" applyFill="1" applyBorder="1" applyAlignment="1">
      <alignment horizontal="center" vertical="center"/>
    </xf>
    <xf numFmtId="0" fontId="7" fillId="35" borderId="31" xfId="0" applyFont="1" applyFill="1" applyBorder="1" applyAlignment="1">
      <alignment horizontal="center" vertical="center"/>
    </xf>
    <xf numFmtId="0" fontId="7" fillId="0" borderId="14" xfId="0" applyFont="1" applyBorder="1" applyAlignment="1">
      <alignment horizontal="center" vertical="center"/>
    </xf>
    <xf numFmtId="0" fontId="7" fillId="0" borderId="28" xfId="0" applyFont="1" applyBorder="1" applyAlignment="1">
      <alignment horizontal="center" vertical="center"/>
    </xf>
    <xf numFmtId="0" fontId="7" fillId="0" borderId="12" xfId="0" applyFont="1" applyBorder="1" applyAlignment="1">
      <alignment horizontal="center" vertical="center"/>
    </xf>
    <xf numFmtId="0" fontId="7" fillId="0" borderId="29" xfId="0" applyFont="1" applyBorder="1" applyAlignment="1">
      <alignment horizontal="center" vertical="center"/>
    </xf>
    <xf numFmtId="0" fontId="7" fillId="0" borderId="76" xfId="0" applyFont="1" applyBorder="1" applyAlignment="1">
      <alignment horizontal="center" vertical="center"/>
    </xf>
    <xf numFmtId="0" fontId="7" fillId="0" borderId="80" xfId="0" applyFont="1" applyBorder="1" applyAlignment="1">
      <alignment horizontal="center" vertical="center"/>
    </xf>
    <xf numFmtId="164" fontId="7" fillId="16" borderId="7" xfId="0" applyNumberFormat="1" applyFont="1" applyFill="1" applyBorder="1" applyAlignment="1">
      <alignment horizontal="center" vertical="center"/>
    </xf>
    <xf numFmtId="164" fontId="7" fillId="16" borderId="10" xfId="0" applyNumberFormat="1" applyFont="1" applyFill="1" applyBorder="1" applyAlignment="1">
      <alignment horizontal="center" vertical="center"/>
    </xf>
    <xf numFmtId="0" fontId="6" fillId="35" borderId="1" xfId="0" applyFont="1" applyFill="1" applyBorder="1" applyAlignment="1">
      <alignment horizontal="left" vertical="center"/>
    </xf>
    <xf numFmtId="0" fontId="7" fillId="35" borderId="14" xfId="0" applyFont="1" applyFill="1" applyBorder="1" applyAlignment="1">
      <alignment horizontal="center" vertical="center"/>
    </xf>
    <xf numFmtId="0" fontId="7" fillId="35" borderId="76" xfId="0" applyFont="1" applyFill="1" applyBorder="1" applyAlignment="1">
      <alignment horizontal="center" vertical="center"/>
    </xf>
    <xf numFmtId="0" fontId="7" fillId="35" borderId="83" xfId="0" applyFont="1" applyFill="1" applyBorder="1" applyAlignment="1">
      <alignment horizontal="center" vertical="center"/>
    </xf>
    <xf numFmtId="0" fontId="6" fillId="32" borderId="85" xfId="0" applyFont="1" applyFill="1" applyBorder="1" applyAlignment="1">
      <alignment horizontal="center" vertical="center"/>
    </xf>
    <xf numFmtId="0" fontId="6" fillId="32" borderId="30" xfId="0" applyFont="1" applyFill="1" applyBorder="1" applyAlignment="1">
      <alignment horizontal="center" vertical="center"/>
    </xf>
    <xf numFmtId="0" fontId="6" fillId="32" borderId="84" xfId="0" applyFont="1" applyFill="1" applyBorder="1" applyAlignment="1">
      <alignment horizontal="center" vertical="center"/>
    </xf>
    <xf numFmtId="0" fontId="6" fillId="36" borderId="1" xfId="0" applyFont="1" applyFill="1" applyBorder="1" applyAlignment="1">
      <alignment horizontal="right" vertical="center"/>
    </xf>
    <xf numFmtId="0" fontId="7" fillId="36" borderId="30" xfId="0" applyFont="1" applyFill="1" applyBorder="1" applyAlignment="1">
      <alignment horizontal="center" vertical="center"/>
    </xf>
    <xf numFmtId="0" fontId="7" fillId="36" borderId="84" xfId="0" applyFont="1" applyFill="1" applyBorder="1" applyAlignment="1">
      <alignment horizontal="center" vertical="center"/>
    </xf>
    <xf numFmtId="0" fontId="7" fillId="36" borderId="85" xfId="0" applyFont="1" applyFill="1" applyBorder="1" applyAlignment="1">
      <alignment horizontal="center" vertical="center"/>
    </xf>
    <xf numFmtId="0" fontId="6" fillId="32" borderId="1" xfId="0" applyFont="1" applyFill="1" applyBorder="1" applyAlignment="1">
      <alignment horizontal="right" vertical="center"/>
    </xf>
    <xf numFmtId="0" fontId="6" fillId="32" borderId="2" xfId="0" applyFont="1" applyFill="1" applyBorder="1" applyAlignment="1">
      <alignment horizontal="center" vertical="center"/>
    </xf>
    <xf numFmtId="0" fontId="6" fillId="32" borderId="31" xfId="0" applyFont="1" applyFill="1" applyBorder="1" applyAlignment="1">
      <alignment horizontal="center" vertical="center"/>
    </xf>
    <xf numFmtId="0" fontId="7" fillId="32" borderId="2" xfId="0" applyFont="1" applyFill="1" applyBorder="1" applyAlignment="1">
      <alignment horizontal="center" vertical="center"/>
    </xf>
    <xf numFmtId="0" fontId="7" fillId="32" borderId="30" xfId="0" applyFont="1" applyFill="1" applyBorder="1" applyAlignment="1">
      <alignment horizontal="center" vertical="center"/>
    </xf>
    <xf numFmtId="0" fontId="7" fillId="32" borderId="31" xfId="0" applyFont="1" applyFill="1" applyBorder="1" applyAlignment="1">
      <alignment horizontal="center" vertical="center"/>
    </xf>
    <xf numFmtId="0" fontId="7" fillId="32" borderId="28" xfId="0" applyFont="1" applyFill="1" applyBorder="1" applyAlignment="1">
      <alignment horizontal="center" vertical="center"/>
    </xf>
    <xf numFmtId="0" fontId="7" fillId="32" borderId="15" xfId="0" applyFont="1" applyFill="1" applyBorder="1" applyAlignment="1">
      <alignment horizontal="center" vertical="center"/>
    </xf>
    <xf numFmtId="0" fontId="7" fillId="0" borderId="73" xfId="0" applyFont="1" applyBorder="1" applyAlignment="1">
      <alignment horizontal="center" vertical="center"/>
    </xf>
    <xf numFmtId="0" fontId="7" fillId="0" borderId="0" xfId="0" applyFont="1" applyAlignment="1">
      <alignment horizontal="center" vertical="center"/>
    </xf>
    <xf numFmtId="0" fontId="7" fillId="0" borderId="78" xfId="0" applyFont="1" applyBorder="1" applyAlignment="1">
      <alignment horizontal="center" vertical="center"/>
    </xf>
    <xf numFmtId="0" fontId="6" fillId="32" borderId="1" xfId="0" applyFont="1" applyFill="1" applyBorder="1" applyAlignment="1">
      <alignment horizontal="left" vertical="center"/>
    </xf>
    <xf numFmtId="0" fontId="7" fillId="32" borderId="83" xfId="0" applyFont="1" applyFill="1" applyBorder="1" applyAlignment="1">
      <alignment horizontal="center" vertical="center"/>
    </xf>
    <xf numFmtId="0" fontId="7" fillId="32" borderId="14" xfId="0" applyFont="1" applyFill="1" applyBorder="1" applyAlignment="1">
      <alignment horizontal="center" vertical="center"/>
    </xf>
    <xf numFmtId="0" fontId="7" fillId="32" borderId="76" xfId="0" applyFont="1" applyFill="1" applyBorder="1" applyAlignment="1">
      <alignment horizontal="center" vertical="center"/>
    </xf>
    <xf numFmtId="0" fontId="6" fillId="36" borderId="30" xfId="0" applyFont="1" applyFill="1" applyBorder="1" applyAlignment="1">
      <alignment horizontal="center" vertical="center"/>
    </xf>
    <xf numFmtId="0" fontId="6" fillId="36" borderId="85" xfId="0" applyFont="1" applyFill="1" applyBorder="1" applyAlignment="1">
      <alignment horizontal="center" vertical="center"/>
    </xf>
    <xf numFmtId="0" fontId="6" fillId="36" borderId="84" xfId="0" applyFont="1" applyFill="1" applyBorder="1" applyAlignment="1">
      <alignment horizontal="center" vertical="center"/>
    </xf>
    <xf numFmtId="0" fontId="6" fillId="9" borderId="16" xfId="0" applyFont="1" applyFill="1" applyBorder="1" applyAlignment="1">
      <alignment horizontal="right" vertical="center"/>
    </xf>
    <xf numFmtId="0" fontId="6" fillId="9" borderId="30" xfId="0" applyFont="1" applyFill="1" applyBorder="1" applyAlignment="1">
      <alignment horizontal="right" vertical="center"/>
    </xf>
    <xf numFmtId="0" fontId="6" fillId="9" borderId="31" xfId="0" applyFont="1" applyFill="1" applyBorder="1" applyAlignment="1">
      <alignment horizontal="right" vertical="center"/>
    </xf>
    <xf numFmtId="0" fontId="6" fillId="9" borderId="2" xfId="0" applyFont="1" applyFill="1" applyBorder="1" applyAlignment="1">
      <alignment horizontal="center" vertical="center"/>
    </xf>
    <xf numFmtId="0" fontId="6" fillId="9" borderId="30" xfId="0" applyFont="1" applyFill="1" applyBorder="1" applyAlignment="1">
      <alignment horizontal="center" vertical="center"/>
    </xf>
    <xf numFmtId="0" fontId="6" fillId="9" borderId="29" xfId="0" applyFont="1" applyFill="1" applyBorder="1" applyAlignment="1">
      <alignment horizontal="center" vertical="center"/>
    </xf>
    <xf numFmtId="0" fontId="6" fillId="9" borderId="84" xfId="0" applyFont="1" applyFill="1" applyBorder="1" applyAlignment="1">
      <alignment horizontal="center" vertical="center"/>
    </xf>
    <xf numFmtId="0" fontId="6" fillId="9" borderId="31" xfId="0" applyFont="1" applyFill="1" applyBorder="1" applyAlignment="1">
      <alignment horizontal="center" vertical="center"/>
    </xf>
    <xf numFmtId="0" fontId="7" fillId="9" borderId="0" xfId="0" applyFont="1" applyFill="1" applyAlignment="1">
      <alignment horizontal="center" vertical="center"/>
    </xf>
    <xf numFmtId="0" fontId="6" fillId="9" borderId="85" xfId="0" applyFont="1" applyFill="1" applyBorder="1" applyAlignment="1">
      <alignment horizontal="center" vertical="center"/>
    </xf>
    <xf numFmtId="0" fontId="6" fillId="9" borderId="1" xfId="0" applyFont="1" applyFill="1" applyBorder="1" applyAlignment="1">
      <alignment horizontal="left" vertical="center"/>
    </xf>
    <xf numFmtId="0" fontId="7" fillId="9" borderId="2" xfId="0" applyFont="1" applyFill="1" applyBorder="1" applyAlignment="1">
      <alignment horizontal="center" vertical="center"/>
    </xf>
    <xf numFmtId="0" fontId="7" fillId="9" borderId="30" xfId="0" applyFont="1" applyFill="1" applyBorder="1" applyAlignment="1">
      <alignment horizontal="center" vertical="center"/>
    </xf>
    <xf numFmtId="0" fontId="7" fillId="9" borderId="31" xfId="0" applyFont="1" applyFill="1" applyBorder="1" applyAlignment="1">
      <alignment horizontal="center" vertical="center"/>
    </xf>
    <xf numFmtId="0" fontId="7" fillId="9" borderId="83" xfId="0" applyFont="1" applyFill="1" applyBorder="1" applyAlignment="1">
      <alignment horizontal="center" vertical="center"/>
    </xf>
    <xf numFmtId="0" fontId="7" fillId="0" borderId="75" xfId="0" applyFont="1" applyBorder="1" applyAlignment="1">
      <alignment horizontal="center" vertical="center"/>
    </xf>
    <xf numFmtId="0" fontId="7" fillId="0" borderId="77" xfId="0" applyFont="1" applyBorder="1" applyAlignment="1">
      <alignment horizontal="center" vertical="center"/>
    </xf>
    <xf numFmtId="0" fontId="7" fillId="0" borderId="79" xfId="0" applyFont="1" applyBorder="1" applyAlignment="1">
      <alignment horizontal="center" vertical="center"/>
    </xf>
    <xf numFmtId="164" fontId="7" fillId="16" borderId="45" xfId="0" applyNumberFormat="1" applyFont="1" applyFill="1" applyBorder="1" applyAlignment="1">
      <alignment horizontal="center" vertical="center"/>
    </xf>
    <xf numFmtId="0" fontId="6" fillId="33" borderId="16" xfId="0" applyFont="1" applyFill="1" applyBorder="1" applyAlignment="1">
      <alignment horizontal="right" vertical="center"/>
    </xf>
    <xf numFmtId="0" fontId="6" fillId="33" borderId="30" xfId="0" applyFont="1" applyFill="1" applyBorder="1" applyAlignment="1">
      <alignment horizontal="right" vertical="center"/>
    </xf>
    <xf numFmtId="0" fontId="6" fillId="33" borderId="12" xfId="0" applyFont="1" applyFill="1" applyBorder="1" applyAlignment="1">
      <alignment horizontal="center" vertical="center"/>
    </xf>
    <xf numFmtId="0" fontId="6" fillId="33" borderId="29" xfId="0" applyFont="1" applyFill="1" applyBorder="1" applyAlignment="1">
      <alignment horizontal="center" vertical="center"/>
    </xf>
    <xf numFmtId="0" fontId="6" fillId="33" borderId="49" xfId="0" applyFont="1" applyFill="1" applyBorder="1" applyAlignment="1">
      <alignment horizontal="center" vertical="center"/>
    </xf>
    <xf numFmtId="0" fontId="6" fillId="33" borderId="30" xfId="0" applyFont="1" applyFill="1" applyBorder="1" applyAlignment="1">
      <alignment horizontal="center" vertical="center"/>
    </xf>
    <xf numFmtId="0" fontId="6" fillId="33" borderId="84" xfId="0" applyFont="1" applyFill="1" applyBorder="1" applyAlignment="1">
      <alignment horizontal="center" vertical="center"/>
    </xf>
    <xf numFmtId="0" fontId="6" fillId="33" borderId="85" xfId="0" applyFont="1" applyFill="1" applyBorder="1" applyAlignment="1">
      <alignment horizontal="center" vertical="center"/>
    </xf>
    <xf numFmtId="0" fontId="6" fillId="33" borderId="73" xfId="0" applyFont="1" applyFill="1" applyBorder="1" applyAlignment="1">
      <alignment horizontal="center" vertical="center"/>
    </xf>
    <xf numFmtId="0" fontId="6" fillId="33" borderId="0" xfId="0" applyFont="1" applyFill="1" applyAlignment="1">
      <alignment horizontal="center" vertical="center"/>
    </xf>
    <xf numFmtId="0" fontId="6" fillId="33" borderId="87" xfId="0" applyFont="1" applyFill="1" applyBorder="1" applyAlignment="1">
      <alignment horizontal="center" vertical="center"/>
    </xf>
    <xf numFmtId="0" fontId="7" fillId="9" borderId="15" xfId="0" applyFont="1" applyFill="1" applyBorder="1" applyAlignment="1">
      <alignment horizontal="center" vertical="center"/>
    </xf>
    <xf numFmtId="0" fontId="6" fillId="6" borderId="85" xfId="0" applyFont="1" applyFill="1" applyBorder="1" applyAlignment="1">
      <alignment horizontal="center" vertical="center"/>
    </xf>
    <xf numFmtId="0" fontId="6" fillId="6" borderId="30" xfId="0" applyFont="1" applyFill="1" applyBorder="1" applyAlignment="1">
      <alignment horizontal="center" vertical="center"/>
    </xf>
    <xf numFmtId="0" fontId="6" fillId="6" borderId="84" xfId="0" applyFont="1" applyFill="1" applyBorder="1" applyAlignment="1">
      <alignment horizontal="center" vertical="center"/>
    </xf>
    <xf numFmtId="0" fontId="6" fillId="33" borderId="16" xfId="0" applyFont="1" applyFill="1" applyBorder="1" applyAlignment="1">
      <alignment horizontal="left" vertical="center"/>
    </xf>
    <xf numFmtId="0" fontId="6" fillId="33" borderId="30" xfId="0" applyFont="1" applyFill="1" applyBorder="1" applyAlignment="1">
      <alignment horizontal="left" vertical="center"/>
    </xf>
    <xf numFmtId="0" fontId="6" fillId="33" borderId="14" xfId="0" applyFont="1" applyFill="1" applyBorder="1" applyAlignment="1">
      <alignment horizontal="center" vertical="center"/>
    </xf>
    <xf numFmtId="0" fontId="6" fillId="33" borderId="28" xfId="0" applyFont="1" applyFill="1" applyBorder="1" applyAlignment="1">
      <alignment horizontal="center" vertical="center"/>
    </xf>
    <xf numFmtId="0" fontId="6" fillId="33" borderId="50" xfId="0" applyFont="1" applyFill="1" applyBorder="1" applyAlignment="1">
      <alignment horizontal="center" vertical="center"/>
    </xf>
    <xf numFmtId="0" fontId="6" fillId="33" borderId="83" xfId="0" applyFont="1" applyFill="1" applyBorder="1" applyAlignment="1">
      <alignment horizontal="center" vertical="center"/>
    </xf>
    <xf numFmtId="0" fontId="6" fillId="33" borderId="15" xfId="0" applyFont="1" applyFill="1" applyBorder="1" applyAlignment="1">
      <alignment horizontal="center" vertical="center"/>
    </xf>
    <xf numFmtId="0" fontId="6" fillId="6" borderId="1" xfId="0" applyFont="1" applyFill="1" applyBorder="1" applyAlignment="1">
      <alignment horizontal="right" vertical="center"/>
    </xf>
    <xf numFmtId="0" fontId="6" fillId="6" borderId="28" xfId="0" applyFont="1" applyFill="1" applyBorder="1" applyAlignment="1">
      <alignment horizontal="center" vertical="center"/>
    </xf>
    <xf numFmtId="0" fontId="7" fillId="6" borderId="2" xfId="0" applyFont="1" applyFill="1" applyBorder="1" applyAlignment="1">
      <alignment horizontal="center" vertical="center"/>
    </xf>
    <xf numFmtId="0" fontId="7" fillId="6" borderId="30" xfId="0" applyFont="1" applyFill="1" applyBorder="1" applyAlignment="1">
      <alignment horizontal="center" vertical="center"/>
    </xf>
    <xf numFmtId="0" fontId="7" fillId="6" borderId="84" xfId="0" applyFont="1" applyFill="1" applyBorder="1" applyAlignment="1">
      <alignment horizontal="center" vertical="center"/>
    </xf>
    <xf numFmtId="0" fontId="7" fillId="6" borderId="31" xfId="0" applyFont="1" applyFill="1" applyBorder="1" applyAlignment="1">
      <alignment horizontal="center" vertical="center"/>
    </xf>
    <xf numFmtId="164" fontId="7" fillId="0" borderId="14" xfId="0" applyNumberFormat="1" applyFont="1" applyBorder="1" applyAlignment="1">
      <alignment horizontal="center" vertical="center"/>
    </xf>
    <xf numFmtId="164" fontId="7" fillId="0" borderId="28" xfId="0" applyNumberFormat="1" applyFont="1" applyBorder="1" applyAlignment="1">
      <alignment horizontal="center" vertical="center"/>
    </xf>
    <xf numFmtId="164" fontId="7" fillId="0" borderId="76" xfId="0" applyNumberFormat="1" applyFont="1" applyBorder="1" applyAlignment="1">
      <alignment horizontal="center" vertical="center"/>
    </xf>
    <xf numFmtId="164" fontId="7" fillId="0" borderId="73" xfId="0" applyNumberFormat="1" applyFont="1" applyBorder="1" applyAlignment="1">
      <alignment horizontal="center" vertical="center"/>
    </xf>
    <xf numFmtId="164" fontId="7" fillId="0" borderId="0" xfId="0" applyNumberFormat="1" applyFont="1" applyAlignment="1">
      <alignment horizontal="center" vertical="center"/>
    </xf>
    <xf numFmtId="164" fontId="7" fillId="0" borderId="78" xfId="0" applyNumberFormat="1" applyFont="1" applyBorder="1" applyAlignment="1">
      <alignment horizontal="center" vertical="center"/>
    </xf>
    <xf numFmtId="164" fontId="7" fillId="0" borderId="12" xfId="0" applyNumberFormat="1" applyFont="1" applyBorder="1" applyAlignment="1">
      <alignment horizontal="center" vertical="center"/>
    </xf>
    <xf numFmtId="164" fontId="7" fillId="0" borderId="29" xfId="0" applyNumberFormat="1" applyFont="1" applyBorder="1" applyAlignment="1">
      <alignment horizontal="center" vertical="center"/>
    </xf>
    <xf numFmtId="164" fontId="7" fillId="0" borderId="80" xfId="0" applyNumberFormat="1" applyFont="1" applyBorder="1" applyAlignment="1">
      <alignment horizontal="center" vertical="center"/>
    </xf>
    <xf numFmtId="0" fontId="6" fillId="6" borderId="1" xfId="0" applyFont="1" applyFill="1" applyBorder="1" applyAlignment="1">
      <alignment horizontal="left" vertical="center"/>
    </xf>
    <xf numFmtId="0" fontId="7" fillId="6" borderId="1" xfId="0" applyFont="1" applyFill="1" applyBorder="1" applyAlignment="1">
      <alignment horizontal="center" vertical="center"/>
    </xf>
    <xf numFmtId="0" fontId="7" fillId="6" borderId="83" xfId="0" applyFont="1" applyFill="1" applyBorder="1" applyAlignment="1">
      <alignment horizontal="center" vertical="center"/>
    </xf>
    <xf numFmtId="0" fontId="6" fillId="38" borderId="16" xfId="0" applyFont="1" applyFill="1" applyBorder="1" applyAlignment="1">
      <alignment horizontal="right" vertical="center"/>
    </xf>
    <xf numFmtId="0" fontId="6" fillId="38" borderId="30" xfId="0" applyFont="1" applyFill="1" applyBorder="1" applyAlignment="1">
      <alignment horizontal="right" vertical="center"/>
    </xf>
    <xf numFmtId="0" fontId="6" fillId="38" borderId="12" xfId="0" applyFont="1" applyFill="1" applyBorder="1" applyAlignment="1">
      <alignment horizontal="center" vertical="center"/>
    </xf>
    <xf numFmtId="0" fontId="6" fillId="38" borderId="29" xfId="0" applyFont="1" applyFill="1" applyBorder="1" applyAlignment="1">
      <alignment horizontal="center" vertical="center"/>
    </xf>
    <xf numFmtId="0" fontId="6" fillId="38" borderId="49" xfId="0" applyFont="1" applyFill="1" applyBorder="1" applyAlignment="1">
      <alignment horizontal="center" vertical="center"/>
    </xf>
    <xf numFmtId="0" fontId="6" fillId="38" borderId="30" xfId="0" applyFont="1" applyFill="1" applyBorder="1" applyAlignment="1">
      <alignment horizontal="center" vertical="center"/>
    </xf>
    <xf numFmtId="0" fontId="6" fillId="38" borderId="84" xfId="0" applyFont="1" applyFill="1" applyBorder="1" applyAlignment="1">
      <alignment horizontal="center" vertical="center"/>
    </xf>
    <xf numFmtId="0" fontId="6" fillId="38" borderId="85" xfId="0" applyFont="1" applyFill="1" applyBorder="1" applyAlignment="1">
      <alignment horizontal="center" vertical="center"/>
    </xf>
    <xf numFmtId="0" fontId="7" fillId="38" borderId="73" xfId="0" applyFont="1" applyFill="1" applyBorder="1" applyAlignment="1">
      <alignment horizontal="center" vertical="center"/>
    </xf>
    <xf numFmtId="0" fontId="7" fillId="38" borderId="0" xfId="0" applyFont="1" applyFill="1" applyAlignment="1">
      <alignment horizontal="center" vertical="center"/>
    </xf>
    <xf numFmtId="0" fontId="7" fillId="38" borderId="87" xfId="0" applyFont="1" applyFill="1" applyBorder="1" applyAlignment="1">
      <alignment horizontal="center" vertical="center"/>
    </xf>
    <xf numFmtId="0" fontId="6" fillId="31" borderId="85" xfId="0" applyFont="1" applyFill="1" applyBorder="1" applyAlignment="1">
      <alignment horizontal="center" vertical="center"/>
    </xf>
    <xf numFmtId="0" fontId="6" fillId="31" borderId="30" xfId="0" applyFont="1" applyFill="1" applyBorder="1" applyAlignment="1">
      <alignment horizontal="center" vertical="center"/>
    </xf>
    <xf numFmtId="0" fontId="6" fillId="31" borderId="84" xfId="0" applyFont="1" applyFill="1" applyBorder="1" applyAlignment="1">
      <alignment horizontal="center" vertical="center"/>
    </xf>
    <xf numFmtId="0" fontId="6" fillId="38" borderId="16" xfId="0" applyFont="1" applyFill="1" applyBorder="1" applyAlignment="1">
      <alignment horizontal="left" vertical="center"/>
    </xf>
    <xf numFmtId="0" fontId="6" fillId="38" borderId="31" xfId="0" applyFont="1" applyFill="1" applyBorder="1" applyAlignment="1">
      <alignment horizontal="left" vertical="center"/>
    </xf>
    <xf numFmtId="0" fontId="7" fillId="38" borderId="14" xfId="0" applyFont="1" applyFill="1" applyBorder="1" applyAlignment="1">
      <alignment horizontal="center" vertical="center"/>
    </xf>
    <xf numFmtId="0" fontId="7" fillId="38" borderId="28" xfId="0" applyFont="1" applyFill="1" applyBorder="1" applyAlignment="1">
      <alignment horizontal="center" vertical="center"/>
    </xf>
    <xf numFmtId="0" fontId="7" fillId="38" borderId="50" xfId="0" applyFont="1" applyFill="1" applyBorder="1" applyAlignment="1">
      <alignment horizontal="center" vertical="center"/>
    </xf>
    <xf numFmtId="0" fontId="7" fillId="38" borderId="30" xfId="0" applyFont="1" applyFill="1" applyBorder="1" applyAlignment="1">
      <alignment horizontal="center" vertical="center"/>
    </xf>
    <xf numFmtId="0" fontId="7" fillId="38" borderId="31" xfId="0" applyFont="1" applyFill="1" applyBorder="1" applyAlignment="1">
      <alignment horizontal="center" vertical="center"/>
    </xf>
    <xf numFmtId="0" fontId="7" fillId="38" borderId="2" xfId="0" applyFont="1" applyFill="1" applyBorder="1" applyAlignment="1">
      <alignment horizontal="center" vertical="center"/>
    </xf>
    <xf numFmtId="0" fontId="7" fillId="38" borderId="83" xfId="0" applyFont="1" applyFill="1" applyBorder="1" applyAlignment="1">
      <alignment horizontal="center" vertical="center"/>
    </xf>
    <xf numFmtId="0" fontId="7" fillId="38" borderId="85" xfId="0" applyFont="1" applyFill="1" applyBorder="1" applyAlignment="1">
      <alignment horizontal="center" vertical="center"/>
    </xf>
    <xf numFmtId="0" fontId="7" fillId="38" borderId="84" xfId="0" applyFont="1" applyFill="1" applyBorder="1" applyAlignment="1">
      <alignment horizontal="center" vertical="center"/>
    </xf>
    <xf numFmtId="0" fontId="7" fillId="38" borderId="16" xfId="0" applyFont="1" applyFill="1" applyBorder="1" applyAlignment="1">
      <alignment horizontal="center" vertical="center"/>
    </xf>
    <xf numFmtId="0" fontId="7" fillId="38" borderId="15" xfId="0" applyFont="1" applyFill="1" applyBorder="1" applyAlignment="1">
      <alignment horizontal="center" vertical="center"/>
    </xf>
    <xf numFmtId="0" fontId="6" fillId="31" borderId="1" xfId="0" applyFont="1" applyFill="1" applyBorder="1" applyAlignment="1">
      <alignment horizontal="right" vertical="center"/>
    </xf>
    <xf numFmtId="0" fontId="6" fillId="31" borderId="28" xfId="0" applyFont="1" applyFill="1" applyBorder="1" applyAlignment="1">
      <alignment horizontal="center" vertical="center"/>
    </xf>
    <xf numFmtId="166" fontId="7" fillId="0" borderId="85" xfId="0" applyNumberFormat="1" applyFont="1" applyBorder="1" applyAlignment="1">
      <alignment horizontal="center" vertical="center"/>
    </xf>
    <xf numFmtId="166" fontId="7" fillId="0" borderId="30" xfId="0" applyNumberFormat="1" applyFont="1" applyBorder="1" applyAlignment="1">
      <alignment horizontal="center" vertical="center"/>
    </xf>
    <xf numFmtId="166" fontId="7" fillId="0" borderId="31" xfId="0" applyNumberFormat="1" applyFont="1" applyBorder="1" applyAlignment="1">
      <alignment horizontal="center" vertical="center"/>
    </xf>
    <xf numFmtId="0" fontId="6" fillId="33" borderId="1" xfId="0" applyFont="1" applyFill="1" applyBorder="1" applyAlignment="1">
      <alignment horizontal="right" vertical="center"/>
    </xf>
    <xf numFmtId="165" fontId="7" fillId="24" borderId="2" xfId="0" applyNumberFormat="1" applyFont="1" applyFill="1" applyBorder="1" applyAlignment="1">
      <alignment horizontal="center" vertical="center"/>
    </xf>
    <xf numFmtId="165" fontId="7" fillId="24" borderId="30" xfId="0" applyNumberFormat="1" applyFont="1" applyFill="1" applyBorder="1" applyAlignment="1">
      <alignment horizontal="center" vertical="center"/>
    </xf>
    <xf numFmtId="165" fontId="7" fillId="0" borderId="2" xfId="0" applyNumberFormat="1" applyFont="1" applyBorder="1" applyAlignment="1">
      <alignment horizontal="center" vertical="center"/>
    </xf>
    <xf numFmtId="165" fontId="7" fillId="0" borderId="30" xfId="0" applyNumberFormat="1" applyFont="1" applyBorder="1" applyAlignment="1">
      <alignment horizontal="center" vertical="center"/>
    </xf>
    <xf numFmtId="165" fontId="7" fillId="0" borderId="84" xfId="0" applyNumberFormat="1" applyFont="1" applyBorder="1" applyAlignment="1">
      <alignment horizontal="center" vertical="center"/>
    </xf>
    <xf numFmtId="165" fontId="7" fillId="0" borderId="31" xfId="0" applyNumberFormat="1" applyFont="1" applyBorder="1" applyAlignment="1">
      <alignment horizontal="center" vertical="center"/>
    </xf>
    <xf numFmtId="166" fontId="7" fillId="33" borderId="30" xfId="0" applyNumberFormat="1" applyFont="1" applyFill="1" applyBorder="1" applyAlignment="1">
      <alignment horizontal="center" vertical="center"/>
    </xf>
    <xf numFmtId="166" fontId="7" fillId="33" borderId="31" xfId="0" applyNumberFormat="1" applyFont="1" applyFill="1" applyBorder="1" applyAlignment="1">
      <alignment horizontal="center" vertical="center"/>
    </xf>
    <xf numFmtId="165" fontId="7" fillId="33" borderId="2" xfId="0" applyNumberFormat="1" applyFont="1" applyFill="1" applyBorder="1" applyAlignment="1">
      <alignment horizontal="center" vertical="center"/>
    </xf>
    <xf numFmtId="165" fontId="7" fillId="33" borderId="30" xfId="0" applyNumberFormat="1" applyFont="1" applyFill="1" applyBorder="1" applyAlignment="1">
      <alignment horizontal="center" vertical="center"/>
    </xf>
    <xf numFmtId="0" fontId="6" fillId="31" borderId="1" xfId="0" applyFont="1" applyFill="1" applyBorder="1" applyAlignment="1">
      <alignment horizontal="left" vertical="center" wrapText="1"/>
    </xf>
    <xf numFmtId="166" fontId="7" fillId="31" borderId="30" xfId="0" applyNumberFormat="1" applyFont="1" applyFill="1" applyBorder="1" applyAlignment="1">
      <alignment horizontal="center" vertical="center"/>
    </xf>
    <xf numFmtId="166" fontId="7" fillId="31" borderId="31" xfId="0" applyNumberFormat="1" applyFont="1" applyFill="1" applyBorder="1" applyAlignment="1">
      <alignment horizontal="center" vertical="center"/>
    </xf>
    <xf numFmtId="0" fontId="8" fillId="7" borderId="41" xfId="0" applyFont="1" applyFill="1" applyBorder="1" applyAlignment="1">
      <alignment horizontal="center" vertical="center"/>
    </xf>
    <xf numFmtId="0" fontId="8" fillId="7" borderId="66" xfId="0" applyFont="1" applyFill="1" applyBorder="1" applyAlignment="1">
      <alignment horizontal="center" vertical="center"/>
    </xf>
    <xf numFmtId="0" fontId="8" fillId="7" borderId="65" xfId="0" applyFont="1" applyFill="1" applyBorder="1" applyAlignment="1">
      <alignment horizontal="center" vertical="center"/>
    </xf>
    <xf numFmtId="0" fontId="8" fillId="24" borderId="41" xfId="0" applyFont="1" applyFill="1" applyBorder="1" applyAlignment="1">
      <alignment horizontal="center" vertical="center"/>
    </xf>
    <xf numFmtId="0" fontId="8" fillId="24" borderId="66" xfId="0" applyFont="1" applyFill="1" applyBorder="1" applyAlignment="1">
      <alignment horizontal="center" vertical="center"/>
    </xf>
    <xf numFmtId="0" fontId="8" fillId="24" borderId="65" xfId="0" applyFont="1" applyFill="1" applyBorder="1" applyAlignment="1">
      <alignment horizontal="center" vertical="center"/>
    </xf>
    <xf numFmtId="0" fontId="8" fillId="9" borderId="2" xfId="0" applyFont="1" applyFill="1" applyBorder="1" applyAlignment="1">
      <alignment horizontal="center" vertical="center"/>
    </xf>
    <xf numFmtId="0" fontId="8" fillId="9" borderId="30" xfId="0" applyFont="1" applyFill="1" applyBorder="1" applyAlignment="1">
      <alignment horizontal="center" vertical="center"/>
    </xf>
    <xf numFmtId="0" fontId="8" fillId="9" borderId="83" xfId="0" applyFont="1" applyFill="1" applyBorder="1" applyAlignment="1">
      <alignment horizontal="center" vertical="center"/>
    </xf>
    <xf numFmtId="0" fontId="8" fillId="7" borderId="2" xfId="0" applyFont="1" applyFill="1" applyBorder="1" applyAlignment="1">
      <alignment horizontal="center" vertical="center"/>
    </xf>
    <xf numFmtId="0" fontId="8" fillId="7" borderId="31" xfId="0" applyFont="1" applyFill="1" applyBorder="1" applyAlignment="1">
      <alignment horizontal="center" vertical="center"/>
    </xf>
    <xf numFmtId="0" fontId="5" fillId="25" borderId="41" xfId="0" applyFont="1" applyFill="1" applyBorder="1" applyAlignment="1">
      <alignment horizontal="center" vertical="center"/>
    </xf>
    <xf numFmtId="0" fontId="5" fillId="25" borderId="43" xfId="0" applyFont="1" applyFill="1" applyBorder="1" applyAlignment="1">
      <alignment horizontal="center" vertical="center"/>
    </xf>
    <xf numFmtId="0" fontId="7" fillId="16" borderId="73" xfId="0" applyFont="1" applyFill="1" applyBorder="1" applyAlignment="1">
      <alignment horizontal="center" vertical="center"/>
    </xf>
    <xf numFmtId="0" fontId="7" fillId="16" borderId="0" xfId="0" applyFont="1" applyFill="1" applyAlignment="1">
      <alignment horizontal="center" vertical="center"/>
    </xf>
    <xf numFmtId="0" fontId="7" fillId="33" borderId="2" xfId="0" applyFont="1" applyFill="1" applyBorder="1" applyAlignment="1">
      <alignment horizontal="center" vertical="center"/>
    </xf>
    <xf numFmtId="0" fontId="7" fillId="33" borderId="31" xfId="0" applyFont="1" applyFill="1" applyBorder="1" applyAlignment="1">
      <alignment horizontal="center" vertical="center"/>
    </xf>
    <xf numFmtId="0" fontId="5" fillId="16" borderId="1" xfId="0" applyFont="1" applyFill="1" applyBorder="1" applyAlignment="1">
      <alignment horizontal="center" vertical="center"/>
    </xf>
    <xf numFmtId="0" fontId="10" fillId="33" borderId="81" xfId="0" applyFont="1" applyFill="1" applyBorder="1" applyAlignment="1">
      <alignment horizontal="center" vertical="center"/>
    </xf>
    <xf numFmtId="0" fontId="10" fillId="33" borderId="48" xfId="0" applyFont="1" applyFill="1" applyBorder="1" applyAlignment="1">
      <alignment horizontal="center" vertical="center"/>
    </xf>
    <xf numFmtId="0" fontId="10" fillId="2" borderId="47" xfId="0" applyFont="1" applyFill="1" applyBorder="1" applyAlignment="1">
      <alignment horizontal="center" vertical="center"/>
    </xf>
    <xf numFmtId="0" fontId="10" fillId="2" borderId="81" xfId="0" applyFont="1" applyFill="1" applyBorder="1" applyAlignment="1">
      <alignment horizontal="center" vertical="center"/>
    </xf>
    <xf numFmtId="0" fontId="10" fillId="2" borderId="48" xfId="0" applyFont="1" applyFill="1" applyBorder="1" applyAlignment="1">
      <alignment horizontal="center" vertical="center"/>
    </xf>
    <xf numFmtId="0" fontId="10" fillId="25" borderId="47" xfId="0" applyFont="1" applyFill="1" applyBorder="1" applyAlignment="1">
      <alignment horizontal="center" vertical="center"/>
    </xf>
    <xf numFmtId="0" fontId="10" fillId="25" borderId="81" xfId="0" applyFont="1" applyFill="1" applyBorder="1" applyAlignment="1">
      <alignment horizontal="center" vertical="center"/>
    </xf>
    <xf numFmtId="0" fontId="10" fillId="25" borderId="48" xfId="0" applyFont="1" applyFill="1" applyBorder="1" applyAlignment="1">
      <alignment horizontal="center" vertical="center"/>
    </xf>
    <xf numFmtId="0" fontId="10" fillId="38" borderId="47" xfId="0" applyFont="1" applyFill="1" applyBorder="1" applyAlignment="1">
      <alignment horizontal="center" vertical="center"/>
    </xf>
    <xf numFmtId="0" fontId="10" fillId="38" borderId="81" xfId="0" applyFont="1" applyFill="1" applyBorder="1" applyAlignment="1">
      <alignment horizontal="center" vertical="center"/>
    </xf>
    <xf numFmtId="0" fontId="10" fillId="38" borderId="48" xfId="0" applyFont="1" applyFill="1" applyBorder="1" applyAlignment="1">
      <alignment horizontal="center" vertical="center"/>
    </xf>
    <xf numFmtId="0" fontId="10" fillId="33" borderId="47" xfId="0" applyFont="1" applyFill="1" applyBorder="1" applyAlignment="1">
      <alignment horizontal="center" vertical="center"/>
    </xf>
    <xf numFmtId="0" fontId="10" fillId="33" borderId="72" xfId="0" applyFont="1" applyFill="1" applyBorder="1" applyAlignment="1">
      <alignment horizontal="center" vertical="center"/>
    </xf>
    <xf numFmtId="0" fontId="7" fillId="2" borderId="38" xfId="0" applyFont="1" applyFill="1" applyBorder="1" applyAlignment="1">
      <alignment horizontal="center" vertical="center"/>
    </xf>
    <xf numFmtId="0" fontId="7" fillId="2" borderId="40" xfId="0" applyFont="1" applyFill="1" applyBorder="1" applyAlignment="1">
      <alignment horizontal="center" vertical="center"/>
    </xf>
    <xf numFmtId="0" fontId="8" fillId="9" borderId="27" xfId="0" applyFont="1" applyFill="1" applyBorder="1" applyAlignment="1">
      <alignment horizontal="center" vertical="center"/>
    </xf>
    <xf numFmtId="0" fontId="8" fillId="9" borderId="66" xfId="0" applyFont="1" applyFill="1" applyBorder="1" applyAlignment="1">
      <alignment horizontal="center" vertical="center"/>
    </xf>
    <xf numFmtId="0" fontId="8" fillId="9" borderId="86" xfId="0" applyFont="1" applyFill="1" applyBorder="1" applyAlignment="1">
      <alignment horizontal="center" vertical="center"/>
    </xf>
    <xf numFmtId="0" fontId="8" fillId="7" borderId="88" xfId="0" applyFont="1" applyFill="1" applyBorder="1" applyAlignment="1">
      <alignment horizontal="center" vertical="center"/>
    </xf>
    <xf numFmtId="0" fontId="8" fillId="7" borderId="86" xfId="0" applyFont="1" applyFill="1" applyBorder="1" applyAlignment="1">
      <alignment horizontal="center" vertical="center"/>
    </xf>
    <xf numFmtId="0" fontId="8" fillId="6" borderId="88" xfId="0" applyFont="1" applyFill="1" applyBorder="1" applyAlignment="1">
      <alignment horizontal="center" vertical="center"/>
    </xf>
    <xf numFmtId="0" fontId="8" fillId="6" borderId="66" xfId="0" applyFont="1" applyFill="1" applyBorder="1" applyAlignment="1">
      <alignment horizontal="center" vertical="center"/>
    </xf>
    <xf numFmtId="0" fontId="8" fillId="6" borderId="86" xfId="0" applyFont="1" applyFill="1" applyBorder="1" applyAlignment="1">
      <alignment horizontal="center" vertical="center"/>
    </xf>
    <xf numFmtId="0" fontId="8" fillId="6" borderId="65" xfId="0" applyFont="1" applyFill="1" applyBorder="1" applyAlignment="1">
      <alignment horizontal="center" vertical="center"/>
    </xf>
    <xf numFmtId="0" fontId="8" fillId="6" borderId="2" xfId="0" applyFont="1" applyFill="1" applyBorder="1" applyAlignment="1">
      <alignment horizontal="center" vertical="center"/>
    </xf>
    <xf numFmtId="0" fontId="8" fillId="6" borderId="31" xfId="0" applyFont="1" applyFill="1" applyBorder="1" applyAlignment="1">
      <alignment horizontal="center" vertical="center"/>
    </xf>
    <xf numFmtId="0" fontId="11" fillId="0" borderId="30" xfId="0" applyFont="1" applyBorder="1" applyAlignment="1">
      <alignment horizontal="center" vertical="center"/>
    </xf>
    <xf numFmtId="0" fontId="11" fillId="0" borderId="31" xfId="0" applyFont="1" applyBorder="1" applyAlignment="1">
      <alignment horizontal="center" vertical="center"/>
    </xf>
    <xf numFmtId="0" fontId="3" fillId="0" borderId="1" xfId="0" applyFont="1" applyBorder="1" applyAlignment="1">
      <alignment vertical="center" wrapText="1"/>
    </xf>
    <xf numFmtId="0" fontId="8" fillId="9" borderId="31" xfId="0" applyFont="1" applyFill="1" applyBorder="1" applyAlignment="1">
      <alignment horizontal="center" vertical="center"/>
    </xf>
    <xf numFmtId="0" fontId="6" fillId="34" borderId="1" xfId="0" applyFont="1" applyFill="1" applyBorder="1" applyAlignment="1">
      <alignment horizontal="right" vertical="center"/>
    </xf>
    <xf numFmtId="0" fontId="6" fillId="16" borderId="2" xfId="0" applyFont="1" applyFill="1" applyBorder="1" applyAlignment="1">
      <alignment horizontal="center" vertical="center"/>
    </xf>
    <xf numFmtId="0" fontId="6" fillId="16" borderId="30" xfId="0" applyFont="1" applyFill="1" applyBorder="1" applyAlignment="1">
      <alignment horizontal="center" vertical="center"/>
    </xf>
    <xf numFmtId="0" fontId="6" fillId="20" borderId="2" xfId="0" applyFont="1" applyFill="1" applyBorder="1" applyAlignment="1">
      <alignment horizontal="center" vertical="center"/>
    </xf>
    <xf numFmtId="0" fontId="6" fillId="20" borderId="30" xfId="0" applyFont="1" applyFill="1" applyBorder="1" applyAlignment="1">
      <alignment horizontal="center" vertical="center"/>
    </xf>
    <xf numFmtId="0" fontId="6" fillId="20" borderId="84" xfId="0" applyFont="1" applyFill="1" applyBorder="1" applyAlignment="1">
      <alignment horizontal="center" vertical="center"/>
    </xf>
    <xf numFmtId="0" fontId="6" fillId="0" borderId="2" xfId="0" applyFont="1" applyBorder="1" applyAlignment="1">
      <alignment horizontal="center" vertical="center"/>
    </xf>
    <xf numFmtId="0" fontId="6" fillId="0" borderId="30" xfId="0" applyFont="1" applyBorder="1" applyAlignment="1">
      <alignment horizontal="center" vertical="center"/>
    </xf>
    <xf numFmtId="0" fontId="6" fillId="0" borderId="84" xfId="0" applyFont="1" applyBorder="1" applyAlignment="1">
      <alignment horizontal="center" vertical="center"/>
    </xf>
    <xf numFmtId="0" fontId="6" fillId="33" borderId="1" xfId="0" applyFont="1" applyFill="1" applyBorder="1" applyAlignment="1">
      <alignment horizontal="left" vertical="center" wrapText="1"/>
    </xf>
    <xf numFmtId="49" fontId="5" fillId="0" borderId="0" xfId="0" applyNumberFormat="1" applyFont="1" applyAlignment="1">
      <alignment wrapText="1"/>
    </xf>
    <xf numFmtId="0" fontId="5" fillId="0" borderId="0" xfId="0" applyFont="1"/>
    <xf numFmtId="0" fontId="8" fillId="13" borderId="2" xfId="0" applyFont="1" applyFill="1" applyBorder="1" applyAlignment="1">
      <alignment horizontal="center"/>
    </xf>
    <xf numFmtId="0" fontId="8" fillId="13" borderId="31" xfId="0" applyFont="1" applyFill="1" applyBorder="1" applyAlignment="1">
      <alignment horizontal="center"/>
    </xf>
    <xf numFmtId="0" fontId="8" fillId="12" borderId="2" xfId="0" applyFont="1" applyFill="1" applyBorder="1" applyAlignment="1">
      <alignment horizontal="center"/>
    </xf>
    <xf numFmtId="0" fontId="8" fillId="12" borderId="31" xfId="0" applyFont="1" applyFill="1" applyBorder="1" applyAlignment="1">
      <alignment horizontal="center"/>
    </xf>
    <xf numFmtId="0" fontId="11" fillId="8" borderId="30" xfId="0" applyFont="1" applyFill="1" applyBorder="1" applyAlignment="1">
      <alignment horizontal="center"/>
    </xf>
    <xf numFmtId="0" fontId="11" fillId="8" borderId="31" xfId="0" applyFont="1" applyFill="1" applyBorder="1" applyAlignment="1">
      <alignment horizontal="center"/>
    </xf>
    <xf numFmtId="0" fontId="3" fillId="0" borderId="0" xfId="0" applyFont="1" applyAlignment="1">
      <alignment vertical="top" wrapText="1"/>
    </xf>
    <xf numFmtId="0" fontId="10" fillId="2" borderId="47" xfId="0" applyFont="1" applyFill="1" applyBorder="1" applyAlignment="1">
      <alignment horizontal="center"/>
    </xf>
    <xf numFmtId="0" fontId="10" fillId="2" borderId="48" xfId="0" applyFont="1" applyFill="1" applyBorder="1" applyAlignment="1">
      <alignment horizontal="center"/>
    </xf>
    <xf numFmtId="0" fontId="8" fillId="13" borderId="27" xfId="0" applyFont="1" applyFill="1" applyBorder="1" applyAlignment="1">
      <alignment horizontal="center"/>
    </xf>
    <xf numFmtId="0" fontId="8" fillId="13" borderId="43" xfId="0" applyFont="1" applyFill="1" applyBorder="1" applyAlignment="1">
      <alignment horizontal="center"/>
    </xf>
    <xf numFmtId="0" fontId="8" fillId="12" borderId="27" xfId="0" applyFont="1" applyFill="1" applyBorder="1" applyAlignment="1">
      <alignment horizontal="center"/>
    </xf>
    <xf numFmtId="0" fontId="8" fillId="12" borderId="43" xfId="0" applyFont="1" applyFill="1" applyBorder="1" applyAlignment="1">
      <alignment horizontal="center"/>
    </xf>
    <xf numFmtId="0" fontId="94" fillId="34" borderId="38" xfId="0" applyFont="1" applyFill="1" applyBorder="1" applyAlignment="1">
      <alignment horizontal="right" vertical="center"/>
    </xf>
    <xf numFmtId="0" fontId="94" fillId="34" borderId="40" xfId="0" applyFont="1" applyFill="1" applyBorder="1" applyAlignment="1">
      <alignment horizontal="right" vertical="center"/>
    </xf>
    <xf numFmtId="164" fontId="56" fillId="38" borderId="1" xfId="0" applyNumberFormat="1" applyFont="1" applyFill="1" applyBorder="1" applyAlignment="1">
      <alignment horizontal="center" vertical="center"/>
    </xf>
    <xf numFmtId="164" fontId="55" fillId="0" borderId="1" xfId="0" applyNumberFormat="1" applyFont="1" applyBorder="1" applyAlignment="1">
      <alignment horizontal="center" vertical="center"/>
    </xf>
    <xf numFmtId="164" fontId="56" fillId="35" borderId="1" xfId="0" applyNumberFormat="1" applyFont="1" applyFill="1" applyBorder="1" applyAlignment="1">
      <alignment horizontal="center" vertical="center"/>
    </xf>
    <xf numFmtId="164" fontId="56" fillId="32" borderId="1" xfId="0" applyNumberFormat="1" applyFont="1" applyFill="1" applyBorder="1" applyAlignment="1">
      <alignment horizontal="center" vertical="center"/>
    </xf>
    <xf numFmtId="164" fontId="56" fillId="31" borderId="1" xfId="0" applyNumberFormat="1" applyFont="1" applyFill="1" applyBorder="1" applyAlignment="1">
      <alignment horizontal="center" vertical="center" wrapText="1"/>
    </xf>
    <xf numFmtId="164" fontId="56" fillId="36" borderId="1" xfId="0" applyNumberFormat="1" applyFont="1" applyFill="1" applyBorder="1" applyAlignment="1">
      <alignment horizontal="center" vertical="center"/>
    </xf>
    <xf numFmtId="164" fontId="56" fillId="9" borderId="1" xfId="0" applyNumberFormat="1" applyFont="1" applyFill="1" applyBorder="1" applyAlignment="1">
      <alignment horizontal="center" vertical="center"/>
    </xf>
    <xf numFmtId="164" fontId="56" fillId="6" borderId="1" xfId="0" applyNumberFormat="1" applyFont="1" applyFill="1" applyBorder="1" applyAlignment="1">
      <alignment horizontal="center" vertical="center"/>
    </xf>
    <xf numFmtId="164" fontId="56" fillId="33" borderId="1" xfId="0" applyNumberFormat="1" applyFont="1" applyFill="1" applyBorder="1" applyAlignment="1">
      <alignment horizontal="center" vertical="center"/>
    </xf>
    <xf numFmtId="164" fontId="56" fillId="25" borderId="1" xfId="0" applyNumberFormat="1" applyFont="1" applyFill="1" applyBorder="1" applyAlignment="1">
      <alignment horizontal="center" vertical="center"/>
    </xf>
    <xf numFmtId="164" fontId="56" fillId="0" borderId="1" xfId="0" applyNumberFormat="1" applyFont="1" applyBorder="1" applyAlignment="1">
      <alignment horizontal="center" vertical="center"/>
    </xf>
    <xf numFmtId="164" fontId="56" fillId="31" borderId="1" xfId="0" applyNumberFormat="1" applyFont="1" applyFill="1" applyBorder="1" applyAlignment="1">
      <alignment horizontal="center" vertical="center"/>
    </xf>
    <xf numFmtId="164" fontId="56" fillId="15" borderId="1" xfId="0" applyNumberFormat="1" applyFont="1" applyFill="1" applyBorder="1" applyAlignment="1">
      <alignment horizontal="center" vertical="center"/>
    </xf>
    <xf numFmtId="0" fontId="56" fillId="7" borderId="1" xfId="0" applyFont="1" applyFill="1" applyBorder="1" applyAlignment="1">
      <alignment horizontal="center" vertical="center"/>
    </xf>
    <xf numFmtId="0" fontId="89" fillId="25" borderId="1" xfId="0" applyFont="1" applyFill="1" applyBorder="1" applyAlignment="1">
      <alignment horizontal="center" vertical="center"/>
    </xf>
    <xf numFmtId="0" fontId="55" fillId="25" borderId="1" xfId="0" applyFont="1" applyFill="1" applyBorder="1" applyAlignment="1">
      <alignment vertical="center"/>
    </xf>
    <xf numFmtId="0" fontId="56" fillId="32" borderId="1" xfId="0" applyFont="1" applyFill="1" applyBorder="1" applyAlignment="1">
      <alignment horizontal="right" vertical="center"/>
    </xf>
    <xf numFmtId="0" fontId="56" fillId="35" borderId="1" xfId="0" applyFont="1" applyFill="1" applyBorder="1" applyAlignment="1">
      <alignment horizontal="center" vertical="center" wrapText="1"/>
    </xf>
    <xf numFmtId="0" fontId="55" fillId="0" borderId="1" xfId="0" applyFont="1" applyBorder="1" applyAlignment="1">
      <alignment horizontal="left" vertical="center" wrapText="1"/>
    </xf>
    <xf numFmtId="0" fontId="90" fillId="0" borderId="1" xfId="0" applyFont="1" applyBorder="1" applyAlignment="1">
      <alignment horizontal="center" vertical="center"/>
    </xf>
    <xf numFmtId="0" fontId="56" fillId="25" borderId="1" xfId="0" applyFont="1" applyFill="1" applyBorder="1" applyAlignment="1">
      <alignment horizontal="center" vertical="center"/>
    </xf>
    <xf numFmtId="0" fontId="56" fillId="31" borderId="1" xfId="0" applyFont="1" applyFill="1" applyBorder="1" applyAlignment="1">
      <alignment horizontal="center" vertical="center" wrapText="1"/>
    </xf>
    <xf numFmtId="0" fontId="55" fillId="0" borderId="2" xfId="0" applyFont="1" applyBorder="1" applyAlignment="1">
      <alignment horizontal="left" vertical="center" wrapText="1"/>
    </xf>
    <xf numFmtId="0" fontId="56" fillId="38" borderId="1" xfId="0" applyFont="1" applyFill="1" applyBorder="1" applyAlignment="1">
      <alignment horizontal="right" vertical="center"/>
    </xf>
    <xf numFmtId="0" fontId="56" fillId="6" borderId="1" xfId="0" applyFont="1" applyFill="1" applyBorder="1" applyAlignment="1">
      <alignment horizontal="right" vertical="center"/>
    </xf>
    <xf numFmtId="0" fontId="56" fillId="33" borderId="1" xfId="0" applyFont="1" applyFill="1" applyBorder="1" applyAlignment="1">
      <alignment horizontal="center" vertical="center"/>
    </xf>
    <xf numFmtId="0" fontId="56" fillId="6" borderId="0" xfId="0" applyFont="1" applyFill="1" applyAlignment="1">
      <alignment horizontal="center" vertical="center"/>
    </xf>
    <xf numFmtId="0" fontId="56" fillId="6" borderId="29" xfId="0" applyFont="1" applyFill="1" applyBorder="1" applyAlignment="1">
      <alignment horizontal="center" vertical="center"/>
    </xf>
    <xf numFmtId="0" fontId="63" fillId="25" borderId="1" xfId="0" applyFont="1" applyFill="1" applyBorder="1" applyAlignment="1">
      <alignment horizontal="center" vertical="center"/>
    </xf>
    <xf numFmtId="0" fontId="56" fillId="38" borderId="2" xfId="0" applyFont="1" applyFill="1" applyBorder="1" applyAlignment="1">
      <alignment horizontal="center" vertical="center"/>
    </xf>
    <xf numFmtId="0" fontId="56" fillId="38" borderId="31" xfId="0" applyFont="1" applyFill="1" applyBorder="1" applyAlignment="1">
      <alignment horizontal="center" vertical="center"/>
    </xf>
    <xf numFmtId="0" fontId="56" fillId="34" borderId="2" xfId="0" applyFont="1" applyFill="1" applyBorder="1" applyAlignment="1">
      <alignment horizontal="right" vertical="center"/>
    </xf>
    <xf numFmtId="0" fontId="56" fillId="34" borderId="31" xfId="0" applyFont="1" applyFill="1" applyBorder="1" applyAlignment="1">
      <alignment horizontal="right" vertical="center"/>
    </xf>
    <xf numFmtId="0" fontId="56" fillId="32" borderId="1" xfId="0" applyFont="1" applyFill="1" applyBorder="1" applyAlignment="1">
      <alignment horizontal="center" vertical="center"/>
    </xf>
    <xf numFmtId="0" fontId="56" fillId="35" borderId="1" xfId="0" applyFont="1" applyFill="1" applyBorder="1" applyAlignment="1">
      <alignment horizontal="right" vertical="center"/>
    </xf>
    <xf numFmtId="0" fontId="56" fillId="9" borderId="1" xfId="0" applyFont="1" applyFill="1" applyBorder="1" applyAlignment="1">
      <alignment horizontal="right" vertical="center"/>
    </xf>
    <xf numFmtId="0" fontId="56" fillId="32" borderId="1" xfId="0" applyFont="1" applyFill="1" applyBorder="1" applyAlignment="1">
      <alignment horizontal="center" vertical="center" wrapText="1"/>
    </xf>
    <xf numFmtId="0" fontId="56" fillId="33" borderId="1" xfId="0" applyFont="1" applyFill="1" applyBorder="1" applyAlignment="1">
      <alignment horizontal="right" vertical="center"/>
    </xf>
    <xf numFmtId="0" fontId="56" fillId="9" borderId="1" xfId="0" applyFont="1" applyFill="1" applyBorder="1" applyAlignment="1">
      <alignment horizontal="center" vertical="center" wrapText="1"/>
    </xf>
    <xf numFmtId="0" fontId="85" fillId="37" borderId="1" xfId="0" applyFont="1" applyFill="1" applyBorder="1" applyAlignment="1">
      <alignment horizontal="center" vertical="center"/>
    </xf>
    <xf numFmtId="0" fontId="56" fillId="36" borderId="14" xfId="0" applyFont="1" applyFill="1" applyBorder="1" applyAlignment="1">
      <alignment horizontal="center" vertical="center"/>
    </xf>
    <xf numFmtId="0" fontId="56" fillId="36" borderId="28" xfId="0" applyFont="1" applyFill="1" applyBorder="1" applyAlignment="1">
      <alignment horizontal="center" vertical="center"/>
    </xf>
    <xf numFmtId="0" fontId="56" fillId="36" borderId="12" xfId="0" applyFont="1" applyFill="1" applyBorder="1" applyAlignment="1">
      <alignment horizontal="center" vertical="center"/>
    </xf>
    <xf numFmtId="0" fontId="56" fillId="36" borderId="29" xfId="0" applyFont="1" applyFill="1" applyBorder="1" applyAlignment="1">
      <alignment horizontal="center" vertical="center"/>
    </xf>
    <xf numFmtId="0" fontId="56" fillId="15" borderId="1" xfId="0" applyFont="1" applyFill="1" applyBorder="1" applyAlignment="1">
      <alignment horizontal="center" vertical="center"/>
    </xf>
    <xf numFmtId="0" fontId="94" fillId="0" borderId="1" xfId="0" applyFont="1" applyBorder="1" applyAlignment="1">
      <alignment horizontal="center"/>
    </xf>
    <xf numFmtId="0" fontId="98" fillId="24" borderId="1" xfId="0" applyFont="1" applyFill="1" applyBorder="1" applyAlignment="1">
      <alignment horizontal="center" vertical="center" wrapText="1"/>
    </xf>
    <xf numFmtId="0" fontId="96" fillId="25" borderId="1" xfId="0" applyFont="1" applyFill="1" applyBorder="1" applyAlignment="1">
      <alignment vertical="center" wrapText="1"/>
    </xf>
    <xf numFmtId="0" fontId="103" fillId="36" borderId="0" xfId="0" applyFont="1" applyFill="1" applyAlignment="1">
      <alignment wrapText="1"/>
    </xf>
    <xf numFmtId="0" fontId="103" fillId="36" borderId="0" xfId="0" applyFont="1" applyFill="1"/>
    <xf numFmtId="0" fontId="100" fillId="35" borderId="25" xfId="0" applyFont="1" applyFill="1" applyBorder="1" applyAlignment="1">
      <alignment horizontal="center" vertical="center"/>
    </xf>
    <xf numFmtId="0" fontId="100" fillId="35" borderId="39" xfId="0" applyFont="1" applyFill="1" applyBorder="1" applyAlignment="1">
      <alignment horizontal="center" vertical="center"/>
    </xf>
    <xf numFmtId="0" fontId="100" fillId="35" borderId="26" xfId="0" applyFont="1" applyFill="1" applyBorder="1" applyAlignment="1">
      <alignment horizontal="center" vertical="center"/>
    </xf>
    <xf numFmtId="0" fontId="106" fillId="25" borderId="10" xfId="0" applyFont="1" applyFill="1" applyBorder="1" applyAlignment="1">
      <alignment horizontal="left" vertical="center" wrapText="1"/>
    </xf>
    <xf numFmtId="0" fontId="106" fillId="25" borderId="1" xfId="0" applyFont="1" applyFill="1" applyBorder="1" applyAlignment="1">
      <alignment horizontal="left" vertical="center" wrapText="1"/>
    </xf>
    <xf numFmtId="0" fontId="100" fillId="9" borderId="7" xfId="0" applyFont="1" applyFill="1" applyBorder="1" applyAlignment="1">
      <alignment horizontal="center" vertical="center"/>
    </xf>
    <xf numFmtId="0" fontId="98" fillId="24" borderId="1" xfId="0" applyFont="1" applyFill="1" applyBorder="1" applyAlignment="1">
      <alignment horizontal="center" vertical="center"/>
    </xf>
    <xf numFmtId="0" fontId="80" fillId="36" borderId="0" xfId="0" applyFont="1" applyFill="1" applyAlignment="1">
      <alignment vertical="center" wrapText="1"/>
    </xf>
    <xf numFmtId="0" fontId="81" fillId="25" borderId="74" xfId="0" applyFont="1" applyFill="1" applyBorder="1" applyAlignment="1">
      <alignment horizontal="center" vertical="center" wrapText="1"/>
    </xf>
    <xf numFmtId="0" fontId="81" fillId="25" borderId="103" xfId="0" applyFont="1" applyFill="1" applyBorder="1" applyAlignment="1">
      <alignment horizontal="center" vertical="center" wrapText="1"/>
    </xf>
    <xf numFmtId="0" fontId="81" fillId="25" borderId="70" xfId="0" applyFont="1" applyFill="1" applyBorder="1" applyAlignment="1">
      <alignment horizontal="center" vertical="center" wrapText="1"/>
    </xf>
    <xf numFmtId="0" fontId="59" fillId="0" borderId="1" xfId="0" applyFont="1" applyBorder="1" applyAlignment="1">
      <alignment vertical="center"/>
    </xf>
    <xf numFmtId="0" fontId="59" fillId="0" borderId="1" xfId="0" applyFont="1" applyBorder="1" applyAlignment="1">
      <alignment horizontal="left" vertical="center"/>
    </xf>
    <xf numFmtId="0" fontId="73" fillId="32" borderId="25" xfId="0" applyFont="1" applyFill="1" applyBorder="1" applyAlignment="1">
      <alignment horizontal="center" vertical="center"/>
    </xf>
    <xf numFmtId="0" fontId="73" fillId="32" borderId="26" xfId="0" applyFont="1" applyFill="1" applyBorder="1" applyAlignment="1">
      <alignment horizontal="center" vertical="center"/>
    </xf>
    <xf numFmtId="0" fontId="61" fillId="9" borderId="25" xfId="0" applyFont="1" applyFill="1" applyBorder="1" applyAlignment="1">
      <alignment horizontal="center" vertical="center"/>
    </xf>
    <xf numFmtId="0" fontId="61" fillId="9" borderId="39" xfId="0" applyFont="1" applyFill="1" applyBorder="1" applyAlignment="1">
      <alignment horizontal="center" vertical="center"/>
    </xf>
    <xf numFmtId="0" fontId="61" fillId="9" borderId="26" xfId="0" applyFont="1" applyFill="1" applyBorder="1" applyAlignment="1">
      <alignment horizontal="center" vertical="center"/>
    </xf>
    <xf numFmtId="0" fontId="81" fillId="25" borderId="18" xfId="0" applyFont="1" applyFill="1" applyBorder="1" applyAlignment="1">
      <alignment horizontal="center" vertical="center" wrapText="1"/>
    </xf>
    <xf numFmtId="164" fontId="56" fillId="45" borderId="0" xfId="5" applyNumberFormat="1" applyFont="1" applyFill="1" applyAlignment="1" applyProtection="1">
      <alignment horizontal="center" vertical="center" wrapText="1"/>
      <protection locked="0"/>
    </xf>
    <xf numFmtId="0" fontId="56" fillId="6" borderId="1" xfId="0" applyFont="1" applyFill="1" applyBorder="1" applyAlignment="1">
      <alignment horizontal="center" vertical="center"/>
    </xf>
    <xf numFmtId="164" fontId="63" fillId="37" borderId="1" xfId="5" quotePrefix="1" applyNumberFormat="1" applyFont="1" applyFill="1" applyBorder="1" applyAlignment="1">
      <alignment horizontal="center" vertical="center" wrapText="1"/>
    </xf>
    <xf numFmtId="0" fontId="59" fillId="0" borderId="1" xfId="0" applyFont="1" applyBorder="1" applyAlignment="1">
      <alignment horizontal="left" vertical="center" wrapText="1"/>
    </xf>
    <xf numFmtId="0" fontId="63" fillId="24" borderId="1" xfId="0" applyFont="1" applyFill="1" applyBorder="1" applyAlignment="1">
      <alignment horizontal="center" vertical="center"/>
    </xf>
    <xf numFmtId="0" fontId="63" fillId="6" borderId="1" xfId="0" applyFont="1" applyFill="1" applyBorder="1" applyAlignment="1">
      <alignment horizontal="center" vertical="center"/>
    </xf>
    <xf numFmtId="0" fontId="55" fillId="45" borderId="0" xfId="5" applyFont="1" applyFill="1" applyAlignment="1">
      <alignment horizontal="center" vertical="center"/>
    </xf>
    <xf numFmtId="49" fontId="63" fillId="35" borderId="1" xfId="5" applyNumberFormat="1" applyFont="1" applyFill="1" applyBorder="1" applyAlignment="1" applyProtection="1">
      <alignment horizontal="center" vertical="center" wrapText="1"/>
      <protection locked="0"/>
    </xf>
    <xf numFmtId="0" fontId="63" fillId="31" borderId="1" xfId="0" applyFont="1" applyFill="1" applyBorder="1" applyAlignment="1">
      <alignment horizontal="center" vertical="center" wrapText="1"/>
    </xf>
    <xf numFmtId="0" fontId="63" fillId="32" borderId="1" xfId="0" applyFont="1" applyFill="1" applyBorder="1" applyAlignment="1">
      <alignment horizontal="center" vertical="center" wrapText="1"/>
    </xf>
    <xf numFmtId="0" fontId="59" fillId="0" borderId="2" xfId="0" applyFont="1" applyBorder="1" applyAlignment="1">
      <alignment horizontal="center" vertical="center" wrapText="1"/>
    </xf>
    <xf numFmtId="0" fontId="59" fillId="0" borderId="30" xfId="0" applyFont="1" applyBorder="1" applyAlignment="1">
      <alignment horizontal="center" vertical="center" wrapText="1"/>
    </xf>
    <xf numFmtId="0" fontId="59" fillId="0" borderId="31" xfId="0" applyFont="1" applyBorder="1" applyAlignment="1">
      <alignment horizontal="center" vertical="center" wrapText="1"/>
    </xf>
    <xf numFmtId="0" fontId="63" fillId="32" borderId="25" xfId="0" applyFont="1" applyFill="1" applyBorder="1" applyAlignment="1">
      <alignment horizontal="center" vertical="center"/>
    </xf>
    <xf numFmtId="0" fontId="63" fillId="32" borderId="39" xfId="0" applyFont="1" applyFill="1" applyBorder="1" applyAlignment="1">
      <alignment horizontal="center" vertical="center"/>
    </xf>
    <xf numFmtId="0" fontId="63" fillId="32" borderId="26" xfId="0" applyFont="1" applyFill="1" applyBorder="1" applyAlignment="1">
      <alignment horizontal="center" vertical="center"/>
    </xf>
    <xf numFmtId="0" fontId="58" fillId="33" borderId="1" xfId="0" applyFont="1" applyFill="1" applyBorder="1" applyAlignment="1">
      <alignment horizontal="center" vertical="center" wrapText="1"/>
    </xf>
    <xf numFmtId="0" fontId="63" fillId="31" borderId="1" xfId="0" applyFont="1" applyFill="1" applyBorder="1" applyAlignment="1">
      <alignment horizontal="center" vertical="center"/>
    </xf>
    <xf numFmtId="0" fontId="55" fillId="45" borderId="37" xfId="5" applyFont="1" applyFill="1" applyBorder="1" applyAlignment="1">
      <alignment horizontal="center" vertical="center"/>
    </xf>
    <xf numFmtId="49" fontId="56" fillId="45" borderId="0" xfId="5" applyNumberFormat="1" applyFont="1" applyFill="1" applyAlignment="1" applyProtection="1">
      <alignment horizontal="center" vertical="center" wrapText="1"/>
      <protection locked="0"/>
    </xf>
    <xf numFmtId="0" fontId="56" fillId="31" borderId="1" xfId="5" applyFont="1" applyFill="1" applyBorder="1" applyAlignment="1">
      <alignment horizontal="center" vertical="center"/>
    </xf>
    <xf numFmtId="0" fontId="63" fillId="9" borderId="25" xfId="2" applyFont="1" applyFill="1" applyBorder="1" applyAlignment="1">
      <alignment horizontal="center" vertical="center"/>
    </xf>
    <xf numFmtId="0" fontId="63" fillId="9" borderId="39" xfId="2" applyFont="1" applyFill="1" applyBorder="1" applyAlignment="1">
      <alignment horizontal="center" vertical="center"/>
    </xf>
    <xf numFmtId="0" fontId="63" fillId="9" borderId="26" xfId="2" applyFont="1" applyFill="1" applyBorder="1" applyAlignment="1">
      <alignment horizontal="center" vertical="center"/>
    </xf>
    <xf numFmtId="0" fontId="56" fillId="31" borderId="25" xfId="0" applyFont="1" applyFill="1" applyBorder="1" applyAlignment="1">
      <alignment horizontal="center" vertical="center"/>
    </xf>
    <xf numFmtId="0" fontId="56" fillId="31" borderId="26" xfId="0" applyFont="1" applyFill="1" applyBorder="1" applyAlignment="1">
      <alignment horizontal="center" vertical="center"/>
    </xf>
    <xf numFmtId="0" fontId="55" fillId="0" borderId="1" xfId="0" applyFont="1" applyBorder="1" applyAlignment="1">
      <alignment vertical="center"/>
    </xf>
    <xf numFmtId="0" fontId="55" fillId="36" borderId="29" xfId="0" applyFont="1" applyFill="1" applyBorder="1" applyAlignment="1">
      <alignment horizontal="center" vertical="center"/>
    </xf>
    <xf numFmtId="0" fontId="73" fillId="31" borderId="25" xfId="0" applyFont="1" applyFill="1" applyBorder="1" applyAlignment="1">
      <alignment horizontal="center" vertical="center"/>
    </xf>
    <xf numFmtId="0" fontId="73" fillId="31" borderId="26" xfId="0" applyFont="1" applyFill="1" applyBorder="1" applyAlignment="1">
      <alignment horizontal="center" vertical="center"/>
    </xf>
    <xf numFmtId="0" fontId="63" fillId="9" borderId="25" xfId="0" applyFont="1" applyFill="1" applyBorder="1" applyAlignment="1">
      <alignment horizontal="center" vertical="center"/>
    </xf>
    <xf numFmtId="0" fontId="63" fillId="9" borderId="39" xfId="0" applyFont="1" applyFill="1" applyBorder="1" applyAlignment="1">
      <alignment horizontal="center" vertical="center"/>
    </xf>
    <xf numFmtId="0" fontId="63" fillId="9" borderId="26" xfId="0" applyFont="1" applyFill="1" applyBorder="1" applyAlignment="1">
      <alignment horizontal="center" vertical="center"/>
    </xf>
    <xf numFmtId="0" fontId="59" fillId="0" borderId="31" xfId="0" applyFont="1" applyBorder="1" applyAlignment="1">
      <alignment horizontal="left" vertical="center" wrapText="1"/>
    </xf>
    <xf numFmtId="0" fontId="63" fillId="33" borderId="95" xfId="0" applyFont="1" applyFill="1" applyBorder="1" applyAlignment="1">
      <alignment horizontal="center" vertical="center"/>
    </xf>
    <xf numFmtId="0" fontId="63" fillId="33" borderId="101" xfId="0" applyFont="1" applyFill="1" applyBorder="1" applyAlignment="1">
      <alignment horizontal="center" vertical="center"/>
    </xf>
    <xf numFmtId="0" fontId="63" fillId="33" borderId="100" xfId="0" applyFont="1" applyFill="1" applyBorder="1" applyAlignment="1">
      <alignment horizontal="center" vertical="center"/>
    </xf>
    <xf numFmtId="0" fontId="73" fillId="33" borderId="38" xfId="0" applyFont="1" applyFill="1" applyBorder="1" applyAlignment="1">
      <alignment horizontal="center" vertical="center" wrapText="1"/>
    </xf>
    <xf numFmtId="0" fontId="73" fillId="33" borderId="44" xfId="0" applyFont="1" applyFill="1" applyBorder="1" applyAlignment="1">
      <alignment horizontal="center" vertical="center" wrapText="1"/>
    </xf>
    <xf numFmtId="0" fontId="62" fillId="0" borderId="31" xfId="0" applyFont="1" applyBorder="1" applyAlignment="1">
      <alignment horizontal="left" vertical="center" wrapText="1"/>
    </xf>
    <xf numFmtId="0" fontId="56" fillId="0" borderId="0" xfId="0" applyFont="1" applyAlignment="1">
      <alignment vertical="center" wrapText="1"/>
    </xf>
    <xf numFmtId="0" fontId="56" fillId="0" borderId="0" xfId="0" applyFont="1" applyAlignment="1">
      <alignment horizontal="left" vertical="center" wrapText="1"/>
    </xf>
    <xf numFmtId="0" fontId="56" fillId="0" borderId="0" xfId="0" applyFont="1" applyAlignment="1">
      <alignment vertical="center"/>
    </xf>
    <xf numFmtId="0" fontId="58" fillId="33" borderId="1" xfId="0" applyFont="1" applyFill="1" applyBorder="1" applyAlignment="1">
      <alignment horizontal="center" vertical="center"/>
    </xf>
    <xf numFmtId="0" fontId="74" fillId="31" borderId="25" xfId="0" applyFont="1" applyFill="1" applyBorder="1" applyAlignment="1">
      <alignment horizontal="center" vertical="center" wrapText="1"/>
    </xf>
    <xf numFmtId="0" fontId="74" fillId="31" borderId="39" xfId="0" applyFont="1" applyFill="1" applyBorder="1" applyAlignment="1">
      <alignment horizontal="center" vertical="center" wrapText="1"/>
    </xf>
    <xf numFmtId="0" fontId="74" fillId="31" borderId="26" xfId="0" applyFont="1" applyFill="1" applyBorder="1" applyAlignment="1">
      <alignment horizontal="center" vertical="center" wrapText="1"/>
    </xf>
    <xf numFmtId="0" fontId="58" fillId="9" borderId="21" xfId="0" applyFont="1" applyFill="1" applyBorder="1" applyAlignment="1">
      <alignment horizontal="center" vertical="center"/>
    </xf>
    <xf numFmtId="0" fontId="58" fillId="9" borderId="22" xfId="0" applyFont="1" applyFill="1" applyBorder="1" applyAlignment="1">
      <alignment horizontal="center" vertical="center"/>
    </xf>
    <xf numFmtId="0" fontId="58" fillId="9" borderId="24" xfId="0" applyFont="1" applyFill="1" applyBorder="1" applyAlignment="1">
      <alignment horizontal="center" vertical="center"/>
    </xf>
    <xf numFmtId="0" fontId="74" fillId="9" borderId="8" xfId="0" applyFont="1" applyFill="1" applyBorder="1" applyAlignment="1">
      <alignment horizontal="center" vertical="center" wrapText="1"/>
    </xf>
    <xf numFmtId="0" fontId="74" fillId="9" borderId="5" xfId="0" applyFont="1" applyFill="1" applyBorder="1" applyAlignment="1">
      <alignment horizontal="center" vertical="center" wrapText="1"/>
    </xf>
    <xf numFmtId="0" fontId="74" fillId="9" borderId="97" xfId="0" applyFont="1" applyFill="1" applyBorder="1" applyAlignment="1">
      <alignment horizontal="center" vertical="center" wrapText="1"/>
    </xf>
    <xf numFmtId="0" fontId="70" fillId="33" borderId="2" xfId="12" applyFont="1" applyFill="1" applyBorder="1" applyAlignment="1">
      <alignment horizontal="right" vertical="center"/>
    </xf>
    <xf numFmtId="0" fontId="70" fillId="33" borderId="30" xfId="12" applyFont="1" applyFill="1" applyBorder="1" applyAlignment="1">
      <alignment horizontal="right" vertical="center"/>
    </xf>
    <xf numFmtId="0" fontId="70" fillId="33" borderId="31" xfId="12" applyFont="1" applyFill="1" applyBorder="1" applyAlignment="1">
      <alignment horizontal="right" vertical="center"/>
    </xf>
    <xf numFmtId="0" fontId="68" fillId="39" borderId="2" xfId="12" applyFont="1" applyFill="1" applyBorder="1" applyAlignment="1">
      <alignment horizontal="center" vertical="center"/>
    </xf>
    <xf numFmtId="0" fontId="68" fillId="39" borderId="30" xfId="12" applyFont="1" applyFill="1" applyBorder="1" applyAlignment="1">
      <alignment horizontal="center" vertical="center"/>
    </xf>
    <xf numFmtId="0" fontId="68" fillId="39" borderId="31" xfId="12" applyFont="1" applyFill="1" applyBorder="1" applyAlignment="1">
      <alignment horizontal="center" vertical="center"/>
    </xf>
    <xf numFmtId="0" fontId="68" fillId="40" borderId="2" xfId="12" applyFont="1" applyFill="1" applyBorder="1" applyAlignment="1">
      <alignment horizontal="center" vertical="center"/>
    </xf>
    <xf numFmtId="0" fontId="68" fillId="40" borderId="30" xfId="12" applyFont="1" applyFill="1" applyBorder="1" applyAlignment="1">
      <alignment horizontal="center" vertical="center"/>
    </xf>
    <xf numFmtId="0" fontId="68" fillId="40" borderId="31" xfId="12" applyFont="1" applyFill="1" applyBorder="1" applyAlignment="1">
      <alignment horizontal="center" vertical="center"/>
    </xf>
    <xf numFmtId="0" fontId="68" fillId="41" borderId="2" xfId="12" applyFont="1" applyFill="1" applyBorder="1" applyAlignment="1">
      <alignment horizontal="center" vertical="center"/>
    </xf>
    <xf numFmtId="0" fontId="68" fillId="41" borderId="30" xfId="12" applyFont="1" applyFill="1" applyBorder="1" applyAlignment="1">
      <alignment horizontal="center" vertical="center"/>
    </xf>
    <xf numFmtId="0" fontId="68" fillId="41" borderId="31" xfId="12" applyFont="1" applyFill="1" applyBorder="1" applyAlignment="1">
      <alignment horizontal="center" vertical="center"/>
    </xf>
    <xf numFmtId="0" fontId="63" fillId="32" borderId="1" xfId="5" applyFont="1" applyFill="1" applyBorder="1" applyAlignment="1">
      <alignment horizontal="center" vertical="center"/>
    </xf>
    <xf numFmtId="0" fontId="63" fillId="0" borderId="2" xfId="5" applyFont="1" applyBorder="1" applyAlignment="1">
      <alignment horizontal="center" vertical="center"/>
    </xf>
    <xf numFmtId="0" fontId="63" fillId="0" borderId="30" xfId="5" applyFont="1" applyBorder="1" applyAlignment="1">
      <alignment horizontal="center" vertical="center"/>
    </xf>
    <xf numFmtId="0" fontId="63" fillId="0" borderId="31" xfId="5" applyFont="1" applyBorder="1" applyAlignment="1">
      <alignment horizontal="center" vertical="center"/>
    </xf>
    <xf numFmtId="0" fontId="38" fillId="9" borderId="2" xfId="5" applyFont="1" applyFill="1" applyBorder="1" applyAlignment="1">
      <alignment horizontal="center" vertical="center"/>
    </xf>
    <xf numFmtId="0" fontId="38" fillId="9" borderId="30" xfId="5" applyFont="1" applyFill="1" applyBorder="1" applyAlignment="1">
      <alignment horizontal="center" vertical="center"/>
    </xf>
    <xf numFmtId="0" fontId="38" fillId="9" borderId="31" xfId="5" applyFont="1" applyFill="1" applyBorder="1" applyAlignment="1">
      <alignment horizontal="center" vertical="center"/>
    </xf>
    <xf numFmtId="0" fontId="39" fillId="24" borderId="2" xfId="5" applyFont="1" applyFill="1" applyBorder="1" applyAlignment="1">
      <alignment horizontal="center" vertical="center"/>
    </xf>
    <xf numFmtId="0" fontId="39" fillId="24" borderId="30" xfId="5" applyFont="1" applyFill="1" applyBorder="1" applyAlignment="1">
      <alignment horizontal="center" vertical="center"/>
    </xf>
    <xf numFmtId="0" fontId="39" fillId="24" borderId="31" xfId="5" applyFont="1" applyFill="1" applyBorder="1" applyAlignment="1">
      <alignment horizontal="center" vertical="center"/>
    </xf>
    <xf numFmtId="0" fontId="40" fillId="25" borderId="2" xfId="5" applyFont="1" applyFill="1" applyBorder="1" applyAlignment="1">
      <alignment horizontal="center" vertical="center"/>
    </xf>
    <xf numFmtId="0" fontId="40" fillId="25" borderId="30" xfId="5" applyFont="1" applyFill="1" applyBorder="1" applyAlignment="1">
      <alignment horizontal="center" vertical="center"/>
    </xf>
    <xf numFmtId="0" fontId="40" fillId="25" borderId="31" xfId="5" applyFont="1" applyFill="1" applyBorder="1" applyAlignment="1">
      <alignment horizontal="center" vertical="center"/>
    </xf>
    <xf numFmtId="0" fontId="16" fillId="0" borderId="0" xfId="0" applyFont="1" applyAlignment="1">
      <alignment horizontal="center"/>
    </xf>
    <xf numFmtId="0" fontId="3" fillId="0" borderId="0" xfId="0" applyFont="1" applyAlignment="1">
      <alignment horizontal="left" vertical="top" wrapText="1"/>
    </xf>
    <xf numFmtId="0" fontId="14" fillId="0" borderId="0" xfId="0" applyFont="1" applyAlignment="1">
      <alignment horizontal="left" vertical="top" wrapText="1"/>
    </xf>
    <xf numFmtId="0" fontId="47" fillId="9" borderId="7" xfId="9" applyFont="1" applyFill="1" applyBorder="1" applyAlignment="1">
      <alignment horizontal="center" vertical="center" wrapText="1"/>
    </xf>
    <xf numFmtId="0" fontId="47" fillId="9" borderId="45" xfId="9" applyFont="1" applyFill="1" applyBorder="1" applyAlignment="1">
      <alignment horizontal="center" vertical="center" wrapText="1"/>
    </xf>
    <xf numFmtId="0" fontId="43" fillId="28" borderId="2" xfId="9" applyFont="1" applyFill="1" applyBorder="1" applyAlignment="1">
      <alignment horizontal="center" vertical="center" wrapText="1"/>
    </xf>
    <xf numFmtId="0" fontId="43" fillId="28" borderId="30" xfId="9" applyFont="1" applyFill="1" applyBorder="1" applyAlignment="1">
      <alignment horizontal="center" vertical="center" wrapText="1"/>
    </xf>
    <xf numFmtId="0" fontId="43" fillId="28" borderId="31" xfId="9" applyFont="1" applyFill="1" applyBorder="1" applyAlignment="1">
      <alignment horizontal="center" vertical="center" wrapText="1"/>
    </xf>
    <xf numFmtId="0" fontId="44" fillId="28" borderId="1" xfId="9" applyFont="1" applyFill="1" applyBorder="1" applyAlignment="1">
      <alignment horizontal="left" vertical="center" wrapText="1"/>
    </xf>
    <xf numFmtId="0" fontId="45" fillId="0" borderId="1" xfId="9" applyFont="1" applyBorder="1" applyAlignment="1">
      <alignment horizontal="left" vertical="center" wrapText="1"/>
    </xf>
    <xf numFmtId="0" fontId="49" fillId="28" borderId="2" xfId="9" applyFont="1" applyFill="1" applyBorder="1" applyAlignment="1">
      <alignment horizontal="right" vertical="center" wrapText="1"/>
    </xf>
    <xf numFmtId="0" fontId="49" fillId="28" borderId="30" xfId="9" applyFont="1" applyFill="1" applyBorder="1" applyAlignment="1">
      <alignment horizontal="right" vertical="center" wrapText="1"/>
    </xf>
    <xf numFmtId="0" fontId="49" fillId="28" borderId="31" xfId="9" applyFont="1" applyFill="1" applyBorder="1" applyAlignment="1">
      <alignment horizontal="right" vertical="center" wrapText="1"/>
    </xf>
    <xf numFmtId="171" fontId="49" fillId="28" borderId="1" xfId="10" applyNumberFormat="1" applyFont="1" applyFill="1" applyBorder="1" applyAlignment="1">
      <alignment horizontal="center" vertical="center" wrapText="1"/>
    </xf>
    <xf numFmtId="0" fontId="34" fillId="28" borderId="2" xfId="9" applyFont="1" applyFill="1" applyBorder="1" applyAlignment="1">
      <alignment horizontal="center" vertical="center" wrapText="1"/>
    </xf>
    <xf numFmtId="0" fontId="34" fillId="28" borderId="30" xfId="9" applyFont="1" applyFill="1" applyBorder="1" applyAlignment="1">
      <alignment horizontal="center" vertical="center" wrapText="1"/>
    </xf>
    <xf numFmtId="0" fontId="34" fillId="28" borderId="31" xfId="9" applyFont="1" applyFill="1" applyBorder="1" applyAlignment="1">
      <alignment horizontal="center" vertical="center" wrapText="1"/>
    </xf>
    <xf numFmtId="0" fontId="50" fillId="24" borderId="7" xfId="9" applyFont="1" applyFill="1" applyBorder="1" applyAlignment="1">
      <alignment horizontal="center" vertical="center" wrapText="1"/>
    </xf>
    <xf numFmtId="0" fontId="50" fillId="24" borderId="45" xfId="9" applyFont="1" applyFill="1" applyBorder="1" applyAlignment="1">
      <alignment horizontal="center" vertical="center" wrapText="1"/>
    </xf>
    <xf numFmtId="0" fontId="51" fillId="25" borderId="7" xfId="9" applyFont="1" applyFill="1" applyBorder="1" applyAlignment="1">
      <alignment horizontal="center" vertical="center" wrapText="1"/>
    </xf>
    <xf numFmtId="0" fontId="51" fillId="25" borderId="45" xfId="9" applyFont="1" applyFill="1" applyBorder="1" applyAlignment="1">
      <alignment horizontal="center" vertical="center" wrapText="1"/>
    </xf>
    <xf numFmtId="0" fontId="52" fillId="28" borderId="2" xfId="9" applyFont="1" applyFill="1" applyBorder="1" applyAlignment="1">
      <alignment horizontal="right" vertical="center" wrapText="1"/>
    </xf>
    <xf numFmtId="0" fontId="52" fillId="28" borderId="30" xfId="9" applyFont="1" applyFill="1" applyBorder="1" applyAlignment="1">
      <alignment horizontal="right" vertical="center" wrapText="1"/>
    </xf>
    <xf numFmtId="0" fontId="52" fillId="28" borderId="31" xfId="9" applyFont="1" applyFill="1" applyBorder="1" applyAlignment="1">
      <alignment horizontal="right" vertical="center" wrapText="1"/>
    </xf>
    <xf numFmtId="171" fontId="52" fillId="28" borderId="1" xfId="10" applyNumberFormat="1" applyFont="1" applyFill="1" applyBorder="1" applyAlignment="1">
      <alignment horizontal="center" vertical="center" wrapText="1"/>
    </xf>
    <xf numFmtId="0" fontId="53" fillId="28" borderId="2" xfId="9" applyFont="1" applyFill="1" applyBorder="1" applyAlignment="1">
      <alignment horizontal="center" vertical="center" wrapText="1"/>
    </xf>
    <xf numFmtId="0" fontId="53" fillId="28" borderId="30" xfId="9" applyFont="1" applyFill="1" applyBorder="1" applyAlignment="1">
      <alignment horizontal="center" vertical="center" wrapText="1"/>
    </xf>
    <xf numFmtId="0" fontId="53" fillId="28" borderId="31" xfId="9" applyFont="1" applyFill="1" applyBorder="1" applyAlignment="1">
      <alignment horizontal="center" vertical="center" wrapText="1"/>
    </xf>
  </cellXfs>
  <cellStyles count="15">
    <cellStyle name="Currency" xfId="1" builtinId="4"/>
    <cellStyle name="Currency 2" xfId="11" xr:uid="{95EDF037-ECE4-4A3D-B26D-F42CEB3638E4}"/>
    <cellStyle name="Currency 2 2" xfId="10" xr:uid="{00000000-0005-0000-0000-000001000000}"/>
    <cellStyle name="Currency 3" xfId="8" xr:uid="{00000000-0005-0000-0000-000002000000}"/>
    <cellStyle name="Currency 3 2" xfId="13" xr:uid="{5C2A3229-6C51-4C3D-A0A3-C68E2A24C242}"/>
    <cellStyle name="Normal" xfId="0" builtinId="0"/>
    <cellStyle name="Normal 2" xfId="5" xr:uid="{00000000-0005-0000-0000-000004000000}"/>
    <cellStyle name="Normal 3 2" xfId="9" xr:uid="{00000000-0005-0000-0000-000005000000}"/>
    <cellStyle name="Normal 4" xfId="7" xr:uid="{00000000-0005-0000-0000-000006000000}"/>
    <cellStyle name="Normal 4 2" xfId="12" xr:uid="{3616A740-ACF5-44EF-999C-23E013F7F182}"/>
    <cellStyle name="Normal_020719 NIHprop SLD Costing1-lowOH" xfId="2" xr:uid="{00000000-0005-0000-0000-000007000000}"/>
    <cellStyle name="Normal_020812 Navy LowCostCS Costing" xfId="3" xr:uid="{00000000-0005-0000-0000-000008000000}"/>
    <cellStyle name="Normal_COGS YR 1" xfId="4" xr:uid="{00000000-0005-0000-0000-000009000000}"/>
    <cellStyle name="Normal_COGS YR 1 2" xfId="6" xr:uid="{00000000-0005-0000-0000-00000A000000}"/>
    <cellStyle name="Percent" xfId="14" builtinId="5"/>
  </cellStyles>
  <dxfs count="11">
    <dxf>
      <font>
        <b/>
        <i val="0"/>
      </font>
      <fill>
        <patternFill>
          <bgColor theme="8" tint="0.59996337778862885"/>
        </patternFill>
      </fill>
    </dxf>
    <dxf>
      <font>
        <b/>
        <i val="0"/>
      </font>
      <fill>
        <patternFill>
          <bgColor theme="5" tint="0.59996337778862885"/>
        </patternFill>
      </fill>
    </dxf>
    <dxf>
      <font>
        <b/>
        <i val="0"/>
      </font>
      <fill>
        <patternFill>
          <bgColor theme="8" tint="0.59996337778862885"/>
        </patternFill>
      </fill>
    </dxf>
    <dxf>
      <font>
        <b/>
        <i val="0"/>
      </font>
      <fill>
        <patternFill>
          <bgColor theme="5" tint="0.59996337778862885"/>
        </patternFill>
      </fill>
    </dxf>
    <dxf>
      <font>
        <b/>
        <i val="0"/>
      </font>
      <fill>
        <patternFill>
          <bgColor rgb="FF92D050"/>
        </patternFill>
      </fill>
    </dxf>
    <dxf>
      <font>
        <b/>
        <i val="0"/>
        <color theme="0"/>
      </font>
      <fill>
        <patternFill>
          <bgColor theme="9"/>
        </patternFill>
      </fill>
    </dxf>
    <dxf>
      <font>
        <b/>
        <i val="0"/>
      </font>
      <fill>
        <patternFill>
          <bgColor theme="8" tint="0.59996337778862885"/>
        </patternFill>
      </fill>
    </dxf>
    <dxf>
      <font>
        <b/>
        <i val="0"/>
      </font>
      <fill>
        <patternFill>
          <bgColor theme="5" tint="0.59996337778862885"/>
        </patternFill>
      </fill>
    </dxf>
    <dxf>
      <fill>
        <gradientFill degree="225">
          <stop position="0">
            <color theme="0"/>
          </stop>
          <stop position="1">
            <color rgb="FFFF0000"/>
          </stop>
        </gradientFill>
      </fill>
    </dxf>
    <dxf>
      <fill>
        <patternFill>
          <bgColor rgb="FFFFFF00"/>
        </patternFill>
      </fill>
    </dxf>
    <dxf>
      <font>
        <color theme="0" tint="-0.24994659260841701"/>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E9A3"/>
      <color rgb="FFC6E6A2"/>
      <color rgb="FFCCFFFF"/>
      <color rgb="FFF3FAD6"/>
      <color rgb="FFECECEC"/>
      <color rgb="FFCCFFCC"/>
      <color rgb="FFF79646"/>
      <color rgb="FF5BFFBD"/>
      <color rgb="FF00FF99"/>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oneCellAnchor>
    <xdr:from>
      <xdr:col>3</xdr:col>
      <xdr:colOff>1231900</xdr:colOff>
      <xdr:row>1</xdr:row>
      <xdr:rowOff>101600</xdr:rowOff>
    </xdr:from>
    <xdr:ext cx="184731" cy="264560"/>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12862560" y="1041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1231900</xdr:colOff>
      <xdr:row>1</xdr:row>
      <xdr:rowOff>101600</xdr:rowOff>
    </xdr:from>
    <xdr:ext cx="184731" cy="264560"/>
    <xdr:sp macro="" textlink="">
      <xdr:nvSpPr>
        <xdr:cNvPr id="3" name="TextBox 2">
          <a:extLst>
            <a:ext uri="{FF2B5EF4-FFF2-40B4-BE49-F238E27FC236}">
              <a16:creationId xmlns:a16="http://schemas.microsoft.com/office/drawing/2014/main" id="{00000000-0008-0000-0300-000003000000}"/>
            </a:ext>
          </a:extLst>
        </xdr:cNvPr>
        <xdr:cNvSpPr txBox="1"/>
      </xdr:nvSpPr>
      <xdr:spPr>
        <a:xfrm>
          <a:off x="12862560" y="1041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1231900</xdr:colOff>
      <xdr:row>1</xdr:row>
      <xdr:rowOff>101600</xdr:rowOff>
    </xdr:from>
    <xdr:ext cx="184731" cy="264560"/>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12862560" y="1041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1231900</xdr:colOff>
      <xdr:row>14</xdr:row>
      <xdr:rowOff>101600</xdr:rowOff>
    </xdr:from>
    <xdr:ext cx="184731" cy="264560"/>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2117725" y="3463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r1/cmo-guest/Cost_Proposal_Spreadsheet/Current_Baseline/DARPA%20Standard%20Cost%20Proposal%20Spreadsheet%20(Multiple%20TAs)_07-2020.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salekta\AppData\Local\Microsoft\Windows\INetCache\Content.Outlook\Z6QWUUQW\DARPAStandardCostProposalSpreadsheetMultiple%20TAs11-2021-v4.xlsx" TargetMode="External"/><Relationship Id="rId1" Type="http://schemas.openxmlformats.org/officeDocument/2006/relationships/externalLinkPath" Target="file:///C:\Users\salekta\AppData\Local\Microsoft\Windows\INetCache\Content.Outlook\Z6QWUUQW\DARPAStandardCostProposalSpreadsheetMultiple%20TAs11-2021-v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r1/cmo-guest/Cost_Proposal_Spreadsheet/Developing/DARPA%20Standard%20Cost%20Proposal%20Spreadsheet%20(Single%20TA)_DRAF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r1/cmo_homes/CMO_Guest/dbreen/Documents/Cost%20Proposal%20Standards/Source%20of%20new%20Travel%20ta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sheetName val="Change Notes"/>
      <sheetName val="Constants"/>
      <sheetName val="Proposer Constants"/>
      <sheetName val="Labor Rates"/>
      <sheetName val="Summary Cost Table"/>
      <sheetName val="Indirect Rates and Profit_Fee"/>
      <sheetName val="Total Amount"/>
      <sheetName val="TA Summary"/>
      <sheetName val="Base (Phase 1)"/>
      <sheetName val="Phase 1 TA 1"/>
      <sheetName val="Phase 1 TA 2"/>
      <sheetName val="Phase 1 TA 3"/>
      <sheetName val="O-I (Phase 2)"/>
      <sheetName val="Phase 2 TA 1"/>
      <sheetName val="Phase 2 TA 2"/>
      <sheetName val="Phase 2 TA 3"/>
      <sheetName val="O-II (Phase 3)"/>
      <sheetName val="O-III"/>
      <sheetName val="O-IV"/>
      <sheetName val="O-V"/>
      <sheetName val="Phase 3 TA 1"/>
      <sheetName val="Phase 3 TA 2"/>
      <sheetName val="Phase 3 TA 3"/>
      <sheetName val="Subcontractor"/>
      <sheetName val="Consultants"/>
      <sheetName val="Materials-Supplies"/>
      <sheetName val="Equipment"/>
      <sheetName val="Travel"/>
      <sheetName val="ODC Details"/>
      <sheetName val="Animal-Human Use Y-N"/>
      <sheetName val="Animal Related"/>
      <sheetName val="Human Subjects Research"/>
      <sheetName val="Expenditures by Month"/>
      <sheetName val="Milestones and Deliver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eneral"/>
      <sheetName val="Instructions"/>
      <sheetName val="Change Notes"/>
      <sheetName val="Constants"/>
      <sheetName val="Proposer Constants"/>
      <sheetName val="Labor Rates"/>
      <sheetName val="Summary Cost Table"/>
      <sheetName val="Indirect Rates and Profit_Fee"/>
      <sheetName val="Total Amount"/>
      <sheetName val="TA Summary"/>
      <sheetName val="Base (Phase 1)"/>
      <sheetName val="Phase 1 TA 1"/>
      <sheetName val="Phase 1 TA 2"/>
      <sheetName val="Phase 1 TA 3"/>
      <sheetName val="O-I (Phase 2)"/>
      <sheetName val="Phase 2 TA 1"/>
      <sheetName val="Phase 2 TA 2"/>
      <sheetName val="Phase 2 TA 3"/>
      <sheetName val="O-II (Phase 3)"/>
      <sheetName val="O-III"/>
      <sheetName val="O-IV"/>
      <sheetName val="O-V"/>
      <sheetName val="Phase 3 TA 1"/>
      <sheetName val="Phase 3 TA 2"/>
      <sheetName val="Phase 3 TA 3"/>
      <sheetName val="Subcontractor"/>
      <sheetName val="Consultants"/>
      <sheetName val="Materials-Supplies"/>
      <sheetName val="Equipment"/>
      <sheetName val="Travel"/>
      <sheetName val="ODC Details"/>
      <sheetName val="Animal-Human Use Y-N"/>
      <sheetName val="Animal Related"/>
      <sheetName val="Human Subjects Research"/>
      <sheetName val="Expenditures by Month"/>
      <sheetName val="Milestones and Deliverables"/>
      <sheetName val="Task 1"/>
      <sheetName val="Task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 Travel"/>
      <sheetName val="General"/>
      <sheetName val="Change Notes"/>
      <sheetName val="Constants"/>
      <sheetName val="Instructions"/>
      <sheetName val="Proposer Constants"/>
      <sheetName val="Labor Rates"/>
      <sheetName val="Summary Cost Table"/>
      <sheetName val="Indirect Rates and Profit_Fee"/>
      <sheetName val="Total Amount"/>
      <sheetName val="Base"/>
      <sheetName val="O-I"/>
      <sheetName val="O-II"/>
      <sheetName val="O-III"/>
      <sheetName val="O-IV"/>
      <sheetName val="O-V"/>
      <sheetName val="Subcontractor"/>
      <sheetName val="Consultants"/>
      <sheetName val="Materials-Supplies"/>
      <sheetName val="Equipment"/>
      <sheetName val="Travel"/>
      <sheetName val="ODC Details"/>
      <sheetName val="Animal-Human Use Y-N"/>
      <sheetName val="Animal Related"/>
      <sheetName val="Human Subjects Research"/>
      <sheetName val="Expenditures by Month"/>
      <sheetName val="Milestones and Deliverables"/>
      <sheetName val="Task 1"/>
      <sheetName val="Task 2"/>
    </sheetNames>
    <sheetDataSet>
      <sheetData sheetId="0"/>
      <sheetData sheetId="1"/>
      <sheetData sheetId="2" refreshError="1"/>
      <sheetData sheetId="3"/>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sheetName val="Change Notes"/>
      <sheetName val="Constants"/>
      <sheetName val="Proposer Constants"/>
      <sheetName val="Labor Rates"/>
      <sheetName val="Summary Cost Table"/>
      <sheetName val="Indirect Rates and Profit_Fee"/>
      <sheetName val="Total Amount"/>
      <sheetName val="TA Summary"/>
      <sheetName val="Base (Phase 1)"/>
      <sheetName val="Phase 1 TA 1"/>
      <sheetName val="Phase 1 TA 2"/>
      <sheetName val="Phase 1 TA 3"/>
      <sheetName val="O-I (Phase 2)"/>
      <sheetName val="Phase 2 TA 1"/>
      <sheetName val="Phase 2 TA 2"/>
      <sheetName val="Phase 2 TA 3"/>
      <sheetName val="O-II (Phase 3)"/>
      <sheetName val="O-III"/>
      <sheetName val="O-IV"/>
      <sheetName val="O-V"/>
      <sheetName val="Phase 3 TA 1"/>
      <sheetName val="Phase 3 TA 2"/>
      <sheetName val="Phase 3 TA 3"/>
      <sheetName val="Subcontractor"/>
      <sheetName val="Consultants"/>
      <sheetName val="Materials-Supplies"/>
      <sheetName val="Equipment"/>
      <sheetName val="Travel"/>
      <sheetName val="ODC Details"/>
      <sheetName val="Animal-Human Use Y-N"/>
      <sheetName val="Animal Related"/>
      <sheetName val="Human Subjects Research"/>
      <sheetName val="Expenditures by Month"/>
      <sheetName val="Milestones and Deliverable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9.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dimension ref="A1:C27"/>
  <sheetViews>
    <sheetView workbookViewId="0">
      <selection activeCell="B17" sqref="B17"/>
    </sheetView>
  </sheetViews>
  <sheetFormatPr defaultColWidth="8.81640625" defaultRowHeight="14" x14ac:dyDescent="0.3"/>
  <cols>
    <col min="1" max="1" width="16.453125" style="224" customWidth="1"/>
    <col min="2" max="2" width="27.453125" style="224" customWidth="1"/>
    <col min="3" max="3" width="128.81640625" style="224" customWidth="1"/>
  </cols>
  <sheetData>
    <row r="1" spans="1:3" s="24" customFormat="1" x14ac:dyDescent="0.3">
      <c r="A1" s="225" t="s">
        <v>0</v>
      </c>
      <c r="B1" s="225" t="s">
        <v>1</v>
      </c>
      <c r="C1" s="225" t="s">
        <v>2</v>
      </c>
    </row>
    <row r="2" spans="1:3" x14ac:dyDescent="0.3">
      <c r="A2" s="224" t="s">
        <v>3</v>
      </c>
      <c r="C2" s="224" t="s">
        <v>4</v>
      </c>
    </row>
    <row r="3" spans="1:3" ht="42" x14ac:dyDescent="0.3">
      <c r="A3" s="224" t="s">
        <v>5</v>
      </c>
      <c r="B3" s="224" t="s">
        <v>6</v>
      </c>
      <c r="C3" s="224" t="s">
        <v>7</v>
      </c>
    </row>
    <row r="4" spans="1:3" x14ac:dyDescent="0.3">
      <c r="A4" s="224" t="s">
        <v>5</v>
      </c>
      <c r="B4" s="224" t="s">
        <v>6</v>
      </c>
      <c r="C4" s="224" t="s">
        <v>8</v>
      </c>
    </row>
    <row r="5" spans="1:3" x14ac:dyDescent="0.3">
      <c r="A5" s="224" t="s">
        <v>5</v>
      </c>
      <c r="B5" s="224" t="s">
        <v>9</v>
      </c>
      <c r="C5" s="224" t="s">
        <v>10</v>
      </c>
    </row>
    <row r="6" spans="1:3" x14ac:dyDescent="0.3">
      <c r="A6" s="224" t="s">
        <v>11</v>
      </c>
      <c r="B6" s="224" t="s">
        <v>6</v>
      </c>
      <c r="C6" s="224" t="s">
        <v>12</v>
      </c>
    </row>
    <row r="7" spans="1:3" x14ac:dyDescent="0.3">
      <c r="A7" s="224" t="s">
        <v>11</v>
      </c>
      <c r="B7" s="224" t="s">
        <v>13</v>
      </c>
      <c r="C7" s="224" t="s">
        <v>14</v>
      </c>
    </row>
    <row r="8" spans="1:3" x14ac:dyDescent="0.3">
      <c r="A8" s="224" t="s">
        <v>11</v>
      </c>
      <c r="B8" s="224" t="s">
        <v>15</v>
      </c>
      <c r="C8" s="224" t="s">
        <v>16</v>
      </c>
    </row>
    <row r="9" spans="1:3" x14ac:dyDescent="0.3">
      <c r="A9" s="224" t="s">
        <v>17</v>
      </c>
      <c r="B9" s="224" t="s">
        <v>18</v>
      </c>
      <c r="C9" s="224" t="s">
        <v>19</v>
      </c>
    </row>
    <row r="10" spans="1:3" x14ac:dyDescent="0.3">
      <c r="A10" s="224" t="s">
        <v>20</v>
      </c>
      <c r="B10" s="224" t="s">
        <v>13</v>
      </c>
      <c r="C10" s="224" t="s">
        <v>21</v>
      </c>
    </row>
    <row r="11" spans="1:3" x14ac:dyDescent="0.3">
      <c r="A11" s="224" t="s">
        <v>20</v>
      </c>
      <c r="B11" s="224" t="s">
        <v>18</v>
      </c>
      <c r="C11" s="224" t="s">
        <v>22</v>
      </c>
    </row>
    <row r="12" spans="1:3" x14ac:dyDescent="0.3">
      <c r="A12" s="224" t="s">
        <v>20</v>
      </c>
      <c r="B12" s="224" t="s">
        <v>13</v>
      </c>
      <c r="C12" s="224" t="s">
        <v>23</v>
      </c>
    </row>
    <row r="13" spans="1:3" x14ac:dyDescent="0.3">
      <c r="A13" s="224" t="s">
        <v>20</v>
      </c>
      <c r="B13" s="224" t="s">
        <v>24</v>
      </c>
      <c r="C13" s="224" t="s">
        <v>25</v>
      </c>
    </row>
    <row r="14" spans="1:3" x14ac:dyDescent="0.3">
      <c r="A14" s="224" t="s">
        <v>20</v>
      </c>
      <c r="B14" s="224" t="s">
        <v>26</v>
      </c>
      <c r="C14" s="224" t="s">
        <v>27</v>
      </c>
    </row>
    <row r="15" spans="1:3" x14ac:dyDescent="0.3">
      <c r="A15" s="224" t="s">
        <v>20</v>
      </c>
      <c r="B15" s="224" t="s">
        <v>9</v>
      </c>
      <c r="C15" s="224" t="s">
        <v>28</v>
      </c>
    </row>
    <row r="16" spans="1:3" x14ac:dyDescent="0.3">
      <c r="A16" s="231" t="s">
        <v>20</v>
      </c>
      <c r="B16" s="224" t="s">
        <v>29</v>
      </c>
      <c r="C16" s="224" t="s">
        <v>30</v>
      </c>
    </row>
    <row r="17" spans="1:3" x14ac:dyDescent="0.3">
      <c r="A17" s="231" t="s">
        <v>20</v>
      </c>
      <c r="B17" s="224" t="s">
        <v>24</v>
      </c>
      <c r="C17" s="224" t="s">
        <v>31</v>
      </c>
    </row>
    <row r="18" spans="1:3" x14ac:dyDescent="0.3">
      <c r="A18" s="224" t="s">
        <v>20</v>
      </c>
      <c r="B18" s="224" t="s">
        <v>32</v>
      </c>
      <c r="C18" s="224" t="s">
        <v>33</v>
      </c>
    </row>
    <row r="19" spans="1:3" x14ac:dyDescent="0.3">
      <c r="A19" s="224" t="s">
        <v>34</v>
      </c>
      <c r="B19" s="224" t="s">
        <v>13</v>
      </c>
      <c r="C19" s="224" t="s">
        <v>35</v>
      </c>
    </row>
    <row r="20" spans="1:3" x14ac:dyDescent="0.3">
      <c r="A20" s="224" t="s">
        <v>34</v>
      </c>
      <c r="B20" s="224" t="s">
        <v>36</v>
      </c>
      <c r="C20" s="224" t="s">
        <v>37</v>
      </c>
    </row>
    <row r="21" spans="1:3" x14ac:dyDescent="0.3">
      <c r="A21" s="224" t="s">
        <v>34</v>
      </c>
      <c r="B21" s="224" t="s">
        <v>38</v>
      </c>
      <c r="C21" s="224" t="s">
        <v>39</v>
      </c>
    </row>
    <row r="22" spans="1:3" x14ac:dyDescent="0.3">
      <c r="A22" s="224" t="s">
        <v>40</v>
      </c>
      <c r="B22" s="224" t="s">
        <v>18</v>
      </c>
      <c r="C22" s="224" t="s">
        <v>41</v>
      </c>
    </row>
    <row r="23" spans="1:3" x14ac:dyDescent="0.3">
      <c r="A23" s="224" t="s">
        <v>42</v>
      </c>
      <c r="B23" s="224" t="s">
        <v>18</v>
      </c>
      <c r="C23" s="224" t="s">
        <v>43</v>
      </c>
    </row>
    <row r="24" spans="1:3" x14ac:dyDescent="0.3">
      <c r="A24" s="224" t="s">
        <v>44</v>
      </c>
      <c r="B24" s="224" t="s">
        <v>18</v>
      </c>
      <c r="C24" s="224" t="s">
        <v>45</v>
      </c>
    </row>
    <row r="25" spans="1:3" x14ac:dyDescent="0.3">
      <c r="A25" s="224" t="s">
        <v>44</v>
      </c>
      <c r="B25" s="224" t="s">
        <v>46</v>
      </c>
      <c r="C25" s="224" t="s">
        <v>47</v>
      </c>
    </row>
    <row r="26" spans="1:3" x14ac:dyDescent="0.3">
      <c r="A26" s="224" t="s">
        <v>44</v>
      </c>
      <c r="B26" s="224" t="s">
        <v>48</v>
      </c>
      <c r="C26" s="224" t="s">
        <v>49</v>
      </c>
    </row>
    <row r="27" spans="1:3" x14ac:dyDescent="0.3">
      <c r="A27" s="224" t="s">
        <v>44</v>
      </c>
      <c r="B27" s="224" t="s">
        <v>38</v>
      </c>
      <c r="C27" s="224" t="s">
        <v>50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4">
    <tabColor rgb="FFC00000"/>
  </sheetPr>
  <dimension ref="A1:D168"/>
  <sheetViews>
    <sheetView topLeftCell="A75" zoomScale="110" zoomScaleNormal="110" workbookViewId="0">
      <selection activeCell="B82" sqref="B82"/>
    </sheetView>
  </sheetViews>
  <sheetFormatPr defaultColWidth="8.81640625" defaultRowHeight="12.5" x14ac:dyDescent="0.25"/>
  <cols>
    <col min="1" max="1" width="33.453125" customWidth="1"/>
    <col min="2" max="2" width="24.453125" customWidth="1"/>
    <col min="4" max="4" width="29" bestFit="1" customWidth="1"/>
    <col min="5" max="5" width="23.453125" bestFit="1" customWidth="1"/>
  </cols>
  <sheetData>
    <row r="1" spans="1:4" ht="13" x14ac:dyDescent="0.3">
      <c r="A1" s="24" t="s">
        <v>51</v>
      </c>
    </row>
    <row r="2" spans="1:4" x14ac:dyDescent="0.25">
      <c r="A2" s="230" t="s">
        <v>44</v>
      </c>
      <c r="B2" t="s">
        <v>52</v>
      </c>
    </row>
    <row r="4" spans="1:4" ht="13" x14ac:dyDescent="0.3">
      <c r="A4" s="24" t="s">
        <v>53</v>
      </c>
    </row>
    <row r="5" spans="1:4" x14ac:dyDescent="0.25">
      <c r="A5" s="54"/>
    </row>
    <row r="7" spans="1:4" ht="13" x14ac:dyDescent="0.3">
      <c r="A7" s="24" t="s">
        <v>54</v>
      </c>
      <c r="D7" s="24" t="s">
        <v>55</v>
      </c>
    </row>
    <row r="8" spans="1:4" x14ac:dyDescent="0.25">
      <c r="A8" s="54" t="s">
        <v>56</v>
      </c>
      <c r="D8" s="55" t="s">
        <v>57</v>
      </c>
    </row>
    <row r="9" spans="1:4" x14ac:dyDescent="0.25">
      <c r="A9" s="54" t="s">
        <v>58</v>
      </c>
      <c r="D9" s="55" t="s">
        <v>59</v>
      </c>
    </row>
    <row r="10" spans="1:4" x14ac:dyDescent="0.25">
      <c r="A10" s="54" t="s">
        <v>60</v>
      </c>
    </row>
    <row r="11" spans="1:4" x14ac:dyDescent="0.25">
      <c r="A11" s="54" t="s">
        <v>61</v>
      </c>
    </row>
    <row r="12" spans="1:4" ht="13" x14ac:dyDescent="0.3">
      <c r="A12" s="54" t="s">
        <v>62</v>
      </c>
      <c r="D12" s="24" t="s">
        <v>63</v>
      </c>
    </row>
    <row r="14" spans="1:4" ht="13" x14ac:dyDescent="0.3">
      <c r="A14" s="24" t="s">
        <v>64</v>
      </c>
      <c r="C14" s="84" t="str">
        <f>CONCATENATE("Offeror.Bus.Type is ",Offeror.Bus.Type)</f>
        <v>Offeror.Bus.Type is Large Business</v>
      </c>
    </row>
    <row r="15" spans="1:4" ht="14.5" x14ac:dyDescent="0.35">
      <c r="A15" s="65" t="str">
        <f>IF(Offeror.Bus.Type = "", "",IF(Offeror.Bus.Type = "Academia","Academia","General"))</f>
        <v>General</v>
      </c>
      <c r="B15" s="55" t="s">
        <v>65</v>
      </c>
      <c r="D15" s="70" t="s">
        <v>66</v>
      </c>
    </row>
    <row r="16" spans="1:4" ht="13" x14ac:dyDescent="0.3">
      <c r="A16" s="24"/>
      <c r="B16" s="55"/>
    </row>
    <row r="17" spans="1:4" ht="13" x14ac:dyDescent="0.3">
      <c r="A17" s="24" t="s">
        <v>67</v>
      </c>
      <c r="B17" s="55" t="s">
        <v>68</v>
      </c>
    </row>
    <row r="18" spans="1:4" x14ac:dyDescent="0.25">
      <c r="A18" s="64" t="s">
        <v>69</v>
      </c>
      <c r="B18" s="55" t="s">
        <v>70</v>
      </c>
    </row>
    <row r="19" spans="1:4" ht="13" x14ac:dyDescent="0.3">
      <c r="A19" s="24"/>
      <c r="B19" s="55"/>
    </row>
    <row r="20" spans="1:4" ht="14.5" x14ac:dyDescent="0.35">
      <c r="A20" s="69" t="s">
        <v>71</v>
      </c>
      <c r="B20" s="55"/>
      <c r="D20" s="70" t="s">
        <v>72</v>
      </c>
    </row>
    <row r="21" spans="1:4" x14ac:dyDescent="0.25">
      <c r="A21" s="64" t="s">
        <v>73</v>
      </c>
      <c r="B21" s="55"/>
    </row>
    <row r="22" spans="1:4" x14ac:dyDescent="0.25">
      <c r="A22" s="64" t="s">
        <v>74</v>
      </c>
      <c r="B22" s="55"/>
    </row>
    <row r="23" spans="1:4" x14ac:dyDescent="0.25">
      <c r="A23" s="64" t="s">
        <v>75</v>
      </c>
      <c r="B23" s="55"/>
    </row>
    <row r="24" spans="1:4" x14ac:dyDescent="0.25">
      <c r="A24" s="64" t="s">
        <v>76</v>
      </c>
      <c r="B24" s="55"/>
    </row>
    <row r="25" spans="1:4" x14ac:dyDescent="0.25">
      <c r="A25" s="55"/>
      <c r="B25" s="55"/>
    </row>
    <row r="26" spans="1:4" ht="13" x14ac:dyDescent="0.3">
      <c r="A26" s="69" t="s">
        <v>77</v>
      </c>
      <c r="B26" s="55"/>
    </row>
    <row r="27" spans="1:4" x14ac:dyDescent="0.25">
      <c r="A27" s="64" t="s">
        <v>73</v>
      </c>
      <c r="B27" s="55"/>
    </row>
    <row r="28" spans="1:4" x14ac:dyDescent="0.25">
      <c r="A28" s="64" t="s">
        <v>78</v>
      </c>
      <c r="B28" s="55"/>
    </row>
    <row r="29" spans="1:4" x14ac:dyDescent="0.25">
      <c r="A29" s="64" t="s">
        <v>79</v>
      </c>
      <c r="B29" s="55"/>
    </row>
    <row r="30" spans="1:4" x14ac:dyDescent="0.25">
      <c r="A30" s="64" t="s">
        <v>75</v>
      </c>
      <c r="B30" s="55"/>
    </row>
    <row r="31" spans="1:4" x14ac:dyDescent="0.25">
      <c r="A31" s="64" t="s">
        <v>80</v>
      </c>
      <c r="B31" s="55"/>
    </row>
    <row r="32" spans="1:4" x14ac:dyDescent="0.25">
      <c r="A32" s="55"/>
      <c r="B32" s="55"/>
    </row>
    <row r="33" spans="1:2" ht="13" x14ac:dyDescent="0.3">
      <c r="A33" s="24" t="s">
        <v>81</v>
      </c>
      <c r="B33" s="55"/>
    </row>
    <row r="34" spans="1:2" x14ac:dyDescent="0.25">
      <c r="A34" s="64" t="s">
        <v>82</v>
      </c>
      <c r="B34" s="55"/>
    </row>
    <row r="35" spans="1:2" x14ac:dyDescent="0.25">
      <c r="A35" s="64" t="s">
        <v>83</v>
      </c>
      <c r="B35" s="55"/>
    </row>
    <row r="36" spans="1:2" x14ac:dyDescent="0.25">
      <c r="A36" s="64" t="s">
        <v>84</v>
      </c>
      <c r="B36" s="55"/>
    </row>
    <row r="37" spans="1:2" x14ac:dyDescent="0.25">
      <c r="A37" s="64" t="s">
        <v>85</v>
      </c>
      <c r="B37" s="55"/>
    </row>
    <row r="38" spans="1:2" x14ac:dyDescent="0.25">
      <c r="A38" s="55"/>
      <c r="B38" s="55"/>
    </row>
    <row r="39" spans="1:2" ht="13" x14ac:dyDescent="0.3">
      <c r="A39" s="24" t="s">
        <v>86</v>
      </c>
      <c r="B39" s="55"/>
    </row>
    <row r="40" spans="1:2" x14ac:dyDescent="0.25">
      <c r="A40" s="64" t="s">
        <v>87</v>
      </c>
      <c r="B40" s="55"/>
    </row>
    <row r="41" spans="1:2" x14ac:dyDescent="0.25">
      <c r="A41" s="64" t="s">
        <v>88</v>
      </c>
      <c r="B41" s="55"/>
    </row>
    <row r="42" spans="1:2" x14ac:dyDescent="0.25">
      <c r="A42" s="64" t="s">
        <v>89</v>
      </c>
      <c r="B42" s="55"/>
    </row>
    <row r="43" spans="1:2" x14ac:dyDescent="0.25">
      <c r="A43" s="64" t="s">
        <v>90</v>
      </c>
      <c r="B43" s="55"/>
    </row>
    <row r="44" spans="1:2" x14ac:dyDescent="0.25">
      <c r="A44" s="64" t="s">
        <v>91</v>
      </c>
      <c r="B44" s="55"/>
    </row>
    <row r="45" spans="1:2" x14ac:dyDescent="0.25">
      <c r="A45" s="64" t="s">
        <v>92</v>
      </c>
      <c r="B45" s="55"/>
    </row>
    <row r="46" spans="1:2" x14ac:dyDescent="0.25">
      <c r="A46" s="64" t="s">
        <v>93</v>
      </c>
      <c r="B46" s="55"/>
    </row>
    <row r="47" spans="1:2" x14ac:dyDescent="0.25">
      <c r="A47" s="64" t="s">
        <v>94</v>
      </c>
      <c r="B47" s="55"/>
    </row>
    <row r="48" spans="1:2" x14ac:dyDescent="0.25">
      <c r="A48" s="64" t="s">
        <v>95</v>
      </c>
      <c r="B48" s="55"/>
    </row>
    <row r="49" spans="1:2" x14ac:dyDescent="0.25">
      <c r="A49" s="64" t="s">
        <v>96</v>
      </c>
      <c r="B49" s="55"/>
    </row>
    <row r="50" spans="1:2" x14ac:dyDescent="0.25">
      <c r="A50" s="64" t="s">
        <v>97</v>
      </c>
      <c r="B50" s="55"/>
    </row>
    <row r="51" spans="1:2" x14ac:dyDescent="0.25">
      <c r="A51" s="64" t="s">
        <v>75</v>
      </c>
      <c r="B51" s="55"/>
    </row>
    <row r="52" spans="1:2" x14ac:dyDescent="0.25">
      <c r="A52" s="55"/>
      <c r="B52" s="55"/>
    </row>
    <row r="53" spans="1:2" ht="13" x14ac:dyDescent="0.3">
      <c r="A53" s="24" t="s">
        <v>98</v>
      </c>
      <c r="B53" s="55"/>
    </row>
    <row r="54" spans="1:2" x14ac:dyDescent="0.25">
      <c r="A54" s="64" t="s">
        <v>75</v>
      </c>
      <c r="B54" s="55"/>
    </row>
    <row r="55" spans="1:2" x14ac:dyDescent="0.25">
      <c r="A55" s="55"/>
      <c r="B55" s="55"/>
    </row>
    <row r="56" spans="1:2" ht="13" x14ac:dyDescent="0.3">
      <c r="A56" s="24" t="s">
        <v>99</v>
      </c>
      <c r="B56" s="55"/>
    </row>
    <row r="57" spans="1:2" x14ac:dyDescent="0.25">
      <c r="A57" s="64" t="s">
        <v>100</v>
      </c>
      <c r="B57" s="55"/>
    </row>
    <row r="58" spans="1:2" x14ac:dyDescent="0.25">
      <c r="A58" s="64" t="s">
        <v>101</v>
      </c>
    </row>
    <row r="59" spans="1:2" x14ac:dyDescent="0.25">
      <c r="A59" s="55"/>
      <c r="B59" s="55"/>
    </row>
    <row r="60" spans="1:2" ht="13" x14ac:dyDescent="0.3">
      <c r="A60" s="24" t="s">
        <v>102</v>
      </c>
      <c r="B60" s="55"/>
    </row>
    <row r="61" spans="1:2" x14ac:dyDescent="0.25">
      <c r="A61" s="64" t="s">
        <v>103</v>
      </c>
      <c r="B61" s="55"/>
    </row>
    <row r="62" spans="1:2" x14ac:dyDescent="0.25">
      <c r="A62" s="64" t="s">
        <v>104</v>
      </c>
      <c r="B62" s="55"/>
    </row>
    <row r="63" spans="1:2" x14ac:dyDescent="0.25">
      <c r="A63" s="64" t="s">
        <v>105</v>
      </c>
      <c r="B63" s="55"/>
    </row>
    <row r="64" spans="1:2" x14ac:dyDescent="0.25">
      <c r="A64" s="64" t="s">
        <v>106</v>
      </c>
      <c r="B64" s="55"/>
    </row>
    <row r="65" spans="1:2" x14ac:dyDescent="0.25">
      <c r="A65" s="55"/>
      <c r="B65" s="55"/>
    </row>
    <row r="66" spans="1:2" ht="13" x14ac:dyDescent="0.3">
      <c r="A66" s="24" t="s">
        <v>107</v>
      </c>
      <c r="B66" s="55"/>
    </row>
    <row r="67" spans="1:2" x14ac:dyDescent="0.25">
      <c r="A67" s="64" t="s">
        <v>108</v>
      </c>
      <c r="B67" s="55"/>
    </row>
    <row r="68" spans="1:2" x14ac:dyDescent="0.25">
      <c r="A68" s="64" t="s">
        <v>109</v>
      </c>
      <c r="B68" s="55"/>
    </row>
    <row r="69" spans="1:2" x14ac:dyDescent="0.25">
      <c r="A69" s="64" t="s">
        <v>110</v>
      </c>
      <c r="B69" s="55"/>
    </row>
    <row r="70" spans="1:2" x14ac:dyDescent="0.25">
      <c r="A70" s="64" t="s">
        <v>111</v>
      </c>
      <c r="B70" s="55"/>
    </row>
    <row r="71" spans="1:2" x14ac:dyDescent="0.25">
      <c r="A71" s="55"/>
      <c r="B71" s="55"/>
    </row>
    <row r="72" spans="1:2" ht="13" x14ac:dyDescent="0.3">
      <c r="A72" s="24" t="s">
        <v>112</v>
      </c>
      <c r="B72" s="55"/>
    </row>
    <row r="73" spans="1:2" x14ac:dyDescent="0.25">
      <c r="A73" s="64" t="s">
        <v>113</v>
      </c>
      <c r="B73" s="55"/>
    </row>
    <row r="74" spans="1:2" x14ac:dyDescent="0.25">
      <c r="A74" s="64" t="s">
        <v>114</v>
      </c>
      <c r="B74" s="55"/>
    </row>
    <row r="75" spans="1:2" x14ac:dyDescent="0.25">
      <c r="A75" s="64" t="s">
        <v>115</v>
      </c>
      <c r="B75" s="55"/>
    </row>
    <row r="76" spans="1:2" x14ac:dyDescent="0.25">
      <c r="A76" s="64" t="s">
        <v>116</v>
      </c>
      <c r="B76" s="55"/>
    </row>
    <row r="77" spans="1:2" x14ac:dyDescent="0.25">
      <c r="A77" s="55"/>
      <c r="B77" s="55"/>
    </row>
    <row r="78" spans="1:2" ht="13" x14ac:dyDescent="0.3">
      <c r="A78" s="24" t="s">
        <v>117</v>
      </c>
      <c r="B78" s="55"/>
    </row>
    <row r="79" spans="1:2" x14ac:dyDescent="0.25">
      <c r="A79" s="64" t="s">
        <v>118</v>
      </c>
      <c r="B79" s="55"/>
    </row>
    <row r="80" spans="1:2" x14ac:dyDescent="0.25">
      <c r="A80" s="64" t="s">
        <v>119</v>
      </c>
      <c r="B80" s="55"/>
    </row>
    <row r="81" spans="1:2" x14ac:dyDescent="0.25">
      <c r="A81" s="64" t="s">
        <v>120</v>
      </c>
      <c r="B81" s="55"/>
    </row>
    <row r="82" spans="1:2" x14ac:dyDescent="0.25">
      <c r="A82" s="64" t="s">
        <v>121</v>
      </c>
      <c r="B82" s="55"/>
    </row>
    <row r="83" spans="1:2" x14ac:dyDescent="0.25">
      <c r="A83" s="55"/>
      <c r="B83" s="55"/>
    </row>
    <row r="84" spans="1:2" ht="13" x14ac:dyDescent="0.3">
      <c r="A84" s="24" t="s">
        <v>122</v>
      </c>
      <c r="B84" s="55"/>
    </row>
    <row r="85" spans="1:2" x14ac:dyDescent="0.25">
      <c r="A85" s="64" t="s">
        <v>123</v>
      </c>
      <c r="B85" s="55"/>
    </row>
    <row r="86" spans="1:2" x14ac:dyDescent="0.25">
      <c r="A86" s="64" t="s">
        <v>124</v>
      </c>
      <c r="B86" s="55"/>
    </row>
    <row r="87" spans="1:2" x14ac:dyDescent="0.25">
      <c r="A87" s="64" t="s">
        <v>125</v>
      </c>
      <c r="B87" s="55"/>
    </row>
    <row r="88" spans="1:2" x14ac:dyDescent="0.25">
      <c r="A88" s="64" t="s">
        <v>126</v>
      </c>
      <c r="B88" s="55"/>
    </row>
    <row r="89" spans="1:2" x14ac:dyDescent="0.25">
      <c r="A89" s="64" t="s">
        <v>127</v>
      </c>
      <c r="B89" s="55"/>
    </row>
    <row r="90" spans="1:2" x14ac:dyDescent="0.25">
      <c r="A90" s="64" t="s">
        <v>128</v>
      </c>
      <c r="B90" s="55"/>
    </row>
    <row r="91" spans="1:2" x14ac:dyDescent="0.25">
      <c r="A91" s="64" t="s">
        <v>129</v>
      </c>
      <c r="B91" s="55"/>
    </row>
    <row r="92" spans="1:2" x14ac:dyDescent="0.25">
      <c r="A92" s="64" t="s">
        <v>130</v>
      </c>
      <c r="B92" s="55"/>
    </row>
    <row r="93" spans="1:2" x14ac:dyDescent="0.25">
      <c r="B93" s="55"/>
    </row>
    <row r="94" spans="1:2" x14ac:dyDescent="0.25">
      <c r="A94" s="55"/>
      <c r="B94" s="55"/>
    </row>
    <row r="95" spans="1:2" ht="13" x14ac:dyDescent="0.3">
      <c r="A95" s="24" t="s">
        <v>131</v>
      </c>
      <c r="B95" s="55"/>
    </row>
    <row r="96" spans="1:2" x14ac:dyDescent="0.25">
      <c r="A96" s="64" t="s">
        <v>75</v>
      </c>
      <c r="B96" s="55"/>
    </row>
    <row r="97" spans="1:2" x14ac:dyDescent="0.25">
      <c r="A97" s="55"/>
      <c r="B97" s="55"/>
    </row>
    <row r="99" spans="1:2" s="67" customFormat="1" ht="13" x14ac:dyDescent="0.3">
      <c r="A99" s="66"/>
    </row>
    <row r="100" spans="1:2" x14ac:dyDescent="0.25">
      <c r="A100" s="55"/>
    </row>
    <row r="101" spans="1:2" ht="13" x14ac:dyDescent="0.3">
      <c r="A101" s="24" t="s">
        <v>132</v>
      </c>
    </row>
    <row r="102" spans="1:2" x14ac:dyDescent="0.25">
      <c r="A102" s="64" t="s">
        <v>133</v>
      </c>
    </row>
    <row r="103" spans="1:2" x14ac:dyDescent="0.25">
      <c r="A103" s="64" t="s">
        <v>134</v>
      </c>
    </row>
    <row r="104" spans="1:2" x14ac:dyDescent="0.25">
      <c r="A104" s="64" t="s">
        <v>135</v>
      </c>
    </row>
    <row r="105" spans="1:2" x14ac:dyDescent="0.25">
      <c r="A105" s="64" t="s">
        <v>136</v>
      </c>
    </row>
    <row r="106" spans="1:2" x14ac:dyDescent="0.25">
      <c r="A106" s="64" t="s">
        <v>137</v>
      </c>
    </row>
    <row r="107" spans="1:2" x14ac:dyDescent="0.25">
      <c r="A107" s="64" t="s">
        <v>138</v>
      </c>
    </row>
    <row r="108" spans="1:2" x14ac:dyDescent="0.25">
      <c r="A108" s="54" t="s">
        <v>139</v>
      </c>
    </row>
    <row r="109" spans="1:2" x14ac:dyDescent="0.25">
      <c r="A109" s="54" t="s">
        <v>140</v>
      </c>
    </row>
    <row r="110" spans="1:2" x14ac:dyDescent="0.25">
      <c r="A110" s="54" t="s">
        <v>141</v>
      </c>
    </row>
    <row r="111" spans="1:2" x14ac:dyDescent="0.25">
      <c r="A111" s="54" t="s">
        <v>142</v>
      </c>
    </row>
    <row r="112" spans="1:2" x14ac:dyDescent="0.25">
      <c r="A112" s="54" t="s">
        <v>143</v>
      </c>
    </row>
    <row r="113" spans="1:1" x14ac:dyDescent="0.25">
      <c r="A113" s="64" t="s">
        <v>144</v>
      </c>
    </row>
    <row r="114" spans="1:1" x14ac:dyDescent="0.25">
      <c r="A114" s="64" t="s">
        <v>145</v>
      </c>
    </row>
    <row r="115" spans="1:1" x14ac:dyDescent="0.25">
      <c r="A115" s="64" t="s">
        <v>146</v>
      </c>
    </row>
    <row r="116" spans="1:1" x14ac:dyDescent="0.25">
      <c r="A116" s="64" t="s">
        <v>147</v>
      </c>
    </row>
    <row r="117" spans="1:1" x14ac:dyDescent="0.25">
      <c r="A117" s="64" t="s">
        <v>148</v>
      </c>
    </row>
    <row r="118" spans="1:1" x14ac:dyDescent="0.25">
      <c r="A118" s="64" t="s">
        <v>149</v>
      </c>
    </row>
    <row r="119" spans="1:1" x14ac:dyDescent="0.25">
      <c r="A119" s="55"/>
    </row>
    <row r="120" spans="1:1" x14ac:dyDescent="0.25">
      <c r="A120" s="55"/>
    </row>
    <row r="121" spans="1:1" ht="13" x14ac:dyDescent="0.3">
      <c r="A121" s="66"/>
    </row>
    <row r="122" spans="1:1" s="67" customFormat="1" x14ac:dyDescent="0.25">
      <c r="A122" s="85"/>
    </row>
    <row r="123" spans="1:1" ht="13" x14ac:dyDescent="0.3">
      <c r="A123" s="285" t="s">
        <v>150</v>
      </c>
    </row>
    <row r="124" spans="1:1" x14ac:dyDescent="0.25">
      <c r="A124" s="286" t="s">
        <v>151</v>
      </c>
    </row>
    <row r="125" spans="1:1" x14ac:dyDescent="0.25">
      <c r="A125" s="286" t="s">
        <v>152</v>
      </c>
    </row>
    <row r="126" spans="1:1" x14ac:dyDescent="0.25">
      <c r="A126" s="286" t="s">
        <v>153</v>
      </c>
    </row>
    <row r="127" spans="1:1" x14ac:dyDescent="0.25">
      <c r="A127" s="286" t="s">
        <v>154</v>
      </c>
    </row>
    <row r="128" spans="1:1" x14ac:dyDescent="0.25">
      <c r="A128" s="85"/>
    </row>
    <row r="129" spans="1:1" ht="13" x14ac:dyDescent="0.3">
      <c r="A129" s="287"/>
    </row>
    <row r="130" spans="1:1" s="67" customFormat="1" x14ac:dyDescent="0.25">
      <c r="A130" s="85"/>
    </row>
    <row r="131" spans="1:1" ht="13" x14ac:dyDescent="0.3">
      <c r="A131" s="285" t="s">
        <v>155</v>
      </c>
    </row>
    <row r="132" spans="1:1" x14ac:dyDescent="0.25">
      <c r="A132" s="286" t="s">
        <v>151</v>
      </c>
    </row>
    <row r="133" spans="1:1" x14ac:dyDescent="0.25">
      <c r="A133" s="286" t="s">
        <v>156</v>
      </c>
    </row>
    <row r="134" spans="1:1" x14ac:dyDescent="0.25">
      <c r="A134" s="286" t="s">
        <v>157</v>
      </c>
    </row>
    <row r="135" spans="1:1" x14ac:dyDescent="0.25">
      <c r="A135" s="286" t="s">
        <v>158</v>
      </c>
    </row>
    <row r="136" spans="1:1" x14ac:dyDescent="0.25">
      <c r="A136" s="286" t="s">
        <v>159</v>
      </c>
    </row>
    <row r="137" spans="1:1" x14ac:dyDescent="0.25">
      <c r="A137" s="83"/>
    </row>
    <row r="138" spans="1:1" x14ac:dyDescent="0.25">
      <c r="A138" s="55"/>
    </row>
    <row r="139" spans="1:1" x14ac:dyDescent="0.25">
      <c r="A139" s="55"/>
    </row>
    <row r="140" spans="1:1" x14ac:dyDescent="0.25">
      <c r="A140" s="55"/>
    </row>
    <row r="141" spans="1:1" x14ac:dyDescent="0.25">
      <c r="A141" s="55"/>
    </row>
    <row r="142" spans="1:1" x14ac:dyDescent="0.25">
      <c r="A142" s="55"/>
    </row>
    <row r="143" spans="1:1" x14ac:dyDescent="0.25">
      <c r="A143" s="55"/>
    </row>
    <row r="144" spans="1:1" x14ac:dyDescent="0.25">
      <c r="A144" s="55"/>
    </row>
    <row r="145" spans="1:1" x14ac:dyDescent="0.25">
      <c r="A145" s="55"/>
    </row>
    <row r="146" spans="1:1" x14ac:dyDescent="0.25">
      <c r="A146" s="55"/>
    </row>
    <row r="168" spans="1:1" x14ac:dyDescent="0.25">
      <c r="A168" s="55" t="s">
        <v>160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044D5-8B22-4A82-9D99-14EC6AF5ED8D}">
  <sheetPr codeName="Sheet18">
    <tabColor theme="0" tint="-0.14999847407452621"/>
    <pageSetUpPr fitToPage="1"/>
  </sheetPr>
  <dimension ref="A1:P68"/>
  <sheetViews>
    <sheetView tabSelected="1" view="pageBreakPreview" zoomScale="85" zoomScaleNormal="85" zoomScaleSheetLayoutView="85" workbookViewId="0">
      <selection activeCell="C19" sqref="C19"/>
    </sheetView>
  </sheetViews>
  <sheetFormatPr defaultColWidth="8.81640625" defaultRowHeight="14.5" x14ac:dyDescent="0.25"/>
  <cols>
    <col min="1" max="1" width="5.453125" style="511" customWidth="1"/>
    <col min="2" max="2" width="23.1796875" style="511" customWidth="1"/>
    <col min="3" max="3" width="157.453125" style="511" customWidth="1"/>
    <col min="4" max="4" width="6.81640625" style="511" customWidth="1"/>
    <col min="5" max="16384" width="8.81640625" style="511"/>
  </cols>
  <sheetData>
    <row r="1" spans="1:4" x14ac:dyDescent="0.25">
      <c r="A1" s="1225"/>
      <c r="B1" s="1226"/>
      <c r="C1" s="1226"/>
      <c r="D1" s="1227"/>
    </row>
    <row r="2" spans="1:4" ht="34.5" customHeight="1" x14ac:dyDescent="0.25">
      <c r="A2" s="822"/>
      <c r="B2" s="1217" t="s">
        <v>161</v>
      </c>
      <c r="C2" s="1217"/>
      <c r="D2" s="825"/>
    </row>
    <row r="3" spans="1:4" x14ac:dyDescent="0.25">
      <c r="A3" s="822"/>
      <c r="B3" s="1218"/>
      <c r="C3" s="1218"/>
      <c r="D3" s="825"/>
    </row>
    <row r="4" spans="1:4" ht="46.5" customHeight="1" x14ac:dyDescent="0.25">
      <c r="A4" s="822"/>
      <c r="B4" s="1228" t="s">
        <v>162</v>
      </c>
      <c r="C4" s="1228"/>
      <c r="D4" s="825"/>
    </row>
    <row r="5" spans="1:4" ht="45.65" customHeight="1" x14ac:dyDescent="0.25">
      <c r="A5" s="822"/>
      <c r="B5" s="1228" t="s">
        <v>163</v>
      </c>
      <c r="C5" s="1228"/>
      <c r="D5" s="825"/>
    </row>
    <row r="6" spans="1:4" ht="59.15" customHeight="1" x14ac:dyDescent="0.25">
      <c r="A6" s="822"/>
      <c r="B6" s="1229" t="s">
        <v>164</v>
      </c>
      <c r="C6" s="1229"/>
      <c r="D6" s="825"/>
    </row>
    <row r="7" spans="1:4" ht="33" customHeight="1" x14ac:dyDescent="0.25">
      <c r="A7" s="822"/>
      <c r="B7" s="1228" t="s">
        <v>165</v>
      </c>
      <c r="C7" s="1228"/>
      <c r="D7" s="825"/>
    </row>
    <row r="8" spans="1:4" x14ac:dyDescent="0.25">
      <c r="A8" s="822"/>
      <c r="B8" s="829"/>
      <c r="C8" s="830"/>
      <c r="D8" s="825"/>
    </row>
    <row r="9" spans="1:4" ht="24" customHeight="1" x14ac:dyDescent="0.25">
      <c r="A9" s="822"/>
      <c r="B9" s="1215" t="s">
        <v>166</v>
      </c>
      <c r="C9" s="1216"/>
      <c r="D9" s="825"/>
    </row>
    <row r="10" spans="1:4" ht="36.65" customHeight="1" x14ac:dyDescent="0.25">
      <c r="A10" s="822"/>
      <c r="B10" s="1222" t="s">
        <v>167</v>
      </c>
      <c r="C10" s="1165" t="s">
        <v>168</v>
      </c>
      <c r="D10" s="826"/>
    </row>
    <row r="11" spans="1:4" ht="61" customHeight="1" x14ac:dyDescent="0.25">
      <c r="A11" s="822"/>
      <c r="B11" s="1223"/>
      <c r="C11" s="1164" t="s">
        <v>169</v>
      </c>
      <c r="D11" s="827"/>
    </row>
    <row r="12" spans="1:4" ht="72.650000000000006" customHeight="1" x14ac:dyDescent="0.25">
      <c r="A12" s="822"/>
      <c r="B12" s="1223"/>
      <c r="C12" s="1150" t="s">
        <v>170</v>
      </c>
      <c r="D12" s="827"/>
    </row>
    <row r="13" spans="1:4" ht="26.15" customHeight="1" x14ac:dyDescent="0.25">
      <c r="A13" s="822"/>
      <c r="B13" s="1223"/>
      <c r="C13" s="1164" t="s">
        <v>171</v>
      </c>
      <c r="D13" s="827"/>
    </row>
    <row r="14" spans="1:4" ht="52.5" customHeight="1" x14ac:dyDescent="0.25">
      <c r="A14" s="822"/>
      <c r="B14" s="1224"/>
      <c r="C14" s="1164" t="s">
        <v>172</v>
      </c>
      <c r="D14" s="827"/>
    </row>
    <row r="15" spans="1:4" x14ac:dyDescent="0.25">
      <c r="A15" s="822"/>
      <c r="B15" s="831"/>
      <c r="C15" s="829"/>
      <c r="D15" s="825"/>
    </row>
    <row r="16" spans="1:4" ht="20.5" customHeight="1" x14ac:dyDescent="0.25">
      <c r="A16" s="822"/>
      <c r="B16" s="1219" t="s">
        <v>173</v>
      </c>
      <c r="C16" s="1164" t="s">
        <v>174</v>
      </c>
      <c r="D16" s="825"/>
    </row>
    <row r="17" spans="1:16" ht="24" customHeight="1" x14ac:dyDescent="0.25">
      <c r="A17" s="822"/>
      <c r="B17" s="1221"/>
      <c r="C17" s="1164" t="s">
        <v>175</v>
      </c>
      <c r="D17" s="825"/>
    </row>
    <row r="18" spans="1:16" x14ac:dyDescent="0.25">
      <c r="A18" s="822"/>
      <c r="B18" s="829"/>
      <c r="C18" s="829"/>
      <c r="D18" s="825"/>
    </row>
    <row r="19" spans="1:16" ht="91.5" customHeight="1" x14ac:dyDescent="0.25">
      <c r="A19" s="822"/>
      <c r="B19" s="1219" t="s">
        <v>176</v>
      </c>
      <c r="C19" s="1164" t="s">
        <v>177</v>
      </c>
      <c r="D19" s="825"/>
    </row>
    <row r="20" spans="1:16" ht="51.5" customHeight="1" x14ac:dyDescent="0.25">
      <c r="A20" s="822"/>
      <c r="B20" s="1220"/>
      <c r="C20" s="1164" t="s">
        <v>178</v>
      </c>
      <c r="D20" s="825"/>
    </row>
    <row r="21" spans="1:16" s="512" customFormat="1" ht="41.5" customHeight="1" x14ac:dyDescent="0.25">
      <c r="A21" s="823"/>
      <c r="B21" s="1220"/>
      <c r="C21" s="1164" t="s">
        <v>179</v>
      </c>
      <c r="D21" s="827"/>
      <c r="E21" s="513"/>
      <c r="F21" s="513"/>
      <c r="G21" s="513"/>
      <c r="H21" s="513"/>
      <c r="I21" s="513"/>
      <c r="J21" s="513"/>
      <c r="K21" s="513"/>
      <c r="L21" s="513"/>
      <c r="M21" s="513"/>
      <c r="N21" s="513"/>
      <c r="O21" s="513"/>
      <c r="P21" s="513"/>
    </row>
    <row r="22" spans="1:16" s="512" customFormat="1" ht="43.5" x14ac:dyDescent="0.25">
      <c r="A22" s="823"/>
      <c r="B22" s="1221"/>
      <c r="C22" s="1164" t="s">
        <v>180</v>
      </c>
      <c r="D22" s="827"/>
      <c r="E22" s="513"/>
      <c r="F22" s="513"/>
      <c r="G22" s="513"/>
      <c r="H22" s="513"/>
      <c r="I22" s="513"/>
      <c r="J22" s="513"/>
      <c r="K22" s="513"/>
      <c r="L22" s="513"/>
      <c r="M22" s="513"/>
      <c r="N22" s="513"/>
      <c r="O22" s="513"/>
      <c r="P22" s="513"/>
    </row>
    <row r="23" spans="1:16" s="512" customFormat="1" x14ac:dyDescent="0.25">
      <c r="A23" s="823"/>
      <c r="B23" s="832"/>
      <c r="C23" s="830"/>
      <c r="D23" s="827"/>
      <c r="E23" s="513"/>
      <c r="F23" s="513"/>
      <c r="G23" s="513"/>
      <c r="H23" s="513"/>
      <c r="I23" s="513"/>
      <c r="J23" s="513"/>
      <c r="K23" s="513"/>
      <c r="L23" s="513"/>
      <c r="M23" s="513"/>
      <c r="N23" s="513"/>
      <c r="O23" s="513"/>
      <c r="P23" s="513"/>
    </row>
    <row r="24" spans="1:16" s="512" customFormat="1" ht="53" customHeight="1" x14ac:dyDescent="0.25">
      <c r="A24" s="823"/>
      <c r="B24" s="1219" t="s">
        <v>181</v>
      </c>
      <c r="C24" s="1164" t="s">
        <v>182</v>
      </c>
      <c r="D24" s="827"/>
      <c r="E24" s="514"/>
      <c r="F24" s="514"/>
      <c r="G24" s="514"/>
      <c r="H24" s="514"/>
      <c r="I24" s="514"/>
      <c r="J24" s="514"/>
      <c r="K24" s="514"/>
      <c r="L24" s="514"/>
      <c r="M24" s="514"/>
      <c r="N24" s="514"/>
      <c r="O24" s="514"/>
      <c r="P24" s="514"/>
    </row>
    <row r="25" spans="1:16" s="512" customFormat="1" ht="98.5" customHeight="1" x14ac:dyDescent="0.25">
      <c r="A25" s="823"/>
      <c r="B25" s="1220"/>
      <c r="C25" s="1164" t="s">
        <v>183</v>
      </c>
      <c r="D25" s="827"/>
      <c r="E25" s="514"/>
      <c r="F25" s="514"/>
      <c r="G25" s="514"/>
      <c r="H25" s="514"/>
      <c r="I25" s="514"/>
      <c r="J25" s="514"/>
      <c r="K25" s="514"/>
      <c r="L25" s="514"/>
      <c r="M25" s="514"/>
      <c r="N25" s="514"/>
      <c r="O25" s="514"/>
      <c r="P25" s="514"/>
    </row>
    <row r="26" spans="1:16" s="512" customFormat="1" ht="66.5" customHeight="1" x14ac:dyDescent="0.25">
      <c r="A26" s="823"/>
      <c r="B26" s="1220"/>
      <c r="C26" s="1164" t="s">
        <v>184</v>
      </c>
      <c r="D26" s="827"/>
      <c r="E26" s="514"/>
      <c r="F26" s="514"/>
      <c r="G26" s="514"/>
      <c r="H26" s="514"/>
      <c r="I26" s="514"/>
      <c r="J26" s="514"/>
      <c r="K26" s="514"/>
      <c r="L26" s="514"/>
      <c r="M26" s="514"/>
      <c r="N26" s="514"/>
      <c r="O26" s="514"/>
      <c r="P26" s="514"/>
    </row>
    <row r="27" spans="1:16" s="512" customFormat="1" ht="71.5" customHeight="1" x14ac:dyDescent="0.25">
      <c r="A27" s="823"/>
      <c r="B27" s="1220"/>
      <c r="C27" s="1164" t="s">
        <v>185</v>
      </c>
      <c r="D27" s="827"/>
      <c r="E27" s="514"/>
      <c r="F27" s="514"/>
      <c r="G27" s="514"/>
      <c r="H27" s="514"/>
      <c r="I27" s="514"/>
      <c r="J27" s="514"/>
      <c r="K27" s="514"/>
      <c r="L27" s="514"/>
      <c r="M27" s="514"/>
      <c r="N27" s="514"/>
      <c r="O27" s="514"/>
      <c r="P27" s="514"/>
    </row>
    <row r="28" spans="1:16" s="512" customFormat="1" ht="27.65" customHeight="1" x14ac:dyDescent="0.25">
      <c r="A28" s="823"/>
      <c r="B28" s="1221"/>
      <c r="C28" s="1164" t="s">
        <v>186</v>
      </c>
      <c r="D28" s="827"/>
      <c r="E28" s="514"/>
      <c r="F28" s="514"/>
      <c r="G28" s="514"/>
      <c r="H28" s="514"/>
      <c r="I28" s="514"/>
      <c r="J28" s="514"/>
      <c r="K28" s="514"/>
      <c r="L28" s="514"/>
      <c r="M28" s="514"/>
      <c r="N28" s="514"/>
      <c r="O28" s="514"/>
      <c r="P28" s="514"/>
    </row>
    <row r="29" spans="1:16" s="512" customFormat="1" x14ac:dyDescent="0.25">
      <c r="A29" s="823"/>
      <c r="B29" s="832"/>
      <c r="C29" s="830"/>
      <c r="D29" s="827"/>
      <c r="E29" s="514"/>
      <c r="F29" s="514"/>
      <c r="G29" s="514"/>
      <c r="H29" s="514"/>
      <c r="I29" s="514"/>
      <c r="J29" s="514"/>
      <c r="K29" s="514"/>
      <c r="L29" s="514"/>
      <c r="M29" s="514"/>
      <c r="N29" s="514"/>
      <c r="O29" s="514"/>
      <c r="P29" s="514"/>
    </row>
    <row r="30" spans="1:16" s="512" customFormat="1" ht="45" customHeight="1" x14ac:dyDescent="0.25">
      <c r="A30" s="823"/>
      <c r="B30" s="1219" t="s">
        <v>187</v>
      </c>
      <c r="C30" s="1164" t="s">
        <v>188</v>
      </c>
      <c r="D30" s="827"/>
      <c r="E30" s="514"/>
      <c r="F30" s="514"/>
      <c r="G30" s="514"/>
      <c r="H30" s="514"/>
      <c r="I30" s="514"/>
      <c r="J30" s="514"/>
      <c r="K30" s="514"/>
      <c r="L30" s="514"/>
      <c r="M30" s="514"/>
      <c r="N30" s="514"/>
      <c r="O30" s="514"/>
      <c r="P30" s="514"/>
    </row>
    <row r="31" spans="1:16" ht="73" customHeight="1" x14ac:dyDescent="0.25">
      <c r="A31" s="822"/>
      <c r="B31" s="1220"/>
      <c r="C31" s="1164" t="s">
        <v>189</v>
      </c>
      <c r="D31" s="825"/>
    </row>
    <row r="32" spans="1:16" ht="35.5" customHeight="1" x14ac:dyDescent="0.25">
      <c r="A32" s="822"/>
      <c r="B32" s="1221"/>
      <c r="C32" s="1164" t="s">
        <v>190</v>
      </c>
      <c r="D32" s="825"/>
    </row>
    <row r="33" spans="1:4" ht="18" customHeight="1" x14ac:dyDescent="0.25">
      <c r="A33" s="822"/>
      <c r="B33" s="829"/>
      <c r="C33" s="829"/>
      <c r="D33" s="825"/>
    </row>
    <row r="34" spans="1:4" ht="27" customHeight="1" x14ac:dyDescent="0.25">
      <c r="A34" s="822"/>
      <c r="B34" s="1217" t="s">
        <v>191</v>
      </c>
      <c r="C34" s="1217"/>
      <c r="D34" s="825"/>
    </row>
    <row r="35" spans="1:4" ht="32.15" customHeight="1" x14ac:dyDescent="0.25">
      <c r="A35" s="822"/>
      <c r="B35" s="1214" t="s">
        <v>192</v>
      </c>
      <c r="C35" s="1214"/>
      <c r="D35" s="825"/>
    </row>
    <row r="36" spans="1:4" ht="79" customHeight="1" x14ac:dyDescent="0.25">
      <c r="A36" s="822"/>
      <c r="B36" s="1214" t="s">
        <v>193</v>
      </c>
      <c r="C36" s="1214"/>
      <c r="D36" s="825"/>
    </row>
    <row r="37" spans="1:4" x14ac:dyDescent="0.25">
      <c r="A37" s="822"/>
      <c r="B37" s="829"/>
      <c r="C37" s="829"/>
      <c r="D37" s="825"/>
    </row>
    <row r="38" spans="1:4" x14ac:dyDescent="0.25">
      <c r="A38" s="822"/>
      <c r="B38" s="829"/>
      <c r="C38" s="829"/>
      <c r="D38" s="825"/>
    </row>
    <row r="39" spans="1:4" ht="15" thickBot="1" x14ac:dyDescent="0.3">
      <c r="A39" s="824"/>
      <c r="B39" s="833"/>
      <c r="C39" s="833"/>
      <c r="D39" s="828"/>
    </row>
    <row r="49" s="511" customFormat="1" x14ac:dyDescent="0.25"/>
    <row r="50" s="511" customFormat="1" x14ac:dyDescent="0.25"/>
    <row r="51" s="511" customFormat="1" x14ac:dyDescent="0.25"/>
    <row r="52" s="511" customFormat="1" x14ac:dyDescent="0.25"/>
    <row r="53" s="511" customFormat="1" x14ac:dyDescent="0.25"/>
    <row r="54" s="511" customFormat="1" x14ac:dyDescent="0.25"/>
    <row r="55" s="511" customFormat="1" x14ac:dyDescent="0.25"/>
    <row r="56" s="511" customFormat="1" x14ac:dyDescent="0.25"/>
    <row r="57" s="511" customFormat="1" x14ac:dyDescent="0.25"/>
    <row r="58" s="511" customFormat="1" x14ac:dyDescent="0.25"/>
    <row r="59" s="511" customFormat="1" x14ac:dyDescent="0.25"/>
    <row r="60" s="511" customFormat="1" x14ac:dyDescent="0.25"/>
    <row r="61" s="511" customFormat="1" x14ac:dyDescent="0.25"/>
    <row r="62" s="511" customFormat="1" x14ac:dyDescent="0.25"/>
    <row r="63" s="511" customFormat="1" x14ac:dyDescent="0.25"/>
    <row r="64" s="511" customFormat="1" x14ac:dyDescent="0.25"/>
    <row r="65" s="511" customFormat="1" x14ac:dyDescent="0.25"/>
    <row r="66" s="511" customFormat="1" x14ac:dyDescent="0.25"/>
    <row r="67" s="511" customFormat="1" x14ac:dyDescent="0.25"/>
    <row r="68" s="511" customFormat="1" x14ac:dyDescent="0.25"/>
  </sheetData>
  <mergeCells count="16">
    <mergeCell ref="A1:D1"/>
    <mergeCell ref="B4:C4"/>
    <mergeCell ref="B5:C5"/>
    <mergeCell ref="B6:C6"/>
    <mergeCell ref="B7:C7"/>
    <mergeCell ref="B2:C2"/>
    <mergeCell ref="B35:C35"/>
    <mergeCell ref="B36:C36"/>
    <mergeCell ref="B9:C9"/>
    <mergeCell ref="B34:C34"/>
    <mergeCell ref="B3:C3"/>
    <mergeCell ref="B24:B28"/>
    <mergeCell ref="B19:B22"/>
    <mergeCell ref="B16:B17"/>
    <mergeCell ref="B10:B14"/>
    <mergeCell ref="B30:B32"/>
  </mergeCells>
  <pageMargins left="0.7" right="0.7" top="0.75" bottom="0.75" header="0.3" footer="0.3"/>
  <pageSetup scale="72" fitToHeight="0"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C00000"/>
    <pageSetUpPr fitToPage="1"/>
  </sheetPr>
  <dimension ref="A1:EY42"/>
  <sheetViews>
    <sheetView showGridLines="0" showRuler="0" view="pageBreakPreview" zoomScale="85" zoomScaleNormal="85" zoomScaleSheetLayoutView="85" workbookViewId="0">
      <selection activeCell="J32" sqref="J32"/>
    </sheetView>
  </sheetViews>
  <sheetFormatPr defaultColWidth="8.453125" defaultRowHeight="13" x14ac:dyDescent="0.25"/>
  <cols>
    <col min="1" max="1" width="3.81640625" style="292" customWidth="1"/>
    <col min="2" max="2" width="8.453125" style="292" customWidth="1"/>
    <col min="3" max="3" width="16.54296875" style="292" customWidth="1"/>
    <col min="4" max="4" width="41.81640625" style="292" customWidth="1"/>
    <col min="5" max="5" width="27.1796875" style="292" customWidth="1"/>
    <col min="6" max="7" width="8.453125" style="292"/>
    <col min="8" max="8" width="10.453125" style="292" customWidth="1"/>
    <col min="9" max="9" width="8.453125" style="292"/>
    <col min="10" max="10" width="8.453125" style="292" customWidth="1"/>
    <col min="11" max="11" width="8.453125" style="292"/>
    <col min="12" max="12" width="9" style="292" bestFit="1" customWidth="1"/>
    <col min="13" max="14" width="8.453125" style="292"/>
    <col min="15" max="15" width="8.453125" style="292" customWidth="1"/>
    <col min="16" max="16" width="8.453125" style="292"/>
    <col min="17" max="17" width="6.7265625" style="292" customWidth="1"/>
    <col min="18" max="18" width="8.453125" style="292"/>
    <col min="19" max="19" width="5.81640625" style="292" customWidth="1"/>
    <col min="20" max="16384" width="8.453125" style="292"/>
  </cols>
  <sheetData>
    <row r="1" spans="1:21" ht="16" customHeight="1" x14ac:dyDescent="0.25">
      <c r="A1" s="840"/>
      <c r="B1" s="840"/>
      <c r="C1" s="840"/>
      <c r="D1" s="840"/>
      <c r="E1" s="840"/>
      <c r="F1" s="840"/>
      <c r="G1" s="840"/>
      <c r="H1" s="840"/>
      <c r="I1" s="840"/>
      <c r="J1" s="840"/>
      <c r="K1" s="840"/>
      <c r="L1" s="840"/>
      <c r="M1" s="840"/>
      <c r="N1" s="840"/>
      <c r="O1" s="840"/>
      <c r="P1" s="840"/>
      <c r="Q1" s="840"/>
      <c r="R1" s="772"/>
      <c r="S1" s="772"/>
      <c r="T1" s="772"/>
      <c r="U1" s="772"/>
    </row>
    <row r="2" spans="1:21" ht="47.15" customHeight="1" x14ac:dyDescent="0.25">
      <c r="A2" s="840"/>
      <c r="B2" s="1261" t="s">
        <v>194</v>
      </c>
      <c r="C2" s="1261"/>
      <c r="D2" s="1261"/>
      <c r="E2" s="1261"/>
      <c r="F2" s="1261"/>
      <c r="G2" s="1261"/>
      <c r="H2" s="1261"/>
      <c r="I2" s="1261"/>
      <c r="J2" s="1261"/>
      <c r="K2" s="1261"/>
      <c r="L2" s="1261"/>
      <c r="M2" s="1261"/>
      <c r="N2" s="1261"/>
      <c r="O2" s="1261"/>
      <c r="P2" s="1261"/>
      <c r="Q2" s="844"/>
      <c r="R2" s="778"/>
      <c r="S2" s="772"/>
      <c r="T2" s="772"/>
      <c r="U2" s="772"/>
    </row>
    <row r="3" spans="1:21" ht="10" customHeight="1" x14ac:dyDescent="0.25">
      <c r="A3" s="840"/>
      <c r="B3" s="843"/>
      <c r="C3" s="843"/>
      <c r="D3" s="843"/>
      <c r="E3" s="843"/>
      <c r="F3" s="843"/>
      <c r="G3" s="843"/>
      <c r="H3" s="843"/>
      <c r="I3" s="843"/>
      <c r="J3" s="843"/>
      <c r="K3" s="843"/>
      <c r="L3" s="843"/>
      <c r="M3" s="843"/>
      <c r="N3" s="843"/>
      <c r="O3" s="843"/>
      <c r="P3" s="843"/>
      <c r="Q3" s="844"/>
      <c r="R3" s="778"/>
      <c r="S3" s="772"/>
      <c r="T3" s="772"/>
      <c r="U3" s="772"/>
    </row>
    <row r="4" spans="1:21" ht="44.5" customHeight="1" x14ac:dyDescent="0.25">
      <c r="A4" s="840"/>
      <c r="B4" s="1232" t="s">
        <v>195</v>
      </c>
      <c r="C4" s="1232"/>
      <c r="D4" s="1262" t="s">
        <v>196</v>
      </c>
      <c r="E4" s="1262"/>
      <c r="F4" s="840"/>
      <c r="G4" s="1262" t="s">
        <v>197</v>
      </c>
      <c r="H4" s="1262"/>
      <c r="I4" s="1262"/>
      <c r="J4" s="840"/>
      <c r="K4" s="840"/>
      <c r="L4" s="840"/>
      <c r="M4" s="840"/>
      <c r="N4" s="840"/>
      <c r="O4" s="840"/>
      <c r="P4" s="840"/>
      <c r="Q4" s="840"/>
      <c r="R4" s="772"/>
      <c r="S4" s="772"/>
      <c r="T4" s="772"/>
      <c r="U4" s="772"/>
    </row>
    <row r="5" spans="1:21" ht="25.5" customHeight="1" x14ac:dyDescent="0.25">
      <c r="A5" s="840"/>
      <c r="B5" s="1232" t="s">
        <v>198</v>
      </c>
      <c r="C5" s="1232"/>
      <c r="D5" s="1263" t="s">
        <v>196</v>
      </c>
      <c r="E5" s="1263"/>
      <c r="F5" s="841"/>
      <c r="G5" s="1263" t="s">
        <v>199</v>
      </c>
      <c r="H5" s="1263"/>
      <c r="I5" s="1263"/>
      <c r="J5" s="840"/>
      <c r="K5" s="841"/>
      <c r="L5" s="841"/>
      <c r="M5" s="841"/>
      <c r="N5" s="841"/>
      <c r="O5" s="841"/>
      <c r="P5" s="841"/>
      <c r="Q5" s="841"/>
      <c r="R5" s="772"/>
      <c r="S5" s="772"/>
      <c r="T5" s="772"/>
      <c r="U5" s="772"/>
    </row>
    <row r="6" spans="1:21" ht="25.5" customHeight="1" x14ac:dyDescent="0.25">
      <c r="A6" s="840"/>
      <c r="B6" s="1232" t="s">
        <v>200</v>
      </c>
      <c r="C6" s="1232"/>
      <c r="D6" s="1263" t="s">
        <v>201</v>
      </c>
      <c r="E6" s="1263"/>
      <c r="F6" s="841"/>
      <c r="G6" s="841"/>
      <c r="H6" s="841"/>
      <c r="I6" s="841"/>
      <c r="J6" s="841"/>
      <c r="K6" s="841"/>
      <c r="L6" s="841"/>
      <c r="M6" s="841"/>
      <c r="N6" s="841"/>
      <c r="O6" s="841"/>
      <c r="P6" s="841"/>
      <c r="Q6" s="841"/>
      <c r="R6" s="772"/>
      <c r="S6" s="772"/>
      <c r="T6" s="772"/>
      <c r="U6" s="772"/>
    </row>
    <row r="7" spans="1:21" ht="30" customHeight="1" x14ac:dyDescent="0.25">
      <c r="A7" s="840"/>
      <c r="B7" s="1264" t="s">
        <v>202</v>
      </c>
      <c r="C7" s="1265"/>
      <c r="D7" s="1263" t="s">
        <v>203</v>
      </c>
      <c r="E7" s="1263"/>
      <c r="F7" s="841"/>
      <c r="G7" s="841"/>
      <c r="H7" s="841"/>
      <c r="I7" s="841"/>
      <c r="J7" s="841"/>
      <c r="K7" s="841"/>
      <c r="L7" s="841"/>
      <c r="M7" s="841"/>
      <c r="N7" s="841"/>
      <c r="O7" s="841"/>
      <c r="P7" s="841"/>
      <c r="Q7" s="841"/>
      <c r="R7" s="772"/>
      <c r="S7" s="772"/>
      <c r="T7" s="772"/>
      <c r="U7" s="772"/>
    </row>
    <row r="8" spans="1:21" ht="15.5" x14ac:dyDescent="0.25">
      <c r="A8" s="840"/>
      <c r="B8" s="840"/>
      <c r="C8" s="840"/>
      <c r="D8" s="841"/>
      <c r="E8" s="841"/>
      <c r="F8" s="841"/>
      <c r="G8" s="841"/>
      <c r="H8" s="841"/>
      <c r="I8" s="841"/>
      <c r="J8" s="841"/>
      <c r="K8" s="841"/>
      <c r="L8" s="841"/>
      <c r="M8" s="841"/>
      <c r="N8" s="841"/>
      <c r="O8" s="841"/>
      <c r="P8" s="841"/>
      <c r="Q8" s="841"/>
      <c r="R8" s="772"/>
      <c r="S8" s="772"/>
      <c r="T8" s="772"/>
      <c r="U8" s="772"/>
    </row>
    <row r="9" spans="1:21" ht="25.5" customHeight="1" x14ac:dyDescent="0.25">
      <c r="A9" s="840"/>
      <c r="B9" s="840"/>
      <c r="C9" s="1230" t="s">
        <v>194</v>
      </c>
      <c r="D9" s="1230"/>
      <c r="E9" s="841"/>
      <c r="F9" s="841"/>
      <c r="G9" s="841"/>
      <c r="H9" s="841"/>
      <c r="I9" s="841"/>
      <c r="J9" s="841"/>
      <c r="K9" s="841"/>
      <c r="L9" s="841"/>
      <c r="M9" s="841"/>
      <c r="N9" s="841"/>
      <c r="O9" s="841"/>
      <c r="P9" s="841"/>
      <c r="Q9" s="841"/>
      <c r="R9" s="772"/>
      <c r="S9" s="772"/>
      <c r="T9" s="772"/>
      <c r="U9" s="772"/>
    </row>
    <row r="10" spans="1:21" ht="15.75" customHeight="1" x14ac:dyDescent="0.25">
      <c r="A10" s="840"/>
      <c r="B10" s="840"/>
      <c r="C10" s="1247" t="s">
        <v>204</v>
      </c>
      <c r="D10" s="1248"/>
      <c r="E10" s="1248"/>
      <c r="F10" s="1248"/>
      <c r="G10" s="1248"/>
      <c r="H10" s="1248"/>
      <c r="I10" s="1248"/>
      <c r="J10" s="1248"/>
      <c r="K10" s="1248"/>
      <c r="L10" s="1248"/>
      <c r="M10" s="1248"/>
      <c r="N10" s="1248"/>
      <c r="O10" s="1248"/>
      <c r="P10" s="1248"/>
      <c r="Q10" s="845"/>
      <c r="R10" s="774"/>
      <c r="S10" s="772"/>
      <c r="T10" s="772"/>
      <c r="U10" s="772"/>
    </row>
    <row r="11" spans="1:21" ht="76.5" customHeight="1" x14ac:dyDescent="0.25">
      <c r="A11" s="840"/>
      <c r="B11" s="840"/>
      <c r="C11" s="1249"/>
      <c r="D11" s="1250"/>
      <c r="E11" s="1250"/>
      <c r="F11" s="1250"/>
      <c r="G11" s="1250"/>
      <c r="H11" s="1250"/>
      <c r="I11" s="1250"/>
      <c r="J11" s="1250"/>
      <c r="K11" s="1250"/>
      <c r="L11" s="1250"/>
      <c r="M11" s="1250"/>
      <c r="N11" s="1250"/>
      <c r="O11" s="1250"/>
      <c r="P11" s="1250"/>
      <c r="Q11" s="845"/>
      <c r="R11" s="774"/>
      <c r="S11" s="772"/>
      <c r="T11" s="772"/>
      <c r="U11" s="772"/>
    </row>
    <row r="12" spans="1:21" ht="59.5" customHeight="1" x14ac:dyDescent="0.25">
      <c r="A12" s="840"/>
      <c r="B12" s="840"/>
      <c r="C12" s="1251" t="s">
        <v>205</v>
      </c>
      <c r="D12" s="1252"/>
      <c r="E12" s="1252"/>
      <c r="F12" s="1252"/>
      <c r="G12" s="1252"/>
      <c r="H12" s="1252"/>
      <c r="I12" s="1252"/>
      <c r="J12" s="1252"/>
      <c r="K12" s="1252"/>
      <c r="L12" s="1252"/>
      <c r="M12" s="1252"/>
      <c r="N12" s="1252"/>
      <c r="O12" s="1252"/>
      <c r="P12" s="1252"/>
      <c r="Q12" s="846"/>
      <c r="R12" s="776"/>
      <c r="S12" s="772"/>
      <c r="T12" s="772"/>
      <c r="U12" s="772"/>
    </row>
    <row r="13" spans="1:21" ht="28" customHeight="1" x14ac:dyDescent="0.25">
      <c r="A13" s="840"/>
      <c r="B13" s="840"/>
      <c r="C13" s="1253" t="s">
        <v>206</v>
      </c>
      <c r="D13" s="1254"/>
      <c r="E13" s="1254"/>
      <c r="F13" s="1254"/>
      <c r="G13" s="1254"/>
      <c r="H13" s="1254"/>
      <c r="I13" s="1254"/>
      <c r="J13" s="1254"/>
      <c r="K13" s="1254"/>
      <c r="L13" s="1254"/>
      <c r="M13" s="1254"/>
      <c r="N13" s="1254"/>
      <c r="O13" s="1254"/>
      <c r="P13" s="1254"/>
      <c r="Q13" s="847"/>
      <c r="R13" s="777"/>
      <c r="S13" s="772"/>
      <c r="T13" s="772"/>
      <c r="U13" s="772"/>
    </row>
    <row r="14" spans="1:21" ht="18" customHeight="1" x14ac:dyDescent="0.25">
      <c r="A14" s="840"/>
      <c r="B14" s="840"/>
      <c r="C14" s="1256" t="s">
        <v>207</v>
      </c>
      <c r="D14" s="1257"/>
      <c r="E14" s="1257"/>
      <c r="F14" s="1257"/>
      <c r="G14" s="1257"/>
      <c r="H14" s="1257"/>
      <c r="I14" s="1257"/>
      <c r="J14" s="1257"/>
      <c r="K14" s="1257"/>
      <c r="L14" s="1257"/>
      <c r="M14" s="1257"/>
      <c r="N14" s="1257"/>
      <c r="O14" s="1257"/>
      <c r="P14" s="1257"/>
      <c r="Q14" s="845"/>
      <c r="R14" s="774"/>
      <c r="S14" s="772"/>
      <c r="T14" s="772"/>
      <c r="U14" s="772"/>
    </row>
    <row r="15" spans="1:21" ht="18" customHeight="1" x14ac:dyDescent="0.25">
      <c r="A15" s="840"/>
      <c r="B15" s="841"/>
      <c r="C15" s="1258"/>
      <c r="D15" s="1259"/>
      <c r="E15" s="1259"/>
      <c r="F15" s="1259"/>
      <c r="G15" s="1259"/>
      <c r="H15" s="1259"/>
      <c r="I15" s="1259"/>
      <c r="J15" s="1259"/>
      <c r="K15" s="1259"/>
      <c r="L15" s="1259"/>
      <c r="M15" s="1259"/>
      <c r="N15" s="1259"/>
      <c r="O15" s="1259"/>
      <c r="P15" s="1260"/>
      <c r="Q15" s="845"/>
      <c r="R15" s="774"/>
      <c r="S15" s="772"/>
      <c r="T15" s="772"/>
      <c r="U15" s="772"/>
    </row>
    <row r="16" spans="1:21" ht="34.4" customHeight="1" x14ac:dyDescent="0.25">
      <c r="A16" s="840"/>
      <c r="B16" s="841"/>
      <c r="C16" s="1255" t="s">
        <v>208</v>
      </c>
      <c r="D16" s="1255"/>
      <c r="E16" s="1255"/>
      <c r="F16" s="1255"/>
      <c r="G16" s="1255"/>
      <c r="H16" s="1255"/>
      <c r="I16" s="1255"/>
      <c r="J16" s="1255"/>
      <c r="K16" s="1255"/>
      <c r="L16" s="1255"/>
      <c r="M16" s="1255"/>
      <c r="N16" s="1255"/>
      <c r="O16" s="1255"/>
      <c r="P16" s="1255"/>
      <c r="Q16" s="841"/>
      <c r="R16" s="772"/>
      <c r="S16" s="772"/>
      <c r="T16" s="772"/>
      <c r="U16" s="772"/>
    </row>
    <row r="17" spans="1:155" ht="31.4" customHeight="1" x14ac:dyDescent="0.25">
      <c r="A17" s="840"/>
      <c r="B17" s="841"/>
      <c r="C17" s="1233" t="s">
        <v>209</v>
      </c>
      <c r="D17" s="1233"/>
      <c r="E17" s="1233"/>
      <c r="F17" s="1233"/>
      <c r="G17" s="1233"/>
      <c r="H17" s="1233"/>
      <c r="I17" s="1233"/>
      <c r="J17" s="1233"/>
      <c r="K17" s="1233"/>
      <c r="L17" s="1233"/>
      <c r="M17" s="1233"/>
      <c r="N17" s="1233"/>
      <c r="O17" s="1233"/>
      <c r="P17" s="1233"/>
      <c r="Q17" s="840"/>
      <c r="R17" s="772"/>
      <c r="S17" s="739"/>
      <c r="T17" s="739"/>
      <c r="U17" s="739"/>
    </row>
    <row r="18" spans="1:155" ht="30" customHeight="1" x14ac:dyDescent="0.25">
      <c r="A18" s="840"/>
      <c r="B18" s="841"/>
      <c r="C18" s="1233" t="s">
        <v>210</v>
      </c>
      <c r="D18" s="1234"/>
      <c r="E18" s="1234"/>
      <c r="F18" s="1234"/>
      <c r="G18" s="1234"/>
      <c r="H18" s="1234"/>
      <c r="I18" s="1234"/>
      <c r="J18" s="1234"/>
      <c r="K18" s="1234"/>
      <c r="L18" s="1234"/>
      <c r="M18" s="1234"/>
      <c r="N18" s="1234"/>
      <c r="O18" s="1234"/>
      <c r="P18" s="1234"/>
      <c r="Q18" s="848"/>
      <c r="R18" s="739"/>
      <c r="S18" s="739"/>
      <c r="T18" s="739"/>
      <c r="U18" s="739"/>
    </row>
    <row r="19" spans="1:155" ht="25" customHeight="1" x14ac:dyDescent="0.25">
      <c r="A19" s="840"/>
      <c r="B19" s="841"/>
      <c r="C19" s="1233" t="s">
        <v>211</v>
      </c>
      <c r="D19" s="1234"/>
      <c r="E19" s="1234"/>
      <c r="F19" s="1234"/>
      <c r="G19" s="1234"/>
      <c r="H19" s="1234"/>
      <c r="I19" s="1234"/>
      <c r="J19" s="1234"/>
      <c r="K19" s="1234"/>
      <c r="L19" s="1234"/>
      <c r="M19" s="1234"/>
      <c r="N19" s="1234"/>
      <c r="O19" s="1234"/>
      <c r="P19" s="1234"/>
      <c r="Q19" s="848"/>
      <c r="R19" s="739"/>
      <c r="S19" s="739"/>
      <c r="T19" s="739"/>
      <c r="U19" s="739"/>
    </row>
    <row r="20" spans="1:155" ht="23.5" customHeight="1" x14ac:dyDescent="0.25">
      <c r="A20" s="840"/>
      <c r="B20" s="841"/>
      <c r="C20" s="1233" t="s">
        <v>212</v>
      </c>
      <c r="D20" s="1234"/>
      <c r="E20" s="1234"/>
      <c r="F20" s="1234"/>
      <c r="G20" s="1234"/>
      <c r="H20" s="1234"/>
      <c r="I20" s="1234"/>
      <c r="J20" s="1234"/>
      <c r="K20" s="1234"/>
      <c r="L20" s="1234"/>
      <c r="M20" s="1234"/>
      <c r="N20" s="1234"/>
      <c r="O20" s="1234"/>
      <c r="P20" s="1234"/>
      <c r="Q20" s="848"/>
      <c r="R20" s="739"/>
      <c r="S20" s="739"/>
      <c r="T20" s="739"/>
      <c r="U20" s="739"/>
    </row>
    <row r="21" spans="1:155" ht="18" customHeight="1" x14ac:dyDescent="0.25">
      <c r="A21" s="840"/>
      <c r="B21" s="841"/>
      <c r="C21" s="1231"/>
      <c r="D21" s="1231"/>
      <c r="E21" s="1231"/>
      <c r="F21" s="1231"/>
      <c r="G21" s="849"/>
      <c r="H21" s="849"/>
      <c r="I21" s="849"/>
      <c r="J21" s="849"/>
      <c r="K21" s="849"/>
      <c r="L21" s="849"/>
      <c r="M21" s="849"/>
      <c r="N21" s="849"/>
      <c r="O21" s="849"/>
      <c r="P21" s="849"/>
      <c r="Q21" s="848"/>
      <c r="R21" s="739"/>
      <c r="S21" s="739"/>
      <c r="T21" s="739"/>
      <c r="U21" s="739"/>
    </row>
    <row r="22" spans="1:155" s="520" customFormat="1" ht="44.15" customHeight="1" x14ac:dyDescent="0.25">
      <c r="A22" s="841"/>
      <c r="B22" s="841"/>
      <c r="C22" s="1235" t="s">
        <v>213</v>
      </c>
      <c r="D22" s="1236"/>
      <c r="E22" s="1236"/>
      <c r="F22" s="1237"/>
      <c r="G22" s="841"/>
      <c r="H22" s="841"/>
      <c r="I22" s="841"/>
      <c r="J22" s="1238" t="s">
        <v>214</v>
      </c>
      <c r="K22" s="1239"/>
      <c r="L22" s="1239"/>
      <c r="M22" s="1239"/>
      <c r="N22" s="1240"/>
      <c r="O22" s="851"/>
      <c r="P22" s="841"/>
      <c r="Q22" s="841"/>
      <c r="R22" s="773"/>
      <c r="S22" s="773"/>
      <c r="T22" s="773"/>
      <c r="U22" s="773"/>
      <c r="V22" s="519"/>
      <c r="W22" s="519"/>
      <c r="X22" s="519"/>
      <c r="Y22" s="519"/>
      <c r="Z22" s="519"/>
      <c r="AA22" s="519"/>
      <c r="AB22" s="519"/>
      <c r="AC22" s="519"/>
      <c r="AD22" s="519"/>
      <c r="AE22" s="519"/>
      <c r="AF22" s="519"/>
      <c r="AG22" s="519"/>
      <c r="AH22" s="519"/>
      <c r="AI22" s="519"/>
      <c r="AJ22" s="519"/>
      <c r="AK22" s="519"/>
      <c r="AL22" s="519"/>
      <c r="AM22" s="519"/>
      <c r="AN22" s="519"/>
      <c r="AO22" s="519"/>
      <c r="AP22" s="519"/>
      <c r="AQ22" s="519"/>
      <c r="AR22" s="519"/>
      <c r="AS22" s="519"/>
      <c r="AT22" s="519"/>
      <c r="AU22" s="519"/>
      <c r="AV22" s="519"/>
      <c r="AW22" s="519"/>
      <c r="AX22" s="519"/>
      <c r="AY22" s="519"/>
      <c r="AZ22" s="519"/>
      <c r="BA22" s="519"/>
      <c r="BB22" s="519"/>
      <c r="BC22" s="519"/>
      <c r="BD22" s="519"/>
      <c r="BE22" s="519"/>
      <c r="BF22" s="519"/>
      <c r="BG22" s="519"/>
      <c r="BH22" s="519"/>
      <c r="BI22" s="519"/>
      <c r="BJ22" s="519"/>
      <c r="BK22" s="519"/>
      <c r="BL22" s="519"/>
      <c r="BM22" s="519"/>
      <c r="BN22" s="519"/>
      <c r="BO22" s="519"/>
      <c r="BP22" s="519"/>
      <c r="BQ22" s="519"/>
      <c r="BR22" s="519"/>
      <c r="BS22" s="519"/>
      <c r="BT22" s="519"/>
      <c r="BU22" s="519"/>
      <c r="BV22" s="519"/>
      <c r="BW22" s="519"/>
      <c r="BX22" s="519"/>
      <c r="BY22" s="519"/>
      <c r="BZ22" s="519"/>
      <c r="CA22" s="519"/>
      <c r="CB22" s="519"/>
      <c r="CC22" s="519"/>
      <c r="CD22" s="519"/>
      <c r="CE22" s="519"/>
      <c r="CF22" s="519"/>
      <c r="CG22" s="519"/>
      <c r="CH22" s="519"/>
      <c r="CI22" s="519"/>
      <c r="CJ22" s="519"/>
      <c r="CK22" s="519"/>
      <c r="CL22" s="519"/>
      <c r="CM22" s="519"/>
      <c r="CN22" s="519"/>
      <c r="CO22" s="519"/>
      <c r="CP22" s="519"/>
      <c r="CQ22" s="519"/>
      <c r="CR22" s="519"/>
      <c r="CS22" s="519"/>
      <c r="CT22" s="519"/>
      <c r="CU22" s="519"/>
      <c r="CV22" s="519"/>
      <c r="CW22" s="519"/>
      <c r="CX22" s="519"/>
      <c r="CY22" s="519"/>
      <c r="CZ22" s="519"/>
      <c r="DA22" s="519"/>
      <c r="DB22" s="519"/>
      <c r="DC22" s="519"/>
      <c r="DD22" s="519"/>
      <c r="DE22" s="519"/>
      <c r="DF22" s="519"/>
      <c r="DG22" s="519"/>
      <c r="DH22" s="519"/>
      <c r="DI22" s="519"/>
      <c r="DJ22" s="519"/>
      <c r="DK22" s="519"/>
      <c r="DL22" s="519"/>
      <c r="DM22" s="519"/>
      <c r="DN22" s="519"/>
      <c r="DO22" s="519"/>
      <c r="DP22" s="519"/>
      <c r="DQ22" s="519"/>
      <c r="DR22" s="519"/>
      <c r="DS22" s="519"/>
      <c r="DT22" s="519"/>
      <c r="DU22" s="519"/>
      <c r="DV22" s="519"/>
      <c r="DW22" s="519"/>
      <c r="DX22" s="519"/>
      <c r="DY22" s="519"/>
      <c r="DZ22" s="519"/>
      <c r="EA22" s="519"/>
      <c r="EB22" s="519"/>
      <c r="EC22" s="519"/>
      <c r="ED22" s="519"/>
      <c r="EE22" s="519"/>
      <c r="EF22" s="519"/>
      <c r="EG22" s="519"/>
      <c r="EH22" s="519"/>
      <c r="EI22" s="519"/>
      <c r="EJ22" s="519"/>
      <c r="EK22" s="519"/>
      <c r="EL22" s="519"/>
      <c r="EM22" s="519"/>
      <c r="EN22" s="519"/>
      <c r="EO22" s="519"/>
      <c r="EP22" s="519"/>
      <c r="EQ22" s="519"/>
      <c r="ER22" s="519"/>
      <c r="ES22" s="519"/>
      <c r="ET22" s="519"/>
      <c r="EU22" s="519"/>
      <c r="EV22" s="519"/>
      <c r="EW22" s="519"/>
      <c r="EX22" s="519"/>
      <c r="EY22" s="519"/>
    </row>
    <row r="23" spans="1:155" s="519" customFormat="1" ht="15.5" x14ac:dyDescent="0.25">
      <c r="A23" s="841"/>
      <c r="B23" s="841"/>
      <c r="C23" s="834"/>
      <c r="D23" s="1212" t="str">
        <f>'Total Amount'!B32</f>
        <v>Total Direct Labor</v>
      </c>
      <c r="E23" s="1213">
        <f>'Total Amount'!X32</f>
        <v>0</v>
      </c>
      <c r="F23" s="835"/>
      <c r="G23" s="841"/>
      <c r="H23" s="841"/>
      <c r="I23" s="841"/>
      <c r="J23" s="1241"/>
      <c r="K23" s="1242"/>
      <c r="L23" s="1242"/>
      <c r="M23" s="1242"/>
      <c r="N23" s="1243"/>
      <c r="O23" s="851"/>
      <c r="P23" s="841"/>
      <c r="Q23" s="841"/>
      <c r="R23" s="773"/>
      <c r="S23" s="773"/>
      <c r="T23" s="773"/>
      <c r="U23" s="773"/>
    </row>
    <row r="24" spans="1:155" s="519" customFormat="1" ht="15.5" x14ac:dyDescent="0.25">
      <c r="A24" s="841"/>
      <c r="B24" s="841"/>
      <c r="C24" s="834"/>
      <c r="D24" s="1212" t="str">
        <f>'Total Amount'!B39</f>
        <v>Total Subproposers</v>
      </c>
      <c r="E24" s="1213">
        <f>'Total Amount'!W39</f>
        <v>0</v>
      </c>
      <c r="F24" s="835"/>
      <c r="G24" s="841"/>
      <c r="H24" s="841"/>
      <c r="I24" s="841"/>
      <c r="J24" s="1241"/>
      <c r="K24" s="1242"/>
      <c r="L24" s="1242"/>
      <c r="M24" s="1242"/>
      <c r="N24" s="1243"/>
      <c r="O24" s="851"/>
      <c r="P24" s="841"/>
      <c r="Q24" s="841"/>
      <c r="R24" s="773"/>
      <c r="S24" s="773"/>
      <c r="T24" s="773"/>
      <c r="U24" s="773"/>
    </row>
    <row r="25" spans="1:155" s="519" customFormat="1" ht="15.5" x14ac:dyDescent="0.25">
      <c r="A25" s="841"/>
      <c r="B25" s="841"/>
      <c r="C25" s="834"/>
      <c r="D25" s="1212" t="str">
        <f>'Total Amount'!B47</f>
        <v>Total Consultants</v>
      </c>
      <c r="E25" s="1213">
        <f>'Total Amount'!X47</f>
        <v>0</v>
      </c>
      <c r="F25" s="835"/>
      <c r="G25" s="841"/>
      <c r="H25" s="841"/>
      <c r="I25" s="841"/>
      <c r="J25" s="1241"/>
      <c r="K25" s="1242"/>
      <c r="L25" s="1242"/>
      <c r="M25" s="1242"/>
      <c r="N25" s="1243"/>
      <c r="O25" s="851"/>
      <c r="P25" s="841"/>
      <c r="Q25" s="841"/>
      <c r="R25" s="773"/>
      <c r="S25" s="773"/>
      <c r="T25" s="773"/>
      <c r="U25" s="773"/>
    </row>
    <row r="26" spans="1:155" s="519" customFormat="1" ht="15.5" x14ac:dyDescent="0.25">
      <c r="A26" s="841"/>
      <c r="B26" s="841"/>
      <c r="C26" s="834"/>
      <c r="D26" s="1212" t="str">
        <f>'Total Amount'!B54</f>
        <v>Total Other Direct Costs</v>
      </c>
      <c r="E26" s="1213">
        <f>'Total Amount'!W54</f>
        <v>0</v>
      </c>
      <c r="F26" s="835"/>
      <c r="G26" s="841"/>
      <c r="H26" s="841"/>
      <c r="I26" s="841"/>
      <c r="J26" s="1241"/>
      <c r="K26" s="1242"/>
      <c r="L26" s="1242"/>
      <c r="M26" s="1242"/>
      <c r="N26" s="1243"/>
      <c r="O26" s="841"/>
      <c r="P26" s="841"/>
      <c r="Q26" s="841"/>
      <c r="R26" s="773"/>
      <c r="S26" s="773"/>
      <c r="T26" s="773"/>
      <c r="U26" s="773"/>
    </row>
    <row r="27" spans="1:155" s="519" customFormat="1" ht="15.5" x14ac:dyDescent="0.25">
      <c r="A27" s="841"/>
      <c r="B27" s="841"/>
      <c r="C27" s="834"/>
      <c r="D27" s="1212" t="str">
        <f>'Total Amount'!B59</f>
        <v>Total Material Handling</v>
      </c>
      <c r="E27" s="1213">
        <f>'Total Amount'!W59</f>
        <v>0</v>
      </c>
      <c r="F27" s="835"/>
      <c r="G27" s="841"/>
      <c r="H27" s="841"/>
      <c r="I27" s="841"/>
      <c r="J27" s="1241"/>
      <c r="K27" s="1242"/>
      <c r="L27" s="1242"/>
      <c r="M27" s="1242"/>
      <c r="N27" s="1243"/>
      <c r="O27" s="841"/>
      <c r="P27" s="841"/>
      <c r="Q27" s="841"/>
      <c r="R27" s="773"/>
      <c r="S27" s="773"/>
      <c r="T27" s="773"/>
      <c r="U27" s="773"/>
    </row>
    <row r="28" spans="1:155" s="519" customFormat="1" ht="31" x14ac:dyDescent="0.25">
      <c r="A28" s="841"/>
      <c r="B28" s="841"/>
      <c r="C28" s="834"/>
      <c r="D28" s="1212" t="str">
        <f>'Total Amount'!B61</f>
        <v>SUBTOTAL PRIOR TO INDIRECTS AND PROFIT</v>
      </c>
      <c r="E28" s="1213">
        <f>'Total Amount'!W62</f>
        <v>0</v>
      </c>
      <c r="F28" s="835"/>
      <c r="G28" s="841"/>
      <c r="H28" s="841"/>
      <c r="I28" s="841"/>
      <c r="J28" s="1244"/>
      <c r="K28" s="1245"/>
      <c r="L28" s="1245"/>
      <c r="M28" s="1245"/>
      <c r="N28" s="1246"/>
      <c r="O28" s="841"/>
      <c r="P28" s="841"/>
      <c r="Q28" s="841"/>
      <c r="R28" s="773"/>
      <c r="S28" s="773"/>
      <c r="T28" s="773"/>
      <c r="U28" s="773"/>
    </row>
    <row r="29" spans="1:155" s="519" customFormat="1" ht="15.5" x14ac:dyDescent="0.25">
      <c r="A29" s="841"/>
      <c r="B29" s="841"/>
      <c r="C29" s="834"/>
      <c r="D29" s="1212" t="str">
        <f>'Total Amount'!B67</f>
        <v>Total G&amp;A</v>
      </c>
      <c r="E29" s="1213">
        <f>'Total Amount'!W67</f>
        <v>0</v>
      </c>
      <c r="F29" s="835"/>
      <c r="G29" s="841"/>
      <c r="H29" s="841"/>
      <c r="I29" s="841"/>
      <c r="J29" s="841"/>
      <c r="K29" s="841"/>
      <c r="L29" s="841"/>
      <c r="M29" s="841"/>
      <c r="N29" s="841"/>
      <c r="O29" s="841"/>
      <c r="P29" s="841"/>
      <c r="Q29" s="841"/>
      <c r="R29" s="773"/>
      <c r="S29" s="773"/>
      <c r="T29" s="773"/>
      <c r="U29" s="773"/>
    </row>
    <row r="30" spans="1:155" s="519" customFormat="1" ht="15.5" x14ac:dyDescent="0.25">
      <c r="A30" s="841"/>
      <c r="B30" s="841"/>
      <c r="C30" s="834"/>
      <c r="D30" s="1212" t="str">
        <f>'Total Amount'!B69</f>
        <v>SUBTOTAL PRIOR TO FCCM</v>
      </c>
      <c r="E30" s="1213">
        <f>'Total Amount'!W70</f>
        <v>0</v>
      </c>
      <c r="F30" s="835"/>
      <c r="G30" s="841"/>
      <c r="H30" s="841"/>
      <c r="I30" s="841"/>
      <c r="J30" s="841"/>
      <c r="K30" s="841"/>
      <c r="L30" s="841"/>
      <c r="M30" s="841"/>
      <c r="N30" s="841"/>
      <c r="O30" s="841"/>
      <c r="P30" s="841"/>
      <c r="Q30" s="841"/>
      <c r="R30" s="773"/>
      <c r="S30" s="773"/>
      <c r="T30" s="773"/>
      <c r="U30" s="773"/>
    </row>
    <row r="31" spans="1:155" s="519" customFormat="1" ht="15.5" x14ac:dyDescent="0.25">
      <c r="A31" s="841"/>
      <c r="B31" s="841"/>
      <c r="C31" s="834"/>
      <c r="D31" s="1212" t="str">
        <f>'Total Amount'!B75</f>
        <v>Total FCCM</v>
      </c>
      <c r="E31" s="1213">
        <f>'Total Amount'!W75</f>
        <v>0</v>
      </c>
      <c r="F31" s="835"/>
      <c r="G31" s="841"/>
      <c r="H31" s="841"/>
      <c r="I31" s="841"/>
      <c r="J31" s="841"/>
      <c r="K31" s="841"/>
      <c r="L31" s="841"/>
      <c r="M31" s="841"/>
      <c r="N31" s="841"/>
      <c r="O31" s="841"/>
      <c r="P31" s="841"/>
      <c r="Q31" s="841"/>
      <c r="R31" s="773"/>
      <c r="S31" s="773"/>
      <c r="T31" s="773"/>
      <c r="U31" s="773"/>
    </row>
    <row r="32" spans="1:155" s="519" customFormat="1" ht="17.25" customHeight="1" x14ac:dyDescent="0.25">
      <c r="A32" s="841"/>
      <c r="B32" s="841"/>
      <c r="C32" s="834"/>
      <c r="D32" s="1212" t="str">
        <f>'Total Amount'!B77</f>
        <v>Total Estimated Costs</v>
      </c>
      <c r="E32" s="1213">
        <f>'Total Amount'!X78</f>
        <v>0</v>
      </c>
      <c r="F32" s="835"/>
      <c r="G32" s="841"/>
      <c r="H32" s="841"/>
      <c r="I32" s="841"/>
      <c r="J32" s="841"/>
      <c r="K32" s="841"/>
      <c r="L32" s="841"/>
      <c r="M32" s="841"/>
      <c r="N32" s="841"/>
      <c r="O32" s="841"/>
      <c r="P32" s="841"/>
      <c r="Q32" s="841"/>
      <c r="R32" s="773"/>
      <c r="S32" s="773"/>
      <c r="T32" s="773"/>
      <c r="U32" s="773"/>
    </row>
    <row r="33" spans="1:21" s="519" customFormat="1" ht="17.25" customHeight="1" x14ac:dyDescent="0.25">
      <c r="A33" s="841"/>
      <c r="B33" s="841"/>
      <c r="C33" s="834"/>
      <c r="D33" s="1212"/>
      <c r="E33" s="1213"/>
      <c r="F33" s="835"/>
      <c r="G33" s="841"/>
      <c r="H33" s="841"/>
      <c r="I33" s="841"/>
      <c r="J33" s="841"/>
      <c r="K33" s="841"/>
      <c r="L33" s="841"/>
      <c r="M33" s="841"/>
      <c r="N33" s="841"/>
      <c r="O33" s="841"/>
      <c r="P33" s="841"/>
      <c r="Q33" s="841"/>
      <c r="R33" s="773"/>
      <c r="S33" s="773"/>
      <c r="T33" s="773"/>
      <c r="U33" s="773"/>
    </row>
    <row r="34" spans="1:21" s="519" customFormat="1" ht="17.25" customHeight="1" x14ac:dyDescent="0.25">
      <c r="A34" s="841"/>
      <c r="B34" s="841"/>
      <c r="C34" s="834"/>
      <c r="D34" s="1212" t="s">
        <v>215</v>
      </c>
      <c r="E34" s="1213">
        <f>'Total Amount'!X81</f>
        <v>0</v>
      </c>
      <c r="F34" s="835"/>
      <c r="G34" s="841"/>
      <c r="H34" s="841"/>
      <c r="I34" s="841"/>
      <c r="J34" s="841"/>
      <c r="K34" s="841"/>
      <c r="L34" s="841"/>
      <c r="M34" s="841"/>
      <c r="N34" s="841"/>
      <c r="O34" s="841"/>
      <c r="P34" s="841"/>
      <c r="Q34" s="841"/>
      <c r="R34" s="773"/>
      <c r="S34" s="773"/>
      <c r="T34" s="773"/>
      <c r="U34" s="773"/>
    </row>
    <row r="35" spans="1:21" s="519" customFormat="1" ht="17.25" customHeight="1" x14ac:dyDescent="0.25">
      <c r="A35" s="841"/>
      <c r="B35" s="841"/>
      <c r="C35" s="834"/>
      <c r="D35" s="1212" t="s">
        <v>216</v>
      </c>
      <c r="E35" s="1213">
        <f>'Total Amount'!X82</f>
        <v>0</v>
      </c>
      <c r="F35" s="835"/>
      <c r="G35" s="841"/>
      <c r="H35" s="841"/>
      <c r="I35" s="841"/>
      <c r="J35" s="841"/>
      <c r="K35" s="841"/>
      <c r="L35" s="841"/>
      <c r="M35" s="841"/>
      <c r="N35" s="841"/>
      <c r="O35" s="841"/>
      <c r="P35" s="841"/>
      <c r="Q35" s="841"/>
      <c r="R35" s="773"/>
      <c r="S35" s="773"/>
      <c r="T35" s="773"/>
      <c r="U35" s="773"/>
    </row>
    <row r="36" spans="1:21" s="519" customFormat="1" ht="17.25" customHeight="1" x14ac:dyDescent="0.25">
      <c r="A36" s="841"/>
      <c r="B36" s="841"/>
      <c r="C36" s="836"/>
      <c r="D36" s="837"/>
      <c r="E36" s="838"/>
      <c r="F36" s="839"/>
      <c r="G36" s="841"/>
      <c r="H36" s="841"/>
      <c r="I36" s="841"/>
      <c r="J36" s="841"/>
      <c r="K36" s="841"/>
      <c r="L36" s="841"/>
      <c r="M36" s="841"/>
      <c r="N36" s="841"/>
      <c r="O36" s="841"/>
      <c r="P36" s="841"/>
      <c r="Q36" s="841"/>
      <c r="R36" s="773"/>
      <c r="S36" s="773"/>
      <c r="T36" s="773"/>
      <c r="U36" s="773"/>
    </row>
    <row r="37" spans="1:21" s="519" customFormat="1" ht="15.5" x14ac:dyDescent="0.25">
      <c r="A37" s="841"/>
      <c r="B37" s="841"/>
      <c r="C37" s="841"/>
      <c r="D37" s="846"/>
      <c r="E37" s="850"/>
      <c r="F37" s="841"/>
      <c r="G37" s="841"/>
      <c r="H37" s="841"/>
      <c r="I37" s="841"/>
      <c r="J37" s="841"/>
      <c r="K37" s="841"/>
      <c r="L37" s="841"/>
      <c r="M37" s="841"/>
      <c r="N37" s="841"/>
      <c r="O37" s="841"/>
      <c r="P37" s="841"/>
      <c r="Q37" s="841"/>
      <c r="R37" s="773"/>
      <c r="S37" s="773"/>
      <c r="T37" s="773"/>
      <c r="U37" s="773"/>
    </row>
    <row r="38" spans="1:21" s="519" customFormat="1" ht="15.5" x14ac:dyDescent="0.25">
      <c r="A38" s="842"/>
      <c r="B38" s="842"/>
      <c r="C38" s="842"/>
      <c r="D38" s="842"/>
      <c r="E38" s="842"/>
      <c r="F38" s="842"/>
      <c r="G38" s="842"/>
      <c r="H38" s="842"/>
      <c r="I38" s="842"/>
      <c r="J38" s="842"/>
      <c r="K38" s="842"/>
      <c r="L38" s="842"/>
      <c r="M38" s="842"/>
      <c r="N38" s="842"/>
      <c r="O38" s="842"/>
      <c r="P38" s="842"/>
      <c r="Q38" s="842"/>
      <c r="R38" s="773"/>
      <c r="S38" s="773"/>
      <c r="T38" s="773"/>
      <c r="U38" s="773"/>
    </row>
    <row r="39" spans="1:21" s="519" customFormat="1" ht="15.5" x14ac:dyDescent="0.25"/>
    <row r="40" spans="1:21" s="519" customFormat="1" ht="15.5" x14ac:dyDescent="0.25">
      <c r="C40" s="292"/>
      <c r="D40" s="292"/>
      <c r="E40" s="292"/>
      <c r="F40" s="292"/>
      <c r="G40" s="292"/>
    </row>
    <row r="41" spans="1:21" s="519" customFormat="1" ht="15.5" x14ac:dyDescent="0.25">
      <c r="B41" s="292"/>
      <c r="C41" s="521"/>
      <c r="D41" s="521"/>
      <c r="E41" s="521"/>
      <c r="F41" s="521"/>
      <c r="G41" s="521"/>
      <c r="H41" s="292"/>
      <c r="I41" s="292"/>
      <c r="J41" s="292"/>
      <c r="K41" s="292"/>
      <c r="L41" s="292"/>
      <c r="M41" s="292"/>
      <c r="N41" s="292"/>
      <c r="O41" s="292"/>
      <c r="P41" s="292"/>
      <c r="Q41" s="292"/>
    </row>
    <row r="42" spans="1:21" ht="24" customHeight="1" x14ac:dyDescent="0.25">
      <c r="H42" s="521"/>
      <c r="I42" s="521"/>
      <c r="J42" s="521"/>
      <c r="K42" s="521"/>
      <c r="L42" s="521"/>
      <c r="M42" s="521"/>
      <c r="N42" s="521"/>
      <c r="O42" s="521"/>
      <c r="P42" s="521"/>
    </row>
  </sheetData>
  <mergeCells count="24">
    <mergeCell ref="B2:P2"/>
    <mergeCell ref="D4:E4"/>
    <mergeCell ref="D5:E5"/>
    <mergeCell ref="D6:E6"/>
    <mergeCell ref="D7:E7"/>
    <mergeCell ref="G4:I4"/>
    <mergeCell ref="G5:I5"/>
    <mergeCell ref="B7:C7"/>
    <mergeCell ref="C22:F22"/>
    <mergeCell ref="J22:N28"/>
    <mergeCell ref="C10:P11"/>
    <mergeCell ref="C12:P12"/>
    <mergeCell ref="C13:P13"/>
    <mergeCell ref="C20:P20"/>
    <mergeCell ref="C17:P17"/>
    <mergeCell ref="C16:P16"/>
    <mergeCell ref="C14:P15"/>
    <mergeCell ref="C9:D9"/>
    <mergeCell ref="C21:F21"/>
    <mergeCell ref="B4:C4"/>
    <mergeCell ref="B5:C5"/>
    <mergeCell ref="B6:C6"/>
    <mergeCell ref="C19:P19"/>
    <mergeCell ref="C18:P18"/>
  </mergeCells>
  <phoneticPr fontId="4" type="noConversion"/>
  <dataValidations count="1">
    <dataValidation type="list" allowBlank="1" showInputMessage="1" showErrorMessage="1" sqref="J6:J7" xr:uid="{00000000-0002-0000-0000-000000000000}">
      <formula1>Offeror_Business_Types</formula1>
    </dataValidation>
  </dataValidations>
  <pageMargins left="0.75" right="0.75" top="1" bottom="1" header="0.5" footer="0.5"/>
  <pageSetup scale="60" fitToHeight="0" orientation="landscape" horizontalDpi="1200" verticalDpi="1200" r:id="rId1"/>
  <headerFooter alignWithMargins="0">
    <oddHeader>&amp;RARPA-H Cost Workbook (Resource Sharing) - June 2025 version</oddHeader>
  </headerFooter>
  <rowBreaks count="1" manualBreakCount="1">
    <brk id="21" max="16" man="1"/>
  </rowBreaks>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9">
    <tabColor theme="8" tint="0.59999389629810485"/>
  </sheetPr>
  <dimension ref="A1:I150"/>
  <sheetViews>
    <sheetView view="pageBreakPreview" zoomScale="85" zoomScaleNormal="130" zoomScaleSheetLayoutView="85" workbookViewId="0">
      <selection activeCell="F15" sqref="F15"/>
    </sheetView>
  </sheetViews>
  <sheetFormatPr defaultColWidth="8.81640625" defaultRowHeight="13" x14ac:dyDescent="0.25"/>
  <cols>
    <col min="1" max="1" width="4.26953125" style="292" customWidth="1"/>
    <col min="2" max="2" width="43.54296875" style="292" customWidth="1"/>
    <col min="3" max="3" width="23.7265625" style="292" customWidth="1"/>
    <col min="4" max="4" width="19.1796875" style="292" customWidth="1"/>
    <col min="5" max="8" width="16.453125" style="292" customWidth="1"/>
    <col min="9" max="16384" width="8.81640625" style="292"/>
  </cols>
  <sheetData>
    <row r="1" spans="1:9" x14ac:dyDescent="0.25">
      <c r="A1" s="840"/>
      <c r="B1" s="840"/>
      <c r="C1" s="840"/>
      <c r="D1" s="840"/>
      <c r="E1" s="840"/>
      <c r="F1" s="840"/>
      <c r="G1" s="840"/>
      <c r="H1" s="840"/>
      <c r="I1" s="840"/>
    </row>
    <row r="2" spans="1:9" ht="30.65" customHeight="1" x14ac:dyDescent="0.25">
      <c r="A2" s="840"/>
      <c r="B2" s="1217" t="s">
        <v>217</v>
      </c>
      <c r="C2" s="1217"/>
      <c r="D2" s="1217"/>
      <c r="E2" s="1217"/>
      <c r="F2" s="1217"/>
      <c r="G2" s="1217"/>
      <c r="H2" s="1217"/>
      <c r="I2" s="840"/>
    </row>
    <row r="3" spans="1:9" x14ac:dyDescent="0.25">
      <c r="A3" s="840"/>
      <c r="B3" s="840"/>
      <c r="C3" s="840"/>
      <c r="D3" s="840"/>
      <c r="E3" s="840"/>
      <c r="F3" s="840"/>
      <c r="G3" s="840"/>
      <c r="H3" s="840"/>
      <c r="I3" s="840"/>
    </row>
    <row r="4" spans="1:9" ht="20.5" customHeight="1" x14ac:dyDescent="0.25">
      <c r="A4" s="840"/>
      <c r="B4" s="1167" t="s">
        <v>218</v>
      </c>
      <c r="C4" s="1147"/>
      <c r="D4" s="1269" t="s">
        <v>219</v>
      </c>
      <c r="E4" s="1269"/>
      <c r="F4" s="840"/>
      <c r="G4" s="840"/>
      <c r="H4" s="840"/>
      <c r="I4" s="840"/>
    </row>
    <row r="5" spans="1:9" ht="130" x14ac:dyDescent="0.25">
      <c r="A5" s="840"/>
      <c r="B5" s="1166" t="s">
        <v>56</v>
      </c>
      <c r="C5" s="1099" t="s">
        <v>220</v>
      </c>
      <c r="D5" s="612" t="s">
        <v>221</v>
      </c>
      <c r="E5" s="479" t="s">
        <v>222</v>
      </c>
      <c r="F5" s="840"/>
      <c r="G5" s="840"/>
      <c r="H5" s="840"/>
      <c r="I5" s="840"/>
    </row>
    <row r="6" spans="1:9" x14ac:dyDescent="0.25">
      <c r="A6" s="840"/>
      <c r="B6" s="840"/>
      <c r="C6" s="840"/>
      <c r="D6" s="840"/>
      <c r="E6" s="840"/>
      <c r="F6" s="840"/>
      <c r="G6" s="840"/>
      <c r="H6" s="840"/>
      <c r="I6" s="840"/>
    </row>
    <row r="7" spans="1:9" hidden="1" x14ac:dyDescent="0.25">
      <c r="A7" s="840"/>
      <c r="B7" s="852"/>
      <c r="C7" s="840"/>
      <c r="D7" s="840"/>
      <c r="E7" s="840"/>
      <c r="F7" s="840"/>
      <c r="G7" s="840"/>
      <c r="H7" s="840"/>
      <c r="I7" s="840"/>
    </row>
    <row r="8" spans="1:9" hidden="1" x14ac:dyDescent="0.25">
      <c r="A8" s="840"/>
      <c r="B8" s="840"/>
      <c r="C8" s="840"/>
      <c r="D8" s="840"/>
      <c r="E8" s="840"/>
      <c r="F8" s="840"/>
      <c r="G8" s="840"/>
      <c r="H8" s="840"/>
      <c r="I8" s="840"/>
    </row>
    <row r="9" spans="1:9" hidden="1" x14ac:dyDescent="0.25">
      <c r="A9" s="840"/>
      <c r="B9" s="840"/>
      <c r="C9" s="840"/>
      <c r="D9" s="840"/>
      <c r="E9" s="840"/>
      <c r="F9" s="840"/>
      <c r="G9" s="840"/>
      <c r="H9" s="840"/>
      <c r="I9" s="840"/>
    </row>
    <row r="10" spans="1:9" x14ac:dyDescent="0.25">
      <c r="A10" s="840"/>
      <c r="B10" s="840"/>
      <c r="C10" s="840"/>
      <c r="D10" s="840"/>
      <c r="E10" s="840"/>
      <c r="F10" s="840"/>
      <c r="G10" s="840"/>
      <c r="H10" s="840"/>
      <c r="I10" s="840"/>
    </row>
    <row r="11" spans="1:9" s="519" customFormat="1" ht="22" customHeight="1" x14ac:dyDescent="0.25">
      <c r="A11" s="841"/>
      <c r="B11" s="1268" t="s">
        <v>223</v>
      </c>
      <c r="C11" s="1268"/>
      <c r="D11" s="1268"/>
      <c r="E11" s="1268"/>
      <c r="F11" s="1268"/>
      <c r="G11" s="1268"/>
      <c r="H11" s="1268"/>
      <c r="I11" s="841"/>
    </row>
    <row r="12" spans="1:9" s="519" customFormat="1" ht="40" customHeight="1" x14ac:dyDescent="0.25">
      <c r="A12" s="841"/>
      <c r="B12" s="1266" t="s">
        <v>224</v>
      </c>
      <c r="C12" s="1266"/>
      <c r="D12" s="1266"/>
      <c r="E12" s="1266"/>
      <c r="F12" s="1266"/>
      <c r="G12" s="1266"/>
      <c r="H12" s="1266"/>
      <c r="I12" s="841"/>
    </row>
    <row r="13" spans="1:9" s="519" customFormat="1" ht="20.5" customHeight="1" x14ac:dyDescent="0.25">
      <c r="A13" s="841"/>
      <c r="B13" s="779" t="s">
        <v>225</v>
      </c>
      <c r="C13" s="780" t="s">
        <v>226</v>
      </c>
      <c r="D13" s="781" t="s">
        <v>227</v>
      </c>
      <c r="E13" s="782" t="s">
        <v>228</v>
      </c>
      <c r="F13" s="775" t="s">
        <v>229</v>
      </c>
      <c r="G13" s="783" t="s">
        <v>230</v>
      </c>
      <c r="H13" s="784" t="s">
        <v>231</v>
      </c>
      <c r="I13" s="841"/>
    </row>
    <row r="14" spans="1:9" s="519" customFormat="1" ht="15.5" x14ac:dyDescent="0.25">
      <c r="A14" s="841"/>
      <c r="B14" s="785" t="s">
        <v>232</v>
      </c>
      <c r="C14" s="853">
        <v>45809</v>
      </c>
      <c r="D14" s="853">
        <f>EDATE(C14,12)</f>
        <v>46174</v>
      </c>
      <c r="E14" s="853">
        <f>EDATE(D14,12)</f>
        <v>46539</v>
      </c>
      <c r="F14" s="853">
        <f>EDATE(E14,12)</f>
        <v>46905</v>
      </c>
      <c r="G14" s="853">
        <f>EDATE(F14,12)</f>
        <v>47270</v>
      </c>
      <c r="H14" s="853">
        <f>EDATE(G14,12)</f>
        <v>47635</v>
      </c>
      <c r="I14" s="841"/>
    </row>
    <row r="15" spans="1:9" s="519" customFormat="1" ht="15.5" x14ac:dyDescent="0.25">
      <c r="A15" s="841"/>
      <c r="B15" s="785" t="s">
        <v>233</v>
      </c>
      <c r="C15" s="853">
        <v>46173</v>
      </c>
      <c r="D15" s="853">
        <f>EDATE(C15,12)</f>
        <v>46538</v>
      </c>
      <c r="E15" s="853">
        <v>46904</v>
      </c>
      <c r="F15" s="853">
        <f>EDATE(E15,12)</f>
        <v>47269</v>
      </c>
      <c r="G15" s="853">
        <f>EDATE(F15,12)</f>
        <v>47634</v>
      </c>
      <c r="H15" s="853">
        <f>EDATE(G15,12)</f>
        <v>47999</v>
      </c>
      <c r="I15" s="841"/>
    </row>
    <row r="16" spans="1:9" s="519" customFormat="1" ht="15.5" x14ac:dyDescent="0.25">
      <c r="A16" s="841"/>
      <c r="B16" s="841"/>
      <c r="C16" s="841"/>
      <c r="D16" s="841"/>
      <c r="E16" s="841"/>
      <c r="F16" s="841"/>
      <c r="G16" s="841"/>
      <c r="H16" s="841"/>
      <c r="I16" s="841"/>
    </row>
    <row r="17" spans="1:9" s="519" customFormat="1" ht="35.15" customHeight="1" x14ac:dyDescent="0.25">
      <c r="A17" s="841"/>
      <c r="B17" s="1266" t="s">
        <v>234</v>
      </c>
      <c r="C17" s="1266"/>
      <c r="D17" s="1266"/>
      <c r="E17" s="1266"/>
      <c r="F17" s="1266"/>
      <c r="G17" s="1266"/>
      <c r="H17" s="1266"/>
      <c r="I17" s="841"/>
    </row>
    <row r="18" spans="1:9" s="519" customFormat="1" ht="32.5" customHeight="1" x14ac:dyDescent="0.25">
      <c r="A18" s="841"/>
      <c r="B18" s="1267" t="s">
        <v>235</v>
      </c>
      <c r="C18" s="1267"/>
      <c r="D18" s="1267"/>
      <c r="E18" s="1267"/>
      <c r="F18" s="1267"/>
      <c r="G18" s="1267"/>
      <c r="H18" s="1267"/>
      <c r="I18" s="841"/>
    </row>
    <row r="19" spans="1:9" x14ac:dyDescent="0.25">
      <c r="A19" s="840"/>
      <c r="B19" s="840"/>
      <c r="C19" s="840"/>
      <c r="D19" s="840"/>
      <c r="E19" s="840"/>
      <c r="F19" s="840"/>
      <c r="G19" s="840"/>
      <c r="H19" s="840"/>
      <c r="I19" s="840"/>
    </row>
    <row r="143" spans="1:1" x14ac:dyDescent="0.25">
      <c r="A143" s="590"/>
    </row>
    <row r="144" spans="1:1" x14ac:dyDescent="0.25">
      <c r="A144" s="590"/>
    </row>
    <row r="145" spans="1:1" x14ac:dyDescent="0.25">
      <c r="A145" s="590"/>
    </row>
    <row r="146" spans="1:1" x14ac:dyDescent="0.25">
      <c r="A146" s="590"/>
    </row>
    <row r="147" spans="1:1" x14ac:dyDescent="0.25">
      <c r="A147" s="590"/>
    </row>
    <row r="148" spans="1:1" x14ac:dyDescent="0.25">
      <c r="A148" s="590"/>
    </row>
    <row r="149" spans="1:1" x14ac:dyDescent="0.25">
      <c r="A149" s="590"/>
    </row>
    <row r="150" spans="1:1" x14ac:dyDescent="0.25">
      <c r="A150" s="590"/>
    </row>
  </sheetData>
  <mergeCells count="6">
    <mergeCell ref="B2:H2"/>
    <mergeCell ref="B17:H17"/>
    <mergeCell ref="B18:H18"/>
    <mergeCell ref="B12:H12"/>
    <mergeCell ref="B11:H11"/>
    <mergeCell ref="D4:E4"/>
  </mergeCells>
  <conditionalFormatting sqref="D4 D5:E5">
    <cfRule type="expression" dxfId="10" priority="1">
      <formula>$B$5&lt;&gt;"Small Business"</formula>
    </cfRule>
  </conditionalFormatting>
  <conditionalFormatting sqref="D5">
    <cfRule type="expression" dxfId="9" priority="2">
      <formula>B5="Small Business"</formula>
    </cfRule>
  </conditionalFormatting>
  <conditionalFormatting sqref="D14:H14">
    <cfRule type="expression" dxfId="8" priority="5">
      <formula>D14&lt;&gt;C15+1</formula>
    </cfRule>
  </conditionalFormatting>
  <dataValidations count="2">
    <dataValidation type="list" showInputMessage="1" showErrorMessage="1" sqref="D5" xr:uid="{4B933423-B7FF-4D10-AD05-297444684F38}">
      <formula1>SmallBusinessSizeChoices</formula1>
    </dataValidation>
    <dataValidation type="list" allowBlank="1" showInputMessage="1" showErrorMessage="1" sqref="B5" xr:uid="{DF9FE819-E29F-48CC-AF03-88FB13E41097}">
      <formula1>OfferorBusinessTypes</formula1>
    </dataValidation>
  </dataValidations>
  <pageMargins left="0.7" right="0.7" top="0.75" bottom="0.75" header="0.3" footer="0.3"/>
  <pageSetup paperSize="3" orientation="landscape"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0">
    <tabColor rgb="FFC00000"/>
  </sheetPr>
  <dimension ref="B1:J23"/>
  <sheetViews>
    <sheetView workbookViewId="0">
      <selection activeCell="D6" sqref="D6"/>
    </sheetView>
  </sheetViews>
  <sheetFormatPr defaultColWidth="8.81640625" defaultRowHeight="12.5" x14ac:dyDescent="0.25"/>
  <cols>
    <col min="2" max="2" width="35.453125" customWidth="1"/>
    <col min="3" max="10" width="14.453125" customWidth="1"/>
  </cols>
  <sheetData>
    <row r="1" spans="2:10" x14ac:dyDescent="0.25">
      <c r="B1" t="s">
        <v>236</v>
      </c>
      <c r="C1" s="83" t="str">
        <f>Period1_Label</f>
        <v>FY 1</v>
      </c>
      <c r="D1" s="83" t="str">
        <f>Period2_Label</f>
        <v>FY 2</v>
      </c>
      <c r="E1" s="83" t="str">
        <f>Period3_Label</f>
        <v>FY 3</v>
      </c>
      <c r="F1" s="83" t="str">
        <f>Period4_Label</f>
        <v>FY 4</v>
      </c>
      <c r="G1" s="83" t="str">
        <f>Period5_Label</f>
        <v>FY 5</v>
      </c>
      <c r="H1" s="83" t="str">
        <f>Period6_Label</f>
        <v>FY 6</v>
      </c>
    </row>
    <row r="2" spans="2:10" x14ac:dyDescent="0.25">
      <c r="B2" t="s">
        <v>237</v>
      </c>
      <c r="C2" s="232">
        <f>'Phase 1 Costs'!E33+'Phase 2 Costs '!D32+'Phase 3 Costs'!D32+'Phase 4 Costs'!D32+'Phase 5 Costs'!D32+'Phase 6 Costs'!D32</f>
        <v>0</v>
      </c>
      <c r="D2" s="232">
        <f>'Phase 1 Costs'!I33+'Phase 2 Costs '!L32+'Phase 3 Costs'!L32+'Phase 4 Costs'!L32+'Phase 5 Costs'!L32+'Phase 6 Costs'!L32</f>
        <v>0</v>
      </c>
      <c r="E2" s="232">
        <f>'Phase 1 Costs'!M33+'Phase 2 Costs '!T32+'Phase 3 Costs'!T32+'Phase 4 Costs'!T32+'Phase 5 Costs'!T32+'Phase 6 Costs'!T32</f>
        <v>0</v>
      </c>
      <c r="F2" s="232">
        <f>'Phase 1 Costs'!Q33+'Phase 2 Costs '!AB32+'Phase 3 Costs'!AB32+'Phase 4 Costs'!AB32+'Phase 5 Costs'!AB32+'Phase 6 Costs'!AB32</f>
        <v>0</v>
      </c>
      <c r="G2" s="232">
        <f>'Phase 1 Costs'!U33+'Phase 2 Costs '!AJ32+'Phase 3 Costs'!AJ32+'Phase 4 Costs'!AJ32+'Phase 5 Costs'!AJ32+'Phase 6 Costs'!AJ32</f>
        <v>0</v>
      </c>
      <c r="H2" s="232">
        <f>'Phase 1 Costs'!Y33+'Phase 2 Costs '!AR32+'Phase 3 Costs'!AR32+'Phase 4 Costs'!AR32+'Phase 5 Costs'!AR32+'Phase 6 Costs'!AR32</f>
        <v>0</v>
      </c>
    </row>
    <row r="5" spans="2:10" ht="13" x14ac:dyDescent="0.3">
      <c r="D5" t="s">
        <v>15</v>
      </c>
      <c r="E5" t="s">
        <v>238</v>
      </c>
      <c r="F5" t="s">
        <v>239</v>
      </c>
      <c r="G5" t="s">
        <v>240</v>
      </c>
      <c r="H5" t="s">
        <v>241</v>
      </c>
      <c r="I5" t="s">
        <v>242</v>
      </c>
      <c r="J5" s="81" t="s">
        <v>243</v>
      </c>
    </row>
    <row r="6" spans="2:10" x14ac:dyDescent="0.25">
      <c r="B6" t="s">
        <v>244</v>
      </c>
      <c r="C6" t="s">
        <v>245</v>
      </c>
      <c r="D6" s="226">
        <f t="shared" ref="D6:I18" ca="1" si="0">INDIRECT(CONCATENATE($C6,".",D$5))</f>
        <v>0</v>
      </c>
      <c r="E6" s="226">
        <f t="shared" ca="1" si="0"/>
        <v>0</v>
      </c>
      <c r="F6" s="226">
        <f t="shared" ca="1" si="0"/>
        <v>0</v>
      </c>
      <c r="G6" s="226">
        <f t="shared" ca="1" si="0"/>
        <v>0</v>
      </c>
      <c r="H6" s="226">
        <f t="shared" ca="1" si="0"/>
        <v>0</v>
      </c>
      <c r="I6" s="226">
        <f t="shared" ca="1" si="0"/>
        <v>0</v>
      </c>
      <c r="J6" s="226">
        <f ca="1">SUM(D6:I6)</f>
        <v>0</v>
      </c>
    </row>
    <row r="7" spans="2:10" x14ac:dyDescent="0.25">
      <c r="B7" t="s">
        <v>246</v>
      </c>
      <c r="C7" t="s">
        <v>247</v>
      </c>
      <c r="D7" s="80">
        <f t="shared" ca="1" si="0"/>
        <v>0</v>
      </c>
      <c r="E7" s="80">
        <f t="shared" ca="1" si="0"/>
        <v>0</v>
      </c>
      <c r="F7" s="80">
        <f t="shared" ca="1" si="0"/>
        <v>0</v>
      </c>
      <c r="G7" s="80">
        <f t="shared" ca="1" si="0"/>
        <v>0</v>
      </c>
      <c r="H7" s="80">
        <f t="shared" ca="1" si="0"/>
        <v>0</v>
      </c>
      <c r="I7" s="80">
        <f t="shared" ca="1" si="0"/>
        <v>0</v>
      </c>
      <c r="J7" s="80">
        <f ca="1">SUM(D7:I7)</f>
        <v>0</v>
      </c>
    </row>
    <row r="8" spans="2:10" x14ac:dyDescent="0.25">
      <c r="B8" t="s">
        <v>248</v>
      </c>
      <c r="C8" t="s">
        <v>249</v>
      </c>
      <c r="D8" s="80" t="e">
        <f t="shared" ca="1" si="0"/>
        <v>#REF!</v>
      </c>
      <c r="E8" s="80" t="e">
        <f t="shared" ca="1" si="0"/>
        <v>#REF!</v>
      </c>
      <c r="F8" s="80" t="e">
        <f t="shared" ca="1" si="0"/>
        <v>#REF!</v>
      </c>
      <c r="G8" s="80" t="e">
        <f t="shared" ca="1" si="0"/>
        <v>#REF!</v>
      </c>
      <c r="H8" s="80" t="e">
        <f t="shared" ca="1" si="0"/>
        <v>#REF!</v>
      </c>
      <c r="I8" s="80" t="e">
        <f t="shared" ca="1" si="0"/>
        <v>#REF!</v>
      </c>
      <c r="J8" s="80" t="e">
        <f t="shared" ref="J8:J17" ca="1" si="1">SUM(D8:I8)</f>
        <v>#REF!</v>
      </c>
    </row>
    <row r="9" spans="2:10" x14ac:dyDescent="0.25">
      <c r="B9" t="s">
        <v>250</v>
      </c>
      <c r="C9" t="s">
        <v>251</v>
      </c>
      <c r="D9" s="80" t="e">
        <f t="shared" ca="1" si="0"/>
        <v>#REF!</v>
      </c>
      <c r="E9" s="80" t="e">
        <f t="shared" ca="1" si="0"/>
        <v>#REF!</v>
      </c>
      <c r="F9" s="80" t="e">
        <f t="shared" ca="1" si="0"/>
        <v>#REF!</v>
      </c>
      <c r="G9" s="80" t="e">
        <f t="shared" ca="1" si="0"/>
        <v>#REF!</v>
      </c>
      <c r="H9" s="80" t="e">
        <f t="shared" ca="1" si="0"/>
        <v>#REF!</v>
      </c>
      <c r="I9" s="80" t="e">
        <f t="shared" ca="1" si="0"/>
        <v>#REF!</v>
      </c>
      <c r="J9" s="80" t="e">
        <f t="shared" ca="1" si="1"/>
        <v>#REF!</v>
      </c>
    </row>
    <row r="10" spans="2:10" x14ac:dyDescent="0.25">
      <c r="B10" t="s">
        <v>252</v>
      </c>
      <c r="C10" t="s">
        <v>253</v>
      </c>
      <c r="D10" s="80">
        <f t="shared" ca="1" si="0"/>
        <v>0</v>
      </c>
      <c r="E10" s="80">
        <f t="shared" ca="1" si="0"/>
        <v>0</v>
      </c>
      <c r="F10" s="80">
        <f t="shared" ca="1" si="0"/>
        <v>0</v>
      </c>
      <c r="G10" s="80">
        <f t="shared" ca="1" si="0"/>
        <v>0</v>
      </c>
      <c r="H10" s="80">
        <f t="shared" ca="1" si="0"/>
        <v>0</v>
      </c>
      <c r="I10" s="80">
        <f t="shared" ca="1" si="0"/>
        <v>0</v>
      </c>
      <c r="J10" s="80">
        <f t="shared" ca="1" si="1"/>
        <v>0</v>
      </c>
    </row>
    <row r="11" spans="2:10" x14ac:dyDescent="0.25">
      <c r="B11" t="s">
        <v>254</v>
      </c>
      <c r="C11" t="s">
        <v>255</v>
      </c>
      <c r="D11" s="80">
        <f t="shared" ca="1" si="0"/>
        <v>0</v>
      </c>
      <c r="E11" s="80">
        <f t="shared" ca="1" si="0"/>
        <v>0</v>
      </c>
      <c r="F11" s="80">
        <f t="shared" ca="1" si="0"/>
        <v>0</v>
      </c>
      <c r="G11" s="80">
        <f t="shared" ca="1" si="0"/>
        <v>0</v>
      </c>
      <c r="H11" s="80">
        <f t="shared" ca="1" si="0"/>
        <v>0</v>
      </c>
      <c r="I11" s="80">
        <f t="shared" ca="1" si="0"/>
        <v>0</v>
      </c>
      <c r="J11" s="80">
        <f t="shared" ca="1" si="1"/>
        <v>0</v>
      </c>
    </row>
    <row r="12" spans="2:10" x14ac:dyDescent="0.25">
      <c r="B12" t="s">
        <v>256</v>
      </c>
      <c r="C12" t="s">
        <v>257</v>
      </c>
      <c r="D12" s="80">
        <f t="shared" ca="1" si="0"/>
        <v>0</v>
      </c>
      <c r="E12" s="80">
        <f t="shared" ca="1" si="0"/>
        <v>0</v>
      </c>
      <c r="F12" s="80">
        <f t="shared" ca="1" si="0"/>
        <v>0</v>
      </c>
      <c r="G12" s="80">
        <f t="shared" ca="1" si="0"/>
        <v>0</v>
      </c>
      <c r="H12" s="80">
        <f t="shared" ca="1" si="0"/>
        <v>0</v>
      </c>
      <c r="I12" s="80">
        <f t="shared" ca="1" si="0"/>
        <v>0</v>
      </c>
      <c r="J12" s="80">
        <f t="shared" ca="1" si="1"/>
        <v>0</v>
      </c>
    </row>
    <row r="13" spans="2:10" x14ac:dyDescent="0.25">
      <c r="B13" t="s">
        <v>258</v>
      </c>
      <c r="C13" t="s">
        <v>259</v>
      </c>
      <c r="D13" s="80">
        <f t="shared" ca="1" si="0"/>
        <v>0</v>
      </c>
      <c r="E13" s="80">
        <f t="shared" ca="1" si="0"/>
        <v>0</v>
      </c>
      <c r="F13" s="80">
        <f t="shared" ca="1" si="0"/>
        <v>0</v>
      </c>
      <c r="G13" s="80">
        <f t="shared" ca="1" si="0"/>
        <v>0</v>
      </c>
      <c r="H13" s="80">
        <f t="shared" ca="1" si="0"/>
        <v>0</v>
      </c>
      <c r="I13" s="80">
        <f t="shared" ca="1" si="0"/>
        <v>0</v>
      </c>
      <c r="J13" s="80">
        <f t="shared" ca="1" si="1"/>
        <v>0</v>
      </c>
    </row>
    <row r="14" spans="2:10" x14ac:dyDescent="0.25">
      <c r="B14" t="s">
        <v>260</v>
      </c>
      <c r="C14" t="s">
        <v>261</v>
      </c>
      <c r="D14" s="80">
        <f t="shared" ca="1" si="0"/>
        <v>0</v>
      </c>
      <c r="E14" s="80">
        <f t="shared" ca="1" si="0"/>
        <v>0</v>
      </c>
      <c r="F14" s="80">
        <f t="shared" ca="1" si="0"/>
        <v>0</v>
      </c>
      <c r="G14" s="80">
        <f t="shared" ca="1" si="0"/>
        <v>0</v>
      </c>
      <c r="H14" s="80">
        <f t="shared" ca="1" si="0"/>
        <v>0</v>
      </c>
      <c r="I14" s="80">
        <f t="shared" ca="1" si="0"/>
        <v>0</v>
      </c>
      <c r="J14" s="80">
        <f t="shared" ca="1" si="1"/>
        <v>0</v>
      </c>
    </row>
    <row r="15" spans="2:10" x14ac:dyDescent="0.25">
      <c r="B15" t="s">
        <v>262</v>
      </c>
      <c r="C15" t="s">
        <v>263</v>
      </c>
      <c r="D15" s="80">
        <f t="shared" ca="1" si="0"/>
        <v>0</v>
      </c>
      <c r="E15" s="80">
        <f t="shared" ca="1" si="0"/>
        <v>0</v>
      </c>
      <c r="F15" s="80">
        <f t="shared" ca="1" si="0"/>
        <v>0</v>
      </c>
      <c r="G15" s="80">
        <f t="shared" ca="1" si="0"/>
        <v>0</v>
      </c>
      <c r="H15" s="80">
        <f t="shared" ca="1" si="0"/>
        <v>0</v>
      </c>
      <c r="I15" s="80">
        <f t="shared" ca="1" si="0"/>
        <v>0</v>
      </c>
      <c r="J15" s="80">
        <f t="shared" ca="1" si="1"/>
        <v>0</v>
      </c>
    </row>
    <row r="16" spans="2:10" x14ac:dyDescent="0.25">
      <c r="B16" t="s">
        <v>264</v>
      </c>
      <c r="C16" t="s">
        <v>265</v>
      </c>
      <c r="D16" s="80">
        <f t="shared" ca="1" si="0"/>
        <v>0</v>
      </c>
      <c r="E16" s="80">
        <f t="shared" ca="1" si="0"/>
        <v>0</v>
      </c>
      <c r="F16" s="80">
        <f t="shared" ca="1" si="0"/>
        <v>0</v>
      </c>
      <c r="G16" s="80">
        <f t="shared" ca="1" si="0"/>
        <v>0</v>
      </c>
      <c r="H16" s="80">
        <f t="shared" ca="1" si="0"/>
        <v>0</v>
      </c>
      <c r="I16" s="80">
        <f t="shared" ca="1" si="0"/>
        <v>0</v>
      </c>
      <c r="J16" s="80">
        <f t="shared" ca="1" si="1"/>
        <v>0</v>
      </c>
    </row>
    <row r="17" spans="2:10" x14ac:dyDescent="0.25">
      <c r="B17" t="s">
        <v>266</v>
      </c>
      <c r="C17" t="s">
        <v>267</v>
      </c>
      <c r="D17" s="80" t="e">
        <f t="shared" ca="1" si="0"/>
        <v>#REF!</v>
      </c>
      <c r="E17" s="80" t="e">
        <f t="shared" ca="1" si="0"/>
        <v>#REF!</v>
      </c>
      <c r="F17" s="80" t="e">
        <f t="shared" ca="1" si="0"/>
        <v>#REF!</v>
      </c>
      <c r="G17" s="80" t="e">
        <f t="shared" ca="1" si="0"/>
        <v>#REF!</v>
      </c>
      <c r="H17" s="80" t="e">
        <f t="shared" ca="1" si="0"/>
        <v>#REF!</v>
      </c>
      <c r="I17" s="80" t="e">
        <f t="shared" ca="1" si="0"/>
        <v>#REF!</v>
      </c>
      <c r="J17" s="80" t="e">
        <f t="shared" ca="1" si="1"/>
        <v>#REF!</v>
      </c>
    </row>
    <row r="18" spans="2:10" x14ac:dyDescent="0.25">
      <c r="B18" t="s">
        <v>268</v>
      </c>
      <c r="C18" t="s">
        <v>269</v>
      </c>
      <c r="D18" s="233">
        <f t="shared" ca="1" si="0"/>
        <v>0</v>
      </c>
      <c r="E18" s="233">
        <f t="shared" ca="1" si="0"/>
        <v>0</v>
      </c>
      <c r="F18" s="233">
        <f t="shared" ca="1" si="0"/>
        <v>0</v>
      </c>
      <c r="G18" s="233">
        <f t="shared" ca="1" si="0"/>
        <v>0</v>
      </c>
      <c r="H18" s="233">
        <f t="shared" ca="1" si="0"/>
        <v>0</v>
      </c>
      <c r="I18" s="233">
        <f t="shared" ca="1" si="0"/>
        <v>0</v>
      </c>
      <c r="J18" s="80"/>
    </row>
    <row r="19" spans="2:10" ht="13" x14ac:dyDescent="0.3">
      <c r="B19" s="81" t="s">
        <v>270</v>
      </c>
      <c r="D19" s="233" t="e">
        <f ca="1">SUM(D7:D13)+SUM(D15:D17)</f>
        <v>#REF!</v>
      </c>
      <c r="E19" s="233" t="e">
        <f t="shared" ref="E19:J19" ca="1" si="2">SUM(E7:E13)+SUM(E15:E17)</f>
        <v>#REF!</v>
      </c>
      <c r="F19" s="233" t="e">
        <f t="shared" ca="1" si="2"/>
        <v>#REF!</v>
      </c>
      <c r="G19" s="233" t="e">
        <f t="shared" ca="1" si="2"/>
        <v>#REF!</v>
      </c>
      <c r="H19" s="233" t="e">
        <f t="shared" ca="1" si="2"/>
        <v>#REF!</v>
      </c>
      <c r="I19" s="233" t="e">
        <f t="shared" ca="1" si="2"/>
        <v>#REF!</v>
      </c>
      <c r="J19" s="234" t="e">
        <f t="shared" ca="1" si="2"/>
        <v>#REF!</v>
      </c>
    </row>
    <row r="21" spans="2:10" x14ac:dyDescent="0.25">
      <c r="E21" s="235" t="s">
        <v>271</v>
      </c>
      <c r="F21" s="233" t="e">
        <f ca="1">SUM(D19:I19)</f>
        <v>#REF!</v>
      </c>
    </row>
    <row r="22" spans="2:10" x14ac:dyDescent="0.25">
      <c r="E22" s="235" t="s">
        <v>272</v>
      </c>
      <c r="F22" s="234" t="e">
        <f ca="1">J19</f>
        <v>#REF!</v>
      </c>
    </row>
    <row r="23" spans="2:10" ht="13" x14ac:dyDescent="0.3">
      <c r="E23" s="235" t="s">
        <v>273</v>
      </c>
      <c r="F23" s="236" t="e">
        <f ca="1">F21-F22</f>
        <v>#REF!</v>
      </c>
      <c r="G23" s="237" t="s">
        <v>274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1">
    <tabColor theme="6" tint="0.59999389629810485"/>
  </sheetPr>
  <dimension ref="A1:CD55"/>
  <sheetViews>
    <sheetView zoomScale="85" zoomScaleNormal="85" zoomScaleSheetLayoutView="85" workbookViewId="0">
      <selection activeCell="F18" sqref="F18"/>
    </sheetView>
  </sheetViews>
  <sheetFormatPr defaultColWidth="8.81640625" defaultRowHeight="13" x14ac:dyDescent="0.25"/>
  <cols>
    <col min="1" max="1" width="3.54296875" style="857" customWidth="1"/>
    <col min="2" max="2" width="24.453125" style="857" customWidth="1"/>
    <col min="3" max="3" width="23.453125" style="857" customWidth="1"/>
    <col min="4" max="4" width="24.7265625" style="857" customWidth="1"/>
    <col min="5" max="5" width="29.26953125" style="857" customWidth="1"/>
    <col min="6" max="6" width="13.81640625" style="857" customWidth="1"/>
    <col min="7" max="7" width="11.54296875" style="857" customWidth="1"/>
    <col min="8" max="8" width="11.26953125" style="857" customWidth="1"/>
    <col min="9" max="9" width="11.81640625" style="857" customWidth="1"/>
    <col min="10" max="10" width="9.54296875" style="857" customWidth="1"/>
    <col min="11" max="11" width="11.453125" style="857" customWidth="1"/>
    <col min="12" max="12" width="10.1796875" style="857" customWidth="1"/>
    <col min="13" max="13" width="10.7265625" style="857" customWidth="1"/>
    <col min="14" max="15" width="11.81640625" style="857" customWidth="1"/>
    <col min="16" max="16" width="12.453125" style="857" customWidth="1"/>
    <col min="17" max="17" width="34.453125" style="857" customWidth="1"/>
    <col min="18" max="18" width="5.26953125" style="857" customWidth="1"/>
    <col min="19" max="20" width="10.453125" style="857" customWidth="1"/>
    <col min="21" max="21" width="8.81640625" style="857"/>
    <col min="22" max="22" width="11.453125" style="857" customWidth="1"/>
    <col min="23" max="23" width="12.453125" style="857" customWidth="1"/>
    <col min="24" max="25" width="11.453125" style="857" customWidth="1"/>
    <col min="26" max="26" width="10.453125" style="857" customWidth="1"/>
    <col min="27" max="27" width="9.453125" style="857" customWidth="1"/>
    <col min="28" max="28" width="11.453125" style="857" customWidth="1"/>
    <col min="29" max="29" width="12.453125" style="857" customWidth="1"/>
    <col min="30" max="30" width="12" style="857" customWidth="1"/>
    <col min="31" max="32" width="10.453125" style="857" customWidth="1"/>
    <col min="33" max="33" width="8.81640625" style="857"/>
    <col min="34" max="34" width="11.453125" style="857" customWidth="1"/>
    <col min="35" max="35" width="12.453125" style="857" customWidth="1"/>
    <col min="36" max="37" width="11.453125" style="857" customWidth="1"/>
    <col min="38" max="38" width="10.453125" style="857" customWidth="1"/>
    <col min="39" max="39" width="9.453125" style="857" customWidth="1"/>
    <col min="40" max="40" width="11.453125" style="857" customWidth="1"/>
    <col min="41" max="41" width="28.453125" style="857" bestFit="1" customWidth="1"/>
    <col min="42" max="16384" width="8.81640625" style="857"/>
  </cols>
  <sheetData>
    <row r="1" spans="1:82" s="856" customFormat="1" ht="27.65" customHeight="1" thickBot="1" x14ac:dyDescent="0.3">
      <c r="A1" s="854"/>
      <c r="B1" s="854"/>
      <c r="C1" s="855"/>
      <c r="D1" s="855"/>
      <c r="E1" s="854"/>
      <c r="F1" s="854"/>
      <c r="G1" s="854"/>
      <c r="H1" s="854"/>
      <c r="I1" s="854"/>
      <c r="J1" s="854"/>
      <c r="K1" s="854"/>
      <c r="L1" s="854"/>
      <c r="M1" s="854"/>
      <c r="N1" s="854"/>
      <c r="O1" s="854"/>
      <c r="P1" s="854"/>
      <c r="Q1" s="854"/>
      <c r="R1" s="854"/>
    </row>
    <row r="2" spans="1:82" ht="27" customHeight="1" thickBot="1" x14ac:dyDescent="0.3">
      <c r="A2" s="854"/>
      <c r="B2" s="1270" t="str">
        <f>General!D4</f>
        <v>Name</v>
      </c>
      <c r="C2" s="1271"/>
      <c r="D2" s="854"/>
      <c r="E2" s="1274" t="s">
        <v>275</v>
      </c>
      <c r="F2" s="1274"/>
      <c r="G2" s="1134"/>
      <c r="H2" s="1134"/>
      <c r="I2" s="1013"/>
      <c r="J2" s="854"/>
      <c r="K2" s="854"/>
      <c r="L2" s="854"/>
      <c r="M2" s="854"/>
      <c r="N2" s="854"/>
      <c r="O2" s="854"/>
      <c r="P2" s="854"/>
      <c r="Q2" s="854"/>
      <c r="R2" s="854"/>
      <c r="S2" s="856"/>
      <c r="T2" s="856"/>
      <c r="U2" s="856"/>
      <c r="V2" s="856"/>
      <c r="W2" s="856"/>
      <c r="X2" s="856"/>
      <c r="Y2" s="856"/>
      <c r="Z2" s="856"/>
      <c r="AA2" s="856"/>
      <c r="AB2" s="856"/>
      <c r="AC2" s="856"/>
      <c r="AD2" s="856"/>
      <c r="AE2" s="856"/>
      <c r="AF2" s="856"/>
      <c r="AG2" s="856"/>
      <c r="AH2" s="856"/>
      <c r="AI2" s="856"/>
      <c r="AJ2" s="856"/>
      <c r="AK2" s="856"/>
      <c r="AL2" s="856"/>
      <c r="AM2" s="856"/>
      <c r="AN2" s="856"/>
      <c r="AO2" s="856"/>
      <c r="AP2" s="856"/>
      <c r="AQ2" s="856"/>
      <c r="AR2" s="856"/>
      <c r="AS2" s="856"/>
      <c r="AT2" s="856"/>
      <c r="AU2" s="856"/>
      <c r="AV2" s="856"/>
      <c r="AW2" s="856"/>
      <c r="AX2" s="856"/>
      <c r="AY2" s="856"/>
      <c r="AZ2" s="856"/>
      <c r="BA2" s="856"/>
      <c r="BB2" s="856"/>
      <c r="BC2" s="856"/>
      <c r="BD2" s="856"/>
      <c r="BE2" s="856"/>
      <c r="BF2" s="856"/>
      <c r="BG2" s="856"/>
      <c r="BH2" s="856"/>
      <c r="BI2" s="856"/>
      <c r="BJ2" s="856"/>
      <c r="BK2" s="856"/>
      <c r="BL2" s="856"/>
      <c r="BM2" s="856"/>
      <c r="BN2" s="856"/>
      <c r="BO2" s="856"/>
      <c r="BP2" s="856"/>
      <c r="BQ2" s="856"/>
      <c r="BR2" s="856"/>
      <c r="BS2" s="856"/>
      <c r="BT2" s="856"/>
      <c r="BU2" s="856"/>
      <c r="BV2" s="856"/>
      <c r="BW2" s="856"/>
      <c r="BX2" s="856"/>
      <c r="BY2" s="856"/>
      <c r="BZ2" s="856"/>
      <c r="CA2" s="856"/>
      <c r="CB2" s="856"/>
      <c r="CC2" s="856"/>
      <c r="CD2" s="856"/>
    </row>
    <row r="3" spans="1:82" x14ac:dyDescent="0.25">
      <c r="A3" s="854"/>
      <c r="B3" s="858"/>
      <c r="C3" s="854"/>
      <c r="D3" s="854"/>
      <c r="E3" s="854"/>
      <c r="F3" s="854"/>
      <c r="G3" s="854"/>
      <c r="H3" s="854"/>
      <c r="I3" s="854"/>
      <c r="J3" s="854"/>
      <c r="K3" s="854"/>
      <c r="L3" s="854"/>
      <c r="M3" s="854"/>
      <c r="N3" s="854"/>
      <c r="O3" s="854"/>
      <c r="P3" s="854"/>
      <c r="Q3" s="854"/>
      <c r="R3" s="854"/>
      <c r="S3" s="856"/>
      <c r="T3" s="856"/>
      <c r="U3" s="856"/>
      <c r="V3" s="856"/>
      <c r="W3" s="856"/>
      <c r="X3" s="856"/>
      <c r="Y3" s="856"/>
      <c r="Z3" s="856"/>
      <c r="AA3" s="856"/>
      <c r="AB3" s="856"/>
      <c r="AC3" s="856"/>
      <c r="AD3" s="856"/>
      <c r="AE3" s="856"/>
      <c r="AF3" s="856"/>
      <c r="AG3" s="856"/>
      <c r="AH3" s="856"/>
      <c r="AI3" s="856"/>
      <c r="AJ3" s="856"/>
      <c r="AK3" s="856"/>
      <c r="AL3" s="856"/>
      <c r="AM3" s="856"/>
      <c r="AN3" s="856"/>
      <c r="AO3" s="856"/>
      <c r="AP3" s="856"/>
      <c r="AQ3" s="856"/>
      <c r="AR3" s="856"/>
      <c r="AS3" s="856"/>
      <c r="AT3" s="856"/>
      <c r="AU3" s="856"/>
      <c r="AV3" s="856"/>
      <c r="AW3" s="856"/>
      <c r="AX3" s="856"/>
      <c r="AY3" s="856"/>
      <c r="AZ3" s="856"/>
      <c r="BA3" s="856"/>
      <c r="BB3" s="856"/>
      <c r="BC3" s="856"/>
      <c r="BD3" s="856"/>
      <c r="BE3" s="856"/>
      <c r="BF3" s="856"/>
      <c r="BG3" s="856"/>
      <c r="BH3" s="856"/>
      <c r="BI3" s="856"/>
      <c r="BJ3" s="856"/>
      <c r="BK3" s="856"/>
      <c r="BL3" s="856"/>
      <c r="BM3" s="856"/>
      <c r="BN3" s="856"/>
      <c r="BO3" s="856"/>
      <c r="BP3" s="856"/>
      <c r="BQ3" s="856"/>
      <c r="BR3" s="856"/>
      <c r="BS3" s="856"/>
      <c r="BT3" s="856"/>
      <c r="BU3" s="856"/>
      <c r="BV3" s="856"/>
      <c r="BW3" s="856"/>
      <c r="BX3" s="856"/>
      <c r="BY3" s="856"/>
      <c r="BZ3" s="856"/>
      <c r="CA3" s="856"/>
      <c r="CB3" s="856"/>
      <c r="CC3" s="856"/>
      <c r="CD3" s="856"/>
    </row>
    <row r="4" spans="1:82" x14ac:dyDescent="0.25">
      <c r="A4" s="854"/>
      <c r="B4" s="858"/>
      <c r="C4" s="854"/>
      <c r="D4" s="854"/>
      <c r="E4" s="854"/>
      <c r="F4" s="854"/>
      <c r="G4" s="854"/>
      <c r="H4" s="854"/>
      <c r="I4" s="854"/>
      <c r="J4" s="854"/>
      <c r="K4" s="854"/>
      <c r="L4" s="854"/>
      <c r="M4" s="854"/>
      <c r="N4" s="854"/>
      <c r="O4" s="854"/>
      <c r="P4" s="854"/>
      <c r="Q4" s="854"/>
      <c r="R4" s="854"/>
      <c r="S4" s="856"/>
      <c r="T4" s="856"/>
      <c r="U4" s="856"/>
      <c r="V4" s="856"/>
      <c r="W4" s="856"/>
      <c r="X4" s="856"/>
      <c r="Y4" s="856"/>
      <c r="Z4" s="856"/>
      <c r="AA4" s="856"/>
      <c r="AB4" s="856"/>
      <c r="AC4" s="856"/>
      <c r="AD4" s="856"/>
      <c r="AE4" s="856"/>
      <c r="AF4" s="856"/>
      <c r="AG4" s="856"/>
      <c r="AH4" s="856"/>
      <c r="AI4" s="856"/>
      <c r="AJ4" s="856"/>
      <c r="AK4" s="856"/>
      <c r="AL4" s="856"/>
      <c r="AM4" s="856"/>
      <c r="AN4" s="856"/>
      <c r="AO4" s="856"/>
      <c r="AP4" s="856"/>
      <c r="AQ4" s="856"/>
      <c r="AR4" s="856"/>
      <c r="AS4" s="856"/>
      <c r="AT4" s="856"/>
      <c r="AU4" s="856"/>
      <c r="AV4" s="856"/>
      <c r="AW4" s="856"/>
      <c r="AX4" s="856"/>
      <c r="AY4" s="856"/>
      <c r="AZ4" s="856"/>
      <c r="BA4" s="856"/>
      <c r="BB4" s="856"/>
      <c r="BC4" s="856"/>
      <c r="BD4" s="856"/>
      <c r="BE4" s="856"/>
      <c r="BF4" s="856"/>
      <c r="BG4" s="856"/>
      <c r="BH4" s="856"/>
      <c r="BI4" s="856"/>
      <c r="BJ4" s="856"/>
      <c r="BK4" s="856"/>
      <c r="BL4" s="856"/>
      <c r="BM4" s="856"/>
      <c r="BN4" s="856"/>
      <c r="BO4" s="856"/>
      <c r="BP4" s="856"/>
      <c r="BQ4" s="856"/>
      <c r="BR4" s="856"/>
      <c r="BS4" s="856"/>
      <c r="BT4" s="856"/>
      <c r="BU4" s="856"/>
      <c r="BV4" s="856"/>
      <c r="BW4" s="856"/>
      <c r="BX4" s="856"/>
      <c r="BY4" s="856"/>
      <c r="BZ4" s="856"/>
      <c r="CA4" s="856"/>
      <c r="CB4" s="856"/>
      <c r="CC4" s="856"/>
      <c r="CD4" s="856"/>
    </row>
    <row r="5" spans="1:82" s="860" customFormat="1" ht="30.65" customHeight="1" thickBot="1" x14ac:dyDescent="0.3">
      <c r="A5" s="854"/>
      <c r="B5" s="1170" t="s">
        <v>276</v>
      </c>
      <c r="C5" s="1148" t="s">
        <v>277</v>
      </c>
      <c r="D5" s="1287" t="s">
        <v>278</v>
      </c>
      <c r="E5" s="1287"/>
      <c r="F5" s="859" t="str">
        <f>Period1_Label</f>
        <v>FY 1</v>
      </c>
      <c r="G5" s="1285" t="str">
        <f>Period2_Label</f>
        <v>FY 2</v>
      </c>
      <c r="H5" s="1285"/>
      <c r="I5" s="1286" t="str">
        <f>Period3_Label</f>
        <v>FY 3</v>
      </c>
      <c r="J5" s="1286"/>
      <c r="K5" s="1283" t="str">
        <f>Period4_Label</f>
        <v>FY 4</v>
      </c>
      <c r="L5" s="1283"/>
      <c r="M5" s="1284" t="str">
        <f>Period5_Label</f>
        <v>FY 5</v>
      </c>
      <c r="N5" s="1284"/>
      <c r="O5" s="1282" t="str">
        <f>Period6_Label</f>
        <v>FY 6</v>
      </c>
      <c r="P5" s="1282"/>
      <c r="Q5" s="1280" t="s">
        <v>279</v>
      </c>
      <c r="R5" s="854"/>
      <c r="S5" s="856"/>
      <c r="T5" s="856"/>
      <c r="U5" s="856"/>
      <c r="V5" s="856"/>
      <c r="W5" s="856"/>
      <c r="X5" s="856"/>
      <c r="Y5" s="856"/>
      <c r="Z5" s="856"/>
      <c r="AA5" s="856"/>
      <c r="AB5" s="856"/>
      <c r="AC5" s="856"/>
      <c r="AD5" s="856"/>
      <c r="AE5" s="856"/>
      <c r="AF5" s="856"/>
      <c r="AG5" s="856"/>
      <c r="AH5" s="856"/>
      <c r="AI5" s="856"/>
      <c r="AJ5" s="856"/>
      <c r="AK5" s="856"/>
      <c r="AL5" s="856"/>
      <c r="AM5" s="856"/>
      <c r="AN5" s="856"/>
      <c r="AO5" s="856"/>
      <c r="AP5" s="856"/>
      <c r="AQ5" s="856"/>
      <c r="AR5" s="856"/>
      <c r="AS5" s="856"/>
      <c r="AT5" s="856"/>
      <c r="AU5" s="856"/>
      <c r="AV5" s="856"/>
      <c r="AW5" s="856"/>
      <c r="AX5" s="856"/>
      <c r="AY5" s="856"/>
      <c r="AZ5" s="856"/>
      <c r="BA5" s="856"/>
      <c r="BB5" s="856"/>
      <c r="BC5" s="856"/>
      <c r="BD5" s="856"/>
      <c r="BE5" s="856"/>
      <c r="BF5" s="856"/>
      <c r="BG5" s="856"/>
      <c r="BH5" s="856"/>
      <c r="BI5" s="856"/>
      <c r="BJ5" s="856"/>
      <c r="BK5" s="856"/>
      <c r="BL5" s="856"/>
      <c r="BM5" s="856"/>
      <c r="BN5" s="856"/>
      <c r="BO5" s="856"/>
      <c r="BP5" s="856"/>
      <c r="BQ5" s="856"/>
      <c r="BR5" s="856"/>
      <c r="BS5" s="856"/>
      <c r="BT5" s="856"/>
      <c r="BU5" s="856"/>
      <c r="BV5" s="856"/>
      <c r="BW5" s="856"/>
      <c r="BX5" s="856"/>
      <c r="BY5" s="856"/>
      <c r="BZ5" s="856"/>
      <c r="CA5" s="856"/>
      <c r="CB5" s="856"/>
      <c r="CC5" s="856"/>
      <c r="CD5" s="856"/>
    </row>
    <row r="6" spans="1:82" s="865" customFormat="1" ht="87" customHeight="1" x14ac:dyDescent="0.25">
      <c r="A6" s="861"/>
      <c r="B6" s="862" t="s">
        <v>280</v>
      </c>
      <c r="C6" s="863" t="s">
        <v>280</v>
      </c>
      <c r="D6" s="1276" t="s">
        <v>281</v>
      </c>
      <c r="E6" s="1277"/>
      <c r="F6" s="1288" t="s">
        <v>282</v>
      </c>
      <c r="G6" s="1278" t="s">
        <v>283</v>
      </c>
      <c r="H6" s="864" t="s">
        <v>284</v>
      </c>
      <c r="I6" s="1278" t="s">
        <v>285</v>
      </c>
      <c r="J6" s="864" t="s">
        <v>284</v>
      </c>
      <c r="K6" s="1278" t="s">
        <v>283</v>
      </c>
      <c r="L6" s="864" t="s">
        <v>284</v>
      </c>
      <c r="M6" s="1278" t="s">
        <v>285</v>
      </c>
      <c r="N6" s="864" t="s">
        <v>284</v>
      </c>
      <c r="O6" s="1278" t="s">
        <v>283</v>
      </c>
      <c r="P6" s="864" t="s">
        <v>284</v>
      </c>
      <c r="Q6" s="1281"/>
      <c r="R6" s="854"/>
      <c r="S6" s="856"/>
      <c r="T6" s="856"/>
      <c r="U6" s="856"/>
      <c r="V6" s="856"/>
      <c r="W6" s="856"/>
      <c r="X6" s="856"/>
      <c r="Y6" s="856"/>
      <c r="Z6" s="856"/>
      <c r="AA6" s="856"/>
      <c r="AB6" s="856"/>
      <c r="AC6" s="856"/>
      <c r="AD6" s="856"/>
      <c r="AE6" s="856"/>
      <c r="AF6" s="856"/>
      <c r="AG6" s="856"/>
      <c r="AH6" s="856"/>
      <c r="AI6" s="856"/>
      <c r="AJ6" s="856"/>
      <c r="AK6" s="856"/>
      <c r="AL6" s="856"/>
      <c r="AM6" s="856"/>
      <c r="AN6" s="856"/>
      <c r="AO6" s="856"/>
      <c r="AP6" s="856"/>
      <c r="AQ6" s="856"/>
      <c r="AR6" s="856"/>
      <c r="AS6" s="856"/>
      <c r="AT6" s="856"/>
      <c r="AU6" s="856"/>
      <c r="AV6" s="856"/>
      <c r="AW6" s="856"/>
      <c r="AX6" s="856"/>
      <c r="AY6" s="856"/>
      <c r="AZ6" s="856"/>
      <c r="BA6" s="856"/>
      <c r="BB6" s="856"/>
      <c r="BC6" s="856"/>
      <c r="BD6" s="856"/>
      <c r="BE6" s="856"/>
      <c r="BF6" s="856"/>
      <c r="BG6" s="856"/>
      <c r="BH6" s="856"/>
      <c r="BI6" s="856"/>
      <c r="BJ6" s="856"/>
      <c r="BK6" s="856"/>
      <c r="BL6" s="856"/>
      <c r="BM6" s="856"/>
      <c r="BN6" s="856"/>
      <c r="BO6" s="856"/>
      <c r="BP6" s="856"/>
      <c r="BQ6" s="856"/>
      <c r="BR6" s="856"/>
      <c r="BS6" s="856"/>
      <c r="BT6" s="856"/>
      <c r="BU6" s="856"/>
      <c r="BV6" s="856"/>
      <c r="BW6" s="856"/>
      <c r="BX6" s="856"/>
      <c r="BY6" s="856"/>
      <c r="BZ6" s="856"/>
      <c r="CA6" s="856"/>
      <c r="CB6" s="856"/>
      <c r="CC6" s="856"/>
      <c r="CD6" s="856"/>
    </row>
    <row r="7" spans="1:82" ht="39" x14ac:dyDescent="0.25">
      <c r="A7" s="854"/>
      <c r="B7" s="866" t="s">
        <v>286</v>
      </c>
      <c r="C7" s="867" t="s">
        <v>287</v>
      </c>
      <c r="D7" s="948" t="s">
        <v>288</v>
      </c>
      <c r="E7" s="948" t="s">
        <v>289</v>
      </c>
      <c r="F7" s="1289"/>
      <c r="G7" s="1279"/>
      <c r="H7" s="868" t="s">
        <v>282</v>
      </c>
      <c r="I7" s="1279"/>
      <c r="J7" s="868" t="s">
        <v>282</v>
      </c>
      <c r="K7" s="1279"/>
      <c r="L7" s="868" t="s">
        <v>282</v>
      </c>
      <c r="M7" s="1279"/>
      <c r="N7" s="868" t="s">
        <v>282</v>
      </c>
      <c r="O7" s="1279"/>
      <c r="P7" s="868" t="s">
        <v>282</v>
      </c>
      <c r="Q7" s="869" t="s">
        <v>290</v>
      </c>
      <c r="R7" s="854"/>
      <c r="S7" s="856"/>
      <c r="T7" s="856"/>
      <c r="U7" s="856"/>
      <c r="V7" s="856"/>
      <c r="W7" s="856"/>
      <c r="X7" s="856"/>
      <c r="Y7" s="856"/>
      <c r="Z7" s="856"/>
      <c r="AA7" s="856"/>
      <c r="AB7" s="856"/>
      <c r="AC7" s="856"/>
      <c r="AD7" s="856"/>
      <c r="AE7" s="856"/>
      <c r="AF7" s="856"/>
      <c r="AG7" s="856"/>
      <c r="AH7" s="856"/>
      <c r="AI7" s="856"/>
      <c r="AJ7" s="856"/>
      <c r="AK7" s="856"/>
      <c r="AL7" s="856"/>
      <c r="AM7" s="856"/>
      <c r="AN7" s="856"/>
      <c r="AO7" s="856"/>
      <c r="AP7" s="856"/>
      <c r="AQ7" s="856"/>
      <c r="AR7" s="856"/>
      <c r="AS7" s="856"/>
      <c r="AT7" s="856"/>
      <c r="AU7" s="856"/>
      <c r="AV7" s="856"/>
      <c r="AW7" s="856"/>
      <c r="AX7" s="856"/>
      <c r="AY7" s="856"/>
      <c r="AZ7" s="856"/>
      <c r="BA7" s="856"/>
      <c r="BB7" s="856"/>
      <c r="BC7" s="856"/>
      <c r="BD7" s="856"/>
      <c r="BE7" s="856"/>
      <c r="BF7" s="856"/>
      <c r="BG7" s="856"/>
      <c r="BH7" s="856"/>
      <c r="BI7" s="856"/>
      <c r="BJ7" s="856"/>
      <c r="BK7" s="856"/>
      <c r="BL7" s="856"/>
      <c r="BM7" s="856"/>
      <c r="BN7" s="856"/>
      <c r="BO7" s="856"/>
      <c r="BP7" s="856"/>
      <c r="BQ7" s="856"/>
      <c r="BR7" s="856"/>
      <c r="BS7" s="856"/>
      <c r="BT7" s="856"/>
      <c r="BU7" s="856"/>
      <c r="BV7" s="856"/>
      <c r="BW7" s="856"/>
      <c r="BX7" s="856"/>
      <c r="BY7" s="856"/>
      <c r="BZ7" s="856"/>
      <c r="CA7" s="856"/>
      <c r="CB7" s="856"/>
      <c r="CC7" s="856"/>
      <c r="CD7" s="856"/>
    </row>
    <row r="8" spans="1:82" x14ac:dyDescent="0.25">
      <c r="A8" s="854"/>
      <c r="B8" s="1169"/>
      <c r="C8" s="1169"/>
      <c r="D8" s="870"/>
      <c r="E8" s="871"/>
      <c r="F8" s="872">
        <v>0</v>
      </c>
      <c r="G8" s="873">
        <v>0</v>
      </c>
      <c r="H8" s="874">
        <f>F8*(1+G8)</f>
        <v>0</v>
      </c>
      <c r="I8" s="873">
        <v>0</v>
      </c>
      <c r="J8" s="874">
        <f>H8*(1+I8)</f>
        <v>0</v>
      </c>
      <c r="K8" s="873">
        <v>0</v>
      </c>
      <c r="L8" s="874">
        <f>J8*(1+K8)</f>
        <v>0</v>
      </c>
      <c r="M8" s="873">
        <v>0</v>
      </c>
      <c r="N8" s="874">
        <f>L8*(1+M8)</f>
        <v>0</v>
      </c>
      <c r="O8" s="873">
        <v>0</v>
      </c>
      <c r="P8" s="874">
        <f>N8*(1+O8)</f>
        <v>0</v>
      </c>
      <c r="Q8" s="1169"/>
      <c r="R8" s="854"/>
      <c r="S8" s="856"/>
      <c r="T8" s="856"/>
      <c r="U8" s="856"/>
      <c r="V8" s="856"/>
      <c r="W8" s="856"/>
      <c r="X8" s="856"/>
      <c r="Y8" s="856"/>
      <c r="Z8" s="856"/>
      <c r="AA8" s="856"/>
      <c r="AB8" s="856"/>
      <c r="AC8" s="856"/>
      <c r="AD8" s="856"/>
      <c r="AE8" s="856"/>
      <c r="AF8" s="856"/>
      <c r="AG8" s="856"/>
      <c r="AH8" s="856"/>
      <c r="AI8" s="856"/>
      <c r="AJ8" s="856"/>
      <c r="AK8" s="856"/>
      <c r="AL8" s="856"/>
      <c r="AM8" s="856"/>
      <c r="AN8" s="856"/>
      <c r="AO8" s="856"/>
      <c r="AP8" s="856"/>
      <c r="AQ8" s="856"/>
      <c r="AR8" s="856"/>
      <c r="AS8" s="856"/>
      <c r="AT8" s="856"/>
      <c r="AU8" s="856"/>
      <c r="AV8" s="856"/>
      <c r="AW8" s="856"/>
      <c r="AX8" s="856"/>
      <c r="AY8" s="856"/>
      <c r="AZ8" s="856"/>
      <c r="BA8" s="856"/>
      <c r="BB8" s="856"/>
      <c r="BC8" s="856"/>
      <c r="BD8" s="856"/>
      <c r="BE8" s="856"/>
      <c r="BF8" s="856"/>
      <c r="BG8" s="856"/>
      <c r="BH8" s="856"/>
      <c r="BI8" s="856"/>
      <c r="BJ8" s="856"/>
      <c r="BK8" s="856"/>
      <c r="BL8" s="856"/>
      <c r="BM8" s="856"/>
      <c r="BN8" s="856"/>
      <c r="BO8" s="856"/>
      <c r="BP8" s="856"/>
      <c r="BQ8" s="856"/>
      <c r="BR8" s="856"/>
      <c r="BS8" s="856"/>
      <c r="BT8" s="856"/>
      <c r="BU8" s="856"/>
      <c r="BV8" s="856"/>
      <c r="BW8" s="856"/>
      <c r="BX8" s="856"/>
      <c r="BY8" s="856"/>
      <c r="BZ8" s="856"/>
      <c r="CA8" s="856"/>
      <c r="CB8" s="856"/>
      <c r="CC8" s="856"/>
      <c r="CD8" s="856"/>
    </row>
    <row r="9" spans="1:82" x14ac:dyDescent="0.25">
      <c r="A9" s="854"/>
      <c r="B9" s="1169"/>
      <c r="C9" s="1169" t="str">
        <f>IF(ISBLANK(D9),"","Select an ARPA-H Category")</f>
        <v/>
      </c>
      <c r="D9" s="870"/>
      <c r="E9" s="871"/>
      <c r="F9" s="872">
        <v>0</v>
      </c>
      <c r="G9" s="873">
        <v>0</v>
      </c>
      <c r="H9" s="874">
        <f t="shared" ref="H9:P31" si="0">F9*(1+G9)</f>
        <v>0</v>
      </c>
      <c r="I9" s="873">
        <v>0</v>
      </c>
      <c r="J9" s="874">
        <f t="shared" si="0"/>
        <v>0</v>
      </c>
      <c r="K9" s="873">
        <v>0</v>
      </c>
      <c r="L9" s="874">
        <f t="shared" si="0"/>
        <v>0</v>
      </c>
      <c r="M9" s="873">
        <v>0</v>
      </c>
      <c r="N9" s="874">
        <f t="shared" si="0"/>
        <v>0</v>
      </c>
      <c r="O9" s="873">
        <v>0</v>
      </c>
      <c r="P9" s="874">
        <f t="shared" si="0"/>
        <v>0</v>
      </c>
      <c r="Q9" s="1169"/>
      <c r="R9" s="854"/>
      <c r="S9" s="856"/>
      <c r="T9" s="856"/>
      <c r="U9" s="856"/>
      <c r="V9" s="856"/>
      <c r="W9" s="856"/>
      <c r="X9" s="856"/>
      <c r="Y9" s="856"/>
      <c r="Z9" s="856"/>
      <c r="AA9" s="856"/>
      <c r="AB9" s="856"/>
      <c r="AC9" s="856"/>
      <c r="AD9" s="856"/>
      <c r="AE9" s="856"/>
      <c r="AF9" s="856"/>
      <c r="AG9" s="856"/>
      <c r="AH9" s="856"/>
      <c r="AI9" s="856"/>
      <c r="AJ9" s="856"/>
      <c r="AK9" s="856"/>
      <c r="AL9" s="856"/>
      <c r="AM9" s="856"/>
      <c r="AN9" s="856"/>
      <c r="AO9" s="856"/>
      <c r="AP9" s="856"/>
      <c r="AQ9" s="856"/>
      <c r="AR9" s="856"/>
      <c r="AS9" s="856"/>
      <c r="AT9" s="856"/>
      <c r="AU9" s="856"/>
      <c r="AV9" s="856"/>
      <c r="AW9" s="856"/>
      <c r="AX9" s="856"/>
      <c r="AY9" s="856"/>
      <c r="AZ9" s="856"/>
      <c r="BA9" s="856"/>
      <c r="BB9" s="856"/>
      <c r="BC9" s="856"/>
      <c r="BD9" s="856"/>
      <c r="BE9" s="856"/>
      <c r="BF9" s="856"/>
      <c r="BG9" s="856"/>
      <c r="BH9" s="856"/>
      <c r="BI9" s="856"/>
      <c r="BJ9" s="856"/>
      <c r="BK9" s="856"/>
      <c r="BL9" s="856"/>
      <c r="BM9" s="856"/>
      <c r="BN9" s="856"/>
      <c r="BO9" s="856"/>
      <c r="BP9" s="856"/>
      <c r="BQ9" s="856"/>
      <c r="BR9" s="856"/>
      <c r="BS9" s="856"/>
      <c r="BT9" s="856"/>
      <c r="BU9" s="856"/>
      <c r="BV9" s="856"/>
      <c r="BW9" s="856"/>
      <c r="BX9" s="856"/>
      <c r="BY9" s="856"/>
      <c r="BZ9" s="856"/>
      <c r="CA9" s="856"/>
      <c r="CB9" s="856"/>
      <c r="CC9" s="856"/>
      <c r="CD9" s="856"/>
    </row>
    <row r="10" spans="1:82" x14ac:dyDescent="0.25">
      <c r="A10" s="854"/>
      <c r="B10" s="1169"/>
      <c r="C10" s="1169" t="str">
        <f>IF(ISBLANK(D10),"","Select an ARPA-H Category")</f>
        <v/>
      </c>
      <c r="D10" s="870"/>
      <c r="E10" s="871"/>
      <c r="F10" s="872">
        <v>0</v>
      </c>
      <c r="G10" s="873">
        <v>0</v>
      </c>
      <c r="H10" s="874">
        <f t="shared" si="0"/>
        <v>0</v>
      </c>
      <c r="I10" s="873">
        <v>0</v>
      </c>
      <c r="J10" s="874">
        <f t="shared" si="0"/>
        <v>0</v>
      </c>
      <c r="K10" s="873">
        <v>0</v>
      </c>
      <c r="L10" s="874">
        <f t="shared" si="0"/>
        <v>0</v>
      </c>
      <c r="M10" s="873">
        <v>0</v>
      </c>
      <c r="N10" s="874">
        <f t="shared" si="0"/>
        <v>0</v>
      </c>
      <c r="O10" s="873">
        <v>0</v>
      </c>
      <c r="P10" s="874">
        <f t="shared" si="0"/>
        <v>0</v>
      </c>
      <c r="Q10" s="1169"/>
      <c r="R10" s="854"/>
      <c r="S10" s="856"/>
      <c r="T10" s="856"/>
      <c r="U10" s="856"/>
      <c r="V10" s="856"/>
      <c r="W10" s="856"/>
      <c r="X10" s="856"/>
      <c r="Y10" s="856"/>
      <c r="Z10" s="856"/>
      <c r="AA10" s="856"/>
      <c r="AB10" s="856"/>
      <c r="AC10" s="856"/>
      <c r="AD10" s="856"/>
      <c r="AE10" s="856"/>
      <c r="AF10" s="856"/>
      <c r="AG10" s="856"/>
      <c r="AH10" s="856"/>
      <c r="AI10" s="856"/>
      <c r="AJ10" s="856"/>
      <c r="AK10" s="856"/>
      <c r="AL10" s="856"/>
      <c r="AM10" s="856"/>
      <c r="AN10" s="856"/>
      <c r="AO10" s="856"/>
      <c r="AP10" s="856"/>
      <c r="AQ10" s="856"/>
      <c r="AR10" s="856"/>
      <c r="AS10" s="856"/>
      <c r="AT10" s="856"/>
      <c r="AU10" s="856"/>
      <c r="AV10" s="856"/>
      <c r="AW10" s="856"/>
      <c r="AX10" s="856"/>
      <c r="AY10" s="856"/>
      <c r="AZ10" s="856"/>
      <c r="BA10" s="856"/>
      <c r="BB10" s="856"/>
      <c r="BC10" s="856"/>
      <c r="BD10" s="856"/>
      <c r="BE10" s="856"/>
      <c r="BF10" s="856"/>
      <c r="BG10" s="856"/>
      <c r="BH10" s="856"/>
      <c r="BI10" s="856"/>
      <c r="BJ10" s="856"/>
      <c r="BK10" s="856"/>
      <c r="BL10" s="856"/>
      <c r="BM10" s="856"/>
      <c r="BN10" s="856"/>
      <c r="BO10" s="856"/>
      <c r="BP10" s="856"/>
      <c r="BQ10" s="856"/>
      <c r="BR10" s="856"/>
      <c r="BS10" s="856"/>
      <c r="BT10" s="856"/>
      <c r="BU10" s="856"/>
      <c r="BV10" s="856"/>
      <c r="BW10" s="856"/>
      <c r="BX10" s="856"/>
      <c r="BY10" s="856"/>
      <c r="BZ10" s="856"/>
      <c r="CA10" s="856"/>
      <c r="CB10" s="856"/>
      <c r="CC10" s="856"/>
      <c r="CD10" s="856"/>
    </row>
    <row r="11" spans="1:82" x14ac:dyDescent="0.25">
      <c r="A11" s="854"/>
      <c r="B11" s="1169"/>
      <c r="C11" s="1169" t="str">
        <f>IF(ISBLANK(D11),"","Select an ARPA-H Category")</f>
        <v/>
      </c>
      <c r="D11" s="870"/>
      <c r="E11" s="871"/>
      <c r="F11" s="872">
        <v>0</v>
      </c>
      <c r="G11" s="873">
        <v>0</v>
      </c>
      <c r="H11" s="874">
        <f t="shared" si="0"/>
        <v>0</v>
      </c>
      <c r="I11" s="873">
        <v>0</v>
      </c>
      <c r="J11" s="874">
        <f t="shared" si="0"/>
        <v>0</v>
      </c>
      <c r="K11" s="873">
        <v>0</v>
      </c>
      <c r="L11" s="874">
        <f t="shared" si="0"/>
        <v>0</v>
      </c>
      <c r="M11" s="873">
        <v>0</v>
      </c>
      <c r="N11" s="874">
        <f t="shared" si="0"/>
        <v>0</v>
      </c>
      <c r="O11" s="873">
        <v>0</v>
      </c>
      <c r="P11" s="874">
        <f t="shared" si="0"/>
        <v>0</v>
      </c>
      <c r="Q11" s="1169"/>
      <c r="R11" s="854"/>
      <c r="S11" s="856"/>
      <c r="T11" s="856"/>
      <c r="U11" s="856"/>
      <c r="V11" s="856"/>
      <c r="W11" s="856"/>
      <c r="X11" s="856"/>
      <c r="Y11" s="856"/>
      <c r="Z11" s="856"/>
      <c r="AA11" s="856"/>
      <c r="AB11" s="856"/>
      <c r="AC11" s="856"/>
      <c r="AD11" s="856"/>
      <c r="AE11" s="856"/>
      <c r="AF11" s="856"/>
      <c r="AG11" s="856"/>
      <c r="AH11" s="856"/>
      <c r="AI11" s="856"/>
      <c r="AJ11" s="856"/>
      <c r="AK11" s="856"/>
      <c r="AL11" s="856"/>
      <c r="AM11" s="856"/>
      <c r="AN11" s="856"/>
      <c r="AO11" s="856"/>
      <c r="AP11" s="856"/>
      <c r="AQ11" s="856"/>
      <c r="AR11" s="856"/>
      <c r="AS11" s="856"/>
      <c r="AT11" s="856"/>
      <c r="AU11" s="856"/>
      <c r="AV11" s="856"/>
      <c r="AW11" s="856"/>
      <c r="AX11" s="856"/>
      <c r="AY11" s="856"/>
      <c r="AZ11" s="856"/>
      <c r="BA11" s="856"/>
      <c r="BB11" s="856"/>
      <c r="BC11" s="856"/>
      <c r="BD11" s="856"/>
      <c r="BE11" s="856"/>
      <c r="BF11" s="856"/>
      <c r="BG11" s="856"/>
      <c r="BH11" s="856"/>
      <c r="BI11" s="856"/>
      <c r="BJ11" s="856"/>
      <c r="BK11" s="856"/>
      <c r="BL11" s="856"/>
      <c r="BM11" s="856"/>
      <c r="BN11" s="856"/>
      <c r="BO11" s="856"/>
      <c r="BP11" s="856"/>
      <c r="BQ11" s="856"/>
      <c r="BR11" s="856"/>
      <c r="BS11" s="856"/>
      <c r="BT11" s="856"/>
      <c r="BU11" s="856"/>
      <c r="BV11" s="856"/>
      <c r="BW11" s="856"/>
      <c r="BX11" s="856"/>
      <c r="BY11" s="856"/>
      <c r="BZ11" s="856"/>
      <c r="CA11" s="856"/>
      <c r="CB11" s="856"/>
      <c r="CC11" s="856"/>
      <c r="CD11" s="856"/>
    </row>
    <row r="12" spans="1:82" x14ac:dyDescent="0.25">
      <c r="A12" s="854"/>
      <c r="B12" s="1169"/>
      <c r="C12" s="1169" t="str">
        <f>IF(ISBLANK(D12),"","Select an ARPA-H Category")</f>
        <v/>
      </c>
      <c r="D12" s="870"/>
      <c r="E12" s="871"/>
      <c r="F12" s="872">
        <v>0</v>
      </c>
      <c r="G12" s="873">
        <v>0</v>
      </c>
      <c r="H12" s="874">
        <f t="shared" si="0"/>
        <v>0</v>
      </c>
      <c r="I12" s="873">
        <v>0</v>
      </c>
      <c r="J12" s="874">
        <f t="shared" si="0"/>
        <v>0</v>
      </c>
      <c r="K12" s="873">
        <v>0</v>
      </c>
      <c r="L12" s="874">
        <f t="shared" si="0"/>
        <v>0</v>
      </c>
      <c r="M12" s="873">
        <v>0</v>
      </c>
      <c r="N12" s="874">
        <f t="shared" si="0"/>
        <v>0</v>
      </c>
      <c r="O12" s="873">
        <v>0</v>
      </c>
      <c r="P12" s="874">
        <f t="shared" si="0"/>
        <v>0</v>
      </c>
      <c r="Q12" s="1169"/>
      <c r="R12" s="854"/>
      <c r="S12" s="856"/>
      <c r="T12" s="856"/>
      <c r="U12" s="856"/>
      <c r="V12" s="856"/>
      <c r="W12" s="856"/>
      <c r="X12" s="856"/>
      <c r="Y12" s="856"/>
      <c r="Z12" s="856"/>
      <c r="AA12" s="856"/>
      <c r="AB12" s="856"/>
      <c r="AC12" s="856"/>
      <c r="AD12" s="856"/>
      <c r="AE12" s="856"/>
      <c r="AF12" s="856"/>
      <c r="AG12" s="856"/>
      <c r="AH12" s="856"/>
      <c r="AI12" s="856"/>
      <c r="AJ12" s="856"/>
      <c r="AK12" s="856"/>
      <c r="AL12" s="856"/>
      <c r="AM12" s="856"/>
      <c r="AN12" s="856"/>
      <c r="AO12" s="856"/>
      <c r="AP12" s="856"/>
      <c r="AQ12" s="856"/>
      <c r="AR12" s="856"/>
      <c r="AS12" s="856"/>
      <c r="AT12" s="856"/>
      <c r="AU12" s="856"/>
      <c r="AV12" s="856"/>
      <c r="AW12" s="856"/>
      <c r="AX12" s="856"/>
      <c r="AY12" s="856"/>
      <c r="AZ12" s="856"/>
      <c r="BA12" s="856"/>
      <c r="BB12" s="856"/>
      <c r="BC12" s="856"/>
      <c r="BD12" s="856"/>
      <c r="BE12" s="856"/>
      <c r="BF12" s="856"/>
      <c r="BG12" s="856"/>
      <c r="BH12" s="856"/>
      <c r="BI12" s="856"/>
      <c r="BJ12" s="856"/>
      <c r="BK12" s="856"/>
      <c r="BL12" s="856"/>
      <c r="BM12" s="856"/>
      <c r="BN12" s="856"/>
      <c r="BO12" s="856"/>
      <c r="BP12" s="856"/>
      <c r="BQ12" s="856"/>
      <c r="BR12" s="856"/>
      <c r="BS12" s="856"/>
      <c r="BT12" s="856"/>
      <c r="BU12" s="856"/>
      <c r="BV12" s="856"/>
      <c r="BW12" s="856"/>
      <c r="BX12" s="856"/>
      <c r="BY12" s="856"/>
      <c r="BZ12" s="856"/>
      <c r="CA12" s="856"/>
      <c r="CB12" s="856"/>
      <c r="CC12" s="856"/>
      <c r="CD12" s="856"/>
    </row>
    <row r="13" spans="1:82" x14ac:dyDescent="0.25">
      <c r="A13" s="854"/>
      <c r="B13" s="1169"/>
      <c r="C13" s="1169" t="str">
        <f t="shared" ref="C13:C31" si="1">IF(ISBLANK(D13),"","Select an ARPA-H Category")</f>
        <v/>
      </c>
      <c r="D13" s="870"/>
      <c r="E13" s="871"/>
      <c r="F13" s="872">
        <v>0</v>
      </c>
      <c r="G13" s="873">
        <v>0</v>
      </c>
      <c r="H13" s="874">
        <f t="shared" si="0"/>
        <v>0</v>
      </c>
      <c r="I13" s="873">
        <v>0</v>
      </c>
      <c r="J13" s="874">
        <f t="shared" si="0"/>
        <v>0</v>
      </c>
      <c r="K13" s="873">
        <v>0</v>
      </c>
      <c r="L13" s="874">
        <f t="shared" si="0"/>
        <v>0</v>
      </c>
      <c r="M13" s="873">
        <v>0</v>
      </c>
      <c r="N13" s="874">
        <f t="shared" si="0"/>
        <v>0</v>
      </c>
      <c r="O13" s="873">
        <v>0</v>
      </c>
      <c r="P13" s="874">
        <f t="shared" si="0"/>
        <v>0</v>
      </c>
      <c r="Q13" s="1169"/>
      <c r="R13" s="854"/>
      <c r="S13" s="856"/>
      <c r="T13" s="856"/>
      <c r="U13" s="856"/>
      <c r="V13" s="856"/>
      <c r="W13" s="856"/>
      <c r="X13" s="856"/>
      <c r="Y13" s="856"/>
      <c r="Z13" s="856"/>
      <c r="AA13" s="856"/>
      <c r="AB13" s="856"/>
      <c r="AC13" s="856"/>
      <c r="AD13" s="856"/>
      <c r="AE13" s="856"/>
      <c r="AF13" s="856"/>
      <c r="AG13" s="856"/>
      <c r="AH13" s="856"/>
      <c r="AI13" s="856"/>
      <c r="AJ13" s="856"/>
      <c r="AK13" s="856"/>
      <c r="AL13" s="856"/>
      <c r="AM13" s="856"/>
      <c r="AN13" s="856"/>
      <c r="AO13" s="856"/>
      <c r="AP13" s="856"/>
      <c r="AQ13" s="856"/>
      <c r="AR13" s="856"/>
      <c r="AS13" s="856"/>
      <c r="AT13" s="856"/>
      <c r="AU13" s="856"/>
      <c r="AV13" s="856"/>
      <c r="AW13" s="856"/>
      <c r="AX13" s="856"/>
      <c r="AY13" s="856"/>
      <c r="AZ13" s="856"/>
      <c r="BA13" s="856"/>
      <c r="BB13" s="856"/>
      <c r="BC13" s="856"/>
      <c r="BD13" s="856"/>
      <c r="BE13" s="856"/>
      <c r="BF13" s="856"/>
      <c r="BG13" s="856"/>
      <c r="BH13" s="856"/>
      <c r="BI13" s="856"/>
      <c r="BJ13" s="856"/>
      <c r="BK13" s="856"/>
      <c r="BL13" s="856"/>
      <c r="BM13" s="856"/>
      <c r="BN13" s="856"/>
      <c r="BO13" s="856"/>
      <c r="BP13" s="856"/>
      <c r="BQ13" s="856"/>
      <c r="BR13" s="856"/>
      <c r="BS13" s="856"/>
      <c r="BT13" s="856"/>
      <c r="BU13" s="856"/>
      <c r="BV13" s="856"/>
      <c r="BW13" s="856"/>
      <c r="BX13" s="856"/>
      <c r="BY13" s="856"/>
      <c r="BZ13" s="856"/>
      <c r="CA13" s="856"/>
      <c r="CB13" s="856"/>
      <c r="CC13" s="856"/>
      <c r="CD13" s="856"/>
    </row>
    <row r="14" spans="1:82" x14ac:dyDescent="0.25">
      <c r="A14" s="854"/>
      <c r="B14" s="1169"/>
      <c r="C14" s="1169" t="str">
        <f t="shared" si="1"/>
        <v/>
      </c>
      <c r="D14" s="870"/>
      <c r="E14" s="871"/>
      <c r="F14" s="872">
        <v>0</v>
      </c>
      <c r="G14" s="873">
        <v>0</v>
      </c>
      <c r="H14" s="874">
        <f t="shared" si="0"/>
        <v>0</v>
      </c>
      <c r="I14" s="873">
        <v>0</v>
      </c>
      <c r="J14" s="874">
        <f t="shared" si="0"/>
        <v>0</v>
      </c>
      <c r="K14" s="873">
        <v>0</v>
      </c>
      <c r="L14" s="874">
        <f t="shared" si="0"/>
        <v>0</v>
      </c>
      <c r="M14" s="873">
        <v>0</v>
      </c>
      <c r="N14" s="874">
        <f t="shared" si="0"/>
        <v>0</v>
      </c>
      <c r="O14" s="873">
        <v>0</v>
      </c>
      <c r="P14" s="874">
        <f t="shared" si="0"/>
        <v>0</v>
      </c>
      <c r="Q14" s="1169"/>
      <c r="R14" s="854"/>
      <c r="S14" s="856"/>
      <c r="T14" s="856"/>
      <c r="U14" s="856"/>
      <c r="V14" s="856"/>
      <c r="W14" s="856"/>
      <c r="X14" s="856"/>
      <c r="Y14" s="856"/>
      <c r="Z14" s="856"/>
      <c r="AA14" s="856"/>
      <c r="AB14" s="856"/>
      <c r="AC14" s="856"/>
      <c r="AD14" s="856"/>
      <c r="AE14" s="856"/>
      <c r="AF14" s="856"/>
      <c r="AG14" s="856"/>
      <c r="AH14" s="856"/>
      <c r="AI14" s="856"/>
      <c r="AJ14" s="856"/>
      <c r="AK14" s="856"/>
      <c r="AL14" s="856"/>
      <c r="AM14" s="856"/>
      <c r="AN14" s="856"/>
      <c r="AO14" s="856"/>
      <c r="AP14" s="856"/>
      <c r="AQ14" s="856"/>
      <c r="AR14" s="856"/>
      <c r="AS14" s="856"/>
      <c r="AT14" s="856"/>
      <c r="AU14" s="856"/>
      <c r="AV14" s="856"/>
      <c r="AW14" s="856"/>
      <c r="AX14" s="856"/>
      <c r="AY14" s="856"/>
      <c r="AZ14" s="856"/>
      <c r="BA14" s="856"/>
      <c r="BB14" s="856"/>
      <c r="BC14" s="856"/>
      <c r="BD14" s="856"/>
      <c r="BE14" s="856"/>
      <c r="BF14" s="856"/>
      <c r="BG14" s="856"/>
      <c r="BH14" s="856"/>
      <c r="BI14" s="856"/>
      <c r="BJ14" s="856"/>
      <c r="BK14" s="856"/>
      <c r="BL14" s="856"/>
      <c r="BM14" s="856"/>
      <c r="BN14" s="856"/>
      <c r="BO14" s="856"/>
      <c r="BP14" s="856"/>
      <c r="BQ14" s="856"/>
      <c r="BR14" s="856"/>
      <c r="BS14" s="856"/>
      <c r="BT14" s="856"/>
      <c r="BU14" s="856"/>
      <c r="BV14" s="856"/>
      <c r="BW14" s="856"/>
      <c r="BX14" s="856"/>
      <c r="BY14" s="856"/>
      <c r="BZ14" s="856"/>
      <c r="CA14" s="856"/>
      <c r="CB14" s="856"/>
      <c r="CC14" s="856"/>
      <c r="CD14" s="856"/>
    </row>
    <row r="15" spans="1:82" x14ac:dyDescent="0.25">
      <c r="A15" s="854"/>
      <c r="B15" s="1169"/>
      <c r="C15" s="1169" t="str">
        <f>IF(ISBLANK(D15),"","Select an ARPA-H Category")</f>
        <v/>
      </c>
      <c r="D15" s="870"/>
      <c r="E15" s="871"/>
      <c r="F15" s="872">
        <v>0</v>
      </c>
      <c r="G15" s="873">
        <v>0</v>
      </c>
      <c r="H15" s="874">
        <f t="shared" si="0"/>
        <v>0</v>
      </c>
      <c r="I15" s="873">
        <v>0</v>
      </c>
      <c r="J15" s="874">
        <f t="shared" si="0"/>
        <v>0</v>
      </c>
      <c r="K15" s="873">
        <v>0</v>
      </c>
      <c r="L15" s="874">
        <f t="shared" si="0"/>
        <v>0</v>
      </c>
      <c r="M15" s="873">
        <v>0</v>
      </c>
      <c r="N15" s="874">
        <f t="shared" si="0"/>
        <v>0</v>
      </c>
      <c r="O15" s="873">
        <v>0</v>
      </c>
      <c r="P15" s="874">
        <f t="shared" si="0"/>
        <v>0</v>
      </c>
      <c r="Q15" s="1169"/>
      <c r="R15" s="854"/>
      <c r="S15" s="856"/>
      <c r="T15" s="856"/>
      <c r="U15" s="856"/>
      <c r="V15" s="856"/>
      <c r="W15" s="856"/>
      <c r="X15" s="856"/>
      <c r="Y15" s="856"/>
      <c r="Z15" s="856"/>
      <c r="AA15" s="856"/>
      <c r="AB15" s="856"/>
      <c r="AC15" s="856"/>
      <c r="AD15" s="856"/>
      <c r="AE15" s="856"/>
      <c r="AF15" s="856"/>
      <c r="AG15" s="856"/>
      <c r="AH15" s="856"/>
      <c r="AI15" s="856"/>
      <c r="AJ15" s="856"/>
      <c r="AK15" s="856"/>
      <c r="AL15" s="856"/>
      <c r="AM15" s="856"/>
      <c r="AN15" s="856"/>
      <c r="AO15" s="856"/>
      <c r="AP15" s="856"/>
      <c r="AQ15" s="856"/>
      <c r="AR15" s="856"/>
      <c r="AS15" s="856"/>
      <c r="AT15" s="856"/>
      <c r="AU15" s="856"/>
      <c r="AV15" s="856"/>
      <c r="AW15" s="856"/>
      <c r="AX15" s="856"/>
      <c r="AY15" s="856"/>
      <c r="AZ15" s="856"/>
      <c r="BA15" s="856"/>
      <c r="BB15" s="856"/>
      <c r="BC15" s="856"/>
      <c r="BD15" s="856"/>
      <c r="BE15" s="856"/>
      <c r="BF15" s="856"/>
      <c r="BG15" s="856"/>
      <c r="BH15" s="856"/>
      <c r="BI15" s="856"/>
      <c r="BJ15" s="856"/>
      <c r="BK15" s="856"/>
      <c r="BL15" s="856"/>
      <c r="BM15" s="856"/>
      <c r="BN15" s="856"/>
      <c r="BO15" s="856"/>
      <c r="BP15" s="856"/>
      <c r="BQ15" s="856"/>
      <c r="BR15" s="856"/>
      <c r="BS15" s="856"/>
      <c r="BT15" s="856"/>
      <c r="BU15" s="856"/>
      <c r="BV15" s="856"/>
      <c r="BW15" s="856"/>
      <c r="BX15" s="856"/>
      <c r="BY15" s="856"/>
      <c r="BZ15" s="856"/>
      <c r="CA15" s="856"/>
      <c r="CB15" s="856"/>
      <c r="CC15" s="856"/>
      <c r="CD15" s="856"/>
    </row>
    <row r="16" spans="1:82" x14ac:dyDescent="0.25">
      <c r="A16" s="854"/>
      <c r="B16" s="1169"/>
      <c r="C16" s="1169" t="str">
        <f t="shared" si="1"/>
        <v/>
      </c>
      <c r="D16" s="870"/>
      <c r="E16" s="871"/>
      <c r="F16" s="872">
        <v>0</v>
      </c>
      <c r="G16" s="873">
        <v>0</v>
      </c>
      <c r="H16" s="874">
        <f t="shared" si="0"/>
        <v>0</v>
      </c>
      <c r="I16" s="873">
        <v>0</v>
      </c>
      <c r="J16" s="874">
        <f t="shared" si="0"/>
        <v>0</v>
      </c>
      <c r="K16" s="873">
        <v>0</v>
      </c>
      <c r="L16" s="874">
        <f t="shared" si="0"/>
        <v>0</v>
      </c>
      <c r="M16" s="873">
        <v>0</v>
      </c>
      <c r="N16" s="874">
        <f t="shared" si="0"/>
        <v>0</v>
      </c>
      <c r="O16" s="873">
        <v>0</v>
      </c>
      <c r="P16" s="874">
        <f t="shared" si="0"/>
        <v>0</v>
      </c>
      <c r="Q16" s="1169"/>
      <c r="R16" s="854"/>
      <c r="S16" s="856"/>
      <c r="T16" s="856"/>
      <c r="U16" s="856"/>
      <c r="V16" s="856"/>
      <c r="W16" s="856"/>
      <c r="X16" s="856"/>
      <c r="Y16" s="856"/>
      <c r="Z16" s="856"/>
      <c r="AA16" s="856"/>
      <c r="AB16" s="856"/>
      <c r="AC16" s="856"/>
      <c r="AD16" s="856"/>
      <c r="AE16" s="856"/>
      <c r="AF16" s="856"/>
      <c r="AG16" s="856"/>
      <c r="AH16" s="856"/>
      <c r="AI16" s="856"/>
      <c r="AJ16" s="856"/>
      <c r="AK16" s="856"/>
      <c r="AL16" s="856"/>
      <c r="AM16" s="856"/>
      <c r="AN16" s="856"/>
      <c r="AO16" s="856"/>
      <c r="AP16" s="856"/>
      <c r="AQ16" s="856"/>
      <c r="AR16" s="856"/>
      <c r="AS16" s="856"/>
      <c r="AT16" s="856"/>
      <c r="AU16" s="856"/>
      <c r="AV16" s="856"/>
      <c r="AW16" s="856"/>
      <c r="AX16" s="856"/>
      <c r="AY16" s="856"/>
      <c r="AZ16" s="856"/>
      <c r="BA16" s="856"/>
      <c r="BB16" s="856"/>
      <c r="BC16" s="856"/>
      <c r="BD16" s="856"/>
      <c r="BE16" s="856"/>
      <c r="BF16" s="856"/>
      <c r="BG16" s="856"/>
      <c r="BH16" s="856"/>
      <c r="BI16" s="856"/>
      <c r="BJ16" s="856"/>
      <c r="BK16" s="856"/>
      <c r="BL16" s="856"/>
      <c r="BM16" s="856"/>
      <c r="BN16" s="856"/>
      <c r="BO16" s="856"/>
      <c r="BP16" s="856"/>
      <c r="BQ16" s="856"/>
      <c r="BR16" s="856"/>
      <c r="BS16" s="856"/>
      <c r="BT16" s="856"/>
      <c r="BU16" s="856"/>
      <c r="BV16" s="856"/>
      <c r="BW16" s="856"/>
      <c r="BX16" s="856"/>
      <c r="BY16" s="856"/>
      <c r="BZ16" s="856"/>
      <c r="CA16" s="856"/>
      <c r="CB16" s="856"/>
      <c r="CC16" s="856"/>
      <c r="CD16" s="856"/>
    </row>
    <row r="17" spans="1:82" x14ac:dyDescent="0.25">
      <c r="A17" s="854"/>
      <c r="B17" s="1169"/>
      <c r="C17" s="1169" t="str">
        <f t="shared" si="1"/>
        <v/>
      </c>
      <c r="D17" s="870"/>
      <c r="E17" s="871"/>
      <c r="F17" s="872">
        <v>0</v>
      </c>
      <c r="G17" s="873">
        <v>0</v>
      </c>
      <c r="H17" s="874">
        <f t="shared" si="0"/>
        <v>0</v>
      </c>
      <c r="I17" s="873">
        <v>0</v>
      </c>
      <c r="J17" s="874">
        <f t="shared" si="0"/>
        <v>0</v>
      </c>
      <c r="K17" s="873">
        <v>0</v>
      </c>
      <c r="L17" s="874">
        <f t="shared" si="0"/>
        <v>0</v>
      </c>
      <c r="M17" s="873">
        <v>0</v>
      </c>
      <c r="N17" s="874">
        <f t="shared" si="0"/>
        <v>0</v>
      </c>
      <c r="O17" s="873">
        <v>0</v>
      </c>
      <c r="P17" s="874">
        <f t="shared" si="0"/>
        <v>0</v>
      </c>
      <c r="Q17" s="1169"/>
      <c r="R17" s="854"/>
      <c r="S17" s="856"/>
      <c r="T17" s="856"/>
      <c r="U17" s="856"/>
      <c r="V17" s="856"/>
      <c r="W17" s="856"/>
      <c r="X17" s="856"/>
      <c r="Y17" s="856"/>
      <c r="Z17" s="856"/>
      <c r="AA17" s="856"/>
      <c r="AB17" s="856"/>
      <c r="AC17" s="856"/>
      <c r="AD17" s="856"/>
      <c r="AE17" s="856"/>
      <c r="AF17" s="856"/>
      <c r="AG17" s="856"/>
      <c r="AH17" s="856"/>
      <c r="AI17" s="856"/>
      <c r="AJ17" s="856"/>
      <c r="AK17" s="856"/>
      <c r="AL17" s="856"/>
      <c r="AM17" s="856"/>
      <c r="AN17" s="856"/>
      <c r="AO17" s="856"/>
      <c r="AP17" s="856"/>
      <c r="AQ17" s="856"/>
      <c r="AR17" s="856"/>
      <c r="AS17" s="856"/>
      <c r="AT17" s="856"/>
      <c r="AU17" s="856"/>
      <c r="AV17" s="856"/>
      <c r="AW17" s="856"/>
      <c r="AX17" s="856"/>
      <c r="AY17" s="856"/>
      <c r="AZ17" s="856"/>
      <c r="BA17" s="856"/>
      <c r="BB17" s="856"/>
      <c r="BC17" s="856"/>
      <c r="BD17" s="856"/>
      <c r="BE17" s="856"/>
      <c r="BF17" s="856"/>
      <c r="BG17" s="856"/>
      <c r="BH17" s="856"/>
      <c r="BI17" s="856"/>
      <c r="BJ17" s="856"/>
      <c r="BK17" s="856"/>
      <c r="BL17" s="856"/>
      <c r="BM17" s="856"/>
      <c r="BN17" s="856"/>
      <c r="BO17" s="856"/>
      <c r="BP17" s="856"/>
      <c r="BQ17" s="856"/>
      <c r="BR17" s="856"/>
      <c r="BS17" s="856"/>
      <c r="BT17" s="856"/>
      <c r="BU17" s="856"/>
      <c r="BV17" s="856"/>
      <c r="BW17" s="856"/>
      <c r="BX17" s="856"/>
      <c r="BY17" s="856"/>
      <c r="BZ17" s="856"/>
      <c r="CA17" s="856"/>
      <c r="CB17" s="856"/>
      <c r="CC17" s="856"/>
      <c r="CD17" s="856"/>
    </row>
    <row r="18" spans="1:82" x14ac:dyDescent="0.25">
      <c r="A18" s="854"/>
      <c r="B18" s="1169"/>
      <c r="C18" s="1169" t="str">
        <f t="shared" si="1"/>
        <v/>
      </c>
      <c r="D18" s="870"/>
      <c r="E18" s="871"/>
      <c r="F18" s="872">
        <v>0</v>
      </c>
      <c r="G18" s="873">
        <v>0</v>
      </c>
      <c r="H18" s="874">
        <f t="shared" si="0"/>
        <v>0</v>
      </c>
      <c r="I18" s="873">
        <v>0</v>
      </c>
      <c r="J18" s="874">
        <f t="shared" si="0"/>
        <v>0</v>
      </c>
      <c r="K18" s="873">
        <v>0</v>
      </c>
      <c r="L18" s="874">
        <f t="shared" si="0"/>
        <v>0</v>
      </c>
      <c r="M18" s="873">
        <v>0</v>
      </c>
      <c r="N18" s="874">
        <f t="shared" si="0"/>
        <v>0</v>
      </c>
      <c r="O18" s="873">
        <v>0</v>
      </c>
      <c r="P18" s="874">
        <f t="shared" si="0"/>
        <v>0</v>
      </c>
      <c r="Q18" s="1169"/>
      <c r="R18" s="854"/>
      <c r="S18" s="856"/>
      <c r="T18" s="856"/>
      <c r="U18" s="856"/>
      <c r="V18" s="856"/>
      <c r="W18" s="856"/>
      <c r="X18" s="856"/>
      <c r="Y18" s="856"/>
      <c r="Z18" s="856"/>
      <c r="AA18" s="856"/>
      <c r="AB18" s="856"/>
      <c r="AC18" s="856"/>
      <c r="AD18" s="856"/>
      <c r="AE18" s="856"/>
      <c r="AF18" s="856"/>
      <c r="AG18" s="856"/>
      <c r="AH18" s="856"/>
      <c r="AI18" s="856"/>
      <c r="AJ18" s="856"/>
      <c r="AK18" s="856"/>
      <c r="AL18" s="856"/>
      <c r="AM18" s="856"/>
      <c r="AN18" s="856"/>
      <c r="AO18" s="856"/>
      <c r="AP18" s="856"/>
      <c r="AQ18" s="856"/>
      <c r="AR18" s="856"/>
      <c r="AS18" s="856"/>
      <c r="AT18" s="856"/>
      <c r="AU18" s="856"/>
      <c r="AV18" s="856"/>
      <c r="AW18" s="856"/>
      <c r="AX18" s="856"/>
      <c r="AY18" s="856"/>
      <c r="AZ18" s="856"/>
      <c r="BA18" s="856"/>
      <c r="BB18" s="856"/>
      <c r="BC18" s="856"/>
      <c r="BD18" s="856"/>
      <c r="BE18" s="856"/>
      <c r="BF18" s="856"/>
      <c r="BG18" s="856"/>
      <c r="BH18" s="856"/>
      <c r="BI18" s="856"/>
      <c r="BJ18" s="856"/>
      <c r="BK18" s="856"/>
      <c r="BL18" s="856"/>
      <c r="BM18" s="856"/>
      <c r="BN18" s="856"/>
      <c r="BO18" s="856"/>
      <c r="BP18" s="856"/>
      <c r="BQ18" s="856"/>
      <c r="BR18" s="856"/>
      <c r="BS18" s="856"/>
      <c r="BT18" s="856"/>
      <c r="BU18" s="856"/>
      <c r="BV18" s="856"/>
      <c r="BW18" s="856"/>
      <c r="BX18" s="856"/>
      <c r="BY18" s="856"/>
      <c r="BZ18" s="856"/>
      <c r="CA18" s="856"/>
      <c r="CB18" s="856"/>
      <c r="CC18" s="856"/>
      <c r="CD18" s="856"/>
    </row>
    <row r="19" spans="1:82" x14ac:dyDescent="0.25">
      <c r="A19" s="854"/>
      <c r="B19" s="1169"/>
      <c r="C19" s="1169" t="str">
        <f t="shared" si="1"/>
        <v/>
      </c>
      <c r="D19" s="870"/>
      <c r="E19" s="871"/>
      <c r="F19" s="872">
        <v>0</v>
      </c>
      <c r="G19" s="873">
        <v>0</v>
      </c>
      <c r="H19" s="874">
        <f t="shared" si="0"/>
        <v>0</v>
      </c>
      <c r="I19" s="873">
        <v>0</v>
      </c>
      <c r="J19" s="874">
        <f t="shared" si="0"/>
        <v>0</v>
      </c>
      <c r="K19" s="873">
        <v>0</v>
      </c>
      <c r="L19" s="874">
        <f t="shared" si="0"/>
        <v>0</v>
      </c>
      <c r="M19" s="873">
        <v>0</v>
      </c>
      <c r="N19" s="874">
        <f t="shared" si="0"/>
        <v>0</v>
      </c>
      <c r="O19" s="873">
        <v>0</v>
      </c>
      <c r="P19" s="874">
        <f t="shared" si="0"/>
        <v>0</v>
      </c>
      <c r="Q19" s="1169"/>
      <c r="R19" s="854"/>
      <c r="S19" s="856"/>
      <c r="T19" s="856"/>
      <c r="U19" s="856"/>
      <c r="V19" s="856"/>
      <c r="W19" s="856"/>
      <c r="X19" s="856"/>
      <c r="Y19" s="856"/>
      <c r="Z19" s="856"/>
      <c r="AA19" s="856"/>
      <c r="AB19" s="856"/>
      <c r="AC19" s="856"/>
      <c r="AD19" s="856"/>
      <c r="AE19" s="856"/>
      <c r="AF19" s="856"/>
      <c r="AG19" s="856"/>
      <c r="AH19" s="856"/>
      <c r="AI19" s="856"/>
      <c r="AJ19" s="856"/>
      <c r="AK19" s="856"/>
      <c r="AL19" s="856"/>
      <c r="AM19" s="856"/>
      <c r="AN19" s="856"/>
      <c r="AO19" s="856"/>
      <c r="AP19" s="856"/>
      <c r="AQ19" s="856"/>
      <c r="AR19" s="856"/>
      <c r="AS19" s="856"/>
      <c r="AT19" s="856"/>
      <c r="AU19" s="856"/>
      <c r="AV19" s="856"/>
      <c r="AW19" s="856"/>
      <c r="AX19" s="856"/>
      <c r="AY19" s="856"/>
      <c r="AZ19" s="856"/>
      <c r="BA19" s="856"/>
      <c r="BB19" s="856"/>
      <c r="BC19" s="856"/>
      <c r="BD19" s="856"/>
      <c r="BE19" s="856"/>
      <c r="BF19" s="856"/>
      <c r="BG19" s="856"/>
      <c r="BH19" s="856"/>
      <c r="BI19" s="856"/>
      <c r="BJ19" s="856"/>
      <c r="BK19" s="856"/>
      <c r="BL19" s="856"/>
      <c r="BM19" s="856"/>
      <c r="BN19" s="856"/>
      <c r="BO19" s="856"/>
      <c r="BP19" s="856"/>
      <c r="BQ19" s="856"/>
      <c r="BR19" s="856"/>
      <c r="BS19" s="856"/>
      <c r="BT19" s="856"/>
      <c r="BU19" s="856"/>
      <c r="BV19" s="856"/>
      <c r="BW19" s="856"/>
      <c r="BX19" s="856"/>
      <c r="BY19" s="856"/>
      <c r="BZ19" s="856"/>
      <c r="CA19" s="856"/>
      <c r="CB19" s="856"/>
      <c r="CC19" s="856"/>
      <c r="CD19" s="856"/>
    </row>
    <row r="20" spans="1:82" x14ac:dyDescent="0.25">
      <c r="A20" s="854"/>
      <c r="B20" s="1169"/>
      <c r="C20" s="1169" t="str">
        <f t="shared" si="1"/>
        <v/>
      </c>
      <c r="D20" s="870"/>
      <c r="E20" s="871"/>
      <c r="F20" s="872">
        <v>0</v>
      </c>
      <c r="G20" s="873">
        <v>0</v>
      </c>
      <c r="H20" s="874">
        <f t="shared" si="0"/>
        <v>0</v>
      </c>
      <c r="I20" s="873">
        <v>0</v>
      </c>
      <c r="J20" s="874">
        <f t="shared" si="0"/>
        <v>0</v>
      </c>
      <c r="K20" s="873">
        <v>0</v>
      </c>
      <c r="L20" s="874">
        <f t="shared" si="0"/>
        <v>0</v>
      </c>
      <c r="M20" s="873">
        <v>0</v>
      </c>
      <c r="N20" s="874">
        <f t="shared" si="0"/>
        <v>0</v>
      </c>
      <c r="O20" s="873">
        <v>0</v>
      </c>
      <c r="P20" s="874">
        <f t="shared" si="0"/>
        <v>0</v>
      </c>
      <c r="Q20" s="1169"/>
      <c r="R20" s="854"/>
      <c r="S20" s="856"/>
      <c r="T20" s="856"/>
      <c r="U20" s="856"/>
      <c r="V20" s="856"/>
      <c r="W20" s="856"/>
      <c r="X20" s="856"/>
      <c r="Y20" s="856"/>
      <c r="Z20" s="856"/>
      <c r="AA20" s="856"/>
      <c r="AB20" s="856"/>
      <c r="AC20" s="856"/>
      <c r="AD20" s="856"/>
      <c r="AE20" s="856"/>
      <c r="AF20" s="856"/>
      <c r="AG20" s="856"/>
      <c r="AH20" s="856"/>
      <c r="AI20" s="856"/>
      <c r="AJ20" s="856"/>
      <c r="AK20" s="856"/>
      <c r="AL20" s="856"/>
      <c r="AM20" s="856"/>
      <c r="AN20" s="856"/>
      <c r="AO20" s="856"/>
      <c r="AP20" s="856"/>
      <c r="AQ20" s="856"/>
      <c r="AR20" s="856"/>
      <c r="AS20" s="856"/>
      <c r="AT20" s="856"/>
      <c r="AU20" s="856"/>
      <c r="AV20" s="856"/>
      <c r="AW20" s="856"/>
      <c r="AX20" s="856"/>
      <c r="AY20" s="856"/>
      <c r="AZ20" s="856"/>
      <c r="BA20" s="856"/>
      <c r="BB20" s="856"/>
      <c r="BC20" s="856"/>
      <c r="BD20" s="856"/>
      <c r="BE20" s="856"/>
      <c r="BF20" s="856"/>
      <c r="BG20" s="856"/>
      <c r="BH20" s="856"/>
      <c r="BI20" s="856"/>
      <c r="BJ20" s="856"/>
      <c r="BK20" s="856"/>
      <c r="BL20" s="856"/>
      <c r="BM20" s="856"/>
      <c r="BN20" s="856"/>
      <c r="BO20" s="856"/>
      <c r="BP20" s="856"/>
      <c r="BQ20" s="856"/>
      <c r="BR20" s="856"/>
      <c r="BS20" s="856"/>
      <c r="BT20" s="856"/>
      <c r="BU20" s="856"/>
      <c r="BV20" s="856"/>
      <c r="BW20" s="856"/>
      <c r="BX20" s="856"/>
      <c r="BY20" s="856"/>
      <c r="BZ20" s="856"/>
      <c r="CA20" s="856"/>
      <c r="CB20" s="856"/>
      <c r="CC20" s="856"/>
      <c r="CD20" s="856"/>
    </row>
    <row r="21" spans="1:82" x14ac:dyDescent="0.25">
      <c r="A21" s="854"/>
      <c r="B21" s="1169"/>
      <c r="C21" s="1169" t="str">
        <f t="shared" si="1"/>
        <v/>
      </c>
      <c r="D21" s="870"/>
      <c r="E21" s="871"/>
      <c r="F21" s="872">
        <v>0</v>
      </c>
      <c r="G21" s="873">
        <v>0</v>
      </c>
      <c r="H21" s="874">
        <f t="shared" si="0"/>
        <v>0</v>
      </c>
      <c r="I21" s="873">
        <v>0</v>
      </c>
      <c r="J21" s="874">
        <f t="shared" si="0"/>
        <v>0</v>
      </c>
      <c r="K21" s="873">
        <v>0</v>
      </c>
      <c r="L21" s="874">
        <f t="shared" si="0"/>
        <v>0</v>
      </c>
      <c r="M21" s="873">
        <v>0</v>
      </c>
      <c r="N21" s="874">
        <f t="shared" si="0"/>
        <v>0</v>
      </c>
      <c r="O21" s="873">
        <v>0</v>
      </c>
      <c r="P21" s="874">
        <f t="shared" si="0"/>
        <v>0</v>
      </c>
      <c r="Q21" s="1169"/>
      <c r="R21" s="854"/>
      <c r="S21" s="856"/>
      <c r="T21" s="856"/>
      <c r="U21" s="856"/>
      <c r="V21" s="856"/>
      <c r="W21" s="856"/>
      <c r="X21" s="856"/>
      <c r="Y21" s="856"/>
      <c r="Z21" s="856"/>
      <c r="AA21" s="856"/>
      <c r="AB21" s="856"/>
      <c r="AC21" s="856"/>
      <c r="AD21" s="856"/>
      <c r="AE21" s="856"/>
      <c r="AF21" s="856"/>
      <c r="AG21" s="856"/>
      <c r="AH21" s="856"/>
      <c r="AI21" s="856"/>
      <c r="AJ21" s="856"/>
      <c r="AK21" s="856"/>
      <c r="AL21" s="856"/>
      <c r="AM21" s="856"/>
      <c r="AN21" s="856"/>
      <c r="AO21" s="856"/>
      <c r="AP21" s="856"/>
      <c r="AQ21" s="856"/>
      <c r="AR21" s="856"/>
      <c r="AS21" s="856"/>
      <c r="AT21" s="856"/>
      <c r="AU21" s="856"/>
      <c r="AV21" s="856"/>
      <c r="AW21" s="856"/>
      <c r="AX21" s="856"/>
      <c r="AY21" s="856"/>
      <c r="AZ21" s="856"/>
      <c r="BA21" s="856"/>
      <c r="BB21" s="856"/>
      <c r="BC21" s="856"/>
      <c r="BD21" s="856"/>
      <c r="BE21" s="856"/>
      <c r="BF21" s="856"/>
      <c r="BG21" s="856"/>
      <c r="BH21" s="856"/>
      <c r="BI21" s="856"/>
      <c r="BJ21" s="856"/>
      <c r="BK21" s="856"/>
      <c r="BL21" s="856"/>
      <c r="BM21" s="856"/>
      <c r="BN21" s="856"/>
      <c r="BO21" s="856"/>
      <c r="BP21" s="856"/>
      <c r="BQ21" s="856"/>
      <c r="BR21" s="856"/>
      <c r="BS21" s="856"/>
      <c r="BT21" s="856"/>
      <c r="BU21" s="856"/>
      <c r="BV21" s="856"/>
      <c r="BW21" s="856"/>
      <c r="BX21" s="856"/>
      <c r="BY21" s="856"/>
      <c r="BZ21" s="856"/>
      <c r="CA21" s="856"/>
      <c r="CB21" s="856"/>
      <c r="CC21" s="856"/>
      <c r="CD21" s="856"/>
    </row>
    <row r="22" spans="1:82" x14ac:dyDescent="0.25">
      <c r="A22" s="854"/>
      <c r="B22" s="1169"/>
      <c r="C22" s="1169" t="str">
        <f t="shared" si="1"/>
        <v/>
      </c>
      <c r="D22" s="870"/>
      <c r="E22" s="871"/>
      <c r="F22" s="872">
        <v>0</v>
      </c>
      <c r="G22" s="873">
        <v>0</v>
      </c>
      <c r="H22" s="874">
        <f t="shared" si="0"/>
        <v>0</v>
      </c>
      <c r="I22" s="873">
        <v>0</v>
      </c>
      <c r="J22" s="874">
        <f t="shared" si="0"/>
        <v>0</v>
      </c>
      <c r="K22" s="873">
        <v>0</v>
      </c>
      <c r="L22" s="874">
        <f t="shared" si="0"/>
        <v>0</v>
      </c>
      <c r="M22" s="873">
        <v>0</v>
      </c>
      <c r="N22" s="874">
        <f t="shared" si="0"/>
        <v>0</v>
      </c>
      <c r="O22" s="873">
        <v>0</v>
      </c>
      <c r="P22" s="874">
        <f t="shared" si="0"/>
        <v>0</v>
      </c>
      <c r="Q22" s="1169"/>
      <c r="R22" s="854"/>
      <c r="S22" s="856"/>
      <c r="T22" s="856"/>
      <c r="U22" s="856"/>
      <c r="V22" s="856"/>
      <c r="W22" s="856"/>
      <c r="X22" s="856"/>
      <c r="Y22" s="856"/>
      <c r="Z22" s="856"/>
      <c r="AA22" s="856"/>
      <c r="AB22" s="856"/>
      <c r="AC22" s="856"/>
      <c r="AD22" s="856"/>
      <c r="AE22" s="856"/>
      <c r="AF22" s="856"/>
      <c r="AG22" s="856"/>
      <c r="AH22" s="856"/>
      <c r="AI22" s="856"/>
      <c r="AJ22" s="856"/>
      <c r="AK22" s="856"/>
      <c r="AL22" s="856"/>
      <c r="AM22" s="856"/>
      <c r="AN22" s="856"/>
      <c r="AO22" s="856"/>
      <c r="AP22" s="856"/>
      <c r="AQ22" s="856"/>
      <c r="AR22" s="856"/>
      <c r="AS22" s="856"/>
      <c r="AT22" s="856"/>
      <c r="AU22" s="856"/>
      <c r="AV22" s="856"/>
      <c r="AW22" s="856"/>
      <c r="AX22" s="856"/>
      <c r="AY22" s="856"/>
      <c r="AZ22" s="856"/>
      <c r="BA22" s="856"/>
      <c r="BB22" s="856"/>
      <c r="BC22" s="856"/>
      <c r="BD22" s="856"/>
      <c r="BE22" s="856"/>
      <c r="BF22" s="856"/>
      <c r="BG22" s="856"/>
      <c r="BH22" s="856"/>
      <c r="BI22" s="856"/>
      <c r="BJ22" s="856"/>
      <c r="BK22" s="856"/>
      <c r="BL22" s="856"/>
      <c r="BM22" s="856"/>
      <c r="BN22" s="856"/>
      <c r="BO22" s="856"/>
      <c r="BP22" s="856"/>
      <c r="BQ22" s="856"/>
      <c r="BR22" s="856"/>
      <c r="BS22" s="856"/>
      <c r="BT22" s="856"/>
      <c r="BU22" s="856"/>
      <c r="BV22" s="856"/>
      <c r="BW22" s="856"/>
      <c r="BX22" s="856"/>
      <c r="BY22" s="856"/>
      <c r="BZ22" s="856"/>
      <c r="CA22" s="856"/>
      <c r="CB22" s="856"/>
      <c r="CC22" s="856"/>
      <c r="CD22" s="856"/>
    </row>
    <row r="23" spans="1:82" x14ac:dyDescent="0.25">
      <c r="A23" s="854"/>
      <c r="B23" s="1169"/>
      <c r="C23" s="1169" t="str">
        <f t="shared" si="1"/>
        <v/>
      </c>
      <c r="D23" s="870"/>
      <c r="E23" s="871"/>
      <c r="F23" s="872">
        <v>0</v>
      </c>
      <c r="G23" s="873">
        <v>0</v>
      </c>
      <c r="H23" s="874">
        <f t="shared" si="0"/>
        <v>0</v>
      </c>
      <c r="I23" s="873">
        <v>0</v>
      </c>
      <c r="J23" s="874">
        <f t="shared" si="0"/>
        <v>0</v>
      </c>
      <c r="K23" s="873">
        <v>0</v>
      </c>
      <c r="L23" s="874">
        <f t="shared" si="0"/>
        <v>0</v>
      </c>
      <c r="M23" s="873">
        <v>0</v>
      </c>
      <c r="N23" s="874">
        <f t="shared" si="0"/>
        <v>0</v>
      </c>
      <c r="O23" s="873">
        <v>0</v>
      </c>
      <c r="P23" s="874">
        <f t="shared" si="0"/>
        <v>0</v>
      </c>
      <c r="Q23" s="1169"/>
      <c r="R23" s="854"/>
      <c r="S23" s="856"/>
      <c r="T23" s="856"/>
      <c r="U23" s="856"/>
      <c r="V23" s="856"/>
      <c r="W23" s="856"/>
      <c r="X23" s="856"/>
      <c r="Y23" s="856"/>
      <c r="Z23" s="856"/>
      <c r="AA23" s="856"/>
      <c r="AB23" s="856"/>
      <c r="AC23" s="856"/>
      <c r="AD23" s="856"/>
      <c r="AE23" s="856"/>
      <c r="AF23" s="856"/>
      <c r="AG23" s="856"/>
      <c r="AH23" s="856"/>
      <c r="AI23" s="856"/>
      <c r="AJ23" s="856"/>
      <c r="AK23" s="856"/>
      <c r="AL23" s="856"/>
      <c r="AM23" s="856"/>
      <c r="AN23" s="856"/>
      <c r="AO23" s="856"/>
      <c r="AP23" s="856"/>
      <c r="AQ23" s="856"/>
      <c r="AR23" s="856"/>
      <c r="AS23" s="856"/>
      <c r="AT23" s="856"/>
      <c r="AU23" s="856"/>
      <c r="AV23" s="856"/>
      <c r="AW23" s="856"/>
      <c r="AX23" s="856"/>
      <c r="AY23" s="856"/>
      <c r="AZ23" s="856"/>
      <c r="BA23" s="856"/>
      <c r="BB23" s="856"/>
      <c r="BC23" s="856"/>
      <c r="BD23" s="856"/>
      <c r="BE23" s="856"/>
      <c r="BF23" s="856"/>
      <c r="BG23" s="856"/>
      <c r="BH23" s="856"/>
      <c r="BI23" s="856"/>
      <c r="BJ23" s="856"/>
      <c r="BK23" s="856"/>
      <c r="BL23" s="856"/>
      <c r="BM23" s="856"/>
      <c r="BN23" s="856"/>
      <c r="BO23" s="856"/>
      <c r="BP23" s="856"/>
      <c r="BQ23" s="856"/>
      <c r="BR23" s="856"/>
      <c r="BS23" s="856"/>
      <c r="BT23" s="856"/>
      <c r="BU23" s="856"/>
      <c r="BV23" s="856"/>
      <c r="BW23" s="856"/>
      <c r="BX23" s="856"/>
      <c r="BY23" s="856"/>
      <c r="BZ23" s="856"/>
      <c r="CA23" s="856"/>
      <c r="CB23" s="856"/>
      <c r="CC23" s="856"/>
      <c r="CD23" s="856"/>
    </row>
    <row r="24" spans="1:82" x14ac:dyDescent="0.25">
      <c r="A24" s="854"/>
      <c r="B24" s="1169"/>
      <c r="C24" s="1169" t="str">
        <f t="shared" si="1"/>
        <v/>
      </c>
      <c r="D24" s="870"/>
      <c r="E24" s="871"/>
      <c r="F24" s="872">
        <v>0</v>
      </c>
      <c r="G24" s="873">
        <v>0</v>
      </c>
      <c r="H24" s="874">
        <f t="shared" si="0"/>
        <v>0</v>
      </c>
      <c r="I24" s="873">
        <v>0</v>
      </c>
      <c r="J24" s="874">
        <f t="shared" si="0"/>
        <v>0</v>
      </c>
      <c r="K24" s="873">
        <v>0</v>
      </c>
      <c r="L24" s="874">
        <f t="shared" si="0"/>
        <v>0</v>
      </c>
      <c r="M24" s="873">
        <v>0</v>
      </c>
      <c r="N24" s="874">
        <f t="shared" si="0"/>
        <v>0</v>
      </c>
      <c r="O24" s="873">
        <v>0</v>
      </c>
      <c r="P24" s="874">
        <f t="shared" si="0"/>
        <v>0</v>
      </c>
      <c r="Q24" s="1169"/>
      <c r="R24" s="854"/>
      <c r="S24" s="856"/>
      <c r="T24" s="856"/>
      <c r="U24" s="856"/>
      <c r="V24" s="856"/>
      <c r="W24" s="856"/>
      <c r="X24" s="856"/>
      <c r="Y24" s="856"/>
      <c r="Z24" s="856"/>
      <c r="AA24" s="856"/>
      <c r="AB24" s="856"/>
      <c r="AC24" s="856"/>
      <c r="AD24" s="856"/>
      <c r="AE24" s="856"/>
      <c r="AF24" s="856"/>
      <c r="AG24" s="856"/>
      <c r="AH24" s="856"/>
      <c r="AI24" s="856"/>
      <c r="AJ24" s="856"/>
      <c r="AK24" s="856"/>
      <c r="AL24" s="856"/>
      <c r="AM24" s="856"/>
      <c r="AN24" s="856"/>
      <c r="AO24" s="856"/>
      <c r="AP24" s="856"/>
      <c r="AQ24" s="856"/>
      <c r="AR24" s="856"/>
      <c r="AS24" s="856"/>
      <c r="AT24" s="856"/>
      <c r="AU24" s="856"/>
      <c r="AV24" s="856"/>
      <c r="AW24" s="856"/>
      <c r="AX24" s="856"/>
      <c r="AY24" s="856"/>
      <c r="AZ24" s="856"/>
      <c r="BA24" s="856"/>
      <c r="BB24" s="856"/>
      <c r="BC24" s="856"/>
      <c r="BD24" s="856"/>
      <c r="BE24" s="856"/>
      <c r="BF24" s="856"/>
      <c r="BG24" s="856"/>
      <c r="BH24" s="856"/>
      <c r="BI24" s="856"/>
      <c r="BJ24" s="856"/>
      <c r="BK24" s="856"/>
      <c r="BL24" s="856"/>
      <c r="BM24" s="856"/>
      <c r="BN24" s="856"/>
      <c r="BO24" s="856"/>
      <c r="BP24" s="856"/>
      <c r="BQ24" s="856"/>
      <c r="BR24" s="856"/>
      <c r="BS24" s="856"/>
      <c r="BT24" s="856"/>
      <c r="BU24" s="856"/>
      <c r="BV24" s="856"/>
      <c r="BW24" s="856"/>
      <c r="BX24" s="856"/>
      <c r="BY24" s="856"/>
      <c r="BZ24" s="856"/>
      <c r="CA24" s="856"/>
      <c r="CB24" s="856"/>
      <c r="CC24" s="856"/>
      <c r="CD24" s="856"/>
    </row>
    <row r="25" spans="1:82" x14ac:dyDescent="0.25">
      <c r="A25" s="854"/>
      <c r="B25" s="1169"/>
      <c r="C25" s="1169" t="str">
        <f t="shared" si="1"/>
        <v/>
      </c>
      <c r="D25" s="870"/>
      <c r="E25" s="871"/>
      <c r="F25" s="872">
        <v>0</v>
      </c>
      <c r="G25" s="873">
        <v>0</v>
      </c>
      <c r="H25" s="874">
        <f t="shared" si="0"/>
        <v>0</v>
      </c>
      <c r="I25" s="873">
        <v>0</v>
      </c>
      <c r="J25" s="874">
        <f t="shared" si="0"/>
        <v>0</v>
      </c>
      <c r="K25" s="873">
        <v>0</v>
      </c>
      <c r="L25" s="874">
        <f t="shared" si="0"/>
        <v>0</v>
      </c>
      <c r="M25" s="873">
        <v>0</v>
      </c>
      <c r="N25" s="874">
        <f t="shared" si="0"/>
        <v>0</v>
      </c>
      <c r="O25" s="873">
        <v>0</v>
      </c>
      <c r="P25" s="874">
        <f t="shared" si="0"/>
        <v>0</v>
      </c>
      <c r="Q25" s="1169"/>
      <c r="R25" s="854"/>
      <c r="S25" s="856"/>
      <c r="T25" s="856"/>
      <c r="U25" s="856"/>
      <c r="V25" s="856"/>
      <c r="W25" s="856"/>
      <c r="X25" s="856"/>
      <c r="Y25" s="856"/>
      <c r="Z25" s="856"/>
      <c r="AA25" s="856"/>
      <c r="AB25" s="856"/>
      <c r="AC25" s="856"/>
      <c r="AD25" s="856"/>
      <c r="AE25" s="856"/>
      <c r="AF25" s="856"/>
      <c r="AG25" s="856"/>
      <c r="AH25" s="856"/>
      <c r="AI25" s="856"/>
      <c r="AJ25" s="856"/>
      <c r="AK25" s="856"/>
      <c r="AL25" s="856"/>
      <c r="AM25" s="856"/>
      <c r="AN25" s="856"/>
      <c r="AO25" s="856"/>
      <c r="AP25" s="856"/>
      <c r="AQ25" s="856"/>
      <c r="AR25" s="856"/>
      <c r="AS25" s="856"/>
      <c r="AT25" s="856"/>
      <c r="AU25" s="856"/>
      <c r="AV25" s="856"/>
      <c r="AW25" s="856"/>
      <c r="AX25" s="856"/>
      <c r="AY25" s="856"/>
      <c r="AZ25" s="856"/>
      <c r="BA25" s="856"/>
      <c r="BB25" s="856"/>
      <c r="BC25" s="856"/>
      <c r="BD25" s="856"/>
      <c r="BE25" s="856"/>
      <c r="BF25" s="856"/>
      <c r="BG25" s="856"/>
      <c r="BH25" s="856"/>
      <c r="BI25" s="856"/>
      <c r="BJ25" s="856"/>
      <c r="BK25" s="856"/>
      <c r="BL25" s="856"/>
      <c r="BM25" s="856"/>
      <c r="BN25" s="856"/>
      <c r="BO25" s="856"/>
      <c r="BP25" s="856"/>
      <c r="BQ25" s="856"/>
      <c r="BR25" s="856"/>
      <c r="BS25" s="856"/>
      <c r="BT25" s="856"/>
      <c r="BU25" s="856"/>
      <c r="BV25" s="856"/>
      <c r="BW25" s="856"/>
      <c r="BX25" s="856"/>
      <c r="BY25" s="856"/>
      <c r="BZ25" s="856"/>
      <c r="CA25" s="856"/>
      <c r="CB25" s="856"/>
      <c r="CC25" s="856"/>
      <c r="CD25" s="856"/>
    </row>
    <row r="26" spans="1:82" x14ac:dyDescent="0.25">
      <c r="A26" s="854"/>
      <c r="B26" s="1169"/>
      <c r="C26" s="1169" t="str">
        <f t="shared" si="1"/>
        <v/>
      </c>
      <c r="D26" s="870"/>
      <c r="E26" s="871"/>
      <c r="F26" s="872">
        <v>0</v>
      </c>
      <c r="G26" s="873">
        <v>0</v>
      </c>
      <c r="H26" s="874">
        <f t="shared" si="0"/>
        <v>0</v>
      </c>
      <c r="I26" s="873">
        <v>0</v>
      </c>
      <c r="J26" s="874">
        <f t="shared" si="0"/>
        <v>0</v>
      </c>
      <c r="K26" s="873">
        <v>0</v>
      </c>
      <c r="L26" s="874">
        <f t="shared" si="0"/>
        <v>0</v>
      </c>
      <c r="M26" s="873">
        <v>0</v>
      </c>
      <c r="N26" s="874">
        <f t="shared" si="0"/>
        <v>0</v>
      </c>
      <c r="O26" s="873">
        <v>0</v>
      </c>
      <c r="P26" s="874">
        <f t="shared" si="0"/>
        <v>0</v>
      </c>
      <c r="Q26" s="1169"/>
      <c r="R26" s="854"/>
      <c r="S26" s="856"/>
      <c r="T26" s="856"/>
      <c r="U26" s="856"/>
      <c r="V26" s="856"/>
      <c r="W26" s="856"/>
      <c r="X26" s="856"/>
      <c r="Y26" s="856"/>
      <c r="Z26" s="856"/>
      <c r="AA26" s="856"/>
      <c r="AB26" s="856"/>
      <c r="AC26" s="856"/>
      <c r="AD26" s="856"/>
      <c r="AE26" s="856"/>
      <c r="AF26" s="856"/>
      <c r="AG26" s="856"/>
      <c r="AH26" s="856"/>
      <c r="AI26" s="856"/>
      <c r="AJ26" s="856"/>
      <c r="AK26" s="856"/>
      <c r="AL26" s="856"/>
      <c r="AM26" s="856"/>
      <c r="AN26" s="856"/>
      <c r="AO26" s="856"/>
      <c r="AP26" s="856"/>
      <c r="AQ26" s="856"/>
      <c r="AR26" s="856"/>
      <c r="AS26" s="856"/>
      <c r="AT26" s="856"/>
      <c r="AU26" s="856"/>
      <c r="AV26" s="856"/>
      <c r="AW26" s="856"/>
      <c r="AX26" s="856"/>
      <c r="AY26" s="856"/>
      <c r="AZ26" s="856"/>
      <c r="BA26" s="856"/>
      <c r="BB26" s="856"/>
      <c r="BC26" s="856"/>
      <c r="BD26" s="856"/>
      <c r="BE26" s="856"/>
      <c r="BF26" s="856"/>
      <c r="BG26" s="856"/>
      <c r="BH26" s="856"/>
      <c r="BI26" s="856"/>
      <c r="BJ26" s="856"/>
      <c r="BK26" s="856"/>
      <c r="BL26" s="856"/>
      <c r="BM26" s="856"/>
      <c r="BN26" s="856"/>
      <c r="BO26" s="856"/>
      <c r="BP26" s="856"/>
      <c r="BQ26" s="856"/>
      <c r="BR26" s="856"/>
      <c r="BS26" s="856"/>
      <c r="BT26" s="856"/>
      <c r="BU26" s="856"/>
      <c r="BV26" s="856"/>
      <c r="BW26" s="856"/>
      <c r="BX26" s="856"/>
      <c r="BY26" s="856"/>
      <c r="BZ26" s="856"/>
      <c r="CA26" s="856"/>
      <c r="CB26" s="856"/>
      <c r="CC26" s="856"/>
      <c r="CD26" s="856"/>
    </row>
    <row r="27" spans="1:82" x14ac:dyDescent="0.25">
      <c r="A27" s="854"/>
      <c r="B27" s="1169"/>
      <c r="C27" s="1169" t="str">
        <f t="shared" si="1"/>
        <v/>
      </c>
      <c r="D27" s="870"/>
      <c r="E27" s="871"/>
      <c r="F27" s="872">
        <v>0</v>
      </c>
      <c r="G27" s="873">
        <v>0</v>
      </c>
      <c r="H27" s="874">
        <f t="shared" si="0"/>
        <v>0</v>
      </c>
      <c r="I27" s="873">
        <v>0</v>
      </c>
      <c r="J27" s="874">
        <f t="shared" si="0"/>
        <v>0</v>
      </c>
      <c r="K27" s="873">
        <v>0</v>
      </c>
      <c r="L27" s="874">
        <f t="shared" si="0"/>
        <v>0</v>
      </c>
      <c r="M27" s="873">
        <v>0</v>
      </c>
      <c r="N27" s="874">
        <f t="shared" si="0"/>
        <v>0</v>
      </c>
      <c r="O27" s="873">
        <v>0</v>
      </c>
      <c r="P27" s="874">
        <f t="shared" si="0"/>
        <v>0</v>
      </c>
      <c r="Q27" s="1169"/>
      <c r="R27" s="854"/>
      <c r="S27" s="856"/>
      <c r="T27" s="856"/>
      <c r="U27" s="856"/>
      <c r="V27" s="856"/>
      <c r="W27" s="856"/>
      <c r="X27" s="856"/>
      <c r="Y27" s="856"/>
      <c r="Z27" s="856"/>
      <c r="AA27" s="856"/>
      <c r="AB27" s="856"/>
      <c r="AC27" s="856"/>
      <c r="AD27" s="856"/>
      <c r="AE27" s="856"/>
      <c r="AF27" s="856"/>
      <c r="AG27" s="856"/>
      <c r="AH27" s="856"/>
      <c r="AI27" s="856"/>
      <c r="AJ27" s="856"/>
      <c r="AK27" s="856"/>
      <c r="AL27" s="856"/>
      <c r="AM27" s="856"/>
      <c r="AN27" s="856"/>
      <c r="AO27" s="856"/>
      <c r="AP27" s="856"/>
      <c r="AQ27" s="856"/>
      <c r="AR27" s="856"/>
      <c r="AS27" s="856"/>
      <c r="AT27" s="856"/>
      <c r="AU27" s="856"/>
      <c r="AV27" s="856"/>
      <c r="AW27" s="856"/>
      <c r="AX27" s="856"/>
      <c r="AY27" s="856"/>
      <c r="AZ27" s="856"/>
      <c r="BA27" s="856"/>
      <c r="BB27" s="856"/>
      <c r="BC27" s="856"/>
      <c r="BD27" s="856"/>
      <c r="BE27" s="856"/>
      <c r="BF27" s="856"/>
      <c r="BG27" s="856"/>
      <c r="BH27" s="856"/>
      <c r="BI27" s="856"/>
      <c r="BJ27" s="856"/>
      <c r="BK27" s="856"/>
      <c r="BL27" s="856"/>
      <c r="BM27" s="856"/>
      <c r="BN27" s="856"/>
      <c r="BO27" s="856"/>
      <c r="BP27" s="856"/>
      <c r="BQ27" s="856"/>
      <c r="BR27" s="856"/>
      <c r="BS27" s="856"/>
      <c r="BT27" s="856"/>
      <c r="BU27" s="856"/>
      <c r="BV27" s="856"/>
      <c r="BW27" s="856"/>
      <c r="BX27" s="856"/>
      <c r="BY27" s="856"/>
      <c r="BZ27" s="856"/>
      <c r="CA27" s="856"/>
      <c r="CB27" s="856"/>
      <c r="CC27" s="856"/>
      <c r="CD27" s="856"/>
    </row>
    <row r="28" spans="1:82" x14ac:dyDescent="0.25">
      <c r="A28" s="854"/>
      <c r="B28" s="1169"/>
      <c r="C28" s="1169" t="str">
        <f t="shared" si="1"/>
        <v/>
      </c>
      <c r="D28" s="870"/>
      <c r="E28" s="871"/>
      <c r="F28" s="872">
        <v>0</v>
      </c>
      <c r="G28" s="873">
        <v>0</v>
      </c>
      <c r="H28" s="874">
        <f t="shared" si="0"/>
        <v>0</v>
      </c>
      <c r="I28" s="873">
        <v>0</v>
      </c>
      <c r="J28" s="874">
        <f t="shared" si="0"/>
        <v>0</v>
      </c>
      <c r="K28" s="873">
        <v>0</v>
      </c>
      <c r="L28" s="874">
        <f t="shared" si="0"/>
        <v>0</v>
      </c>
      <c r="M28" s="873">
        <v>0</v>
      </c>
      <c r="N28" s="874">
        <f t="shared" si="0"/>
        <v>0</v>
      </c>
      <c r="O28" s="873">
        <v>0</v>
      </c>
      <c r="P28" s="874">
        <f t="shared" si="0"/>
        <v>0</v>
      </c>
      <c r="Q28" s="1169"/>
      <c r="R28" s="854"/>
      <c r="S28" s="856"/>
      <c r="T28" s="856"/>
      <c r="U28" s="856"/>
      <c r="V28" s="856"/>
      <c r="W28" s="856"/>
      <c r="X28" s="856"/>
      <c r="Y28" s="856"/>
      <c r="Z28" s="856"/>
      <c r="AA28" s="856"/>
      <c r="AB28" s="856"/>
      <c r="AC28" s="856"/>
      <c r="AD28" s="856"/>
      <c r="AE28" s="856"/>
      <c r="AF28" s="856"/>
      <c r="AG28" s="856"/>
      <c r="AH28" s="856"/>
      <c r="AI28" s="856"/>
      <c r="AJ28" s="856"/>
      <c r="AK28" s="856"/>
      <c r="AL28" s="856"/>
      <c r="AM28" s="856"/>
      <c r="AN28" s="856"/>
      <c r="AO28" s="856"/>
      <c r="AP28" s="856"/>
      <c r="AQ28" s="856"/>
      <c r="AR28" s="856"/>
      <c r="AS28" s="856"/>
      <c r="AT28" s="856"/>
      <c r="AU28" s="856"/>
      <c r="AV28" s="856"/>
      <c r="AW28" s="856"/>
      <c r="AX28" s="856"/>
      <c r="AY28" s="856"/>
      <c r="AZ28" s="856"/>
      <c r="BA28" s="856"/>
      <c r="BB28" s="856"/>
      <c r="BC28" s="856"/>
      <c r="BD28" s="856"/>
      <c r="BE28" s="856"/>
      <c r="BF28" s="856"/>
      <c r="BG28" s="856"/>
      <c r="BH28" s="856"/>
      <c r="BI28" s="856"/>
      <c r="BJ28" s="856"/>
      <c r="BK28" s="856"/>
      <c r="BL28" s="856"/>
      <c r="BM28" s="856"/>
      <c r="BN28" s="856"/>
      <c r="BO28" s="856"/>
      <c r="BP28" s="856"/>
      <c r="BQ28" s="856"/>
      <c r="BR28" s="856"/>
      <c r="BS28" s="856"/>
      <c r="BT28" s="856"/>
      <c r="BU28" s="856"/>
      <c r="BV28" s="856"/>
      <c r="BW28" s="856"/>
      <c r="BX28" s="856"/>
      <c r="BY28" s="856"/>
      <c r="BZ28" s="856"/>
      <c r="CA28" s="856"/>
      <c r="CB28" s="856"/>
      <c r="CC28" s="856"/>
      <c r="CD28" s="856"/>
    </row>
    <row r="29" spans="1:82" x14ac:dyDescent="0.25">
      <c r="A29" s="854"/>
      <c r="B29" s="1169"/>
      <c r="C29" s="1169" t="str">
        <f t="shared" si="1"/>
        <v/>
      </c>
      <c r="D29" s="870"/>
      <c r="E29" s="871"/>
      <c r="F29" s="872">
        <v>0</v>
      </c>
      <c r="G29" s="873">
        <v>0</v>
      </c>
      <c r="H29" s="874">
        <f t="shared" si="0"/>
        <v>0</v>
      </c>
      <c r="I29" s="873">
        <v>0</v>
      </c>
      <c r="J29" s="874">
        <f t="shared" si="0"/>
        <v>0</v>
      </c>
      <c r="K29" s="873">
        <v>0</v>
      </c>
      <c r="L29" s="874">
        <f t="shared" si="0"/>
        <v>0</v>
      </c>
      <c r="M29" s="873">
        <v>0</v>
      </c>
      <c r="N29" s="874">
        <f t="shared" si="0"/>
        <v>0</v>
      </c>
      <c r="O29" s="873">
        <v>0</v>
      </c>
      <c r="P29" s="874">
        <f t="shared" si="0"/>
        <v>0</v>
      </c>
      <c r="Q29" s="1169"/>
      <c r="R29" s="854"/>
      <c r="S29" s="856"/>
      <c r="T29" s="856"/>
      <c r="U29" s="856"/>
      <c r="V29" s="856"/>
      <c r="W29" s="856"/>
      <c r="X29" s="856"/>
      <c r="Y29" s="856"/>
      <c r="Z29" s="856"/>
      <c r="AA29" s="856"/>
      <c r="AB29" s="856"/>
      <c r="AC29" s="856"/>
      <c r="AD29" s="856"/>
      <c r="AE29" s="856"/>
      <c r="AF29" s="856"/>
      <c r="AG29" s="856"/>
      <c r="AH29" s="856"/>
      <c r="AI29" s="856"/>
      <c r="AJ29" s="856"/>
      <c r="AK29" s="856"/>
      <c r="AL29" s="856"/>
      <c r="AM29" s="856"/>
      <c r="AN29" s="856"/>
      <c r="AO29" s="856"/>
      <c r="AP29" s="856"/>
      <c r="AQ29" s="856"/>
      <c r="AR29" s="856"/>
      <c r="AS29" s="856"/>
      <c r="AT29" s="856"/>
      <c r="AU29" s="856"/>
      <c r="AV29" s="856"/>
      <c r="AW29" s="856"/>
      <c r="AX29" s="856"/>
      <c r="AY29" s="856"/>
      <c r="AZ29" s="856"/>
      <c r="BA29" s="856"/>
      <c r="BB29" s="856"/>
      <c r="BC29" s="856"/>
      <c r="BD29" s="856"/>
      <c r="BE29" s="856"/>
      <c r="BF29" s="856"/>
      <c r="BG29" s="856"/>
      <c r="BH29" s="856"/>
      <c r="BI29" s="856"/>
      <c r="BJ29" s="856"/>
      <c r="BK29" s="856"/>
      <c r="BL29" s="856"/>
      <c r="BM29" s="856"/>
      <c r="BN29" s="856"/>
      <c r="BO29" s="856"/>
      <c r="BP29" s="856"/>
      <c r="BQ29" s="856"/>
      <c r="BR29" s="856"/>
      <c r="BS29" s="856"/>
      <c r="BT29" s="856"/>
      <c r="BU29" s="856"/>
      <c r="BV29" s="856"/>
      <c r="BW29" s="856"/>
      <c r="BX29" s="856"/>
      <c r="BY29" s="856"/>
      <c r="BZ29" s="856"/>
      <c r="CA29" s="856"/>
      <c r="CB29" s="856"/>
      <c r="CC29" s="856"/>
      <c r="CD29" s="856"/>
    </row>
    <row r="30" spans="1:82" x14ac:dyDescent="0.25">
      <c r="A30" s="854"/>
      <c r="B30" s="1169"/>
      <c r="C30" s="1169" t="str">
        <f t="shared" si="1"/>
        <v/>
      </c>
      <c r="D30" s="870"/>
      <c r="E30" s="871"/>
      <c r="F30" s="872">
        <v>0</v>
      </c>
      <c r="G30" s="873">
        <v>0</v>
      </c>
      <c r="H30" s="874">
        <f t="shared" si="0"/>
        <v>0</v>
      </c>
      <c r="I30" s="873">
        <v>0</v>
      </c>
      <c r="J30" s="874">
        <f t="shared" si="0"/>
        <v>0</v>
      </c>
      <c r="K30" s="873">
        <v>0</v>
      </c>
      <c r="L30" s="874">
        <f t="shared" si="0"/>
        <v>0</v>
      </c>
      <c r="M30" s="873">
        <v>0</v>
      </c>
      <c r="N30" s="874">
        <f t="shared" si="0"/>
        <v>0</v>
      </c>
      <c r="O30" s="873">
        <v>0</v>
      </c>
      <c r="P30" s="874">
        <f t="shared" si="0"/>
        <v>0</v>
      </c>
      <c r="Q30" s="1169"/>
      <c r="R30" s="854"/>
      <c r="S30" s="856"/>
      <c r="T30" s="856"/>
      <c r="U30" s="856"/>
      <c r="V30" s="856"/>
      <c r="W30" s="856"/>
      <c r="X30" s="856"/>
      <c r="Y30" s="856"/>
      <c r="Z30" s="856"/>
      <c r="AA30" s="856"/>
      <c r="AB30" s="856"/>
      <c r="AC30" s="856"/>
      <c r="AD30" s="856"/>
      <c r="AE30" s="856"/>
      <c r="AF30" s="856"/>
      <c r="AG30" s="856"/>
      <c r="AH30" s="856"/>
      <c r="AI30" s="856"/>
      <c r="AJ30" s="856"/>
      <c r="AK30" s="856"/>
      <c r="AL30" s="856"/>
      <c r="AM30" s="856"/>
      <c r="AN30" s="856"/>
      <c r="AO30" s="856"/>
      <c r="AP30" s="856"/>
      <c r="AQ30" s="856"/>
      <c r="AR30" s="856"/>
      <c r="AS30" s="856"/>
      <c r="AT30" s="856"/>
      <c r="AU30" s="856"/>
      <c r="AV30" s="856"/>
      <c r="AW30" s="856"/>
      <c r="AX30" s="856"/>
      <c r="AY30" s="856"/>
      <c r="AZ30" s="856"/>
      <c r="BA30" s="856"/>
      <c r="BB30" s="856"/>
      <c r="BC30" s="856"/>
      <c r="BD30" s="856"/>
      <c r="BE30" s="856"/>
      <c r="BF30" s="856"/>
      <c r="BG30" s="856"/>
      <c r="BH30" s="856"/>
      <c r="BI30" s="856"/>
      <c r="BJ30" s="856"/>
      <c r="BK30" s="856"/>
      <c r="BL30" s="856"/>
      <c r="BM30" s="856"/>
      <c r="BN30" s="856"/>
      <c r="BO30" s="856"/>
      <c r="BP30" s="856"/>
      <c r="BQ30" s="856"/>
      <c r="BR30" s="856"/>
      <c r="BS30" s="856"/>
      <c r="BT30" s="856"/>
      <c r="BU30" s="856"/>
      <c r="BV30" s="856"/>
      <c r="BW30" s="856"/>
      <c r="BX30" s="856"/>
      <c r="BY30" s="856"/>
      <c r="BZ30" s="856"/>
      <c r="CA30" s="856"/>
      <c r="CB30" s="856"/>
      <c r="CC30" s="856"/>
      <c r="CD30" s="856"/>
    </row>
    <row r="31" spans="1:82" x14ac:dyDescent="0.25">
      <c r="A31" s="854"/>
      <c r="B31" s="1169"/>
      <c r="C31" s="1169" t="str">
        <f t="shared" si="1"/>
        <v/>
      </c>
      <c r="D31" s="870"/>
      <c r="E31" s="871"/>
      <c r="F31" s="872">
        <v>0</v>
      </c>
      <c r="G31" s="873">
        <v>0</v>
      </c>
      <c r="H31" s="874">
        <f t="shared" si="0"/>
        <v>0</v>
      </c>
      <c r="I31" s="873">
        <v>0</v>
      </c>
      <c r="J31" s="874">
        <f t="shared" si="0"/>
        <v>0</v>
      </c>
      <c r="K31" s="873">
        <v>0</v>
      </c>
      <c r="L31" s="874">
        <f t="shared" si="0"/>
        <v>0</v>
      </c>
      <c r="M31" s="873">
        <v>0</v>
      </c>
      <c r="N31" s="874">
        <f t="shared" si="0"/>
        <v>0</v>
      </c>
      <c r="O31" s="873">
        <v>0</v>
      </c>
      <c r="P31" s="874">
        <f t="shared" si="0"/>
        <v>0</v>
      </c>
      <c r="Q31" s="1169"/>
      <c r="R31" s="854"/>
      <c r="S31" s="856"/>
      <c r="T31" s="856"/>
      <c r="U31" s="856"/>
      <c r="V31" s="856"/>
      <c r="W31" s="856"/>
      <c r="X31" s="856"/>
      <c r="Y31" s="856"/>
      <c r="Z31" s="856"/>
      <c r="AA31" s="856"/>
      <c r="AB31" s="856"/>
      <c r="AC31" s="856"/>
      <c r="AD31" s="856"/>
      <c r="AE31" s="856"/>
      <c r="AF31" s="856"/>
      <c r="AG31" s="856"/>
      <c r="AH31" s="856"/>
      <c r="AI31" s="856"/>
      <c r="AJ31" s="856"/>
      <c r="AK31" s="856"/>
      <c r="AL31" s="856"/>
      <c r="AM31" s="856"/>
      <c r="AN31" s="856"/>
      <c r="AO31" s="856"/>
      <c r="AP31" s="856"/>
      <c r="AQ31" s="856"/>
      <c r="AR31" s="856"/>
      <c r="AS31" s="856"/>
      <c r="AT31" s="856"/>
      <c r="AU31" s="856"/>
      <c r="AV31" s="856"/>
      <c r="AW31" s="856"/>
      <c r="AX31" s="856"/>
      <c r="AY31" s="856"/>
      <c r="AZ31" s="856"/>
      <c r="BA31" s="856"/>
      <c r="BB31" s="856"/>
      <c r="BC31" s="856"/>
      <c r="BD31" s="856"/>
      <c r="BE31" s="856"/>
      <c r="BF31" s="856"/>
      <c r="BG31" s="856"/>
      <c r="BH31" s="856"/>
      <c r="BI31" s="856"/>
      <c r="BJ31" s="856"/>
      <c r="BK31" s="856"/>
      <c r="BL31" s="856"/>
      <c r="BM31" s="856"/>
      <c r="BN31" s="856"/>
      <c r="BO31" s="856"/>
      <c r="BP31" s="856"/>
      <c r="BQ31" s="856"/>
      <c r="BR31" s="856"/>
      <c r="BS31" s="856"/>
      <c r="BT31" s="856"/>
      <c r="BU31" s="856"/>
      <c r="BV31" s="856"/>
      <c r="BW31" s="856"/>
      <c r="BX31" s="856"/>
      <c r="BY31" s="856"/>
      <c r="BZ31" s="856"/>
      <c r="CA31" s="856"/>
      <c r="CB31" s="856"/>
      <c r="CC31" s="856"/>
      <c r="CD31" s="856"/>
    </row>
    <row r="32" spans="1:82" s="875" customFormat="1" ht="37.5" customHeight="1" x14ac:dyDescent="0.25">
      <c r="A32" s="854"/>
      <c r="B32" s="1275" t="s">
        <v>291</v>
      </c>
      <c r="C32" s="1275"/>
      <c r="D32" s="1275"/>
      <c r="E32" s="1275"/>
      <c r="F32" s="1275"/>
      <c r="G32" s="1275"/>
      <c r="H32" s="1275"/>
      <c r="I32" s="1275"/>
      <c r="J32" s="1275"/>
      <c r="K32" s="1275"/>
      <c r="L32" s="1275"/>
      <c r="M32" s="1275"/>
      <c r="N32" s="1275"/>
      <c r="O32" s="1275"/>
      <c r="P32" s="1275"/>
      <c r="Q32" s="1275"/>
      <c r="R32" s="854"/>
      <c r="S32" s="856"/>
      <c r="T32" s="856"/>
      <c r="U32" s="856"/>
      <c r="V32" s="856"/>
      <c r="W32" s="856"/>
      <c r="X32" s="856"/>
      <c r="Y32" s="856"/>
      <c r="Z32" s="856"/>
      <c r="AA32" s="856"/>
      <c r="AB32" s="856"/>
      <c r="AC32" s="856"/>
      <c r="AD32" s="856"/>
      <c r="AE32" s="856"/>
      <c r="AF32" s="856"/>
      <c r="AG32" s="856"/>
      <c r="AH32" s="856"/>
      <c r="AI32" s="856"/>
      <c r="AJ32" s="856"/>
      <c r="AK32" s="856"/>
      <c r="AL32" s="856"/>
      <c r="AM32" s="856"/>
      <c r="AN32" s="856"/>
      <c r="AO32" s="856"/>
      <c r="AP32" s="856"/>
      <c r="AQ32" s="856"/>
      <c r="AR32" s="856"/>
      <c r="AS32" s="856"/>
      <c r="AT32" s="856"/>
      <c r="AU32" s="856"/>
      <c r="AV32" s="856"/>
      <c r="AW32" s="856"/>
      <c r="AX32" s="856"/>
      <c r="AY32" s="856"/>
      <c r="AZ32" s="856"/>
      <c r="BA32" s="856"/>
      <c r="BB32" s="856"/>
      <c r="BC32" s="856"/>
      <c r="BD32" s="856"/>
      <c r="BE32" s="856"/>
      <c r="BF32" s="856"/>
      <c r="BG32" s="856"/>
      <c r="BH32" s="856"/>
      <c r="BI32" s="856"/>
      <c r="BJ32" s="856"/>
      <c r="BK32" s="856"/>
      <c r="BL32" s="856"/>
      <c r="BM32" s="856"/>
      <c r="BN32" s="856"/>
      <c r="BO32" s="856"/>
      <c r="BP32" s="856"/>
      <c r="BQ32" s="856"/>
      <c r="BR32" s="856"/>
      <c r="BS32" s="856"/>
      <c r="BT32" s="856"/>
      <c r="BU32" s="856"/>
      <c r="BV32" s="856"/>
      <c r="BW32" s="856"/>
      <c r="BX32" s="856"/>
      <c r="BY32" s="856"/>
      <c r="BZ32" s="856"/>
      <c r="CA32" s="856"/>
      <c r="CB32" s="856"/>
      <c r="CC32" s="856"/>
      <c r="CD32" s="856"/>
    </row>
    <row r="33" spans="1:82" s="856" customFormat="1" x14ac:dyDescent="0.25">
      <c r="A33" s="854"/>
      <c r="B33" s="854"/>
      <c r="C33" s="854"/>
      <c r="D33" s="854"/>
      <c r="E33" s="854"/>
      <c r="F33" s="854"/>
      <c r="G33" s="854"/>
      <c r="H33" s="854"/>
      <c r="I33" s="854"/>
      <c r="J33" s="854"/>
      <c r="K33" s="854"/>
      <c r="L33" s="854"/>
      <c r="M33" s="854"/>
      <c r="N33" s="854"/>
      <c r="O33" s="854"/>
      <c r="P33" s="854"/>
      <c r="Q33" s="854"/>
      <c r="R33" s="854"/>
    </row>
    <row r="34" spans="1:82" ht="92.25" customHeight="1" x14ac:dyDescent="0.25">
      <c r="A34" s="854"/>
      <c r="B34" s="1168" t="s">
        <v>292</v>
      </c>
      <c r="C34" s="1272" t="s">
        <v>293</v>
      </c>
      <c r="D34" s="1273"/>
      <c r="E34" s="1273"/>
      <c r="F34" s="1273"/>
      <c r="G34" s="1273"/>
      <c r="H34" s="1273"/>
      <c r="I34" s="1273"/>
      <c r="J34" s="1273"/>
      <c r="K34" s="876"/>
      <c r="L34" s="876"/>
      <c r="M34" s="876"/>
      <c r="N34" s="876"/>
      <c r="O34" s="854"/>
      <c r="P34" s="854"/>
      <c r="Q34" s="854"/>
      <c r="R34" s="854"/>
      <c r="S34" s="856"/>
      <c r="T34" s="856"/>
      <c r="U34" s="856"/>
      <c r="V34" s="856"/>
      <c r="W34" s="856"/>
      <c r="X34" s="856"/>
      <c r="Y34" s="856"/>
      <c r="Z34" s="856"/>
      <c r="AA34" s="856"/>
      <c r="AB34" s="856"/>
      <c r="AC34" s="856"/>
      <c r="AD34" s="856"/>
      <c r="AE34" s="856"/>
      <c r="AF34" s="856"/>
      <c r="AG34" s="856"/>
      <c r="AH34" s="856"/>
      <c r="AI34" s="856"/>
      <c r="AJ34" s="856"/>
      <c r="AK34" s="856"/>
      <c r="AL34" s="856"/>
      <c r="AM34" s="856"/>
      <c r="AN34" s="856"/>
      <c r="AO34" s="856"/>
      <c r="AP34" s="856"/>
      <c r="AQ34" s="856"/>
      <c r="AR34" s="856"/>
      <c r="AS34" s="856"/>
      <c r="AT34" s="856"/>
      <c r="AU34" s="856"/>
      <c r="AV34" s="856"/>
      <c r="AW34" s="856"/>
      <c r="AX34" s="856"/>
      <c r="AY34" s="856"/>
      <c r="AZ34" s="856"/>
      <c r="BA34" s="856"/>
      <c r="BB34" s="856"/>
      <c r="BC34" s="856"/>
      <c r="BD34" s="856"/>
      <c r="BE34" s="856"/>
      <c r="BF34" s="856"/>
      <c r="BG34" s="856"/>
      <c r="BH34" s="856"/>
      <c r="BI34" s="856"/>
      <c r="BJ34" s="856"/>
      <c r="BK34" s="856"/>
      <c r="BL34" s="856"/>
      <c r="BM34" s="856"/>
      <c r="BN34" s="856"/>
      <c r="BO34" s="856"/>
      <c r="BP34" s="856"/>
      <c r="BQ34" s="856"/>
      <c r="BR34" s="856"/>
      <c r="BS34" s="856"/>
      <c r="BT34" s="856"/>
      <c r="BU34" s="856"/>
      <c r="BV34" s="856"/>
      <c r="BW34" s="856"/>
      <c r="BX34" s="856"/>
      <c r="BY34" s="856"/>
      <c r="BZ34" s="856"/>
      <c r="CA34" s="856"/>
      <c r="CB34" s="856"/>
      <c r="CC34" s="856"/>
      <c r="CD34" s="856"/>
    </row>
    <row r="35" spans="1:82" ht="35.25" customHeight="1" x14ac:dyDescent="0.25">
      <c r="A35" s="854"/>
      <c r="B35" s="1168" t="s">
        <v>294</v>
      </c>
      <c r="C35" s="1272" t="s">
        <v>295</v>
      </c>
      <c r="D35" s="1272"/>
      <c r="E35" s="1272"/>
      <c r="F35" s="1272"/>
      <c r="G35" s="1272"/>
      <c r="H35" s="1272"/>
      <c r="I35" s="1272"/>
      <c r="J35" s="1272"/>
      <c r="K35" s="854"/>
      <c r="L35" s="854"/>
      <c r="M35" s="854"/>
      <c r="N35" s="854"/>
      <c r="O35" s="854"/>
      <c r="P35" s="854"/>
      <c r="Q35" s="854"/>
      <c r="R35" s="854"/>
      <c r="S35" s="856"/>
      <c r="T35" s="856"/>
      <c r="U35" s="856"/>
      <c r="V35" s="856"/>
      <c r="W35" s="856"/>
      <c r="X35" s="856"/>
      <c r="Y35" s="856"/>
      <c r="Z35" s="856"/>
      <c r="AA35" s="856"/>
      <c r="AB35" s="856"/>
      <c r="AC35" s="856"/>
      <c r="AD35" s="856"/>
      <c r="AE35" s="856"/>
      <c r="AF35" s="856"/>
      <c r="AG35" s="856"/>
      <c r="AH35" s="856"/>
      <c r="AI35" s="856"/>
      <c r="AJ35" s="856"/>
      <c r="AK35" s="856"/>
      <c r="AL35" s="856"/>
      <c r="AM35" s="856"/>
      <c r="AN35" s="856"/>
      <c r="AO35" s="856"/>
      <c r="AP35" s="856"/>
      <c r="AQ35" s="856"/>
      <c r="AR35" s="856"/>
      <c r="AS35" s="856"/>
      <c r="AT35" s="856"/>
      <c r="AU35" s="856"/>
      <c r="AV35" s="856"/>
      <c r="AW35" s="856"/>
      <c r="AX35" s="856"/>
      <c r="AY35" s="856"/>
      <c r="AZ35" s="856"/>
      <c r="BA35" s="856"/>
      <c r="BB35" s="856"/>
      <c r="BC35" s="856"/>
      <c r="BD35" s="856"/>
      <c r="BE35" s="856"/>
      <c r="BF35" s="856"/>
      <c r="BG35" s="856"/>
      <c r="BH35" s="856"/>
      <c r="BI35" s="856"/>
      <c r="BJ35" s="856"/>
      <c r="BK35" s="856"/>
      <c r="BL35" s="856"/>
      <c r="BM35" s="856"/>
      <c r="BN35" s="856"/>
      <c r="BO35" s="856"/>
      <c r="BP35" s="856"/>
      <c r="BQ35" s="856"/>
      <c r="BR35" s="856"/>
      <c r="BS35" s="856"/>
      <c r="BT35" s="856"/>
      <c r="BU35" s="856"/>
      <c r="BV35" s="856"/>
      <c r="BW35" s="856"/>
      <c r="BX35" s="856"/>
      <c r="BY35" s="856"/>
      <c r="BZ35" s="856"/>
      <c r="CA35" s="856"/>
      <c r="CB35" s="856"/>
      <c r="CC35" s="856"/>
      <c r="CD35" s="856"/>
    </row>
    <row r="36" spans="1:82" ht="38.25" customHeight="1" x14ac:dyDescent="0.25">
      <c r="A36" s="854"/>
      <c r="B36" s="866" t="s">
        <v>296</v>
      </c>
      <c r="C36" s="1272" t="s">
        <v>297</v>
      </c>
      <c r="D36" s="1272"/>
      <c r="E36" s="1272"/>
      <c r="F36" s="1272"/>
      <c r="G36" s="1272"/>
      <c r="H36" s="1272"/>
      <c r="I36" s="1272"/>
      <c r="J36" s="1272"/>
      <c r="K36" s="876"/>
      <c r="L36" s="876"/>
      <c r="M36" s="876"/>
      <c r="N36" s="876"/>
      <c r="O36" s="876"/>
      <c r="P36" s="854"/>
      <c r="Q36" s="854"/>
      <c r="R36" s="854"/>
      <c r="S36" s="856"/>
      <c r="T36" s="856"/>
      <c r="U36" s="856"/>
      <c r="V36" s="856"/>
      <c r="W36" s="856"/>
      <c r="X36" s="856"/>
      <c r="Y36" s="856"/>
      <c r="Z36" s="856"/>
      <c r="AA36" s="856"/>
      <c r="AB36" s="856"/>
      <c r="AC36" s="856"/>
      <c r="AD36" s="856"/>
      <c r="AE36" s="856"/>
      <c r="AF36" s="856"/>
      <c r="AG36" s="856"/>
      <c r="AH36" s="856"/>
      <c r="AI36" s="856"/>
      <c r="AJ36" s="856"/>
      <c r="AK36" s="856"/>
      <c r="AL36" s="856"/>
      <c r="AM36" s="856"/>
      <c r="AN36" s="856"/>
      <c r="AO36" s="856"/>
      <c r="AP36" s="856"/>
      <c r="AQ36" s="856"/>
      <c r="AR36" s="856"/>
      <c r="AS36" s="856"/>
      <c r="AT36" s="856"/>
      <c r="AU36" s="856"/>
      <c r="AV36" s="856"/>
      <c r="AW36" s="856"/>
      <c r="AX36" s="856"/>
      <c r="AY36" s="856"/>
      <c r="AZ36" s="856"/>
      <c r="BA36" s="856"/>
      <c r="BB36" s="856"/>
      <c r="BC36" s="856"/>
      <c r="BD36" s="856"/>
      <c r="BE36" s="856"/>
      <c r="BF36" s="856"/>
      <c r="BG36" s="856"/>
      <c r="BH36" s="856"/>
      <c r="BI36" s="856"/>
      <c r="BJ36" s="856"/>
      <c r="BK36" s="856"/>
      <c r="BL36" s="856"/>
      <c r="BM36" s="856"/>
      <c r="BN36" s="856"/>
      <c r="BO36" s="856"/>
      <c r="BP36" s="856"/>
      <c r="BQ36" s="856"/>
      <c r="BR36" s="856"/>
      <c r="BS36" s="856"/>
      <c r="BT36" s="856"/>
      <c r="BU36" s="856"/>
      <c r="BV36" s="856"/>
      <c r="BW36" s="856"/>
      <c r="BX36" s="856"/>
      <c r="BY36" s="856"/>
      <c r="BZ36" s="856"/>
      <c r="CA36" s="856"/>
      <c r="CB36" s="856"/>
      <c r="CC36" s="856"/>
      <c r="CD36" s="856"/>
    </row>
    <row r="37" spans="1:82" s="856" customFormat="1" x14ac:dyDescent="0.25">
      <c r="A37" s="854"/>
      <c r="B37" s="854"/>
      <c r="C37" s="854"/>
      <c r="D37" s="854"/>
      <c r="E37" s="854"/>
      <c r="F37" s="854"/>
      <c r="G37" s="854"/>
      <c r="H37" s="877"/>
      <c r="I37" s="854"/>
      <c r="J37" s="854"/>
      <c r="K37" s="854"/>
      <c r="L37" s="854"/>
      <c r="M37" s="854"/>
      <c r="N37" s="854"/>
      <c r="O37" s="854"/>
      <c r="P37" s="854"/>
      <c r="Q37" s="854"/>
      <c r="R37" s="854"/>
    </row>
    <row r="38" spans="1:82" ht="25" customHeight="1" x14ac:dyDescent="0.25">
      <c r="A38" s="854"/>
      <c r="B38" s="854"/>
      <c r="C38" s="1168" t="s">
        <v>298</v>
      </c>
      <c r="D38" s="1291" t="s">
        <v>299</v>
      </c>
      <c r="E38" s="1291"/>
      <c r="F38" s="854"/>
      <c r="G38" s="854"/>
      <c r="H38" s="854"/>
      <c r="I38" s="854"/>
      <c r="J38" s="854"/>
      <c r="K38" s="854"/>
      <c r="L38" s="854"/>
      <c r="M38" s="854"/>
      <c r="N38" s="854"/>
      <c r="O38" s="854"/>
      <c r="P38" s="854"/>
      <c r="Q38" s="854"/>
      <c r="R38" s="854"/>
      <c r="S38" s="856"/>
      <c r="T38" s="856"/>
      <c r="U38" s="856"/>
      <c r="V38" s="856"/>
      <c r="W38" s="856"/>
      <c r="X38" s="856"/>
      <c r="Y38" s="856"/>
      <c r="Z38" s="856"/>
      <c r="AA38" s="856"/>
      <c r="AB38" s="856"/>
      <c r="AC38" s="856"/>
      <c r="AD38" s="856"/>
      <c r="AE38" s="856"/>
      <c r="AF38" s="856"/>
      <c r="AG38" s="856"/>
      <c r="AH38" s="856"/>
      <c r="AI38" s="856"/>
      <c r="AJ38" s="856"/>
      <c r="AK38" s="856"/>
      <c r="AL38" s="856"/>
      <c r="AM38" s="856"/>
      <c r="AN38" s="856"/>
      <c r="AO38" s="856"/>
      <c r="AP38" s="856"/>
      <c r="AQ38" s="856"/>
      <c r="AR38" s="856"/>
      <c r="AS38" s="856"/>
      <c r="AT38" s="856"/>
      <c r="AU38" s="856"/>
      <c r="AV38" s="856"/>
      <c r="AW38" s="856"/>
      <c r="AX38" s="856"/>
      <c r="AY38" s="856"/>
      <c r="AZ38" s="856"/>
      <c r="BA38" s="856"/>
      <c r="BB38" s="856"/>
      <c r="BC38" s="856"/>
      <c r="BD38" s="856"/>
      <c r="BE38" s="856"/>
      <c r="BF38" s="856"/>
      <c r="BG38" s="856"/>
      <c r="BH38" s="856"/>
      <c r="BI38" s="856"/>
      <c r="BJ38" s="856"/>
      <c r="BK38" s="856"/>
      <c r="BL38" s="856"/>
      <c r="BM38" s="856"/>
      <c r="BN38" s="856"/>
      <c r="BO38" s="856"/>
      <c r="BP38" s="856"/>
      <c r="BQ38" s="856"/>
      <c r="BR38" s="856"/>
      <c r="BS38" s="856"/>
      <c r="BT38" s="856"/>
      <c r="BU38" s="856"/>
      <c r="BV38" s="856"/>
      <c r="BW38" s="856"/>
      <c r="BX38" s="856"/>
      <c r="BY38" s="856"/>
      <c r="BZ38" s="856"/>
      <c r="CA38" s="856"/>
      <c r="CB38" s="856"/>
      <c r="CC38" s="856"/>
      <c r="CD38" s="856"/>
    </row>
    <row r="39" spans="1:82" ht="18.649999999999999" customHeight="1" x14ac:dyDescent="0.25">
      <c r="A39" s="854"/>
      <c r="B39" s="854"/>
      <c r="C39" s="878" t="s">
        <v>300</v>
      </c>
      <c r="D39" s="1292" t="s">
        <v>301</v>
      </c>
      <c r="E39" s="1292"/>
      <c r="F39" s="854"/>
      <c r="G39" s="854"/>
      <c r="H39" s="854"/>
      <c r="I39" s="854"/>
      <c r="J39" s="854"/>
      <c r="K39" s="854"/>
      <c r="L39" s="854"/>
      <c r="M39" s="854"/>
      <c r="N39" s="854"/>
      <c r="O39" s="854"/>
      <c r="P39" s="854"/>
      <c r="Q39" s="854"/>
      <c r="R39" s="854"/>
      <c r="S39" s="856"/>
      <c r="T39" s="856"/>
      <c r="U39" s="856"/>
      <c r="V39" s="856"/>
      <c r="W39" s="856"/>
      <c r="X39" s="856"/>
      <c r="Y39" s="856"/>
      <c r="Z39" s="856"/>
      <c r="AA39" s="856"/>
      <c r="AB39" s="856"/>
      <c r="AC39" s="856"/>
      <c r="AD39" s="856"/>
      <c r="AE39" s="856"/>
      <c r="AF39" s="856"/>
      <c r="AG39" s="856"/>
      <c r="AH39" s="856"/>
      <c r="AI39" s="856"/>
      <c r="AJ39" s="856"/>
      <c r="AK39" s="856"/>
      <c r="AL39" s="856"/>
      <c r="AM39" s="856"/>
      <c r="AN39" s="856"/>
      <c r="AO39" s="856"/>
      <c r="AP39" s="856"/>
      <c r="AQ39" s="856"/>
      <c r="AR39" s="856"/>
      <c r="AS39" s="856"/>
      <c r="AT39" s="856"/>
      <c r="AU39" s="856"/>
      <c r="AV39" s="856"/>
      <c r="AW39" s="856"/>
      <c r="AX39" s="856"/>
      <c r="AY39" s="856"/>
      <c r="AZ39" s="856"/>
      <c r="BA39" s="856"/>
      <c r="BB39" s="856"/>
      <c r="BC39" s="856"/>
      <c r="BD39" s="856"/>
      <c r="BE39" s="856"/>
      <c r="BF39" s="856"/>
      <c r="BG39" s="856"/>
      <c r="BH39" s="856"/>
      <c r="BI39" s="856"/>
      <c r="BJ39" s="856"/>
      <c r="BK39" s="856"/>
      <c r="BL39" s="856"/>
      <c r="BM39" s="856"/>
      <c r="BN39" s="856"/>
      <c r="BO39" s="856"/>
      <c r="BP39" s="856"/>
      <c r="BQ39" s="856"/>
      <c r="BR39" s="856"/>
      <c r="BS39" s="856"/>
      <c r="BT39" s="856"/>
      <c r="BU39" s="856"/>
      <c r="BV39" s="856"/>
      <c r="BW39" s="856"/>
      <c r="BX39" s="856"/>
      <c r="BY39" s="856"/>
      <c r="BZ39" s="856"/>
      <c r="CA39" s="856"/>
      <c r="CB39" s="856"/>
      <c r="CC39" s="856"/>
      <c r="CD39" s="856"/>
    </row>
    <row r="40" spans="1:82" ht="17.5" customHeight="1" x14ac:dyDescent="0.25">
      <c r="A40" s="854"/>
      <c r="B40" s="854"/>
      <c r="C40" s="878" t="s">
        <v>302</v>
      </c>
      <c r="D40" s="1292" t="s">
        <v>303</v>
      </c>
      <c r="E40" s="1292"/>
      <c r="F40" s="854"/>
      <c r="G40" s="854"/>
      <c r="H40" s="854"/>
      <c r="I40" s="854"/>
      <c r="J40" s="854"/>
      <c r="K40" s="854"/>
      <c r="L40" s="854"/>
      <c r="M40" s="854"/>
      <c r="N40" s="854"/>
      <c r="O40" s="854"/>
      <c r="P40" s="854"/>
      <c r="Q40" s="854"/>
      <c r="R40" s="854"/>
      <c r="S40" s="856"/>
      <c r="T40" s="856"/>
      <c r="U40" s="856"/>
      <c r="V40" s="856"/>
      <c r="W40" s="856"/>
      <c r="X40" s="856"/>
      <c r="Y40" s="856"/>
      <c r="Z40" s="856"/>
      <c r="AA40" s="856"/>
      <c r="AB40" s="856"/>
      <c r="AC40" s="856"/>
      <c r="AD40" s="856"/>
      <c r="AE40" s="856"/>
      <c r="AF40" s="856"/>
      <c r="AG40" s="856"/>
      <c r="AH40" s="856"/>
      <c r="AI40" s="856"/>
      <c r="AJ40" s="856"/>
      <c r="AK40" s="856"/>
      <c r="AL40" s="856"/>
      <c r="AM40" s="856"/>
      <c r="AN40" s="856"/>
      <c r="AO40" s="856"/>
      <c r="AP40" s="856"/>
      <c r="AQ40" s="856"/>
      <c r="AR40" s="856"/>
      <c r="AS40" s="856"/>
      <c r="AT40" s="856"/>
      <c r="AU40" s="856"/>
      <c r="AV40" s="856"/>
      <c r="AW40" s="856"/>
      <c r="AX40" s="856"/>
      <c r="AY40" s="856"/>
      <c r="AZ40" s="856"/>
      <c r="BA40" s="856"/>
      <c r="BB40" s="856"/>
      <c r="BC40" s="856"/>
      <c r="BD40" s="856"/>
      <c r="BE40" s="856"/>
      <c r="BF40" s="856"/>
      <c r="BG40" s="856"/>
      <c r="BH40" s="856"/>
      <c r="BI40" s="856"/>
      <c r="BJ40" s="856"/>
      <c r="BK40" s="856"/>
      <c r="BL40" s="856"/>
      <c r="BM40" s="856"/>
      <c r="BN40" s="856"/>
      <c r="BO40" s="856"/>
      <c r="BP40" s="856"/>
      <c r="BQ40" s="856"/>
      <c r="BR40" s="856"/>
      <c r="BS40" s="856"/>
      <c r="BT40" s="856"/>
      <c r="BU40" s="856"/>
      <c r="BV40" s="856"/>
      <c r="BW40" s="856"/>
      <c r="BX40" s="856"/>
      <c r="BY40" s="856"/>
      <c r="BZ40" s="856"/>
      <c r="CA40" s="856"/>
      <c r="CB40" s="856"/>
      <c r="CC40" s="856"/>
      <c r="CD40" s="856"/>
    </row>
    <row r="41" spans="1:82" ht="18.649999999999999" customHeight="1" x14ac:dyDescent="0.25">
      <c r="A41" s="854"/>
      <c r="B41" s="854"/>
      <c r="C41" s="878" t="s">
        <v>304</v>
      </c>
      <c r="D41" s="1292" t="s">
        <v>305</v>
      </c>
      <c r="E41" s="1292"/>
      <c r="F41" s="854"/>
      <c r="G41" s="854"/>
      <c r="H41" s="854"/>
      <c r="I41" s="854"/>
      <c r="J41" s="854"/>
      <c r="K41" s="854"/>
      <c r="L41" s="854"/>
      <c r="M41" s="854"/>
      <c r="N41" s="854"/>
      <c r="O41" s="854"/>
      <c r="P41" s="854"/>
      <c r="Q41" s="854"/>
      <c r="R41" s="854"/>
      <c r="S41" s="856"/>
      <c r="T41" s="856"/>
      <c r="U41" s="856"/>
      <c r="V41" s="856"/>
      <c r="W41" s="856"/>
      <c r="X41" s="856"/>
      <c r="Y41" s="856"/>
      <c r="Z41" s="856"/>
      <c r="AA41" s="856"/>
      <c r="AB41" s="856"/>
      <c r="AC41" s="856"/>
      <c r="AD41" s="856"/>
      <c r="AE41" s="856"/>
      <c r="AF41" s="856"/>
      <c r="AG41" s="856"/>
      <c r="AH41" s="856"/>
      <c r="AI41" s="856"/>
      <c r="AJ41" s="856"/>
      <c r="AK41" s="856"/>
      <c r="AL41" s="856"/>
      <c r="AM41" s="856"/>
      <c r="AN41" s="856"/>
      <c r="AO41" s="856"/>
      <c r="AP41" s="856"/>
      <c r="AQ41" s="856"/>
      <c r="AR41" s="856"/>
      <c r="AS41" s="856"/>
      <c r="AT41" s="856"/>
      <c r="AU41" s="856"/>
      <c r="AV41" s="856"/>
      <c r="AW41" s="856"/>
      <c r="AX41" s="856"/>
      <c r="AY41" s="856"/>
      <c r="AZ41" s="856"/>
      <c r="BA41" s="856"/>
      <c r="BB41" s="856"/>
      <c r="BC41" s="856"/>
      <c r="BD41" s="856"/>
      <c r="BE41" s="856"/>
      <c r="BF41" s="856"/>
      <c r="BG41" s="856"/>
      <c r="BH41" s="856"/>
      <c r="BI41" s="856"/>
      <c r="BJ41" s="856"/>
      <c r="BK41" s="856"/>
      <c r="BL41" s="856"/>
      <c r="BM41" s="856"/>
      <c r="BN41" s="856"/>
      <c r="BO41" s="856"/>
      <c r="BP41" s="856"/>
      <c r="BQ41" s="856"/>
      <c r="BR41" s="856"/>
      <c r="BS41" s="856"/>
      <c r="BT41" s="856"/>
      <c r="BU41" s="856"/>
      <c r="BV41" s="856"/>
      <c r="BW41" s="856"/>
      <c r="BX41" s="856"/>
      <c r="BY41" s="856"/>
      <c r="BZ41" s="856"/>
      <c r="CA41" s="856"/>
      <c r="CB41" s="856"/>
      <c r="CC41" s="856"/>
      <c r="CD41" s="856"/>
    </row>
    <row r="42" spans="1:82" ht="19" customHeight="1" x14ac:dyDescent="0.25">
      <c r="A42" s="854"/>
      <c r="B42" s="854"/>
      <c r="C42" s="878" t="s">
        <v>306</v>
      </c>
      <c r="D42" s="1292" t="s">
        <v>307</v>
      </c>
      <c r="E42" s="1292"/>
      <c r="F42" s="854"/>
      <c r="G42" s="854"/>
      <c r="H42" s="854"/>
      <c r="I42" s="854"/>
      <c r="J42" s="854"/>
      <c r="K42" s="854"/>
      <c r="L42" s="854"/>
      <c r="M42" s="854"/>
      <c r="N42" s="854"/>
      <c r="O42" s="854"/>
      <c r="P42" s="854"/>
      <c r="Q42" s="854"/>
      <c r="R42" s="854"/>
      <c r="S42" s="856"/>
      <c r="T42" s="856"/>
      <c r="U42" s="856"/>
      <c r="V42" s="856"/>
      <c r="W42" s="856"/>
      <c r="X42" s="856"/>
      <c r="Y42" s="856"/>
      <c r="Z42" s="856"/>
      <c r="AA42" s="856"/>
      <c r="AB42" s="856"/>
      <c r="AC42" s="856"/>
      <c r="AD42" s="856"/>
      <c r="AE42" s="856"/>
      <c r="AF42" s="856"/>
      <c r="AG42" s="856"/>
      <c r="AH42" s="856"/>
      <c r="AI42" s="856"/>
      <c r="AJ42" s="856"/>
      <c r="AK42" s="856"/>
      <c r="AL42" s="856"/>
      <c r="AM42" s="856"/>
      <c r="AN42" s="856"/>
      <c r="AO42" s="856"/>
      <c r="AP42" s="856"/>
      <c r="AQ42" s="856"/>
      <c r="AR42" s="856"/>
      <c r="AS42" s="856"/>
      <c r="AT42" s="856"/>
      <c r="AU42" s="856"/>
      <c r="AV42" s="856"/>
      <c r="AW42" s="856"/>
      <c r="AX42" s="856"/>
      <c r="AY42" s="856"/>
      <c r="AZ42" s="856"/>
      <c r="BA42" s="856"/>
      <c r="BB42" s="856"/>
      <c r="BC42" s="856"/>
      <c r="BD42" s="856"/>
      <c r="BE42" s="856"/>
      <c r="BF42" s="856"/>
      <c r="BG42" s="856"/>
      <c r="BH42" s="856"/>
      <c r="BI42" s="856"/>
      <c r="BJ42" s="856"/>
      <c r="BK42" s="856"/>
      <c r="BL42" s="856"/>
      <c r="BM42" s="856"/>
      <c r="BN42" s="856"/>
      <c r="BO42" s="856"/>
      <c r="BP42" s="856"/>
      <c r="BQ42" s="856"/>
      <c r="BR42" s="856"/>
      <c r="BS42" s="856"/>
      <c r="BT42" s="856"/>
      <c r="BU42" s="856"/>
      <c r="BV42" s="856"/>
      <c r="BW42" s="856"/>
      <c r="BX42" s="856"/>
      <c r="BY42" s="856"/>
      <c r="BZ42" s="856"/>
      <c r="CA42" s="856"/>
      <c r="CB42" s="856"/>
      <c r="CC42" s="856"/>
      <c r="CD42" s="856"/>
    </row>
    <row r="43" spans="1:82" s="856" customFormat="1" x14ac:dyDescent="0.25">
      <c r="A43" s="854"/>
      <c r="B43" s="854"/>
      <c r="C43" s="854"/>
      <c r="D43" s="854"/>
      <c r="E43" s="854"/>
      <c r="F43" s="854"/>
      <c r="G43" s="854"/>
      <c r="H43" s="854"/>
      <c r="I43" s="854"/>
      <c r="J43" s="854"/>
      <c r="K43" s="854"/>
      <c r="L43" s="854"/>
      <c r="M43" s="854"/>
      <c r="N43" s="854"/>
      <c r="O43" s="854"/>
      <c r="P43" s="854"/>
      <c r="Q43" s="854"/>
      <c r="R43" s="854"/>
    </row>
    <row r="44" spans="1:82" ht="27.65" customHeight="1" x14ac:dyDescent="0.25">
      <c r="A44" s="854"/>
      <c r="B44" s="854"/>
      <c r="C44" s="1168" t="s">
        <v>308</v>
      </c>
      <c r="D44" s="1291" t="s">
        <v>309</v>
      </c>
      <c r="E44" s="1291"/>
      <c r="F44" s="1291"/>
      <c r="G44" s="1291"/>
      <c r="H44" s="1291"/>
      <c r="I44" s="1291"/>
      <c r="J44" s="1291"/>
      <c r="K44" s="854"/>
      <c r="L44" s="854"/>
      <c r="M44" s="854"/>
      <c r="N44" s="854"/>
      <c r="O44" s="854"/>
      <c r="P44" s="854"/>
      <c r="Q44" s="854"/>
      <c r="R44" s="854"/>
      <c r="S44" s="856"/>
      <c r="T44" s="856"/>
      <c r="U44" s="856"/>
      <c r="V44" s="856"/>
      <c r="W44" s="856"/>
      <c r="X44" s="856"/>
      <c r="Y44" s="856"/>
      <c r="Z44" s="856"/>
      <c r="AA44" s="856"/>
      <c r="AB44" s="856"/>
      <c r="AC44" s="856"/>
      <c r="AD44" s="856"/>
      <c r="AE44" s="856"/>
      <c r="AF44" s="856"/>
      <c r="AG44" s="856"/>
      <c r="AH44" s="856"/>
      <c r="AI44" s="856"/>
      <c r="AJ44" s="856"/>
      <c r="AK44" s="856"/>
      <c r="AL44" s="856"/>
      <c r="AM44" s="856"/>
      <c r="AN44" s="856"/>
      <c r="AO44" s="856"/>
      <c r="AP44" s="856"/>
      <c r="AQ44" s="856"/>
      <c r="AR44" s="856"/>
      <c r="AS44" s="856"/>
      <c r="AT44" s="856"/>
      <c r="AU44" s="856"/>
      <c r="AV44" s="856"/>
      <c r="AW44" s="856"/>
      <c r="AX44" s="856"/>
      <c r="AY44" s="856"/>
      <c r="AZ44" s="856"/>
      <c r="BA44" s="856"/>
      <c r="BB44" s="856"/>
      <c r="BC44" s="856"/>
      <c r="BD44" s="856"/>
      <c r="BE44" s="856"/>
      <c r="BF44" s="856"/>
      <c r="BG44" s="856"/>
      <c r="BH44" s="856"/>
      <c r="BI44" s="856"/>
      <c r="BJ44" s="856"/>
      <c r="BK44" s="856"/>
      <c r="BL44" s="856"/>
      <c r="BM44" s="856"/>
      <c r="BN44" s="856"/>
      <c r="BO44" s="856"/>
      <c r="BP44" s="856"/>
      <c r="BQ44" s="856"/>
      <c r="BR44" s="856"/>
      <c r="BS44" s="856"/>
      <c r="BT44" s="856"/>
      <c r="BU44" s="856"/>
      <c r="BV44" s="856"/>
      <c r="BW44" s="856"/>
      <c r="BX44" s="856"/>
      <c r="BY44" s="856"/>
      <c r="BZ44" s="856"/>
      <c r="CA44" s="856"/>
      <c r="CB44" s="856"/>
      <c r="CC44" s="856"/>
      <c r="CD44" s="856"/>
    </row>
    <row r="45" spans="1:82" ht="59.25" customHeight="1" x14ac:dyDescent="0.25">
      <c r="A45" s="854"/>
      <c r="B45" s="854"/>
      <c r="C45" s="879" t="s">
        <v>310</v>
      </c>
      <c r="D45" s="1293" t="s">
        <v>311</v>
      </c>
      <c r="E45" s="1293"/>
      <c r="F45" s="1293"/>
      <c r="G45" s="1293"/>
      <c r="H45" s="1293"/>
      <c r="I45" s="1293"/>
      <c r="J45" s="1293"/>
      <c r="K45" s="854"/>
      <c r="L45" s="854"/>
      <c r="M45" s="854"/>
      <c r="N45" s="854"/>
      <c r="O45" s="854"/>
      <c r="P45" s="854"/>
      <c r="Q45" s="854"/>
      <c r="R45" s="854"/>
      <c r="S45" s="856"/>
      <c r="T45" s="856"/>
      <c r="U45" s="856"/>
      <c r="V45" s="856"/>
      <c r="W45" s="856"/>
      <c r="X45" s="856"/>
      <c r="Y45" s="856"/>
      <c r="Z45" s="856"/>
      <c r="AA45" s="856"/>
      <c r="AB45" s="856"/>
      <c r="AC45" s="856"/>
      <c r="AD45" s="856"/>
      <c r="AE45" s="856"/>
      <c r="AF45" s="856"/>
      <c r="AG45" s="856"/>
      <c r="AH45" s="856"/>
      <c r="AI45" s="856"/>
      <c r="AJ45" s="856"/>
      <c r="AK45" s="856"/>
      <c r="AL45" s="856"/>
      <c r="AM45" s="856"/>
      <c r="AN45" s="856"/>
      <c r="AO45" s="856"/>
      <c r="AP45" s="856"/>
      <c r="AQ45" s="856"/>
      <c r="AR45" s="856"/>
      <c r="AS45" s="856"/>
      <c r="AT45" s="856"/>
      <c r="AU45" s="856"/>
      <c r="AV45" s="856"/>
      <c r="AW45" s="856"/>
      <c r="AX45" s="856"/>
      <c r="AY45" s="856"/>
      <c r="AZ45" s="856"/>
      <c r="BA45" s="856"/>
      <c r="BB45" s="856"/>
      <c r="BC45" s="856"/>
      <c r="BD45" s="856"/>
      <c r="BE45" s="856"/>
      <c r="BF45" s="856"/>
      <c r="BG45" s="856"/>
      <c r="BH45" s="856"/>
      <c r="BI45" s="856"/>
      <c r="BJ45" s="856"/>
      <c r="BK45" s="856"/>
      <c r="BL45" s="856"/>
      <c r="BM45" s="856"/>
      <c r="BN45" s="856"/>
      <c r="BO45" s="856"/>
      <c r="BP45" s="856"/>
      <c r="BQ45" s="856"/>
      <c r="BR45" s="856"/>
      <c r="BS45" s="856"/>
      <c r="BT45" s="856"/>
      <c r="BU45" s="856"/>
      <c r="BV45" s="856"/>
      <c r="BW45" s="856"/>
      <c r="BX45" s="856"/>
      <c r="BY45" s="856"/>
      <c r="BZ45" s="856"/>
      <c r="CA45" s="856"/>
      <c r="CB45" s="856"/>
      <c r="CC45" s="856"/>
      <c r="CD45" s="856"/>
    </row>
    <row r="46" spans="1:82" ht="80.25" customHeight="1" x14ac:dyDescent="0.25">
      <c r="A46" s="854"/>
      <c r="B46" s="854"/>
      <c r="C46" s="879" t="s">
        <v>312</v>
      </c>
      <c r="D46" s="1293" t="s">
        <v>313</v>
      </c>
      <c r="E46" s="1293"/>
      <c r="F46" s="1293"/>
      <c r="G46" s="1293"/>
      <c r="H46" s="1293"/>
      <c r="I46" s="1293"/>
      <c r="J46" s="1293"/>
      <c r="K46" s="854"/>
      <c r="L46" s="854"/>
      <c r="M46" s="854"/>
      <c r="N46" s="854"/>
      <c r="O46" s="854"/>
      <c r="P46" s="854"/>
      <c r="Q46" s="854"/>
      <c r="R46" s="854"/>
      <c r="S46" s="856"/>
      <c r="T46" s="856"/>
      <c r="U46" s="856"/>
      <c r="V46" s="856"/>
      <c r="W46" s="856"/>
      <c r="X46" s="856"/>
      <c r="Y46" s="856"/>
      <c r="Z46" s="856"/>
      <c r="AA46" s="856"/>
      <c r="AB46" s="856"/>
      <c r="AC46" s="856"/>
      <c r="AD46" s="856"/>
      <c r="AE46" s="856"/>
      <c r="AF46" s="856"/>
      <c r="AG46" s="856"/>
      <c r="AH46" s="856"/>
      <c r="AI46" s="856"/>
      <c r="AJ46" s="856"/>
      <c r="AK46" s="856"/>
      <c r="AL46" s="856"/>
      <c r="AM46" s="856"/>
      <c r="AN46" s="856"/>
      <c r="AO46" s="856"/>
      <c r="AP46" s="856"/>
      <c r="AQ46" s="856"/>
    </row>
    <row r="47" spans="1:82" ht="85.5" customHeight="1" x14ac:dyDescent="0.25">
      <c r="A47" s="854"/>
      <c r="B47" s="854"/>
      <c r="C47" s="879" t="s">
        <v>314</v>
      </c>
      <c r="D47" s="1293" t="s">
        <v>315</v>
      </c>
      <c r="E47" s="1293"/>
      <c r="F47" s="1293"/>
      <c r="G47" s="1293"/>
      <c r="H47" s="1293"/>
      <c r="I47" s="1293"/>
      <c r="J47" s="1293"/>
      <c r="K47" s="854"/>
      <c r="L47" s="854"/>
      <c r="M47" s="854"/>
      <c r="N47" s="854"/>
      <c r="O47" s="854"/>
      <c r="P47" s="854"/>
      <c r="Q47" s="854"/>
      <c r="R47" s="854"/>
      <c r="S47" s="856"/>
      <c r="T47" s="856"/>
      <c r="U47" s="856"/>
      <c r="V47" s="856"/>
      <c r="W47" s="856"/>
      <c r="X47" s="856"/>
      <c r="Y47" s="856"/>
      <c r="Z47" s="856"/>
      <c r="AA47" s="856"/>
      <c r="AB47" s="856"/>
      <c r="AC47" s="856"/>
      <c r="AD47" s="856"/>
      <c r="AE47" s="856"/>
      <c r="AF47" s="856"/>
      <c r="AG47" s="856"/>
      <c r="AH47" s="856"/>
      <c r="AI47" s="856"/>
      <c r="AJ47" s="856"/>
      <c r="AK47" s="856"/>
      <c r="AL47" s="856"/>
      <c r="AM47" s="856"/>
      <c r="AN47" s="856"/>
      <c r="AO47" s="856"/>
      <c r="AP47" s="856"/>
      <c r="AQ47" s="856"/>
    </row>
    <row r="48" spans="1:82" ht="51" customHeight="1" x14ac:dyDescent="0.25">
      <c r="A48" s="854"/>
      <c r="B48" s="854"/>
      <c r="C48" s="879" t="s">
        <v>316</v>
      </c>
      <c r="D48" s="1293" t="s">
        <v>317</v>
      </c>
      <c r="E48" s="1293"/>
      <c r="F48" s="1293"/>
      <c r="G48" s="1293"/>
      <c r="H48" s="1293"/>
      <c r="I48" s="1293"/>
      <c r="J48" s="1293"/>
      <c r="K48" s="854"/>
      <c r="L48" s="854"/>
      <c r="M48" s="854"/>
      <c r="N48" s="854"/>
      <c r="O48" s="854"/>
      <c r="P48" s="854"/>
      <c r="Q48" s="854"/>
      <c r="R48" s="854"/>
      <c r="S48" s="856"/>
      <c r="T48" s="856"/>
      <c r="U48" s="856"/>
      <c r="V48" s="856"/>
      <c r="W48" s="856"/>
      <c r="X48" s="856"/>
      <c r="Y48" s="856"/>
      <c r="Z48" s="856"/>
      <c r="AA48" s="856"/>
      <c r="AB48" s="856"/>
      <c r="AC48" s="856"/>
      <c r="AD48" s="856"/>
      <c r="AE48" s="856"/>
      <c r="AF48" s="856"/>
      <c r="AG48" s="856"/>
      <c r="AH48" s="856"/>
      <c r="AI48" s="856"/>
      <c r="AJ48" s="856"/>
      <c r="AK48" s="856"/>
      <c r="AL48" s="856"/>
      <c r="AM48" s="856"/>
      <c r="AN48" s="856"/>
      <c r="AO48" s="856"/>
      <c r="AP48" s="856"/>
      <c r="AQ48" s="856"/>
    </row>
    <row r="49" spans="1:32" x14ac:dyDescent="0.25">
      <c r="A49" s="854"/>
      <c r="B49" s="854"/>
      <c r="C49" s="854"/>
      <c r="D49" s="854"/>
      <c r="E49" s="854"/>
      <c r="F49" s="854"/>
      <c r="G49" s="854"/>
      <c r="H49" s="854"/>
      <c r="I49" s="854"/>
      <c r="J49" s="854"/>
      <c r="K49" s="854"/>
      <c r="L49" s="854"/>
      <c r="M49" s="854"/>
      <c r="N49" s="854"/>
      <c r="O49" s="854"/>
      <c r="P49" s="854"/>
      <c r="Q49" s="854"/>
      <c r="R49" s="854"/>
      <c r="S49" s="856"/>
      <c r="T49" s="856"/>
      <c r="U49" s="856"/>
      <c r="V49" s="856"/>
      <c r="W49" s="856"/>
      <c r="X49" s="856"/>
      <c r="Y49" s="856"/>
      <c r="Z49" s="856"/>
      <c r="AA49" s="856"/>
      <c r="AB49" s="856"/>
      <c r="AC49" s="856"/>
      <c r="AD49" s="856"/>
      <c r="AE49" s="856"/>
      <c r="AF49" s="856"/>
    </row>
    <row r="50" spans="1:32" ht="50.25" customHeight="1" x14ac:dyDescent="0.25">
      <c r="B50" s="880"/>
      <c r="C50" s="1290"/>
      <c r="D50" s="1290"/>
      <c r="E50" s="1290"/>
      <c r="F50" s="1290"/>
      <c r="G50" s="1290"/>
      <c r="H50" s="1290"/>
      <c r="I50" s="1290"/>
      <c r="J50" s="1290"/>
      <c r="K50" s="856"/>
      <c r="L50" s="856"/>
      <c r="M50" s="856"/>
      <c r="N50" s="856"/>
      <c r="O50" s="856"/>
      <c r="P50" s="856"/>
      <c r="Q50" s="856"/>
      <c r="R50" s="856"/>
      <c r="S50" s="856"/>
      <c r="T50" s="856"/>
      <c r="U50" s="856"/>
      <c r="V50" s="856"/>
      <c r="W50" s="856"/>
      <c r="X50" s="856"/>
      <c r="Y50" s="856"/>
      <c r="Z50" s="856"/>
      <c r="AA50" s="856"/>
      <c r="AB50" s="856"/>
      <c r="AC50" s="856"/>
      <c r="AD50" s="856"/>
      <c r="AE50" s="856"/>
      <c r="AF50" s="856"/>
    </row>
    <row r="51" spans="1:32" x14ac:dyDescent="0.25">
      <c r="B51" s="856"/>
      <c r="C51" s="856"/>
      <c r="D51" s="856"/>
      <c r="E51" s="856"/>
      <c r="F51" s="856"/>
      <c r="G51" s="856"/>
      <c r="H51" s="856"/>
      <c r="I51" s="856"/>
      <c r="J51" s="856"/>
      <c r="K51" s="856"/>
      <c r="L51" s="856"/>
      <c r="M51" s="856"/>
      <c r="N51" s="856"/>
      <c r="O51" s="856"/>
      <c r="P51" s="856"/>
      <c r="Q51" s="856"/>
      <c r="R51" s="856"/>
      <c r="S51" s="856"/>
      <c r="T51" s="856"/>
      <c r="U51" s="856"/>
      <c r="V51" s="856"/>
      <c r="W51" s="856"/>
      <c r="X51" s="856"/>
      <c r="Y51" s="856"/>
      <c r="Z51" s="856"/>
      <c r="AA51" s="856"/>
      <c r="AB51" s="856"/>
      <c r="AC51" s="856"/>
      <c r="AD51" s="856"/>
      <c r="AE51" s="856"/>
      <c r="AF51" s="856"/>
    </row>
    <row r="52" spans="1:32" x14ac:dyDescent="0.25">
      <c r="B52" s="856"/>
      <c r="C52" s="856"/>
      <c r="D52" s="856"/>
      <c r="E52" s="856"/>
      <c r="F52" s="856"/>
      <c r="G52" s="856"/>
      <c r="H52" s="856"/>
      <c r="I52" s="856"/>
      <c r="J52" s="856"/>
      <c r="K52" s="856"/>
      <c r="L52" s="856"/>
      <c r="M52" s="856"/>
      <c r="N52" s="856"/>
      <c r="O52" s="856"/>
      <c r="P52" s="856"/>
      <c r="Q52" s="856"/>
      <c r="R52" s="856"/>
      <c r="S52" s="856"/>
      <c r="T52" s="856"/>
      <c r="U52" s="856"/>
      <c r="V52" s="856"/>
      <c r="W52" s="856"/>
      <c r="X52" s="856"/>
      <c r="Y52" s="856"/>
      <c r="Z52" s="856"/>
      <c r="AA52" s="856"/>
      <c r="AB52" s="856"/>
      <c r="AC52" s="856"/>
      <c r="AD52" s="856"/>
      <c r="AE52" s="856"/>
      <c r="AF52" s="856"/>
    </row>
    <row r="53" spans="1:32" x14ac:dyDescent="0.25">
      <c r="B53" s="856"/>
      <c r="C53" s="856"/>
      <c r="D53" s="856"/>
      <c r="E53" s="856"/>
      <c r="F53" s="856"/>
      <c r="G53" s="856"/>
      <c r="H53" s="856"/>
      <c r="I53" s="856"/>
      <c r="J53" s="856"/>
      <c r="K53" s="856"/>
      <c r="L53" s="856"/>
      <c r="M53" s="856"/>
      <c r="N53" s="856"/>
      <c r="O53" s="856"/>
      <c r="P53" s="856"/>
      <c r="Q53" s="856"/>
      <c r="R53" s="856"/>
      <c r="S53" s="856"/>
      <c r="T53" s="856"/>
      <c r="U53" s="856"/>
      <c r="V53" s="856"/>
      <c r="W53" s="856"/>
      <c r="X53" s="856"/>
      <c r="Y53" s="856"/>
      <c r="Z53" s="856"/>
      <c r="AA53" s="856"/>
      <c r="AB53" s="856"/>
      <c r="AC53" s="856"/>
      <c r="AD53" s="856"/>
      <c r="AE53" s="856"/>
      <c r="AF53" s="856"/>
    </row>
    <row r="54" spans="1:32" x14ac:dyDescent="0.25">
      <c r="B54" s="856"/>
      <c r="C54" s="856"/>
      <c r="D54" s="856"/>
      <c r="E54" s="856"/>
      <c r="F54" s="856"/>
      <c r="G54" s="856"/>
      <c r="H54" s="856"/>
      <c r="I54" s="856"/>
      <c r="J54" s="856"/>
      <c r="K54" s="856"/>
      <c r="L54" s="856"/>
      <c r="M54" s="856"/>
      <c r="N54" s="856"/>
      <c r="O54" s="856"/>
      <c r="P54" s="856"/>
      <c r="Q54" s="856"/>
      <c r="R54" s="856"/>
      <c r="S54" s="856"/>
      <c r="T54" s="856"/>
      <c r="U54" s="856"/>
      <c r="V54" s="856"/>
      <c r="W54" s="856"/>
      <c r="X54" s="856"/>
      <c r="Y54" s="856"/>
      <c r="Z54" s="856"/>
      <c r="AA54" s="856"/>
      <c r="AB54" s="856"/>
      <c r="AC54" s="856"/>
      <c r="AD54" s="856"/>
      <c r="AE54" s="856"/>
      <c r="AF54" s="856"/>
    </row>
    <row r="55" spans="1:32" x14ac:dyDescent="0.25">
      <c r="B55" s="856"/>
      <c r="C55" s="856"/>
      <c r="D55" s="856"/>
      <c r="E55" s="856"/>
      <c r="F55" s="856"/>
      <c r="G55" s="856"/>
      <c r="H55" s="856"/>
      <c r="I55" s="856"/>
      <c r="J55" s="856"/>
      <c r="K55" s="856"/>
      <c r="L55" s="856"/>
      <c r="M55" s="856"/>
      <c r="N55" s="856"/>
      <c r="O55" s="856"/>
      <c r="P55" s="856"/>
      <c r="Q55" s="856"/>
      <c r="R55" s="856"/>
      <c r="S55" s="856"/>
      <c r="T55" s="856"/>
      <c r="U55" s="856"/>
      <c r="V55" s="856"/>
      <c r="W55" s="856"/>
      <c r="X55" s="856"/>
      <c r="Y55" s="856"/>
      <c r="Z55" s="856"/>
      <c r="AA55" s="856"/>
      <c r="AB55" s="856"/>
      <c r="AC55" s="856"/>
      <c r="AD55" s="856"/>
      <c r="AE55" s="856"/>
      <c r="AF55" s="856"/>
    </row>
  </sheetData>
  <mergeCells count="31">
    <mergeCell ref="G6:G7"/>
    <mergeCell ref="I6:I7"/>
    <mergeCell ref="C50:J50"/>
    <mergeCell ref="C35:J35"/>
    <mergeCell ref="D38:E38"/>
    <mergeCell ref="D39:E39"/>
    <mergeCell ref="D40:E40"/>
    <mergeCell ref="D48:J48"/>
    <mergeCell ref="D47:J47"/>
    <mergeCell ref="D44:J44"/>
    <mergeCell ref="D41:E41"/>
    <mergeCell ref="D42:E42"/>
    <mergeCell ref="D46:J46"/>
    <mergeCell ref="D45:J45"/>
    <mergeCell ref="C36:J36"/>
    <mergeCell ref="B2:C2"/>
    <mergeCell ref="C34:J34"/>
    <mergeCell ref="E2:F2"/>
    <mergeCell ref="B32:Q32"/>
    <mergeCell ref="D6:E6"/>
    <mergeCell ref="M6:M7"/>
    <mergeCell ref="O6:O7"/>
    <mergeCell ref="Q5:Q6"/>
    <mergeCell ref="O5:P5"/>
    <mergeCell ref="K5:L5"/>
    <mergeCell ref="K6:K7"/>
    <mergeCell ref="M5:N5"/>
    <mergeCell ref="G5:H5"/>
    <mergeCell ref="I5:J5"/>
    <mergeCell ref="D5:E5"/>
    <mergeCell ref="F6:F7"/>
  </mergeCells>
  <dataValidations count="2">
    <dataValidation type="list" allowBlank="1" showInputMessage="1" showErrorMessage="1" sqref="C8:C31" xr:uid="{A050591C-98C8-4434-BC56-B9946DEBA004}">
      <formula1>INDIRECT(CONCATENATE(LaborCollection,SUBSTITUTE(B8," ",""),"Categories"),FALSE)</formula1>
    </dataValidation>
    <dataValidation type="list" allowBlank="1" showInputMessage="1" showErrorMessage="1" sqref="B8:B31" xr:uid="{00000000-0002-0000-0400-000001000000}">
      <formula1>IF(LaborCollection="General",GeneralLaborGroups,IF(LaborCollection="Academia",AcademiaLaborGroups,NoBusinessTypeSelected))</formula1>
    </dataValidation>
  </dataValidations>
  <pageMargins left="0.7" right="0.7" top="0.75" bottom="0.75" header="0.3" footer="0.3"/>
  <pageSetup paperSize="3" scale="79" orientation="landscape" r:id="rId1"/>
  <rowBreaks count="1" manualBreakCount="1">
    <brk id="33" max="17" man="1"/>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
    <tabColor theme="5" tint="0.79998168889431442"/>
    <pageSetUpPr fitToPage="1"/>
  </sheetPr>
  <dimension ref="A1:TY102"/>
  <sheetViews>
    <sheetView zoomScale="85" zoomScaleNormal="85" zoomScalePageLayoutView="65" workbookViewId="0">
      <pane xSplit="3" ySplit="7" topLeftCell="D8" activePane="bottomRight" state="frozen"/>
      <selection pane="topRight" activeCell="D1" sqref="D1"/>
      <selection pane="bottomLeft" activeCell="A7" sqref="A7"/>
      <selection pane="bottomRight" activeCell="A2" sqref="A2:B2"/>
    </sheetView>
  </sheetViews>
  <sheetFormatPr defaultColWidth="8.453125" defaultRowHeight="13" x14ac:dyDescent="0.25"/>
  <cols>
    <col min="1" max="1" width="18.81640625" style="292" customWidth="1"/>
    <col min="2" max="2" width="18.54296875" style="292" customWidth="1"/>
    <col min="3" max="3" width="31.81640625" style="292" customWidth="1"/>
    <col min="4" max="4" width="3.81640625" style="292" customWidth="1"/>
    <col min="5" max="5" width="17.1796875" style="292" customWidth="1"/>
    <col min="6" max="6" width="11.7265625" style="292" bestFit="1" customWidth="1"/>
    <col min="7" max="7" width="20.1796875" style="292" customWidth="1"/>
    <col min="8" max="8" width="4" style="292" customWidth="1"/>
    <col min="9" max="9" width="15.7265625" style="292" customWidth="1"/>
    <col min="10" max="10" width="11.7265625" style="292" bestFit="1" customWidth="1"/>
    <col min="11" max="11" width="21.7265625" style="292" customWidth="1"/>
    <col min="12" max="12" width="3.453125" style="292" customWidth="1"/>
    <col min="13" max="13" width="15.7265625" style="292" customWidth="1"/>
    <col min="14" max="14" width="12.54296875" style="292" bestFit="1" customWidth="1"/>
    <col min="15" max="15" width="14.81640625" style="292" customWidth="1"/>
    <col min="16" max="16" width="3.81640625" style="292" customWidth="1"/>
    <col min="17" max="17" width="15.453125" style="292" customWidth="1"/>
    <col min="18" max="18" width="12.81640625" style="292" bestFit="1" customWidth="1"/>
    <col min="19" max="19" width="15.453125" style="292" customWidth="1"/>
    <col min="20" max="20" width="3.81640625" style="292" customWidth="1"/>
    <col min="21" max="21" width="16.81640625" style="292" customWidth="1"/>
    <col min="22" max="22" width="12.1796875" style="292" customWidth="1"/>
    <col min="23" max="23" width="15.1796875" style="292" customWidth="1"/>
    <col min="24" max="24" width="3.81640625" style="292" customWidth="1"/>
    <col min="25" max="25" width="13.26953125" style="292" bestFit="1" customWidth="1"/>
    <col min="26" max="26" width="12.54296875" style="292" bestFit="1" customWidth="1"/>
    <col min="27" max="27" width="17.453125" style="292" customWidth="1"/>
    <col min="28" max="28" width="3.453125" style="292" customWidth="1"/>
    <col min="29" max="29" width="15.81640625" style="292" customWidth="1"/>
    <col min="30" max="30" width="23.453125" style="292" customWidth="1"/>
    <col min="31" max="31" width="6.453125" style="292" customWidth="1"/>
    <col min="32" max="16384" width="8.453125" style="292"/>
  </cols>
  <sheetData>
    <row r="1" spans="1:61" ht="12.65" customHeight="1" x14ac:dyDescent="0.25">
      <c r="A1" s="951"/>
      <c r="B1" s="952"/>
      <c r="C1" s="953"/>
      <c r="D1" s="954"/>
      <c r="E1" s="955"/>
      <c r="F1" s="955"/>
      <c r="G1" s="955"/>
      <c r="H1" s="954"/>
      <c r="I1" s="955"/>
      <c r="J1" s="955"/>
      <c r="K1" s="955"/>
      <c r="L1" s="954"/>
      <c r="M1" s="955"/>
      <c r="N1" s="955"/>
      <c r="O1" s="955"/>
      <c r="P1" s="954"/>
      <c r="Q1" s="955"/>
      <c r="R1" s="955"/>
      <c r="S1" s="955"/>
      <c r="T1" s="954"/>
      <c r="U1" s="955"/>
      <c r="V1" s="955"/>
      <c r="W1" s="955"/>
      <c r="X1" s="954"/>
      <c r="Y1" s="955"/>
      <c r="Z1" s="955"/>
      <c r="AA1" s="955"/>
      <c r="AB1" s="955"/>
      <c r="AC1" s="955"/>
      <c r="AD1" s="955"/>
      <c r="AE1" s="956"/>
      <c r="AF1" s="802"/>
      <c r="AG1" s="802"/>
      <c r="AH1" s="802"/>
      <c r="AI1" s="802"/>
      <c r="AJ1" s="802"/>
      <c r="AK1" s="802"/>
      <c r="AL1" s="802"/>
      <c r="AM1" s="802"/>
      <c r="AN1" s="802"/>
      <c r="AO1" s="802"/>
      <c r="AP1" s="802"/>
      <c r="AQ1" s="802"/>
      <c r="AR1" s="802"/>
      <c r="AS1" s="802"/>
      <c r="AT1" s="802"/>
      <c r="AU1" s="802"/>
      <c r="AV1" s="802"/>
      <c r="AW1" s="802"/>
      <c r="AX1" s="802"/>
      <c r="AY1" s="802"/>
      <c r="AZ1" s="802"/>
      <c r="BA1" s="802"/>
      <c r="BB1" s="802"/>
      <c r="BC1" s="802"/>
      <c r="BD1" s="802"/>
    </row>
    <row r="2" spans="1:61" ht="34" customHeight="1" x14ac:dyDescent="0.25">
      <c r="A2" s="1317" t="s">
        <v>318</v>
      </c>
      <c r="B2" s="1318"/>
      <c r="C2" s="614" t="s">
        <v>319</v>
      </c>
      <c r="D2" s="1180"/>
      <c r="E2" s="957"/>
      <c r="F2" s="957"/>
      <c r="G2" s="957"/>
      <c r="H2" s="1180"/>
      <c r="I2" s="957"/>
      <c r="J2" s="957"/>
      <c r="K2" s="957"/>
      <c r="L2" s="1180"/>
      <c r="M2" s="957"/>
      <c r="N2" s="957"/>
      <c r="O2" s="957"/>
      <c r="P2" s="1180"/>
      <c r="Q2" s="957"/>
      <c r="R2" s="957"/>
      <c r="S2" s="957"/>
      <c r="T2" s="1180"/>
      <c r="U2" s="957"/>
      <c r="V2" s="957"/>
      <c r="W2" s="957"/>
      <c r="X2" s="1180"/>
      <c r="Y2" s="957"/>
      <c r="Z2" s="957"/>
      <c r="AA2" s="957"/>
      <c r="AB2" s="957"/>
      <c r="AC2" s="957"/>
      <c r="AD2" s="957"/>
      <c r="AE2" s="958"/>
      <c r="AF2" s="802"/>
      <c r="AG2" s="802"/>
      <c r="AH2" s="802"/>
      <c r="AI2" s="802"/>
      <c r="AJ2" s="802"/>
      <c r="AK2" s="802"/>
      <c r="AL2" s="802"/>
      <c r="AM2" s="802"/>
      <c r="AN2" s="802"/>
      <c r="AO2" s="802"/>
      <c r="AP2" s="802"/>
      <c r="AQ2" s="802"/>
      <c r="AR2" s="802"/>
      <c r="AS2" s="802"/>
      <c r="AT2" s="802"/>
      <c r="AU2" s="802"/>
      <c r="AV2" s="802"/>
      <c r="AW2" s="802"/>
      <c r="AX2" s="802"/>
      <c r="AY2" s="802"/>
      <c r="AZ2" s="802"/>
      <c r="BA2" s="802"/>
      <c r="BB2" s="802"/>
      <c r="BC2" s="802"/>
      <c r="BD2" s="802"/>
    </row>
    <row r="3" spans="1:61" ht="10.5" customHeight="1" x14ac:dyDescent="0.25">
      <c r="A3" s="959"/>
      <c r="B3" s="960"/>
      <c r="C3" s="960"/>
      <c r="D3" s="1180"/>
      <c r="E3" s="957"/>
      <c r="F3" s="957"/>
      <c r="G3" s="957"/>
      <c r="H3" s="1180"/>
      <c r="I3" s="957"/>
      <c r="J3" s="957"/>
      <c r="K3" s="957"/>
      <c r="L3" s="1180"/>
      <c r="M3" s="957"/>
      <c r="N3" s="957"/>
      <c r="O3" s="957"/>
      <c r="P3" s="1180"/>
      <c r="Q3" s="957"/>
      <c r="R3" s="957"/>
      <c r="S3" s="957"/>
      <c r="T3" s="1180"/>
      <c r="U3" s="957"/>
      <c r="V3" s="957"/>
      <c r="W3" s="957"/>
      <c r="X3" s="1180"/>
      <c r="Y3" s="957"/>
      <c r="Z3" s="957"/>
      <c r="AA3" s="957"/>
      <c r="AB3" s="957"/>
      <c r="AC3" s="957"/>
      <c r="AD3" s="957"/>
      <c r="AE3" s="958"/>
      <c r="AF3" s="802"/>
      <c r="AG3" s="802"/>
      <c r="AH3" s="802"/>
      <c r="AI3" s="802"/>
      <c r="AJ3" s="802"/>
      <c r="AK3" s="802"/>
      <c r="AL3" s="802"/>
      <c r="AM3" s="802"/>
      <c r="AN3" s="802"/>
      <c r="AO3" s="802"/>
      <c r="AP3" s="802"/>
      <c r="AQ3" s="802"/>
      <c r="AR3" s="802"/>
      <c r="AS3" s="802"/>
      <c r="AT3" s="802"/>
      <c r="AU3" s="802"/>
      <c r="AV3" s="802"/>
      <c r="AW3" s="802"/>
      <c r="AX3" s="802"/>
      <c r="AY3" s="802"/>
      <c r="AZ3" s="802"/>
      <c r="BA3" s="802"/>
      <c r="BB3" s="802"/>
      <c r="BC3" s="802"/>
      <c r="BD3" s="802"/>
    </row>
    <row r="4" spans="1:61" ht="21" customHeight="1" x14ac:dyDescent="0.25">
      <c r="A4" s="1149" t="s">
        <v>320</v>
      </c>
      <c r="B4" s="1331" t="str">
        <f>General!D4</f>
        <v>Name</v>
      </c>
      <c r="C4" s="1331"/>
      <c r="D4" s="1180"/>
      <c r="E4" s="1309"/>
      <c r="F4" s="1309"/>
      <c r="G4" s="1309"/>
      <c r="H4" s="1180"/>
      <c r="I4" s="1309"/>
      <c r="J4" s="1309"/>
      <c r="K4" s="1309"/>
      <c r="L4" s="1180"/>
      <c r="M4" s="1309"/>
      <c r="N4" s="1309"/>
      <c r="O4" s="1309"/>
      <c r="P4" s="1180"/>
      <c r="Q4" s="1309"/>
      <c r="R4" s="1309"/>
      <c r="S4" s="1309"/>
      <c r="T4" s="1180"/>
      <c r="U4" s="1309"/>
      <c r="V4" s="1309"/>
      <c r="W4" s="1309"/>
      <c r="X4" s="1180"/>
      <c r="Y4" s="1309"/>
      <c r="Z4" s="1309"/>
      <c r="AA4" s="1309"/>
      <c r="AB4" s="1177"/>
      <c r="AC4" s="957"/>
      <c r="AD4" s="957"/>
      <c r="AE4" s="958"/>
      <c r="AF4" s="802"/>
      <c r="AG4" s="802"/>
      <c r="AH4" s="802"/>
      <c r="AI4" s="802"/>
      <c r="AJ4" s="802"/>
      <c r="AK4" s="802"/>
      <c r="AL4" s="802"/>
      <c r="AM4" s="802"/>
      <c r="AN4" s="802"/>
      <c r="AO4" s="802"/>
      <c r="AP4" s="802"/>
      <c r="AQ4" s="802"/>
      <c r="AR4" s="802"/>
      <c r="AS4" s="802"/>
      <c r="AT4" s="802"/>
      <c r="AU4" s="802"/>
      <c r="AV4" s="802"/>
      <c r="AW4" s="802"/>
      <c r="AX4" s="802"/>
      <c r="AY4" s="802"/>
      <c r="AZ4" s="802"/>
      <c r="BA4" s="802"/>
      <c r="BB4" s="802"/>
      <c r="BC4" s="802"/>
      <c r="BD4" s="802"/>
    </row>
    <row r="5" spans="1:61" ht="22" customHeight="1" x14ac:dyDescent="0.25">
      <c r="A5" s="1149" t="s">
        <v>321</v>
      </c>
      <c r="B5" s="1331" t="str">
        <f>General!D5</f>
        <v>Name</v>
      </c>
      <c r="C5" s="1331"/>
      <c r="D5" s="960"/>
      <c r="E5" s="960"/>
      <c r="F5" s="960"/>
      <c r="G5" s="960"/>
      <c r="H5" s="1180"/>
      <c r="I5" s="960"/>
      <c r="J5" s="960"/>
      <c r="K5" s="960"/>
      <c r="L5" s="1180"/>
      <c r="M5" s="960"/>
      <c r="N5" s="960"/>
      <c r="O5" s="960"/>
      <c r="P5" s="1180"/>
      <c r="Q5" s="960"/>
      <c r="R5" s="960"/>
      <c r="S5" s="960"/>
      <c r="T5" s="1180"/>
      <c r="U5" s="960"/>
      <c r="V5" s="960"/>
      <c r="W5" s="960"/>
      <c r="X5" s="1180"/>
      <c r="Y5" s="960"/>
      <c r="Z5" s="960"/>
      <c r="AA5" s="960"/>
      <c r="AB5" s="972"/>
      <c r="AC5" s="960"/>
      <c r="AD5" s="960"/>
      <c r="AE5" s="958"/>
      <c r="AF5" s="803"/>
      <c r="AG5" s="803"/>
      <c r="AH5" s="803"/>
      <c r="AR5" s="803"/>
      <c r="AS5" s="803"/>
      <c r="AT5" s="803"/>
      <c r="AU5" s="803"/>
      <c r="AV5" s="803"/>
      <c r="AW5" s="803"/>
      <c r="AX5" s="803"/>
      <c r="AZ5" s="803"/>
      <c r="BA5" s="803"/>
      <c r="BB5" s="803"/>
      <c r="BC5" s="803"/>
      <c r="BD5" s="803"/>
      <c r="BE5" s="803"/>
      <c r="BF5" s="803"/>
      <c r="BG5" s="1307"/>
      <c r="BH5" s="1307"/>
      <c r="BI5" s="1307"/>
    </row>
    <row r="6" spans="1:61" ht="24" customHeight="1" x14ac:dyDescent="0.25">
      <c r="A6" s="961"/>
      <c r="B6" s="962"/>
      <c r="C6" s="962"/>
      <c r="D6" s="960"/>
      <c r="E6" s="1314" t="str">
        <f>Period1_Label</f>
        <v>FY 1</v>
      </c>
      <c r="F6" s="1315"/>
      <c r="G6" s="1316"/>
      <c r="H6" s="1180"/>
      <c r="I6" s="1314" t="str">
        <f>Period2_Label</f>
        <v>FY 2</v>
      </c>
      <c r="J6" s="1315"/>
      <c r="K6" s="1316"/>
      <c r="L6" s="1180"/>
      <c r="M6" s="1314" t="str">
        <f>Period3_Label</f>
        <v>FY 3</v>
      </c>
      <c r="N6" s="1315"/>
      <c r="O6" s="1316"/>
      <c r="P6" s="1180"/>
      <c r="Q6" s="1314" t="str">
        <f>Period4_Label</f>
        <v>FY 4</v>
      </c>
      <c r="R6" s="1315"/>
      <c r="S6" s="1316"/>
      <c r="T6" s="1180"/>
      <c r="U6" s="1314" t="str">
        <f>Period5_Label</f>
        <v>FY 5</v>
      </c>
      <c r="V6" s="1315"/>
      <c r="W6" s="1316"/>
      <c r="X6" s="1180"/>
      <c r="Y6" s="1314" t="str">
        <f>Period6_Label</f>
        <v>FY 6</v>
      </c>
      <c r="Z6" s="1315"/>
      <c r="AA6" s="1316"/>
      <c r="AB6" s="972"/>
      <c r="AC6" s="1312" t="s">
        <v>322</v>
      </c>
      <c r="AD6" s="1313"/>
      <c r="AE6" s="958"/>
      <c r="AF6" s="804"/>
      <c r="AG6" s="804"/>
      <c r="AH6" s="804"/>
      <c r="AJ6" s="804"/>
      <c r="AK6" s="804"/>
      <c r="AL6" s="804"/>
      <c r="AM6" s="804"/>
      <c r="AN6" s="804"/>
      <c r="AO6" s="804"/>
      <c r="AP6" s="804"/>
      <c r="AR6" s="804"/>
      <c r="AS6" s="804"/>
      <c r="AT6" s="804"/>
      <c r="AU6" s="804"/>
      <c r="AV6" s="804"/>
      <c r="AW6" s="804"/>
      <c r="AX6" s="804"/>
      <c r="AZ6" s="804"/>
      <c r="BA6" s="804"/>
      <c r="BB6" s="804"/>
      <c r="BC6" s="804"/>
      <c r="BD6" s="804"/>
      <c r="BE6" s="804"/>
      <c r="BF6" s="804"/>
    </row>
    <row r="7" spans="1:61" ht="21.65" customHeight="1" x14ac:dyDescent="0.25">
      <c r="A7" s="1336" t="s">
        <v>323</v>
      </c>
      <c r="B7" s="1336"/>
      <c r="C7" s="1336"/>
      <c r="D7" s="960"/>
      <c r="E7" s="1308" t="str">
        <f>CONCATENATE(TEXT('Proposer Constants'!C14,"MM/DD/YY")," to ",TEXT('Proposer Constants'!C15,"MM/DD/YY"))</f>
        <v>06/01/25 to 05/31/26</v>
      </c>
      <c r="F7" s="1308"/>
      <c r="G7" s="1308"/>
      <c r="H7" s="1180"/>
      <c r="I7" s="1308" t="str">
        <f>CONCATENATE(TEXT('Proposer Constants'!D14,"MM/DD/YY")," to ",TEXT('Proposer Constants'!D15,"MM/DD/YY"))</f>
        <v>06/01/26 to 05/31/27</v>
      </c>
      <c r="J7" s="1308"/>
      <c r="K7" s="1308"/>
      <c r="L7" s="1180"/>
      <c r="M7" s="1308" t="str">
        <f>CONCATENATE(TEXT('Proposer Constants'!E14,"MM/DD/YY")," to ",TEXT('Proposer Constants'!E15,"MM/DD/YY"))</f>
        <v>06/01/27 to 05/31/28</v>
      </c>
      <c r="N7" s="1308"/>
      <c r="O7" s="1308"/>
      <c r="P7" s="1180"/>
      <c r="Q7" s="1308" t="str">
        <f>CONCATENATE(TEXT('Proposer Constants'!F14,"MM/DD/YY")," to ",TEXT('Proposer Constants'!F15,"MM/DD/YY"))</f>
        <v>06/01/28 to 05/31/29</v>
      </c>
      <c r="R7" s="1308"/>
      <c r="S7" s="1308"/>
      <c r="T7" s="1180"/>
      <c r="U7" s="1308" t="str">
        <f>CONCATENATE(TEXT('Proposer Constants'!G14,"MM/DD/YY")," to ",TEXT('Proposer Constants'!G15,"MM/DD/YY"))</f>
        <v>06/01/29 to 05/31/30</v>
      </c>
      <c r="V7" s="1308"/>
      <c r="W7" s="1308"/>
      <c r="X7" s="1180"/>
      <c r="Y7" s="1308" t="str">
        <f>CONCATENATE(TEXT('Proposer Constants'!H14,"MM/DD/YY")," to ",TEXT('Proposer Constants'!H15,"MM/DD/YY"))</f>
        <v>06/01/30 to 05/31/31</v>
      </c>
      <c r="Z7" s="1308"/>
      <c r="AA7" s="1308"/>
      <c r="AB7" s="973"/>
      <c r="AC7" s="1310" t="s">
        <v>324</v>
      </c>
      <c r="AD7" s="1311"/>
      <c r="AE7" s="958"/>
      <c r="AF7" s="802"/>
      <c r="AG7" s="802"/>
      <c r="AH7" s="802"/>
      <c r="AI7" s="802"/>
      <c r="AL7" s="802"/>
      <c r="AM7" s="805"/>
      <c r="AN7" s="802"/>
      <c r="AO7" s="802"/>
      <c r="AP7" s="802"/>
      <c r="AQ7" s="802"/>
      <c r="AS7" s="804"/>
      <c r="AT7" s="802"/>
      <c r="AU7" s="805"/>
      <c r="AV7" s="802"/>
    </row>
    <row r="8" spans="1:61" s="616" customFormat="1" ht="31.5" customHeight="1" x14ac:dyDescent="0.25">
      <c r="A8" s="1332" t="s">
        <v>325</v>
      </c>
      <c r="B8" s="1333"/>
      <c r="C8" s="1098" t="s">
        <v>326</v>
      </c>
      <c r="D8" s="963"/>
      <c r="E8" s="617" t="s">
        <v>327</v>
      </c>
      <c r="F8" s="617" t="s">
        <v>328</v>
      </c>
      <c r="G8" s="617" t="s">
        <v>329</v>
      </c>
      <c r="H8" s="1180"/>
      <c r="I8" s="617" t="s">
        <v>327</v>
      </c>
      <c r="J8" s="617" t="s">
        <v>328</v>
      </c>
      <c r="K8" s="617" t="s">
        <v>329</v>
      </c>
      <c r="L8" s="1180"/>
      <c r="M8" s="617" t="s">
        <v>327</v>
      </c>
      <c r="N8" s="617" t="s">
        <v>328</v>
      </c>
      <c r="O8" s="617" t="s">
        <v>329</v>
      </c>
      <c r="P8" s="1180"/>
      <c r="Q8" s="617" t="s">
        <v>327</v>
      </c>
      <c r="R8" s="617" t="s">
        <v>328</v>
      </c>
      <c r="S8" s="617" t="s">
        <v>329</v>
      </c>
      <c r="T8" s="1180"/>
      <c r="U8" s="617" t="s">
        <v>327</v>
      </c>
      <c r="V8" s="617" t="s">
        <v>328</v>
      </c>
      <c r="W8" s="617" t="s">
        <v>329</v>
      </c>
      <c r="X8" s="1180"/>
      <c r="Y8" s="617" t="s">
        <v>327</v>
      </c>
      <c r="Z8" s="617" t="s">
        <v>328</v>
      </c>
      <c r="AA8" s="617" t="s">
        <v>329</v>
      </c>
      <c r="AB8" s="974"/>
      <c r="AC8" s="617" t="s">
        <v>330</v>
      </c>
      <c r="AD8" s="617" t="s">
        <v>331</v>
      </c>
      <c r="AE8" s="958"/>
    </row>
    <row r="9" spans="1:61" ht="15" customHeight="1" x14ac:dyDescent="0.25">
      <c r="A9" s="1321" t="str">
        <f>IF(ISBLANK('Labor Rates'!D8),"",'Labor Rates'!D8)</f>
        <v/>
      </c>
      <c r="B9" s="1322"/>
      <c r="C9" s="949" t="str">
        <f>IF(ISBLANK('Labor Rates'!E8),"",'Labor Rates'!E8)</f>
        <v/>
      </c>
      <c r="D9" s="960"/>
      <c r="E9" s="791">
        <v>0</v>
      </c>
      <c r="F9" s="618">
        <f>'Labor Rates'!F8</f>
        <v>0</v>
      </c>
      <c r="G9" s="619">
        <f>E9*F9</f>
        <v>0</v>
      </c>
      <c r="H9" s="1180"/>
      <c r="I9" s="791">
        <v>0</v>
      </c>
      <c r="J9" s="618">
        <f>'Labor Rates'!H8</f>
        <v>0</v>
      </c>
      <c r="K9" s="619">
        <f>I9*J9</f>
        <v>0</v>
      </c>
      <c r="L9" s="1180"/>
      <c r="M9" s="791">
        <v>0</v>
      </c>
      <c r="N9" s="618">
        <f>'Labor Rates'!J8</f>
        <v>0</v>
      </c>
      <c r="O9" s="619">
        <f>M9*N9</f>
        <v>0</v>
      </c>
      <c r="P9" s="1180"/>
      <c r="Q9" s="791">
        <v>0</v>
      </c>
      <c r="R9" s="618">
        <f>'Labor Rates'!L8</f>
        <v>0</v>
      </c>
      <c r="S9" s="619">
        <f>Q9*R9</f>
        <v>0</v>
      </c>
      <c r="T9" s="1180"/>
      <c r="U9" s="791">
        <v>0</v>
      </c>
      <c r="V9" s="618">
        <f>'Labor Rates'!N8</f>
        <v>0</v>
      </c>
      <c r="W9" s="619">
        <f>U9*V9</f>
        <v>0</v>
      </c>
      <c r="X9" s="1180"/>
      <c r="Y9" s="791">
        <v>0</v>
      </c>
      <c r="Z9" s="618">
        <f>'Labor Rates'!P8</f>
        <v>0</v>
      </c>
      <c r="AA9" s="619">
        <f>Y9*Z9</f>
        <v>0</v>
      </c>
      <c r="AB9" s="975"/>
      <c r="AC9" s="1002">
        <f t="shared" ref="AC9:AC32" si="0">E9+I9+M9+Q9+U9+Y9</f>
        <v>0</v>
      </c>
      <c r="AD9" s="619">
        <f t="shared" ref="AD9:AD32" si="1">G9+K9+O9+S9+W9+AA9</f>
        <v>0</v>
      </c>
      <c r="AE9" s="958"/>
    </row>
    <row r="10" spans="1:61" ht="15" customHeight="1" x14ac:dyDescent="0.25">
      <c r="A10" s="1321" t="str">
        <f>IF(ISBLANK('Labor Rates'!D9),"",'Labor Rates'!D9)</f>
        <v/>
      </c>
      <c r="B10" s="1322"/>
      <c r="C10" s="949" t="str">
        <f>IF(ISBLANK('Labor Rates'!E9),"",'Labor Rates'!E9)</f>
        <v/>
      </c>
      <c r="D10" s="960"/>
      <c r="E10" s="791">
        <v>0</v>
      </c>
      <c r="F10" s="618">
        <f>'Labor Rates'!F9</f>
        <v>0</v>
      </c>
      <c r="G10" s="619">
        <f t="shared" ref="G10:G32" si="2">E10*F10</f>
        <v>0</v>
      </c>
      <c r="H10" s="1180"/>
      <c r="I10" s="791">
        <v>0</v>
      </c>
      <c r="J10" s="618">
        <f>'Labor Rates'!H9</f>
        <v>0</v>
      </c>
      <c r="K10" s="619">
        <f t="shared" ref="K10:K32" si="3">I10*J10</f>
        <v>0</v>
      </c>
      <c r="L10" s="1180"/>
      <c r="M10" s="791">
        <v>0</v>
      </c>
      <c r="N10" s="618">
        <f>'Labor Rates'!J9</f>
        <v>0</v>
      </c>
      <c r="O10" s="619">
        <f t="shared" ref="O10:O32" si="4">M10*N10</f>
        <v>0</v>
      </c>
      <c r="P10" s="1180"/>
      <c r="Q10" s="791">
        <v>0</v>
      </c>
      <c r="R10" s="618">
        <f>'Labor Rates'!L9</f>
        <v>0</v>
      </c>
      <c r="S10" s="619">
        <f t="shared" ref="S10:S32" si="5">Q10*R10</f>
        <v>0</v>
      </c>
      <c r="T10" s="1180"/>
      <c r="U10" s="791">
        <v>0</v>
      </c>
      <c r="V10" s="618">
        <f>'Labor Rates'!N9</f>
        <v>0</v>
      </c>
      <c r="W10" s="619">
        <f t="shared" ref="W10:W32" si="6">U10*V10</f>
        <v>0</v>
      </c>
      <c r="X10" s="1180"/>
      <c r="Y10" s="791">
        <v>0</v>
      </c>
      <c r="Z10" s="618">
        <f>'Labor Rates'!P9</f>
        <v>0</v>
      </c>
      <c r="AA10" s="619">
        <f t="shared" ref="AA10:AA32" si="7">Y10*Z10</f>
        <v>0</v>
      </c>
      <c r="AB10" s="975"/>
      <c r="AC10" s="1002">
        <f t="shared" si="0"/>
        <v>0</v>
      </c>
      <c r="AD10" s="619">
        <f t="shared" si="1"/>
        <v>0</v>
      </c>
      <c r="AE10" s="958"/>
    </row>
    <row r="11" spans="1:61" ht="15" customHeight="1" x14ac:dyDescent="0.25">
      <c r="A11" s="1321" t="str">
        <f>IF(ISBLANK('Labor Rates'!D10),"",'Labor Rates'!D10)</f>
        <v/>
      </c>
      <c r="B11" s="1322"/>
      <c r="C11" s="949" t="str">
        <f>IF(ISBLANK('Labor Rates'!E10),"",'Labor Rates'!E10)</f>
        <v/>
      </c>
      <c r="D11" s="960"/>
      <c r="E11" s="791">
        <v>0</v>
      </c>
      <c r="F11" s="618">
        <f>'Labor Rates'!F10</f>
        <v>0</v>
      </c>
      <c r="G11" s="619">
        <f t="shared" si="2"/>
        <v>0</v>
      </c>
      <c r="H11" s="1180"/>
      <c r="I11" s="791">
        <v>0</v>
      </c>
      <c r="J11" s="618">
        <f>'Labor Rates'!H10</f>
        <v>0</v>
      </c>
      <c r="K11" s="619">
        <f t="shared" si="3"/>
        <v>0</v>
      </c>
      <c r="L11" s="1180"/>
      <c r="M11" s="791">
        <v>0</v>
      </c>
      <c r="N11" s="618">
        <f>'Labor Rates'!J10</f>
        <v>0</v>
      </c>
      <c r="O11" s="619">
        <f t="shared" si="4"/>
        <v>0</v>
      </c>
      <c r="P11" s="1180"/>
      <c r="Q11" s="791">
        <v>0</v>
      </c>
      <c r="R11" s="618">
        <f>'Labor Rates'!L10</f>
        <v>0</v>
      </c>
      <c r="S11" s="619">
        <f t="shared" si="5"/>
        <v>0</v>
      </c>
      <c r="T11" s="1180"/>
      <c r="U11" s="791">
        <v>0</v>
      </c>
      <c r="V11" s="618">
        <f>'Labor Rates'!N10</f>
        <v>0</v>
      </c>
      <c r="W11" s="619">
        <f t="shared" si="6"/>
        <v>0</v>
      </c>
      <c r="X11" s="1180"/>
      <c r="Y11" s="791">
        <v>0</v>
      </c>
      <c r="Z11" s="618">
        <f>'Labor Rates'!P10</f>
        <v>0</v>
      </c>
      <c r="AA11" s="619">
        <f t="shared" si="7"/>
        <v>0</v>
      </c>
      <c r="AB11" s="975"/>
      <c r="AC11" s="1002">
        <f t="shared" si="0"/>
        <v>0</v>
      </c>
      <c r="AD11" s="619">
        <f t="shared" si="1"/>
        <v>0</v>
      </c>
      <c r="AE11" s="958"/>
    </row>
    <row r="12" spans="1:61" ht="15" customHeight="1" x14ac:dyDescent="0.25">
      <c r="A12" s="1321" t="str">
        <f>IF(ISBLANK('Labor Rates'!D11),"",'Labor Rates'!D11)</f>
        <v/>
      </c>
      <c r="B12" s="1322"/>
      <c r="C12" s="949" t="str">
        <f>IF(ISBLANK('Labor Rates'!E11),"",'Labor Rates'!E11)</f>
        <v/>
      </c>
      <c r="D12" s="960"/>
      <c r="E12" s="791">
        <v>0</v>
      </c>
      <c r="F12" s="618">
        <f>'Labor Rates'!F11</f>
        <v>0</v>
      </c>
      <c r="G12" s="619">
        <f t="shared" si="2"/>
        <v>0</v>
      </c>
      <c r="H12" s="1180"/>
      <c r="I12" s="791">
        <v>0</v>
      </c>
      <c r="J12" s="618">
        <f>'Labor Rates'!H11</f>
        <v>0</v>
      </c>
      <c r="K12" s="619">
        <f t="shared" si="3"/>
        <v>0</v>
      </c>
      <c r="L12" s="1180"/>
      <c r="M12" s="791">
        <v>0</v>
      </c>
      <c r="N12" s="618">
        <f>'Labor Rates'!J11</f>
        <v>0</v>
      </c>
      <c r="O12" s="619">
        <f t="shared" si="4"/>
        <v>0</v>
      </c>
      <c r="P12" s="1180"/>
      <c r="Q12" s="791">
        <v>0</v>
      </c>
      <c r="R12" s="618">
        <f>'Labor Rates'!L11</f>
        <v>0</v>
      </c>
      <c r="S12" s="619">
        <f t="shared" si="5"/>
        <v>0</v>
      </c>
      <c r="T12" s="1180"/>
      <c r="U12" s="791">
        <v>0</v>
      </c>
      <c r="V12" s="618">
        <f>'Labor Rates'!N11</f>
        <v>0</v>
      </c>
      <c r="W12" s="619">
        <f t="shared" si="6"/>
        <v>0</v>
      </c>
      <c r="X12" s="1180"/>
      <c r="Y12" s="791">
        <v>0</v>
      </c>
      <c r="Z12" s="618">
        <f>'Labor Rates'!P11</f>
        <v>0</v>
      </c>
      <c r="AA12" s="619">
        <f t="shared" si="7"/>
        <v>0</v>
      </c>
      <c r="AB12" s="975"/>
      <c r="AC12" s="1002">
        <f t="shared" si="0"/>
        <v>0</v>
      </c>
      <c r="AD12" s="619">
        <f t="shared" si="1"/>
        <v>0</v>
      </c>
      <c r="AE12" s="958"/>
    </row>
    <row r="13" spans="1:61" ht="15" customHeight="1" x14ac:dyDescent="0.25">
      <c r="A13" s="1321" t="str">
        <f>IF(ISBLANK('Labor Rates'!D12),"",'Labor Rates'!D12)</f>
        <v/>
      </c>
      <c r="B13" s="1322"/>
      <c r="C13" s="949" t="str">
        <f>IF(ISBLANK('Labor Rates'!E12),"",'Labor Rates'!E12)</f>
        <v/>
      </c>
      <c r="D13" s="960"/>
      <c r="E13" s="791">
        <v>0</v>
      </c>
      <c r="F13" s="618">
        <f>'Labor Rates'!F12</f>
        <v>0</v>
      </c>
      <c r="G13" s="619">
        <f t="shared" si="2"/>
        <v>0</v>
      </c>
      <c r="H13" s="1180"/>
      <c r="I13" s="791">
        <v>0</v>
      </c>
      <c r="J13" s="618">
        <f>'Labor Rates'!H12</f>
        <v>0</v>
      </c>
      <c r="K13" s="619">
        <f t="shared" si="3"/>
        <v>0</v>
      </c>
      <c r="L13" s="1180"/>
      <c r="M13" s="791">
        <v>0</v>
      </c>
      <c r="N13" s="618">
        <f>'Labor Rates'!J12</f>
        <v>0</v>
      </c>
      <c r="O13" s="619">
        <f t="shared" si="4"/>
        <v>0</v>
      </c>
      <c r="P13" s="1180"/>
      <c r="Q13" s="791">
        <v>0</v>
      </c>
      <c r="R13" s="618">
        <f>'Labor Rates'!L12</f>
        <v>0</v>
      </c>
      <c r="S13" s="619">
        <f t="shared" si="5"/>
        <v>0</v>
      </c>
      <c r="T13" s="1180"/>
      <c r="U13" s="791">
        <v>0</v>
      </c>
      <c r="V13" s="618">
        <f>'Labor Rates'!N12</f>
        <v>0</v>
      </c>
      <c r="W13" s="619">
        <f t="shared" si="6"/>
        <v>0</v>
      </c>
      <c r="X13" s="1180"/>
      <c r="Y13" s="791">
        <v>0</v>
      </c>
      <c r="Z13" s="618">
        <f>'Labor Rates'!P12</f>
        <v>0</v>
      </c>
      <c r="AA13" s="619">
        <f t="shared" si="7"/>
        <v>0</v>
      </c>
      <c r="AB13" s="975"/>
      <c r="AC13" s="1002">
        <f t="shared" si="0"/>
        <v>0</v>
      </c>
      <c r="AD13" s="619">
        <f t="shared" si="1"/>
        <v>0</v>
      </c>
      <c r="AE13" s="958"/>
    </row>
    <row r="14" spans="1:61" ht="15" customHeight="1" x14ac:dyDescent="0.25">
      <c r="A14" s="1321" t="str">
        <f>IF(ISBLANK('Labor Rates'!D13),"",'Labor Rates'!D13)</f>
        <v/>
      </c>
      <c r="B14" s="1322"/>
      <c r="C14" s="949" t="str">
        <f>IF(ISBLANK('Labor Rates'!E13),"",'Labor Rates'!E13)</f>
        <v/>
      </c>
      <c r="D14" s="960"/>
      <c r="E14" s="791">
        <v>0</v>
      </c>
      <c r="F14" s="618">
        <f>'Labor Rates'!F13</f>
        <v>0</v>
      </c>
      <c r="G14" s="619">
        <f t="shared" si="2"/>
        <v>0</v>
      </c>
      <c r="H14" s="1180"/>
      <c r="I14" s="791">
        <v>0</v>
      </c>
      <c r="J14" s="618">
        <f>'Labor Rates'!H13</f>
        <v>0</v>
      </c>
      <c r="K14" s="619">
        <f t="shared" si="3"/>
        <v>0</v>
      </c>
      <c r="L14" s="1180"/>
      <c r="M14" s="791">
        <v>0</v>
      </c>
      <c r="N14" s="618">
        <f>'Labor Rates'!J13</f>
        <v>0</v>
      </c>
      <c r="O14" s="619">
        <f t="shared" si="4"/>
        <v>0</v>
      </c>
      <c r="P14" s="1180"/>
      <c r="Q14" s="791">
        <v>0</v>
      </c>
      <c r="R14" s="618">
        <f>'Labor Rates'!L13</f>
        <v>0</v>
      </c>
      <c r="S14" s="619">
        <f t="shared" si="5"/>
        <v>0</v>
      </c>
      <c r="T14" s="1180"/>
      <c r="U14" s="791">
        <v>0</v>
      </c>
      <c r="V14" s="618">
        <f>'Labor Rates'!N13</f>
        <v>0</v>
      </c>
      <c r="W14" s="619">
        <f t="shared" si="6"/>
        <v>0</v>
      </c>
      <c r="X14" s="1180"/>
      <c r="Y14" s="791">
        <v>0</v>
      </c>
      <c r="Z14" s="618">
        <f>'Labor Rates'!P13</f>
        <v>0</v>
      </c>
      <c r="AA14" s="619">
        <f t="shared" si="7"/>
        <v>0</v>
      </c>
      <c r="AB14" s="975"/>
      <c r="AC14" s="1002">
        <f t="shared" si="0"/>
        <v>0</v>
      </c>
      <c r="AD14" s="619">
        <f t="shared" si="1"/>
        <v>0</v>
      </c>
      <c r="AE14" s="958"/>
    </row>
    <row r="15" spans="1:61" ht="15" customHeight="1" x14ac:dyDescent="0.25">
      <c r="A15" s="1321" t="str">
        <f>IF(ISBLANK('Labor Rates'!D14),"",'Labor Rates'!D14)</f>
        <v/>
      </c>
      <c r="B15" s="1322"/>
      <c r="C15" s="949" t="str">
        <f>IF(ISBLANK('Labor Rates'!E14),"",'Labor Rates'!E14)</f>
        <v/>
      </c>
      <c r="D15" s="960"/>
      <c r="E15" s="791">
        <v>0</v>
      </c>
      <c r="F15" s="618">
        <f>'Labor Rates'!F14</f>
        <v>0</v>
      </c>
      <c r="G15" s="619">
        <f t="shared" si="2"/>
        <v>0</v>
      </c>
      <c r="H15" s="1180"/>
      <c r="I15" s="791">
        <v>0</v>
      </c>
      <c r="J15" s="618">
        <f>'Labor Rates'!H14</f>
        <v>0</v>
      </c>
      <c r="K15" s="619">
        <f t="shared" si="3"/>
        <v>0</v>
      </c>
      <c r="L15" s="1180"/>
      <c r="M15" s="791">
        <v>0</v>
      </c>
      <c r="N15" s="618">
        <f>'Labor Rates'!J14</f>
        <v>0</v>
      </c>
      <c r="O15" s="619">
        <f t="shared" si="4"/>
        <v>0</v>
      </c>
      <c r="P15" s="1180"/>
      <c r="Q15" s="791">
        <v>0</v>
      </c>
      <c r="R15" s="618">
        <f>'Labor Rates'!L14</f>
        <v>0</v>
      </c>
      <c r="S15" s="619">
        <f t="shared" si="5"/>
        <v>0</v>
      </c>
      <c r="T15" s="1180"/>
      <c r="U15" s="791">
        <v>0</v>
      </c>
      <c r="V15" s="618">
        <f>'Labor Rates'!N14</f>
        <v>0</v>
      </c>
      <c r="W15" s="619">
        <f t="shared" si="6"/>
        <v>0</v>
      </c>
      <c r="X15" s="1180"/>
      <c r="Y15" s="791">
        <v>0</v>
      </c>
      <c r="Z15" s="618">
        <f>'Labor Rates'!P14</f>
        <v>0</v>
      </c>
      <c r="AA15" s="619">
        <f t="shared" si="7"/>
        <v>0</v>
      </c>
      <c r="AB15" s="975"/>
      <c r="AC15" s="1002">
        <f t="shared" si="0"/>
        <v>0</v>
      </c>
      <c r="AD15" s="619">
        <f t="shared" si="1"/>
        <v>0</v>
      </c>
      <c r="AE15" s="958"/>
    </row>
    <row r="16" spans="1:61" ht="15" customHeight="1" x14ac:dyDescent="0.25">
      <c r="A16" s="1321" t="str">
        <f>IF(ISBLANK('Labor Rates'!D15),"",'Labor Rates'!D15)</f>
        <v/>
      </c>
      <c r="B16" s="1322"/>
      <c r="C16" s="949" t="str">
        <f>IF(ISBLANK('Labor Rates'!E15),"",'Labor Rates'!E15)</f>
        <v/>
      </c>
      <c r="D16" s="960"/>
      <c r="E16" s="791">
        <v>0</v>
      </c>
      <c r="F16" s="618">
        <f>'Labor Rates'!F15</f>
        <v>0</v>
      </c>
      <c r="G16" s="619">
        <f t="shared" si="2"/>
        <v>0</v>
      </c>
      <c r="H16" s="1180"/>
      <c r="I16" s="791">
        <v>0</v>
      </c>
      <c r="J16" s="618">
        <f>'Labor Rates'!H15</f>
        <v>0</v>
      </c>
      <c r="K16" s="619">
        <f t="shared" si="3"/>
        <v>0</v>
      </c>
      <c r="L16" s="1180"/>
      <c r="M16" s="791">
        <v>0</v>
      </c>
      <c r="N16" s="618">
        <f>'Labor Rates'!J15</f>
        <v>0</v>
      </c>
      <c r="O16" s="619">
        <f t="shared" si="4"/>
        <v>0</v>
      </c>
      <c r="P16" s="1180"/>
      <c r="Q16" s="791">
        <v>0</v>
      </c>
      <c r="R16" s="618">
        <f>'Labor Rates'!L15</f>
        <v>0</v>
      </c>
      <c r="S16" s="619">
        <f t="shared" si="5"/>
        <v>0</v>
      </c>
      <c r="T16" s="1180"/>
      <c r="U16" s="791">
        <v>0</v>
      </c>
      <c r="V16" s="618">
        <f>'Labor Rates'!N15</f>
        <v>0</v>
      </c>
      <c r="W16" s="619">
        <f t="shared" si="6"/>
        <v>0</v>
      </c>
      <c r="X16" s="1180"/>
      <c r="Y16" s="791">
        <v>0</v>
      </c>
      <c r="Z16" s="618">
        <f>'Labor Rates'!P15</f>
        <v>0</v>
      </c>
      <c r="AA16" s="619">
        <f t="shared" si="7"/>
        <v>0</v>
      </c>
      <c r="AB16" s="975"/>
      <c r="AC16" s="1002">
        <f t="shared" si="0"/>
        <v>0</v>
      </c>
      <c r="AD16" s="619">
        <f t="shared" si="1"/>
        <v>0</v>
      </c>
      <c r="AE16" s="958"/>
    </row>
    <row r="17" spans="1:31" ht="15" customHeight="1" x14ac:dyDescent="0.25">
      <c r="A17" s="1321" t="str">
        <f>IF(ISBLANK('Labor Rates'!D16),"",'Labor Rates'!D16)</f>
        <v/>
      </c>
      <c r="B17" s="1322"/>
      <c r="C17" s="950" t="str">
        <f>IF(ISBLANK('Labor Rates'!E16),"",'Labor Rates'!E16)</f>
        <v/>
      </c>
      <c r="D17" s="960"/>
      <c r="E17" s="791">
        <v>0</v>
      </c>
      <c r="F17" s="618">
        <f>'Labor Rates'!F16</f>
        <v>0</v>
      </c>
      <c r="G17" s="619">
        <f t="shared" si="2"/>
        <v>0</v>
      </c>
      <c r="H17" s="1180"/>
      <c r="I17" s="791">
        <v>0</v>
      </c>
      <c r="J17" s="618">
        <f>'Labor Rates'!H16</f>
        <v>0</v>
      </c>
      <c r="K17" s="619">
        <f t="shared" si="3"/>
        <v>0</v>
      </c>
      <c r="L17" s="1180"/>
      <c r="M17" s="791">
        <v>0</v>
      </c>
      <c r="N17" s="618">
        <f>'Labor Rates'!J16</f>
        <v>0</v>
      </c>
      <c r="O17" s="619">
        <f t="shared" si="4"/>
        <v>0</v>
      </c>
      <c r="P17" s="1180"/>
      <c r="Q17" s="791">
        <v>0</v>
      </c>
      <c r="R17" s="618">
        <f>'Labor Rates'!L16</f>
        <v>0</v>
      </c>
      <c r="S17" s="619">
        <f t="shared" si="5"/>
        <v>0</v>
      </c>
      <c r="T17" s="1180"/>
      <c r="U17" s="791">
        <v>0</v>
      </c>
      <c r="V17" s="618">
        <f>'Labor Rates'!N16</f>
        <v>0</v>
      </c>
      <c r="W17" s="619">
        <f t="shared" si="6"/>
        <v>0</v>
      </c>
      <c r="X17" s="1180"/>
      <c r="Y17" s="791">
        <v>0</v>
      </c>
      <c r="Z17" s="618">
        <f>'Labor Rates'!P16</f>
        <v>0</v>
      </c>
      <c r="AA17" s="619">
        <f t="shared" si="7"/>
        <v>0</v>
      </c>
      <c r="AB17" s="975"/>
      <c r="AC17" s="1002">
        <f t="shared" si="0"/>
        <v>0</v>
      </c>
      <c r="AD17" s="619">
        <f t="shared" si="1"/>
        <v>0</v>
      </c>
      <c r="AE17" s="958"/>
    </row>
    <row r="18" spans="1:31" ht="15" customHeight="1" x14ac:dyDescent="0.25">
      <c r="A18" s="1321" t="str">
        <f>IF(ISBLANK('Labor Rates'!D17),"",'Labor Rates'!D17)</f>
        <v/>
      </c>
      <c r="B18" s="1322"/>
      <c r="C18" s="950" t="str">
        <f>IF(ISBLANK('Labor Rates'!E17),"",'Labor Rates'!E17)</f>
        <v/>
      </c>
      <c r="D18" s="960"/>
      <c r="E18" s="791">
        <v>0</v>
      </c>
      <c r="F18" s="618">
        <f>'Labor Rates'!F17</f>
        <v>0</v>
      </c>
      <c r="G18" s="619">
        <f t="shared" si="2"/>
        <v>0</v>
      </c>
      <c r="H18" s="1180"/>
      <c r="I18" s="791">
        <v>0</v>
      </c>
      <c r="J18" s="618">
        <f>'Labor Rates'!H17</f>
        <v>0</v>
      </c>
      <c r="K18" s="619">
        <f t="shared" si="3"/>
        <v>0</v>
      </c>
      <c r="L18" s="1180"/>
      <c r="M18" s="791">
        <v>0</v>
      </c>
      <c r="N18" s="618">
        <f>'Labor Rates'!J17</f>
        <v>0</v>
      </c>
      <c r="O18" s="619">
        <f t="shared" si="4"/>
        <v>0</v>
      </c>
      <c r="P18" s="1180"/>
      <c r="Q18" s="791">
        <v>0</v>
      </c>
      <c r="R18" s="618">
        <f>'Labor Rates'!L17</f>
        <v>0</v>
      </c>
      <c r="S18" s="619">
        <f t="shared" si="5"/>
        <v>0</v>
      </c>
      <c r="T18" s="1180"/>
      <c r="U18" s="791">
        <v>0</v>
      </c>
      <c r="V18" s="618">
        <f>'Labor Rates'!N17</f>
        <v>0</v>
      </c>
      <c r="W18" s="619">
        <f t="shared" si="6"/>
        <v>0</v>
      </c>
      <c r="X18" s="1180"/>
      <c r="Y18" s="791">
        <v>0</v>
      </c>
      <c r="Z18" s="618">
        <f>'Labor Rates'!P17</f>
        <v>0</v>
      </c>
      <c r="AA18" s="619">
        <f t="shared" si="7"/>
        <v>0</v>
      </c>
      <c r="AB18" s="975"/>
      <c r="AC18" s="1002">
        <f t="shared" si="0"/>
        <v>0</v>
      </c>
      <c r="AD18" s="619">
        <f t="shared" si="1"/>
        <v>0</v>
      </c>
      <c r="AE18" s="958"/>
    </row>
    <row r="19" spans="1:31" ht="15" customHeight="1" x14ac:dyDescent="0.25">
      <c r="A19" s="1321" t="str">
        <f>IF(ISBLANK('Labor Rates'!D18),"",'Labor Rates'!D18)</f>
        <v/>
      </c>
      <c r="B19" s="1322"/>
      <c r="C19" s="950" t="str">
        <f>IF(ISBLANK('Labor Rates'!E18),"",'Labor Rates'!E18)</f>
        <v/>
      </c>
      <c r="D19" s="960"/>
      <c r="E19" s="791">
        <v>0</v>
      </c>
      <c r="F19" s="618">
        <f>'Labor Rates'!F18</f>
        <v>0</v>
      </c>
      <c r="G19" s="619">
        <f t="shared" si="2"/>
        <v>0</v>
      </c>
      <c r="H19" s="1180"/>
      <c r="I19" s="791">
        <v>0</v>
      </c>
      <c r="J19" s="618">
        <f>'Labor Rates'!H18</f>
        <v>0</v>
      </c>
      <c r="K19" s="619">
        <f t="shared" si="3"/>
        <v>0</v>
      </c>
      <c r="L19" s="1180"/>
      <c r="M19" s="791">
        <v>0</v>
      </c>
      <c r="N19" s="618">
        <f>'Labor Rates'!J18</f>
        <v>0</v>
      </c>
      <c r="O19" s="619">
        <f t="shared" si="4"/>
        <v>0</v>
      </c>
      <c r="P19" s="1180"/>
      <c r="Q19" s="791">
        <v>0</v>
      </c>
      <c r="R19" s="618">
        <f>'Labor Rates'!L18</f>
        <v>0</v>
      </c>
      <c r="S19" s="619">
        <f t="shared" si="5"/>
        <v>0</v>
      </c>
      <c r="T19" s="1180"/>
      <c r="U19" s="791">
        <v>0</v>
      </c>
      <c r="V19" s="618">
        <f>'Labor Rates'!N18</f>
        <v>0</v>
      </c>
      <c r="W19" s="619">
        <f t="shared" si="6"/>
        <v>0</v>
      </c>
      <c r="X19" s="1180"/>
      <c r="Y19" s="791">
        <v>0</v>
      </c>
      <c r="Z19" s="618">
        <f>'Labor Rates'!P18</f>
        <v>0</v>
      </c>
      <c r="AA19" s="619">
        <f t="shared" si="7"/>
        <v>0</v>
      </c>
      <c r="AB19" s="975"/>
      <c r="AC19" s="1002">
        <f t="shared" si="0"/>
        <v>0</v>
      </c>
      <c r="AD19" s="619">
        <f t="shared" si="1"/>
        <v>0</v>
      </c>
      <c r="AE19" s="958"/>
    </row>
    <row r="20" spans="1:31" ht="15" customHeight="1" x14ac:dyDescent="0.25">
      <c r="A20" s="1321" t="str">
        <f>IF(ISBLANK('Labor Rates'!D19),"",'Labor Rates'!D19)</f>
        <v/>
      </c>
      <c r="B20" s="1322"/>
      <c r="C20" s="950" t="str">
        <f>IF(ISBLANK('Labor Rates'!E19),"",'Labor Rates'!E19)</f>
        <v/>
      </c>
      <c r="D20" s="960"/>
      <c r="E20" s="791">
        <v>0</v>
      </c>
      <c r="F20" s="618">
        <f>'Labor Rates'!F19</f>
        <v>0</v>
      </c>
      <c r="G20" s="619">
        <f t="shared" si="2"/>
        <v>0</v>
      </c>
      <c r="H20" s="1180"/>
      <c r="I20" s="791">
        <v>0</v>
      </c>
      <c r="J20" s="618">
        <f>'Labor Rates'!H19</f>
        <v>0</v>
      </c>
      <c r="K20" s="619">
        <f t="shared" si="3"/>
        <v>0</v>
      </c>
      <c r="L20" s="1180"/>
      <c r="M20" s="791">
        <v>0</v>
      </c>
      <c r="N20" s="618">
        <f>'Labor Rates'!J19</f>
        <v>0</v>
      </c>
      <c r="O20" s="619">
        <f t="shared" si="4"/>
        <v>0</v>
      </c>
      <c r="P20" s="1180"/>
      <c r="Q20" s="791">
        <v>0</v>
      </c>
      <c r="R20" s="618">
        <f>'Labor Rates'!L19</f>
        <v>0</v>
      </c>
      <c r="S20" s="619">
        <f t="shared" si="5"/>
        <v>0</v>
      </c>
      <c r="T20" s="1180"/>
      <c r="U20" s="791">
        <v>0</v>
      </c>
      <c r="V20" s="618">
        <f>'Labor Rates'!N19</f>
        <v>0</v>
      </c>
      <c r="W20" s="619">
        <f t="shared" si="6"/>
        <v>0</v>
      </c>
      <c r="X20" s="1180"/>
      <c r="Y20" s="791">
        <v>0</v>
      </c>
      <c r="Z20" s="618">
        <f>'Labor Rates'!P19</f>
        <v>0</v>
      </c>
      <c r="AA20" s="619">
        <f t="shared" si="7"/>
        <v>0</v>
      </c>
      <c r="AB20" s="975"/>
      <c r="AC20" s="1002">
        <f t="shared" si="0"/>
        <v>0</v>
      </c>
      <c r="AD20" s="619">
        <f t="shared" si="1"/>
        <v>0</v>
      </c>
      <c r="AE20" s="958"/>
    </row>
    <row r="21" spans="1:31" ht="15" customHeight="1" x14ac:dyDescent="0.25">
      <c r="A21" s="1321" t="str">
        <f>IF(ISBLANK('Labor Rates'!D20),"",'Labor Rates'!D20)</f>
        <v/>
      </c>
      <c r="B21" s="1322"/>
      <c r="C21" s="950" t="str">
        <f>IF(ISBLANK('Labor Rates'!E20),"",'Labor Rates'!E20)</f>
        <v/>
      </c>
      <c r="D21" s="960"/>
      <c r="E21" s="791">
        <v>0</v>
      </c>
      <c r="F21" s="618">
        <f>'Labor Rates'!F20</f>
        <v>0</v>
      </c>
      <c r="G21" s="619">
        <f t="shared" si="2"/>
        <v>0</v>
      </c>
      <c r="H21" s="1180"/>
      <c r="I21" s="791">
        <v>0</v>
      </c>
      <c r="J21" s="618">
        <f>'Labor Rates'!H20</f>
        <v>0</v>
      </c>
      <c r="K21" s="619">
        <f t="shared" si="3"/>
        <v>0</v>
      </c>
      <c r="L21" s="1180"/>
      <c r="M21" s="791">
        <v>0</v>
      </c>
      <c r="N21" s="618">
        <f>'Labor Rates'!J20</f>
        <v>0</v>
      </c>
      <c r="O21" s="619">
        <f t="shared" si="4"/>
        <v>0</v>
      </c>
      <c r="P21" s="1180"/>
      <c r="Q21" s="791">
        <v>0</v>
      </c>
      <c r="R21" s="618">
        <f>'Labor Rates'!L20</f>
        <v>0</v>
      </c>
      <c r="S21" s="619">
        <f t="shared" si="5"/>
        <v>0</v>
      </c>
      <c r="T21" s="1180"/>
      <c r="U21" s="791">
        <v>0</v>
      </c>
      <c r="V21" s="618">
        <f>'Labor Rates'!N20</f>
        <v>0</v>
      </c>
      <c r="W21" s="619">
        <f t="shared" si="6"/>
        <v>0</v>
      </c>
      <c r="X21" s="1180"/>
      <c r="Y21" s="791">
        <v>0</v>
      </c>
      <c r="Z21" s="618">
        <f>'Labor Rates'!P20</f>
        <v>0</v>
      </c>
      <c r="AA21" s="619">
        <f t="shared" si="7"/>
        <v>0</v>
      </c>
      <c r="AB21" s="975"/>
      <c r="AC21" s="1002">
        <f t="shared" si="0"/>
        <v>0</v>
      </c>
      <c r="AD21" s="619">
        <f t="shared" si="1"/>
        <v>0</v>
      </c>
      <c r="AE21" s="958"/>
    </row>
    <row r="22" spans="1:31" ht="15" customHeight="1" x14ac:dyDescent="0.25">
      <c r="A22" s="1321" t="str">
        <f>IF(ISBLANK('Labor Rates'!D21),"",'Labor Rates'!D21)</f>
        <v/>
      </c>
      <c r="B22" s="1322"/>
      <c r="C22" s="950" t="str">
        <f>IF(ISBLANK('Labor Rates'!E21),"",'Labor Rates'!E21)</f>
        <v/>
      </c>
      <c r="D22" s="960"/>
      <c r="E22" s="791">
        <v>0</v>
      </c>
      <c r="F22" s="618">
        <f>'Labor Rates'!F21</f>
        <v>0</v>
      </c>
      <c r="G22" s="619">
        <f t="shared" si="2"/>
        <v>0</v>
      </c>
      <c r="H22" s="1180"/>
      <c r="I22" s="791">
        <v>0</v>
      </c>
      <c r="J22" s="618">
        <f>'Labor Rates'!H21</f>
        <v>0</v>
      </c>
      <c r="K22" s="619">
        <f t="shared" si="3"/>
        <v>0</v>
      </c>
      <c r="L22" s="1180"/>
      <c r="M22" s="791">
        <v>0</v>
      </c>
      <c r="N22" s="618">
        <f>'Labor Rates'!J21</f>
        <v>0</v>
      </c>
      <c r="O22" s="619">
        <f t="shared" si="4"/>
        <v>0</v>
      </c>
      <c r="P22" s="1180"/>
      <c r="Q22" s="791">
        <v>0</v>
      </c>
      <c r="R22" s="618">
        <f>'Labor Rates'!L21</f>
        <v>0</v>
      </c>
      <c r="S22" s="619">
        <f t="shared" si="5"/>
        <v>0</v>
      </c>
      <c r="T22" s="1180"/>
      <c r="U22" s="791">
        <v>0</v>
      </c>
      <c r="V22" s="618">
        <f>'Labor Rates'!N21</f>
        <v>0</v>
      </c>
      <c r="W22" s="619">
        <f t="shared" si="6"/>
        <v>0</v>
      </c>
      <c r="X22" s="1180"/>
      <c r="Y22" s="791">
        <v>0</v>
      </c>
      <c r="Z22" s="618">
        <f>'Labor Rates'!P21</f>
        <v>0</v>
      </c>
      <c r="AA22" s="619">
        <f t="shared" si="7"/>
        <v>0</v>
      </c>
      <c r="AB22" s="975"/>
      <c r="AC22" s="1002">
        <f t="shared" si="0"/>
        <v>0</v>
      </c>
      <c r="AD22" s="619">
        <f t="shared" si="1"/>
        <v>0</v>
      </c>
      <c r="AE22" s="958"/>
    </row>
    <row r="23" spans="1:31" ht="15" customHeight="1" x14ac:dyDescent="0.25">
      <c r="A23" s="1321" t="str">
        <f>IF(ISBLANK('Labor Rates'!D22),"",'Labor Rates'!D22)</f>
        <v/>
      </c>
      <c r="B23" s="1322"/>
      <c r="C23" s="950" t="str">
        <f>IF(ISBLANK('Labor Rates'!E22),"",'Labor Rates'!E22)</f>
        <v/>
      </c>
      <c r="D23" s="960"/>
      <c r="E23" s="791">
        <v>0</v>
      </c>
      <c r="F23" s="618">
        <f>'Labor Rates'!F22</f>
        <v>0</v>
      </c>
      <c r="G23" s="619">
        <f t="shared" si="2"/>
        <v>0</v>
      </c>
      <c r="H23" s="1180"/>
      <c r="I23" s="791">
        <v>0</v>
      </c>
      <c r="J23" s="618">
        <f>'Labor Rates'!H22</f>
        <v>0</v>
      </c>
      <c r="K23" s="619">
        <f t="shared" si="3"/>
        <v>0</v>
      </c>
      <c r="L23" s="1180"/>
      <c r="M23" s="791">
        <v>0</v>
      </c>
      <c r="N23" s="618">
        <f>'Labor Rates'!J22</f>
        <v>0</v>
      </c>
      <c r="O23" s="619">
        <f t="shared" si="4"/>
        <v>0</v>
      </c>
      <c r="P23" s="1180"/>
      <c r="Q23" s="791">
        <v>0</v>
      </c>
      <c r="R23" s="618">
        <f>'Labor Rates'!L22</f>
        <v>0</v>
      </c>
      <c r="S23" s="619">
        <f t="shared" si="5"/>
        <v>0</v>
      </c>
      <c r="T23" s="1180"/>
      <c r="U23" s="791">
        <v>0</v>
      </c>
      <c r="V23" s="618">
        <f>'Labor Rates'!N22</f>
        <v>0</v>
      </c>
      <c r="W23" s="619">
        <f t="shared" si="6"/>
        <v>0</v>
      </c>
      <c r="X23" s="1180"/>
      <c r="Y23" s="791">
        <v>0</v>
      </c>
      <c r="Z23" s="618">
        <f>'Labor Rates'!P22</f>
        <v>0</v>
      </c>
      <c r="AA23" s="619">
        <f t="shared" si="7"/>
        <v>0</v>
      </c>
      <c r="AB23" s="975"/>
      <c r="AC23" s="1002">
        <f t="shared" si="0"/>
        <v>0</v>
      </c>
      <c r="AD23" s="619">
        <f t="shared" si="1"/>
        <v>0</v>
      </c>
      <c r="AE23" s="958"/>
    </row>
    <row r="24" spans="1:31" ht="15" customHeight="1" x14ac:dyDescent="0.25">
      <c r="A24" s="1321" t="str">
        <f>IF(ISBLANK('Labor Rates'!D23),"",'Labor Rates'!D23)</f>
        <v/>
      </c>
      <c r="B24" s="1322"/>
      <c r="C24" s="950" t="str">
        <f>IF(ISBLANK('Labor Rates'!E23),"",'Labor Rates'!E23)</f>
        <v/>
      </c>
      <c r="D24" s="960"/>
      <c r="E24" s="791">
        <v>0</v>
      </c>
      <c r="F24" s="618">
        <f>'Labor Rates'!F23</f>
        <v>0</v>
      </c>
      <c r="G24" s="619">
        <f t="shared" si="2"/>
        <v>0</v>
      </c>
      <c r="H24" s="1180"/>
      <c r="I24" s="791">
        <v>0</v>
      </c>
      <c r="J24" s="618">
        <f>'Labor Rates'!H23</f>
        <v>0</v>
      </c>
      <c r="K24" s="619">
        <f t="shared" si="3"/>
        <v>0</v>
      </c>
      <c r="L24" s="1180"/>
      <c r="M24" s="791">
        <v>0</v>
      </c>
      <c r="N24" s="618">
        <f>'Labor Rates'!J23</f>
        <v>0</v>
      </c>
      <c r="O24" s="619">
        <f t="shared" si="4"/>
        <v>0</v>
      </c>
      <c r="P24" s="1180"/>
      <c r="Q24" s="791">
        <v>0</v>
      </c>
      <c r="R24" s="618">
        <f>'Labor Rates'!L23</f>
        <v>0</v>
      </c>
      <c r="S24" s="619">
        <f t="shared" si="5"/>
        <v>0</v>
      </c>
      <c r="T24" s="1180"/>
      <c r="U24" s="791">
        <v>0</v>
      </c>
      <c r="V24" s="618">
        <f>'Labor Rates'!N23</f>
        <v>0</v>
      </c>
      <c r="W24" s="619">
        <f t="shared" si="6"/>
        <v>0</v>
      </c>
      <c r="X24" s="1180"/>
      <c r="Y24" s="791">
        <v>0</v>
      </c>
      <c r="Z24" s="618">
        <f>'Labor Rates'!P23</f>
        <v>0</v>
      </c>
      <c r="AA24" s="619">
        <f t="shared" si="7"/>
        <v>0</v>
      </c>
      <c r="AB24" s="975"/>
      <c r="AC24" s="1002">
        <f t="shared" si="0"/>
        <v>0</v>
      </c>
      <c r="AD24" s="619">
        <f t="shared" si="1"/>
        <v>0</v>
      </c>
      <c r="AE24" s="958"/>
    </row>
    <row r="25" spans="1:31" ht="15" customHeight="1" x14ac:dyDescent="0.25">
      <c r="A25" s="1321" t="str">
        <f>IF(ISBLANK('Labor Rates'!D24),"",'Labor Rates'!D24)</f>
        <v/>
      </c>
      <c r="B25" s="1322"/>
      <c r="C25" s="950" t="str">
        <f>IF(ISBLANK('Labor Rates'!E24),"",'Labor Rates'!E24)</f>
        <v/>
      </c>
      <c r="D25" s="960"/>
      <c r="E25" s="791">
        <v>0</v>
      </c>
      <c r="F25" s="618">
        <f>'Labor Rates'!F24</f>
        <v>0</v>
      </c>
      <c r="G25" s="619">
        <f t="shared" si="2"/>
        <v>0</v>
      </c>
      <c r="H25" s="1180"/>
      <c r="I25" s="791">
        <v>0</v>
      </c>
      <c r="J25" s="618">
        <f>'Labor Rates'!H24</f>
        <v>0</v>
      </c>
      <c r="K25" s="619">
        <f t="shared" si="3"/>
        <v>0</v>
      </c>
      <c r="L25" s="1180"/>
      <c r="M25" s="791">
        <v>0</v>
      </c>
      <c r="N25" s="618">
        <f>'Labor Rates'!J24</f>
        <v>0</v>
      </c>
      <c r="O25" s="619">
        <f t="shared" si="4"/>
        <v>0</v>
      </c>
      <c r="P25" s="1180"/>
      <c r="Q25" s="791">
        <v>0</v>
      </c>
      <c r="R25" s="618">
        <f>'Labor Rates'!L24</f>
        <v>0</v>
      </c>
      <c r="S25" s="619">
        <f t="shared" si="5"/>
        <v>0</v>
      </c>
      <c r="T25" s="1180"/>
      <c r="U25" s="791">
        <v>0</v>
      </c>
      <c r="V25" s="618">
        <f>'Labor Rates'!N24</f>
        <v>0</v>
      </c>
      <c r="W25" s="619">
        <f t="shared" si="6"/>
        <v>0</v>
      </c>
      <c r="X25" s="1180"/>
      <c r="Y25" s="791">
        <v>0</v>
      </c>
      <c r="Z25" s="618">
        <f>'Labor Rates'!P24</f>
        <v>0</v>
      </c>
      <c r="AA25" s="619">
        <f t="shared" si="7"/>
        <v>0</v>
      </c>
      <c r="AB25" s="975"/>
      <c r="AC25" s="1002">
        <f t="shared" si="0"/>
        <v>0</v>
      </c>
      <c r="AD25" s="619">
        <f t="shared" si="1"/>
        <v>0</v>
      </c>
      <c r="AE25" s="958"/>
    </row>
    <row r="26" spans="1:31" ht="15" customHeight="1" x14ac:dyDescent="0.25">
      <c r="A26" s="1321" t="str">
        <f>IF(ISBLANK('Labor Rates'!D25),"",'Labor Rates'!D25)</f>
        <v/>
      </c>
      <c r="B26" s="1322"/>
      <c r="C26" s="950" t="str">
        <f>IF(ISBLANK('Labor Rates'!E25),"",'Labor Rates'!E25)</f>
        <v/>
      </c>
      <c r="D26" s="960"/>
      <c r="E26" s="791">
        <v>0</v>
      </c>
      <c r="F26" s="618">
        <f>'Labor Rates'!F25</f>
        <v>0</v>
      </c>
      <c r="G26" s="619">
        <f t="shared" si="2"/>
        <v>0</v>
      </c>
      <c r="H26" s="1180"/>
      <c r="I26" s="791">
        <v>0</v>
      </c>
      <c r="J26" s="618">
        <f>'Labor Rates'!H25</f>
        <v>0</v>
      </c>
      <c r="K26" s="619">
        <f t="shared" si="3"/>
        <v>0</v>
      </c>
      <c r="L26" s="1180"/>
      <c r="M26" s="791">
        <v>0</v>
      </c>
      <c r="N26" s="618">
        <f>'Labor Rates'!J25</f>
        <v>0</v>
      </c>
      <c r="O26" s="619">
        <f t="shared" si="4"/>
        <v>0</v>
      </c>
      <c r="P26" s="1180"/>
      <c r="Q26" s="791">
        <v>0</v>
      </c>
      <c r="R26" s="618">
        <f>'Labor Rates'!L25</f>
        <v>0</v>
      </c>
      <c r="S26" s="619">
        <f t="shared" si="5"/>
        <v>0</v>
      </c>
      <c r="T26" s="1180"/>
      <c r="U26" s="791">
        <v>0</v>
      </c>
      <c r="V26" s="618">
        <f>'Labor Rates'!N25</f>
        <v>0</v>
      </c>
      <c r="W26" s="619">
        <f t="shared" si="6"/>
        <v>0</v>
      </c>
      <c r="X26" s="1180"/>
      <c r="Y26" s="791">
        <v>0</v>
      </c>
      <c r="Z26" s="618">
        <f>'Labor Rates'!P25</f>
        <v>0</v>
      </c>
      <c r="AA26" s="619">
        <f t="shared" si="7"/>
        <v>0</v>
      </c>
      <c r="AB26" s="975"/>
      <c r="AC26" s="1002">
        <f t="shared" si="0"/>
        <v>0</v>
      </c>
      <c r="AD26" s="619">
        <f t="shared" si="1"/>
        <v>0</v>
      </c>
      <c r="AE26" s="958"/>
    </row>
    <row r="27" spans="1:31" ht="15" customHeight="1" x14ac:dyDescent="0.25">
      <c r="A27" s="1321" t="str">
        <f>IF(ISBLANK('Labor Rates'!D26),"",'Labor Rates'!D26)</f>
        <v/>
      </c>
      <c r="B27" s="1322"/>
      <c r="C27" s="950" t="str">
        <f>IF(ISBLANK('Labor Rates'!E26),"",'Labor Rates'!E26)</f>
        <v/>
      </c>
      <c r="D27" s="960"/>
      <c r="E27" s="791">
        <v>0</v>
      </c>
      <c r="F27" s="618">
        <f>'Labor Rates'!F26</f>
        <v>0</v>
      </c>
      <c r="G27" s="619">
        <f t="shared" si="2"/>
        <v>0</v>
      </c>
      <c r="H27" s="1180"/>
      <c r="I27" s="791">
        <v>0</v>
      </c>
      <c r="J27" s="618">
        <f>'Labor Rates'!H26</f>
        <v>0</v>
      </c>
      <c r="K27" s="619">
        <f t="shared" si="3"/>
        <v>0</v>
      </c>
      <c r="L27" s="1180"/>
      <c r="M27" s="791">
        <v>0</v>
      </c>
      <c r="N27" s="618">
        <f>'Labor Rates'!J26</f>
        <v>0</v>
      </c>
      <c r="O27" s="619">
        <f t="shared" si="4"/>
        <v>0</v>
      </c>
      <c r="P27" s="1180"/>
      <c r="Q27" s="791">
        <v>0</v>
      </c>
      <c r="R27" s="618">
        <f>'Labor Rates'!L26</f>
        <v>0</v>
      </c>
      <c r="S27" s="619">
        <f t="shared" si="5"/>
        <v>0</v>
      </c>
      <c r="T27" s="1180"/>
      <c r="U27" s="791">
        <v>0</v>
      </c>
      <c r="V27" s="618">
        <f>'Labor Rates'!N26</f>
        <v>0</v>
      </c>
      <c r="W27" s="619">
        <f t="shared" si="6"/>
        <v>0</v>
      </c>
      <c r="X27" s="1180"/>
      <c r="Y27" s="791">
        <v>0</v>
      </c>
      <c r="Z27" s="618">
        <f>'Labor Rates'!P26</f>
        <v>0</v>
      </c>
      <c r="AA27" s="619">
        <f t="shared" si="7"/>
        <v>0</v>
      </c>
      <c r="AB27" s="975"/>
      <c r="AC27" s="1002">
        <f t="shared" si="0"/>
        <v>0</v>
      </c>
      <c r="AD27" s="619">
        <f t="shared" si="1"/>
        <v>0</v>
      </c>
      <c r="AE27" s="958"/>
    </row>
    <row r="28" spans="1:31" ht="15" customHeight="1" x14ac:dyDescent="0.25">
      <c r="A28" s="1321" t="str">
        <f>IF(ISBLANK('Labor Rates'!D27),"",'Labor Rates'!D27)</f>
        <v/>
      </c>
      <c r="B28" s="1322"/>
      <c r="C28" s="950" t="str">
        <f>IF(ISBLANK('Labor Rates'!E27),"",'Labor Rates'!E27)</f>
        <v/>
      </c>
      <c r="D28" s="960"/>
      <c r="E28" s="791">
        <v>0</v>
      </c>
      <c r="F28" s="618">
        <f>'Labor Rates'!F27</f>
        <v>0</v>
      </c>
      <c r="G28" s="619">
        <f t="shared" si="2"/>
        <v>0</v>
      </c>
      <c r="H28" s="1180"/>
      <c r="I28" s="791">
        <v>0</v>
      </c>
      <c r="J28" s="618">
        <f>'Labor Rates'!H27</f>
        <v>0</v>
      </c>
      <c r="K28" s="619">
        <f t="shared" si="3"/>
        <v>0</v>
      </c>
      <c r="L28" s="1180"/>
      <c r="M28" s="791">
        <v>0</v>
      </c>
      <c r="N28" s="618">
        <f>'Labor Rates'!J27</f>
        <v>0</v>
      </c>
      <c r="O28" s="619">
        <f t="shared" si="4"/>
        <v>0</v>
      </c>
      <c r="P28" s="1180"/>
      <c r="Q28" s="791">
        <v>0</v>
      </c>
      <c r="R28" s="618">
        <f>'Labor Rates'!L27</f>
        <v>0</v>
      </c>
      <c r="S28" s="619">
        <f t="shared" si="5"/>
        <v>0</v>
      </c>
      <c r="T28" s="1180"/>
      <c r="U28" s="791">
        <v>0</v>
      </c>
      <c r="V28" s="618">
        <f>'Labor Rates'!N27</f>
        <v>0</v>
      </c>
      <c r="W28" s="619">
        <f t="shared" si="6"/>
        <v>0</v>
      </c>
      <c r="X28" s="1180"/>
      <c r="Y28" s="791">
        <v>0</v>
      </c>
      <c r="Z28" s="618">
        <f>'Labor Rates'!P27</f>
        <v>0</v>
      </c>
      <c r="AA28" s="619">
        <f t="shared" si="7"/>
        <v>0</v>
      </c>
      <c r="AB28" s="975"/>
      <c r="AC28" s="1002">
        <f t="shared" si="0"/>
        <v>0</v>
      </c>
      <c r="AD28" s="619">
        <f t="shared" si="1"/>
        <v>0</v>
      </c>
      <c r="AE28" s="958"/>
    </row>
    <row r="29" spans="1:31" ht="15" customHeight="1" x14ac:dyDescent="0.25">
      <c r="A29" s="1321" t="str">
        <f>IF(ISBLANK('Labor Rates'!D28),"",'Labor Rates'!D28)</f>
        <v/>
      </c>
      <c r="B29" s="1322"/>
      <c r="C29" s="950" t="str">
        <f>IF(ISBLANK('Labor Rates'!E28),"",'Labor Rates'!E28)</f>
        <v/>
      </c>
      <c r="D29" s="960"/>
      <c r="E29" s="791">
        <v>0</v>
      </c>
      <c r="F29" s="618">
        <f>'Labor Rates'!F28</f>
        <v>0</v>
      </c>
      <c r="G29" s="619">
        <f t="shared" si="2"/>
        <v>0</v>
      </c>
      <c r="H29" s="1180"/>
      <c r="I29" s="791">
        <v>0</v>
      </c>
      <c r="J29" s="618">
        <f>'Labor Rates'!H28</f>
        <v>0</v>
      </c>
      <c r="K29" s="619">
        <f t="shared" si="3"/>
        <v>0</v>
      </c>
      <c r="L29" s="1180"/>
      <c r="M29" s="791">
        <v>0</v>
      </c>
      <c r="N29" s="618">
        <f>'Labor Rates'!J28</f>
        <v>0</v>
      </c>
      <c r="O29" s="619">
        <f t="shared" si="4"/>
        <v>0</v>
      </c>
      <c r="P29" s="1180"/>
      <c r="Q29" s="791">
        <v>0</v>
      </c>
      <c r="R29" s="618">
        <f>'Labor Rates'!L28</f>
        <v>0</v>
      </c>
      <c r="S29" s="619">
        <f t="shared" si="5"/>
        <v>0</v>
      </c>
      <c r="T29" s="1180"/>
      <c r="U29" s="791">
        <v>0</v>
      </c>
      <c r="V29" s="618">
        <f>'Labor Rates'!N28</f>
        <v>0</v>
      </c>
      <c r="W29" s="619">
        <f t="shared" si="6"/>
        <v>0</v>
      </c>
      <c r="X29" s="1180"/>
      <c r="Y29" s="791">
        <v>0</v>
      </c>
      <c r="Z29" s="618">
        <f>'Labor Rates'!P28</f>
        <v>0</v>
      </c>
      <c r="AA29" s="619">
        <f t="shared" si="7"/>
        <v>0</v>
      </c>
      <c r="AB29" s="975"/>
      <c r="AC29" s="1002">
        <f t="shared" si="0"/>
        <v>0</v>
      </c>
      <c r="AD29" s="619">
        <f t="shared" si="1"/>
        <v>0</v>
      </c>
      <c r="AE29" s="958"/>
    </row>
    <row r="30" spans="1:31" ht="15" customHeight="1" x14ac:dyDescent="0.25">
      <c r="A30" s="1321" t="str">
        <f>IF(ISBLANK('Labor Rates'!D29),"",'Labor Rates'!D29)</f>
        <v/>
      </c>
      <c r="B30" s="1322"/>
      <c r="C30" s="950" t="str">
        <f>IF(ISBLANK('Labor Rates'!E29),"",'Labor Rates'!E29)</f>
        <v/>
      </c>
      <c r="D30" s="960"/>
      <c r="E30" s="791">
        <v>0</v>
      </c>
      <c r="F30" s="618">
        <f>'Labor Rates'!F29</f>
        <v>0</v>
      </c>
      <c r="G30" s="619">
        <f t="shared" si="2"/>
        <v>0</v>
      </c>
      <c r="H30" s="1180"/>
      <c r="I30" s="791">
        <v>0</v>
      </c>
      <c r="J30" s="618">
        <f>'Labor Rates'!H29</f>
        <v>0</v>
      </c>
      <c r="K30" s="619">
        <f t="shared" si="3"/>
        <v>0</v>
      </c>
      <c r="L30" s="1180"/>
      <c r="M30" s="791">
        <v>0</v>
      </c>
      <c r="N30" s="618">
        <f>'Labor Rates'!J29</f>
        <v>0</v>
      </c>
      <c r="O30" s="619">
        <f t="shared" si="4"/>
        <v>0</v>
      </c>
      <c r="P30" s="1180"/>
      <c r="Q30" s="791">
        <v>0</v>
      </c>
      <c r="R30" s="618">
        <f>'Labor Rates'!L29</f>
        <v>0</v>
      </c>
      <c r="S30" s="619">
        <f t="shared" si="5"/>
        <v>0</v>
      </c>
      <c r="T30" s="1180"/>
      <c r="U30" s="791">
        <v>0</v>
      </c>
      <c r="V30" s="618">
        <f>'Labor Rates'!N29</f>
        <v>0</v>
      </c>
      <c r="W30" s="619">
        <f t="shared" si="6"/>
        <v>0</v>
      </c>
      <c r="X30" s="1180"/>
      <c r="Y30" s="791">
        <v>0</v>
      </c>
      <c r="Z30" s="618">
        <f>'Labor Rates'!P29</f>
        <v>0</v>
      </c>
      <c r="AA30" s="619">
        <f t="shared" si="7"/>
        <v>0</v>
      </c>
      <c r="AB30" s="975"/>
      <c r="AC30" s="1002">
        <f t="shared" si="0"/>
        <v>0</v>
      </c>
      <c r="AD30" s="619">
        <f t="shared" si="1"/>
        <v>0</v>
      </c>
      <c r="AE30" s="958"/>
    </row>
    <row r="31" spans="1:31" ht="15" customHeight="1" x14ac:dyDescent="0.25">
      <c r="A31" s="1321" t="str">
        <f>IF(ISBLANK('Labor Rates'!D30),"",'Labor Rates'!D30)</f>
        <v/>
      </c>
      <c r="B31" s="1322"/>
      <c r="C31" s="950" t="str">
        <f>IF(ISBLANK('Labor Rates'!E30),"",'Labor Rates'!E30)</f>
        <v/>
      </c>
      <c r="D31" s="960"/>
      <c r="E31" s="791">
        <v>0</v>
      </c>
      <c r="F31" s="618">
        <f>'Labor Rates'!F30</f>
        <v>0</v>
      </c>
      <c r="G31" s="619">
        <f t="shared" si="2"/>
        <v>0</v>
      </c>
      <c r="H31" s="1180"/>
      <c r="I31" s="791">
        <v>0</v>
      </c>
      <c r="J31" s="618">
        <f>'Labor Rates'!H30</f>
        <v>0</v>
      </c>
      <c r="K31" s="619">
        <f t="shared" si="3"/>
        <v>0</v>
      </c>
      <c r="L31" s="1180"/>
      <c r="M31" s="791">
        <v>0</v>
      </c>
      <c r="N31" s="618">
        <f>'Labor Rates'!J30</f>
        <v>0</v>
      </c>
      <c r="O31" s="619">
        <f t="shared" si="4"/>
        <v>0</v>
      </c>
      <c r="P31" s="1180"/>
      <c r="Q31" s="791">
        <v>0</v>
      </c>
      <c r="R31" s="618">
        <f>'Labor Rates'!L30</f>
        <v>0</v>
      </c>
      <c r="S31" s="619">
        <f t="shared" si="5"/>
        <v>0</v>
      </c>
      <c r="T31" s="1180"/>
      <c r="U31" s="791">
        <v>0</v>
      </c>
      <c r="V31" s="618">
        <f>'Labor Rates'!N30</f>
        <v>0</v>
      </c>
      <c r="W31" s="619">
        <f t="shared" si="6"/>
        <v>0</v>
      </c>
      <c r="X31" s="1180"/>
      <c r="Y31" s="791">
        <v>0</v>
      </c>
      <c r="Z31" s="618">
        <f>'Labor Rates'!P30</f>
        <v>0</v>
      </c>
      <c r="AA31" s="619">
        <f t="shared" si="7"/>
        <v>0</v>
      </c>
      <c r="AB31" s="975"/>
      <c r="AC31" s="1002">
        <f t="shared" si="0"/>
        <v>0</v>
      </c>
      <c r="AD31" s="619">
        <f t="shared" si="1"/>
        <v>0</v>
      </c>
      <c r="AE31" s="958"/>
    </row>
    <row r="32" spans="1:31" ht="15" customHeight="1" x14ac:dyDescent="0.25">
      <c r="A32" s="1321" t="str">
        <f>IF(ISBLANK('Labor Rates'!D31),"",'Labor Rates'!D31)</f>
        <v/>
      </c>
      <c r="B32" s="1322"/>
      <c r="C32" s="949" t="str">
        <f>IF(ISBLANK('Labor Rates'!E31),"",'Labor Rates'!E31)</f>
        <v/>
      </c>
      <c r="D32" s="960"/>
      <c r="E32" s="791">
        <v>0</v>
      </c>
      <c r="F32" s="618">
        <f>'Labor Rates'!F31</f>
        <v>0</v>
      </c>
      <c r="G32" s="619">
        <f t="shared" si="2"/>
        <v>0</v>
      </c>
      <c r="H32" s="1180"/>
      <c r="I32" s="791">
        <v>0</v>
      </c>
      <c r="J32" s="618">
        <f>'Labor Rates'!H31</f>
        <v>0</v>
      </c>
      <c r="K32" s="619">
        <f t="shared" si="3"/>
        <v>0</v>
      </c>
      <c r="L32" s="1180"/>
      <c r="M32" s="791">
        <v>0</v>
      </c>
      <c r="N32" s="618">
        <f>'Labor Rates'!J31</f>
        <v>0</v>
      </c>
      <c r="O32" s="619">
        <f t="shared" si="4"/>
        <v>0</v>
      </c>
      <c r="P32" s="1180"/>
      <c r="Q32" s="791">
        <v>0</v>
      </c>
      <c r="R32" s="618">
        <f>'Labor Rates'!L31</f>
        <v>0</v>
      </c>
      <c r="S32" s="619">
        <f t="shared" si="5"/>
        <v>0</v>
      </c>
      <c r="T32" s="1180"/>
      <c r="U32" s="791">
        <v>0</v>
      </c>
      <c r="V32" s="618">
        <f>'Labor Rates'!N31</f>
        <v>0</v>
      </c>
      <c r="W32" s="619">
        <f t="shared" si="6"/>
        <v>0</v>
      </c>
      <c r="X32" s="1180"/>
      <c r="Y32" s="791">
        <v>0</v>
      </c>
      <c r="Z32" s="618">
        <f>'Labor Rates'!P31</f>
        <v>0</v>
      </c>
      <c r="AA32" s="619">
        <f t="shared" si="7"/>
        <v>0</v>
      </c>
      <c r="AB32" s="975"/>
      <c r="AC32" s="1002">
        <f t="shared" si="0"/>
        <v>0</v>
      </c>
      <c r="AD32" s="619">
        <f t="shared" si="1"/>
        <v>0</v>
      </c>
      <c r="AE32" s="958"/>
    </row>
    <row r="33" spans="1:545" s="620" customFormat="1" ht="23.15" customHeight="1" x14ac:dyDescent="0.25">
      <c r="A33" s="1004"/>
      <c r="B33" s="1005"/>
      <c r="C33" s="1130" t="s">
        <v>332</v>
      </c>
      <c r="D33" s="960"/>
      <c r="E33" s="800">
        <f>SUM(E9:E32)</f>
        <v>0</v>
      </c>
      <c r="F33" s="1143" t="s">
        <v>333</v>
      </c>
      <c r="G33" s="795">
        <f>SUM(G9:G32)</f>
        <v>0</v>
      </c>
      <c r="H33" s="977"/>
      <c r="I33" s="800">
        <f>SUM(I9:I32)</f>
        <v>0</v>
      </c>
      <c r="J33" s="1143" t="s">
        <v>333</v>
      </c>
      <c r="K33" s="795">
        <f>SUM(K9:K32)</f>
        <v>0</v>
      </c>
      <c r="L33" s="977"/>
      <c r="M33" s="800">
        <f>SUM(M9:M32)</f>
        <v>0</v>
      </c>
      <c r="N33" s="1143" t="s">
        <v>333</v>
      </c>
      <c r="O33" s="795">
        <f>SUM(O9:O32)</f>
        <v>0</v>
      </c>
      <c r="P33" s="977"/>
      <c r="Q33" s="800">
        <f>SUM(Q9:Q32)</f>
        <v>0</v>
      </c>
      <c r="R33" s="1143" t="s">
        <v>333</v>
      </c>
      <c r="S33" s="621">
        <f>SUM(S9:S32)</f>
        <v>0</v>
      </c>
      <c r="T33" s="977"/>
      <c r="U33" s="800">
        <f>SUM(U9:U32)</f>
        <v>0</v>
      </c>
      <c r="V33" s="1143" t="s">
        <v>333</v>
      </c>
      <c r="W33" s="795">
        <f>SUM(W9:W32)</f>
        <v>0</v>
      </c>
      <c r="X33" s="977"/>
      <c r="Y33" s="800">
        <f>SUM(Y9:Y32)</f>
        <v>0</v>
      </c>
      <c r="Z33" s="1143" t="s">
        <v>333</v>
      </c>
      <c r="AA33" s="795">
        <f>SUM(AA9:AA32)</f>
        <v>0</v>
      </c>
      <c r="AB33" s="976"/>
      <c r="AC33" s="800">
        <f>SUM(AC9:AC32)</f>
        <v>0</v>
      </c>
      <c r="AD33" s="795">
        <f>SUM(AD9:AD32)</f>
        <v>0</v>
      </c>
      <c r="AE33" s="971"/>
      <c r="AF33" s="806"/>
      <c r="AG33" s="806"/>
      <c r="AH33" s="292"/>
      <c r="AI33" s="292"/>
      <c r="AJ33" s="292"/>
      <c r="AK33" s="292"/>
      <c r="AL33" s="806"/>
      <c r="AM33" s="806"/>
      <c r="AN33" s="806"/>
      <c r="AO33" s="806"/>
      <c r="AP33" s="807"/>
      <c r="AQ33" s="292"/>
      <c r="AR33" s="292"/>
      <c r="AS33" s="292"/>
      <c r="AT33" s="806"/>
      <c r="AU33" s="806"/>
      <c r="AV33" s="806"/>
      <c r="AW33" s="806"/>
      <c r="AX33" s="807"/>
      <c r="AY33" s="292"/>
      <c r="AZ33" s="292"/>
      <c r="BA33" s="292"/>
      <c r="BB33" s="806"/>
      <c r="BC33" s="806"/>
      <c r="BD33" s="806"/>
      <c r="BE33" s="806"/>
      <c r="BF33" s="807"/>
      <c r="BG33" s="292"/>
      <c r="BH33" s="807"/>
      <c r="BI33" s="292"/>
      <c r="BJ33" s="292"/>
      <c r="BK33" s="292"/>
      <c r="BL33" s="292"/>
      <c r="BM33" s="292"/>
      <c r="BN33" s="292"/>
      <c r="BO33" s="292"/>
      <c r="BP33" s="292"/>
      <c r="BQ33" s="292"/>
      <c r="BR33" s="292"/>
      <c r="BS33" s="292"/>
      <c r="BT33" s="292"/>
      <c r="BU33" s="292"/>
      <c r="BV33" s="292"/>
      <c r="BW33" s="292"/>
      <c r="BX33" s="292"/>
      <c r="BY33" s="292"/>
      <c r="BZ33" s="292"/>
      <c r="CA33" s="292"/>
      <c r="CB33" s="292"/>
      <c r="CC33" s="292"/>
      <c r="CD33" s="292"/>
      <c r="CE33" s="292"/>
      <c r="CF33" s="292"/>
      <c r="CG33" s="292"/>
      <c r="CH33" s="292"/>
      <c r="CI33" s="292"/>
      <c r="CJ33" s="292"/>
      <c r="CK33" s="292"/>
      <c r="CL33" s="292"/>
      <c r="CM33" s="292"/>
      <c r="CN33" s="292"/>
      <c r="CO33" s="292"/>
      <c r="CP33" s="292"/>
      <c r="CQ33" s="292"/>
      <c r="CR33" s="292"/>
      <c r="CS33" s="292"/>
      <c r="CT33" s="292"/>
      <c r="CU33" s="292"/>
      <c r="CV33" s="292"/>
      <c r="CW33" s="292"/>
      <c r="CX33" s="292"/>
      <c r="CY33" s="292"/>
      <c r="CZ33" s="292"/>
      <c r="DA33" s="292"/>
      <c r="DB33" s="292"/>
      <c r="DC33" s="292"/>
      <c r="DD33" s="292"/>
      <c r="DE33" s="292"/>
      <c r="DF33" s="292"/>
      <c r="DG33" s="292"/>
      <c r="DH33" s="292"/>
      <c r="DI33" s="292"/>
      <c r="DJ33" s="292"/>
      <c r="DK33" s="292"/>
      <c r="DL33" s="292"/>
      <c r="DM33" s="292"/>
      <c r="DN33" s="292"/>
      <c r="DO33" s="292"/>
      <c r="DP33" s="292"/>
      <c r="DQ33" s="292"/>
      <c r="DR33" s="292"/>
      <c r="DS33" s="292"/>
      <c r="DT33" s="292"/>
      <c r="DU33" s="292"/>
      <c r="DV33" s="292"/>
      <c r="DW33" s="292"/>
      <c r="DX33" s="292"/>
      <c r="DY33" s="292"/>
      <c r="DZ33" s="292"/>
      <c r="EA33" s="292"/>
      <c r="EB33" s="292"/>
      <c r="EC33" s="292"/>
      <c r="ED33" s="292"/>
      <c r="EE33" s="292"/>
      <c r="EF33" s="292"/>
      <c r="EG33" s="292"/>
      <c r="EH33" s="292"/>
      <c r="EI33" s="292"/>
      <c r="EJ33" s="292"/>
      <c r="EK33" s="292"/>
      <c r="EL33" s="292"/>
      <c r="EM33" s="292"/>
      <c r="EN33" s="292"/>
      <c r="EO33" s="292"/>
      <c r="EP33" s="292"/>
      <c r="EQ33" s="292"/>
      <c r="ER33" s="292"/>
      <c r="ES33" s="292"/>
      <c r="ET33" s="292"/>
      <c r="EU33" s="292"/>
      <c r="EV33" s="292"/>
      <c r="EW33" s="292"/>
      <c r="EX33" s="292"/>
      <c r="EY33" s="292"/>
      <c r="EZ33" s="292"/>
      <c r="FA33" s="292"/>
      <c r="FB33" s="292"/>
      <c r="FC33" s="292"/>
      <c r="FD33" s="292"/>
      <c r="FE33" s="292"/>
      <c r="FF33" s="292"/>
      <c r="FG33" s="292"/>
      <c r="FH33" s="292"/>
      <c r="FI33" s="292"/>
      <c r="FJ33" s="292"/>
      <c r="FK33" s="292"/>
      <c r="FL33" s="292"/>
      <c r="FM33" s="292"/>
      <c r="FN33" s="292"/>
      <c r="FO33" s="292"/>
      <c r="FP33" s="292"/>
      <c r="FQ33" s="292"/>
      <c r="FR33" s="292"/>
      <c r="FS33" s="292"/>
      <c r="FT33" s="292"/>
      <c r="FU33" s="292"/>
      <c r="FV33" s="292"/>
      <c r="FW33" s="292"/>
      <c r="FX33" s="292"/>
      <c r="FY33" s="292"/>
      <c r="FZ33" s="292"/>
      <c r="GA33" s="292"/>
      <c r="GB33" s="292"/>
      <c r="GC33" s="292"/>
      <c r="GD33" s="292"/>
      <c r="GE33" s="292"/>
      <c r="GF33" s="292"/>
      <c r="GG33" s="292"/>
      <c r="GH33" s="292"/>
      <c r="GI33" s="292"/>
      <c r="GJ33" s="292"/>
      <c r="GK33" s="292"/>
      <c r="GL33" s="292"/>
      <c r="GM33" s="292"/>
      <c r="GN33" s="292"/>
      <c r="GO33" s="292"/>
      <c r="GP33" s="292"/>
      <c r="GQ33" s="292"/>
      <c r="GR33" s="292"/>
      <c r="GS33" s="292"/>
      <c r="GT33" s="292"/>
      <c r="GU33" s="292"/>
      <c r="GV33" s="292"/>
      <c r="GW33" s="292"/>
      <c r="GX33" s="292"/>
      <c r="GY33" s="292"/>
      <c r="GZ33" s="292"/>
      <c r="HA33" s="292"/>
      <c r="HB33" s="292"/>
      <c r="HC33" s="292"/>
      <c r="HD33" s="292"/>
      <c r="HE33" s="292"/>
      <c r="HF33" s="292"/>
      <c r="HG33" s="292"/>
      <c r="HH33" s="292"/>
      <c r="HI33" s="292"/>
      <c r="HJ33" s="292"/>
      <c r="HK33" s="292"/>
      <c r="HL33" s="292"/>
      <c r="HM33" s="292"/>
      <c r="HN33" s="292"/>
      <c r="HO33" s="292"/>
      <c r="HP33" s="292"/>
      <c r="HQ33" s="292"/>
      <c r="HR33" s="292"/>
      <c r="HS33" s="292"/>
      <c r="HT33" s="292"/>
      <c r="HU33" s="292"/>
      <c r="HV33" s="292"/>
      <c r="HW33" s="292"/>
      <c r="HX33" s="292"/>
      <c r="HY33" s="292"/>
      <c r="HZ33" s="292"/>
      <c r="IA33" s="292"/>
      <c r="IB33" s="292"/>
      <c r="IC33" s="292"/>
      <c r="ID33" s="292"/>
      <c r="IE33" s="292"/>
      <c r="IF33" s="292"/>
      <c r="IG33" s="292"/>
      <c r="IH33" s="292"/>
      <c r="II33" s="292"/>
      <c r="IJ33" s="292"/>
      <c r="IK33" s="292"/>
      <c r="IL33" s="292"/>
      <c r="IM33" s="292"/>
      <c r="IN33" s="292"/>
      <c r="IO33" s="292"/>
      <c r="IP33" s="292"/>
      <c r="IQ33" s="292"/>
      <c r="IR33" s="292"/>
      <c r="IS33" s="292"/>
      <c r="IT33" s="292"/>
      <c r="IU33" s="292"/>
      <c r="IV33" s="292"/>
      <c r="IW33" s="292"/>
      <c r="IX33" s="292"/>
      <c r="IY33" s="292"/>
      <c r="IZ33" s="292"/>
      <c r="JA33" s="292"/>
      <c r="JB33" s="292"/>
      <c r="JC33" s="292"/>
      <c r="JD33" s="292"/>
      <c r="JE33" s="292"/>
      <c r="JF33" s="292"/>
      <c r="JG33" s="292"/>
      <c r="JH33" s="292"/>
      <c r="JI33" s="292"/>
      <c r="JJ33" s="292"/>
      <c r="JK33" s="292"/>
      <c r="JL33" s="292"/>
      <c r="JM33" s="292"/>
      <c r="JN33" s="292"/>
      <c r="JO33" s="292"/>
      <c r="JP33" s="292"/>
      <c r="JQ33" s="292"/>
      <c r="JR33" s="292"/>
      <c r="JS33" s="292"/>
      <c r="JT33" s="292"/>
      <c r="JU33" s="292"/>
      <c r="JV33" s="292"/>
      <c r="JW33" s="292"/>
      <c r="JX33" s="292"/>
      <c r="JY33" s="292"/>
      <c r="JZ33" s="292"/>
      <c r="KA33" s="292"/>
      <c r="KB33" s="292"/>
      <c r="KC33" s="292"/>
      <c r="KD33" s="292"/>
      <c r="KE33" s="292"/>
      <c r="KF33" s="292"/>
      <c r="KG33" s="292"/>
      <c r="KH33" s="292"/>
      <c r="KI33" s="292"/>
      <c r="KJ33" s="292"/>
      <c r="KK33" s="292"/>
      <c r="KL33" s="292"/>
      <c r="KM33" s="292"/>
      <c r="KN33" s="292"/>
      <c r="KO33" s="292"/>
      <c r="KP33" s="292"/>
      <c r="KQ33" s="292"/>
      <c r="KR33" s="292"/>
      <c r="KS33" s="292"/>
      <c r="KT33" s="292"/>
      <c r="KU33" s="292"/>
      <c r="KV33" s="292"/>
      <c r="KW33" s="292"/>
      <c r="KX33" s="292"/>
      <c r="KY33" s="292"/>
      <c r="KZ33" s="292"/>
      <c r="LA33" s="292"/>
      <c r="LB33" s="292"/>
      <c r="LC33" s="292"/>
      <c r="LD33" s="292"/>
      <c r="LE33" s="292"/>
      <c r="LF33" s="292"/>
      <c r="LG33" s="292"/>
      <c r="LH33" s="292"/>
      <c r="LI33" s="292"/>
      <c r="LJ33" s="292"/>
      <c r="LK33" s="292"/>
      <c r="LL33" s="292"/>
      <c r="LM33" s="292"/>
      <c r="LN33" s="292"/>
      <c r="LO33" s="292"/>
      <c r="LP33" s="292"/>
      <c r="LQ33" s="292"/>
      <c r="LR33" s="292"/>
      <c r="LS33" s="292"/>
      <c r="LT33" s="292"/>
      <c r="LU33" s="292"/>
      <c r="LV33" s="292"/>
      <c r="LW33" s="292"/>
      <c r="LX33" s="292"/>
      <c r="LY33" s="292"/>
      <c r="LZ33" s="292"/>
      <c r="MA33" s="292"/>
      <c r="MB33" s="292"/>
      <c r="MC33" s="292"/>
      <c r="MD33" s="292"/>
      <c r="ME33" s="292"/>
      <c r="MF33" s="292"/>
      <c r="MG33" s="292"/>
      <c r="MH33" s="292"/>
      <c r="MI33" s="292"/>
      <c r="MJ33" s="292"/>
      <c r="MK33" s="292"/>
      <c r="ML33" s="292"/>
      <c r="MM33" s="292"/>
      <c r="MN33" s="292"/>
      <c r="MO33" s="292"/>
      <c r="MP33" s="292"/>
      <c r="MQ33" s="292"/>
      <c r="MR33" s="292"/>
      <c r="MS33" s="292"/>
      <c r="MT33" s="292"/>
      <c r="MU33" s="292"/>
      <c r="MV33" s="292"/>
      <c r="MW33" s="292"/>
      <c r="MX33" s="292"/>
      <c r="MY33" s="292"/>
      <c r="MZ33" s="292"/>
      <c r="NA33" s="292"/>
      <c r="NB33" s="292"/>
      <c r="NC33" s="292"/>
      <c r="ND33" s="292"/>
      <c r="NE33" s="292"/>
      <c r="NF33" s="292"/>
      <c r="NG33" s="292"/>
      <c r="NH33" s="292"/>
      <c r="NI33" s="292"/>
      <c r="NJ33" s="292"/>
      <c r="NK33" s="292"/>
      <c r="NL33" s="292"/>
      <c r="NM33" s="292"/>
      <c r="NN33" s="292"/>
      <c r="NO33" s="292"/>
      <c r="NP33" s="292"/>
      <c r="NQ33" s="292"/>
      <c r="NR33" s="292"/>
      <c r="NS33" s="292"/>
      <c r="NT33" s="292"/>
      <c r="NU33" s="292"/>
      <c r="NV33" s="292"/>
      <c r="NW33" s="292"/>
      <c r="NX33" s="292"/>
      <c r="NY33" s="292"/>
      <c r="NZ33" s="292"/>
      <c r="OA33" s="292"/>
      <c r="OB33" s="292"/>
      <c r="OC33" s="292"/>
      <c r="OD33" s="292"/>
      <c r="OE33" s="292"/>
      <c r="OF33" s="292"/>
      <c r="OG33" s="292"/>
      <c r="OH33" s="292"/>
      <c r="OI33" s="292"/>
      <c r="OJ33" s="292"/>
      <c r="OK33" s="292"/>
      <c r="OL33" s="292"/>
      <c r="OM33" s="292"/>
      <c r="ON33" s="292"/>
      <c r="OO33" s="292"/>
      <c r="OP33" s="292"/>
      <c r="OQ33" s="292"/>
      <c r="OR33" s="292"/>
      <c r="OS33" s="292"/>
      <c r="OT33" s="292"/>
      <c r="OU33" s="292"/>
      <c r="OV33" s="292"/>
      <c r="OW33" s="292"/>
      <c r="OX33" s="292"/>
      <c r="OY33" s="292"/>
      <c r="OZ33" s="292"/>
      <c r="PA33" s="292"/>
      <c r="PB33" s="292"/>
      <c r="PC33" s="292"/>
      <c r="PD33" s="292"/>
      <c r="PE33" s="292"/>
      <c r="PF33" s="292"/>
      <c r="PG33" s="292"/>
      <c r="PH33" s="292"/>
      <c r="PI33" s="292"/>
      <c r="PJ33" s="292"/>
      <c r="PK33" s="292"/>
      <c r="PL33" s="292"/>
      <c r="PM33" s="292"/>
      <c r="PN33" s="292"/>
      <c r="PO33" s="292"/>
      <c r="PP33" s="292"/>
      <c r="PQ33" s="292"/>
      <c r="PR33" s="292"/>
      <c r="PS33" s="292"/>
      <c r="PT33" s="292"/>
      <c r="PU33" s="292"/>
      <c r="PV33" s="292"/>
      <c r="PW33" s="292"/>
      <c r="PX33" s="292"/>
      <c r="PY33" s="292"/>
      <c r="PZ33" s="292"/>
      <c r="QA33" s="292"/>
      <c r="QB33" s="292"/>
      <c r="QC33" s="292"/>
      <c r="QD33" s="292"/>
      <c r="QE33" s="292"/>
      <c r="QF33" s="292"/>
      <c r="QG33" s="292"/>
      <c r="QH33" s="292"/>
      <c r="QI33" s="292"/>
      <c r="QJ33" s="292"/>
      <c r="QK33" s="292"/>
      <c r="QL33" s="292"/>
      <c r="QM33" s="292"/>
      <c r="QN33" s="292"/>
      <c r="QO33" s="292"/>
      <c r="QP33" s="292"/>
      <c r="QQ33" s="292"/>
      <c r="QR33" s="292"/>
      <c r="QS33" s="292"/>
      <c r="QT33" s="292"/>
      <c r="QU33" s="292"/>
      <c r="QV33" s="292"/>
      <c r="QW33" s="292"/>
      <c r="QX33" s="292"/>
      <c r="QY33" s="292"/>
      <c r="QZ33" s="292"/>
      <c r="RA33" s="292"/>
      <c r="RB33" s="292"/>
      <c r="RC33" s="292"/>
      <c r="RD33" s="292"/>
      <c r="RE33" s="292"/>
      <c r="RF33" s="292"/>
      <c r="RG33" s="292"/>
      <c r="RH33" s="292"/>
      <c r="RI33" s="292"/>
      <c r="RJ33" s="292"/>
      <c r="RK33" s="292"/>
      <c r="RL33" s="292"/>
      <c r="RM33" s="292"/>
      <c r="RN33" s="292"/>
      <c r="RO33" s="292"/>
      <c r="RP33" s="292"/>
      <c r="RQ33" s="292"/>
      <c r="RR33" s="292"/>
      <c r="RS33" s="292"/>
      <c r="RT33" s="292"/>
      <c r="RU33" s="292"/>
      <c r="RV33" s="292"/>
      <c r="RW33" s="292"/>
      <c r="RX33" s="292"/>
      <c r="RY33" s="292"/>
      <c r="RZ33" s="292"/>
      <c r="SA33" s="292"/>
      <c r="SB33" s="292"/>
      <c r="SC33" s="292"/>
      <c r="SD33" s="292"/>
      <c r="SE33" s="292"/>
      <c r="SF33" s="292"/>
      <c r="SG33" s="292"/>
      <c r="SH33" s="292"/>
      <c r="SI33" s="292"/>
      <c r="SJ33" s="292"/>
      <c r="SK33" s="292"/>
      <c r="SL33" s="292"/>
      <c r="SM33" s="292"/>
      <c r="SN33" s="292"/>
      <c r="SO33" s="292"/>
      <c r="SP33" s="292"/>
      <c r="SQ33" s="292"/>
      <c r="SR33" s="292"/>
      <c r="SS33" s="292"/>
      <c r="ST33" s="292"/>
      <c r="SU33" s="292"/>
      <c r="SV33" s="292"/>
      <c r="SW33" s="292"/>
      <c r="SX33" s="292"/>
      <c r="SY33" s="292"/>
      <c r="SZ33" s="292"/>
      <c r="TA33" s="292"/>
      <c r="TB33" s="292"/>
      <c r="TC33" s="292"/>
      <c r="TD33" s="292"/>
      <c r="TE33" s="292"/>
      <c r="TF33" s="292"/>
      <c r="TG33" s="292"/>
      <c r="TH33" s="292"/>
      <c r="TI33" s="292"/>
      <c r="TJ33" s="292"/>
      <c r="TK33" s="292"/>
      <c r="TL33" s="292"/>
      <c r="TM33" s="292"/>
      <c r="TN33" s="292"/>
      <c r="TO33" s="292"/>
      <c r="TP33" s="292"/>
      <c r="TQ33" s="292"/>
      <c r="TR33" s="292"/>
      <c r="TS33" s="292"/>
      <c r="TT33" s="292"/>
      <c r="TU33" s="292"/>
      <c r="TV33" s="292"/>
      <c r="TW33" s="292"/>
      <c r="TX33" s="292"/>
      <c r="TY33" s="292"/>
    </row>
    <row r="34" spans="1:545" s="620" customFormat="1" ht="15" customHeight="1" x14ac:dyDescent="0.25">
      <c r="A34" s="1004"/>
      <c r="B34" s="1005"/>
      <c r="C34" s="1006"/>
      <c r="D34" s="960"/>
      <c r="E34" s="980"/>
      <c r="F34" s="976"/>
      <c r="G34" s="981"/>
      <c r="H34" s="977"/>
      <c r="I34" s="980"/>
      <c r="J34" s="962"/>
      <c r="K34" s="981"/>
      <c r="L34" s="977"/>
      <c r="M34" s="980"/>
      <c r="N34" s="982"/>
      <c r="O34" s="981"/>
      <c r="P34" s="977"/>
      <c r="Q34" s="980"/>
      <c r="R34" s="962"/>
      <c r="S34" s="976"/>
      <c r="T34" s="977"/>
      <c r="U34" s="980"/>
      <c r="V34" s="962"/>
      <c r="W34" s="981"/>
      <c r="X34" s="977"/>
      <c r="Y34" s="980"/>
      <c r="Z34" s="962"/>
      <c r="AA34" s="981"/>
      <c r="AB34" s="976"/>
      <c r="AC34" s="980"/>
      <c r="AD34" s="981"/>
      <c r="AE34" s="971"/>
      <c r="AF34" s="806"/>
      <c r="AG34" s="806"/>
      <c r="AH34" s="292"/>
      <c r="AI34" s="292"/>
      <c r="AJ34" s="292"/>
      <c r="AK34" s="292"/>
      <c r="AL34" s="806"/>
      <c r="AM34" s="806"/>
      <c r="AN34" s="806"/>
      <c r="AO34" s="806"/>
      <c r="AP34" s="807"/>
      <c r="AQ34" s="292"/>
      <c r="AR34" s="292"/>
      <c r="AS34" s="292"/>
      <c r="AT34" s="806"/>
      <c r="AU34" s="806"/>
      <c r="AV34" s="806"/>
      <c r="AW34" s="806"/>
      <c r="AX34" s="807"/>
      <c r="AY34" s="292"/>
      <c r="AZ34" s="292"/>
      <c r="BA34" s="292"/>
      <c r="BB34" s="806"/>
      <c r="BC34" s="806"/>
      <c r="BD34" s="806"/>
      <c r="BE34" s="806"/>
      <c r="BF34" s="807"/>
      <c r="BG34" s="292"/>
      <c r="BH34" s="807"/>
      <c r="BI34" s="292"/>
      <c r="BJ34" s="292"/>
      <c r="BK34" s="292"/>
      <c r="BL34" s="292"/>
      <c r="BM34" s="292"/>
      <c r="BN34" s="292"/>
      <c r="BO34" s="292"/>
      <c r="BP34" s="292"/>
      <c r="BQ34" s="292"/>
      <c r="BR34" s="292"/>
      <c r="BS34" s="292"/>
      <c r="BT34" s="292"/>
      <c r="BU34" s="292"/>
      <c r="BV34" s="292"/>
      <c r="BW34" s="292"/>
      <c r="BX34" s="292"/>
      <c r="BY34" s="292"/>
      <c r="BZ34" s="292"/>
      <c r="CA34" s="292"/>
      <c r="CB34" s="292"/>
      <c r="CC34" s="292"/>
      <c r="CD34" s="292"/>
      <c r="CE34" s="292"/>
      <c r="CF34" s="292"/>
      <c r="CG34" s="292"/>
      <c r="CH34" s="292"/>
      <c r="CI34" s="292"/>
      <c r="CJ34" s="292"/>
      <c r="CK34" s="292"/>
      <c r="CL34" s="292"/>
      <c r="CM34" s="292"/>
      <c r="CN34" s="292"/>
      <c r="CO34" s="292"/>
      <c r="CP34" s="292"/>
      <c r="CQ34" s="292"/>
      <c r="CR34" s="292"/>
      <c r="CS34" s="292"/>
      <c r="CT34" s="292"/>
      <c r="CU34" s="292"/>
      <c r="CV34" s="292"/>
      <c r="CW34" s="292"/>
      <c r="CX34" s="292"/>
      <c r="CY34" s="292"/>
      <c r="CZ34" s="292"/>
      <c r="DA34" s="292"/>
      <c r="DB34" s="292"/>
      <c r="DC34" s="292"/>
      <c r="DD34" s="292"/>
      <c r="DE34" s="292"/>
      <c r="DF34" s="292"/>
      <c r="DG34" s="292"/>
      <c r="DH34" s="292"/>
      <c r="DI34" s="292"/>
      <c r="DJ34" s="292"/>
      <c r="DK34" s="292"/>
      <c r="DL34" s="292"/>
      <c r="DM34" s="292"/>
      <c r="DN34" s="292"/>
      <c r="DO34" s="292"/>
      <c r="DP34" s="292"/>
      <c r="DQ34" s="292"/>
      <c r="DR34" s="292"/>
      <c r="DS34" s="292"/>
      <c r="DT34" s="292"/>
      <c r="DU34" s="292"/>
      <c r="DV34" s="292"/>
      <c r="DW34" s="292"/>
      <c r="DX34" s="292"/>
      <c r="DY34" s="292"/>
      <c r="DZ34" s="292"/>
      <c r="EA34" s="292"/>
      <c r="EB34" s="292"/>
      <c r="EC34" s="292"/>
      <c r="ED34" s="292"/>
      <c r="EE34" s="292"/>
      <c r="EF34" s="292"/>
      <c r="EG34" s="292"/>
      <c r="EH34" s="292"/>
      <c r="EI34" s="292"/>
      <c r="EJ34" s="292"/>
      <c r="EK34" s="292"/>
      <c r="EL34" s="292"/>
      <c r="EM34" s="292"/>
      <c r="EN34" s="292"/>
      <c r="EO34" s="292"/>
      <c r="EP34" s="292"/>
      <c r="EQ34" s="292"/>
      <c r="ER34" s="292"/>
      <c r="ES34" s="292"/>
      <c r="ET34" s="292"/>
      <c r="EU34" s="292"/>
      <c r="EV34" s="292"/>
      <c r="EW34" s="292"/>
      <c r="EX34" s="292"/>
      <c r="EY34" s="292"/>
      <c r="EZ34" s="292"/>
      <c r="FA34" s="292"/>
      <c r="FB34" s="292"/>
      <c r="FC34" s="292"/>
      <c r="FD34" s="292"/>
      <c r="FE34" s="292"/>
      <c r="FF34" s="292"/>
      <c r="FG34" s="292"/>
      <c r="FH34" s="292"/>
      <c r="FI34" s="292"/>
      <c r="FJ34" s="292"/>
      <c r="FK34" s="292"/>
      <c r="FL34" s="292"/>
      <c r="FM34" s="292"/>
      <c r="FN34" s="292"/>
      <c r="FO34" s="292"/>
      <c r="FP34" s="292"/>
      <c r="FQ34" s="292"/>
      <c r="FR34" s="292"/>
      <c r="FS34" s="292"/>
      <c r="FT34" s="292"/>
      <c r="FU34" s="292"/>
      <c r="FV34" s="292"/>
      <c r="FW34" s="292"/>
      <c r="FX34" s="292"/>
      <c r="FY34" s="292"/>
      <c r="FZ34" s="292"/>
      <c r="GA34" s="292"/>
      <c r="GB34" s="292"/>
      <c r="GC34" s="292"/>
      <c r="GD34" s="292"/>
      <c r="GE34" s="292"/>
      <c r="GF34" s="292"/>
      <c r="GG34" s="292"/>
      <c r="GH34" s="292"/>
      <c r="GI34" s="292"/>
      <c r="GJ34" s="292"/>
      <c r="GK34" s="292"/>
      <c r="GL34" s="292"/>
      <c r="GM34" s="292"/>
      <c r="GN34" s="292"/>
      <c r="GO34" s="292"/>
      <c r="GP34" s="292"/>
      <c r="GQ34" s="292"/>
      <c r="GR34" s="292"/>
      <c r="GS34" s="292"/>
      <c r="GT34" s="292"/>
      <c r="GU34" s="292"/>
      <c r="GV34" s="292"/>
      <c r="GW34" s="292"/>
      <c r="GX34" s="292"/>
      <c r="GY34" s="292"/>
      <c r="GZ34" s="292"/>
      <c r="HA34" s="292"/>
      <c r="HB34" s="292"/>
      <c r="HC34" s="292"/>
      <c r="HD34" s="292"/>
      <c r="HE34" s="292"/>
      <c r="HF34" s="292"/>
      <c r="HG34" s="292"/>
      <c r="HH34" s="292"/>
      <c r="HI34" s="292"/>
      <c r="HJ34" s="292"/>
      <c r="HK34" s="292"/>
      <c r="HL34" s="292"/>
      <c r="HM34" s="292"/>
      <c r="HN34" s="292"/>
      <c r="HO34" s="292"/>
      <c r="HP34" s="292"/>
      <c r="HQ34" s="292"/>
      <c r="HR34" s="292"/>
      <c r="HS34" s="292"/>
      <c r="HT34" s="292"/>
      <c r="HU34" s="292"/>
      <c r="HV34" s="292"/>
      <c r="HW34" s="292"/>
      <c r="HX34" s="292"/>
      <c r="HY34" s="292"/>
      <c r="HZ34" s="292"/>
      <c r="IA34" s="292"/>
      <c r="IB34" s="292"/>
      <c r="IC34" s="292"/>
      <c r="ID34" s="292"/>
      <c r="IE34" s="292"/>
      <c r="IF34" s="292"/>
      <c r="IG34" s="292"/>
      <c r="IH34" s="292"/>
      <c r="II34" s="292"/>
      <c r="IJ34" s="292"/>
      <c r="IK34" s="292"/>
      <c r="IL34" s="292"/>
      <c r="IM34" s="292"/>
      <c r="IN34" s="292"/>
      <c r="IO34" s="292"/>
      <c r="IP34" s="292"/>
      <c r="IQ34" s="292"/>
      <c r="IR34" s="292"/>
      <c r="IS34" s="292"/>
      <c r="IT34" s="292"/>
      <c r="IU34" s="292"/>
      <c r="IV34" s="292"/>
      <c r="IW34" s="292"/>
      <c r="IX34" s="292"/>
      <c r="IY34" s="292"/>
      <c r="IZ34" s="292"/>
      <c r="JA34" s="292"/>
      <c r="JB34" s="292"/>
      <c r="JC34" s="292"/>
      <c r="JD34" s="292"/>
      <c r="JE34" s="292"/>
      <c r="JF34" s="292"/>
      <c r="JG34" s="292"/>
      <c r="JH34" s="292"/>
      <c r="JI34" s="292"/>
      <c r="JJ34" s="292"/>
      <c r="JK34" s="292"/>
      <c r="JL34" s="292"/>
      <c r="JM34" s="292"/>
      <c r="JN34" s="292"/>
      <c r="JO34" s="292"/>
      <c r="JP34" s="292"/>
      <c r="JQ34" s="292"/>
      <c r="JR34" s="292"/>
      <c r="JS34" s="292"/>
      <c r="JT34" s="292"/>
      <c r="JU34" s="292"/>
      <c r="JV34" s="292"/>
      <c r="JW34" s="292"/>
      <c r="JX34" s="292"/>
      <c r="JY34" s="292"/>
      <c r="JZ34" s="292"/>
      <c r="KA34" s="292"/>
      <c r="KB34" s="292"/>
      <c r="KC34" s="292"/>
      <c r="KD34" s="292"/>
      <c r="KE34" s="292"/>
      <c r="KF34" s="292"/>
      <c r="KG34" s="292"/>
      <c r="KH34" s="292"/>
      <c r="KI34" s="292"/>
      <c r="KJ34" s="292"/>
      <c r="KK34" s="292"/>
      <c r="KL34" s="292"/>
      <c r="KM34" s="292"/>
      <c r="KN34" s="292"/>
      <c r="KO34" s="292"/>
      <c r="KP34" s="292"/>
      <c r="KQ34" s="292"/>
      <c r="KR34" s="292"/>
      <c r="KS34" s="292"/>
      <c r="KT34" s="292"/>
      <c r="KU34" s="292"/>
      <c r="KV34" s="292"/>
      <c r="KW34" s="292"/>
      <c r="KX34" s="292"/>
      <c r="KY34" s="292"/>
      <c r="KZ34" s="292"/>
      <c r="LA34" s="292"/>
      <c r="LB34" s="292"/>
      <c r="LC34" s="292"/>
      <c r="LD34" s="292"/>
      <c r="LE34" s="292"/>
      <c r="LF34" s="292"/>
      <c r="LG34" s="292"/>
      <c r="LH34" s="292"/>
      <c r="LI34" s="292"/>
      <c r="LJ34" s="292"/>
      <c r="LK34" s="292"/>
      <c r="LL34" s="292"/>
      <c r="LM34" s="292"/>
      <c r="LN34" s="292"/>
      <c r="LO34" s="292"/>
      <c r="LP34" s="292"/>
      <c r="LQ34" s="292"/>
      <c r="LR34" s="292"/>
      <c r="LS34" s="292"/>
      <c r="LT34" s="292"/>
      <c r="LU34" s="292"/>
      <c r="LV34" s="292"/>
      <c r="LW34" s="292"/>
      <c r="LX34" s="292"/>
      <c r="LY34" s="292"/>
      <c r="LZ34" s="292"/>
      <c r="MA34" s="292"/>
      <c r="MB34" s="292"/>
      <c r="MC34" s="292"/>
      <c r="MD34" s="292"/>
      <c r="ME34" s="292"/>
      <c r="MF34" s="292"/>
      <c r="MG34" s="292"/>
      <c r="MH34" s="292"/>
      <c r="MI34" s="292"/>
      <c r="MJ34" s="292"/>
      <c r="MK34" s="292"/>
      <c r="ML34" s="292"/>
      <c r="MM34" s="292"/>
      <c r="MN34" s="292"/>
      <c r="MO34" s="292"/>
      <c r="MP34" s="292"/>
      <c r="MQ34" s="292"/>
      <c r="MR34" s="292"/>
      <c r="MS34" s="292"/>
      <c r="MT34" s="292"/>
      <c r="MU34" s="292"/>
      <c r="MV34" s="292"/>
      <c r="MW34" s="292"/>
      <c r="MX34" s="292"/>
      <c r="MY34" s="292"/>
      <c r="MZ34" s="292"/>
      <c r="NA34" s="292"/>
      <c r="NB34" s="292"/>
      <c r="NC34" s="292"/>
      <c r="ND34" s="292"/>
      <c r="NE34" s="292"/>
      <c r="NF34" s="292"/>
      <c r="NG34" s="292"/>
      <c r="NH34" s="292"/>
      <c r="NI34" s="292"/>
      <c r="NJ34" s="292"/>
      <c r="NK34" s="292"/>
      <c r="NL34" s="292"/>
      <c r="NM34" s="292"/>
      <c r="NN34" s="292"/>
      <c r="NO34" s="292"/>
      <c r="NP34" s="292"/>
      <c r="NQ34" s="292"/>
      <c r="NR34" s="292"/>
      <c r="NS34" s="292"/>
      <c r="NT34" s="292"/>
      <c r="NU34" s="292"/>
      <c r="NV34" s="292"/>
      <c r="NW34" s="292"/>
      <c r="NX34" s="292"/>
      <c r="NY34" s="292"/>
      <c r="NZ34" s="292"/>
      <c r="OA34" s="292"/>
      <c r="OB34" s="292"/>
      <c r="OC34" s="292"/>
      <c r="OD34" s="292"/>
      <c r="OE34" s="292"/>
      <c r="OF34" s="292"/>
      <c r="OG34" s="292"/>
      <c r="OH34" s="292"/>
      <c r="OI34" s="292"/>
      <c r="OJ34" s="292"/>
      <c r="OK34" s="292"/>
      <c r="OL34" s="292"/>
      <c r="OM34" s="292"/>
      <c r="ON34" s="292"/>
      <c r="OO34" s="292"/>
      <c r="OP34" s="292"/>
      <c r="OQ34" s="292"/>
      <c r="OR34" s="292"/>
      <c r="OS34" s="292"/>
      <c r="OT34" s="292"/>
      <c r="OU34" s="292"/>
      <c r="OV34" s="292"/>
      <c r="OW34" s="292"/>
      <c r="OX34" s="292"/>
      <c r="OY34" s="292"/>
      <c r="OZ34" s="292"/>
      <c r="PA34" s="292"/>
      <c r="PB34" s="292"/>
      <c r="PC34" s="292"/>
      <c r="PD34" s="292"/>
      <c r="PE34" s="292"/>
      <c r="PF34" s="292"/>
      <c r="PG34" s="292"/>
      <c r="PH34" s="292"/>
      <c r="PI34" s="292"/>
      <c r="PJ34" s="292"/>
      <c r="PK34" s="292"/>
      <c r="PL34" s="292"/>
      <c r="PM34" s="292"/>
      <c r="PN34" s="292"/>
      <c r="PO34" s="292"/>
      <c r="PP34" s="292"/>
      <c r="PQ34" s="292"/>
      <c r="PR34" s="292"/>
      <c r="PS34" s="292"/>
      <c r="PT34" s="292"/>
      <c r="PU34" s="292"/>
      <c r="PV34" s="292"/>
      <c r="PW34" s="292"/>
      <c r="PX34" s="292"/>
      <c r="PY34" s="292"/>
      <c r="PZ34" s="292"/>
      <c r="QA34" s="292"/>
      <c r="QB34" s="292"/>
      <c r="QC34" s="292"/>
      <c r="QD34" s="292"/>
      <c r="QE34" s="292"/>
      <c r="QF34" s="292"/>
      <c r="QG34" s="292"/>
      <c r="QH34" s="292"/>
      <c r="QI34" s="292"/>
      <c r="QJ34" s="292"/>
      <c r="QK34" s="292"/>
      <c r="QL34" s="292"/>
      <c r="QM34" s="292"/>
      <c r="QN34" s="292"/>
      <c r="QO34" s="292"/>
      <c r="QP34" s="292"/>
      <c r="QQ34" s="292"/>
      <c r="QR34" s="292"/>
      <c r="QS34" s="292"/>
      <c r="QT34" s="292"/>
      <c r="QU34" s="292"/>
      <c r="QV34" s="292"/>
      <c r="QW34" s="292"/>
      <c r="QX34" s="292"/>
      <c r="QY34" s="292"/>
      <c r="QZ34" s="292"/>
      <c r="RA34" s="292"/>
      <c r="RB34" s="292"/>
      <c r="RC34" s="292"/>
      <c r="RD34" s="292"/>
      <c r="RE34" s="292"/>
      <c r="RF34" s="292"/>
      <c r="RG34" s="292"/>
      <c r="RH34" s="292"/>
      <c r="RI34" s="292"/>
      <c r="RJ34" s="292"/>
      <c r="RK34" s="292"/>
      <c r="RL34" s="292"/>
      <c r="RM34" s="292"/>
      <c r="RN34" s="292"/>
      <c r="RO34" s="292"/>
      <c r="RP34" s="292"/>
      <c r="RQ34" s="292"/>
      <c r="RR34" s="292"/>
      <c r="RS34" s="292"/>
      <c r="RT34" s="292"/>
      <c r="RU34" s="292"/>
      <c r="RV34" s="292"/>
      <c r="RW34" s="292"/>
      <c r="RX34" s="292"/>
      <c r="RY34" s="292"/>
      <c r="RZ34" s="292"/>
      <c r="SA34" s="292"/>
      <c r="SB34" s="292"/>
      <c r="SC34" s="292"/>
      <c r="SD34" s="292"/>
      <c r="SE34" s="292"/>
      <c r="SF34" s="292"/>
      <c r="SG34" s="292"/>
      <c r="SH34" s="292"/>
      <c r="SI34" s="292"/>
      <c r="SJ34" s="292"/>
      <c r="SK34" s="292"/>
      <c r="SL34" s="292"/>
      <c r="SM34" s="292"/>
      <c r="SN34" s="292"/>
      <c r="SO34" s="292"/>
      <c r="SP34" s="292"/>
      <c r="SQ34" s="292"/>
      <c r="SR34" s="292"/>
      <c r="SS34" s="292"/>
      <c r="ST34" s="292"/>
      <c r="SU34" s="292"/>
      <c r="SV34" s="292"/>
      <c r="SW34" s="292"/>
      <c r="SX34" s="292"/>
      <c r="SY34" s="292"/>
      <c r="SZ34" s="292"/>
      <c r="TA34" s="292"/>
      <c r="TB34" s="292"/>
      <c r="TC34" s="292"/>
      <c r="TD34" s="292"/>
      <c r="TE34" s="292"/>
      <c r="TF34" s="292"/>
      <c r="TG34" s="292"/>
      <c r="TH34" s="292"/>
      <c r="TI34" s="292"/>
      <c r="TJ34" s="292"/>
      <c r="TK34" s="292"/>
      <c r="TL34" s="292"/>
      <c r="TM34" s="292"/>
      <c r="TN34" s="292"/>
      <c r="TO34" s="292"/>
      <c r="TP34" s="292"/>
      <c r="TQ34" s="292"/>
      <c r="TR34" s="292"/>
      <c r="TS34" s="292"/>
      <c r="TT34" s="292"/>
      <c r="TU34" s="292"/>
      <c r="TV34" s="292"/>
      <c r="TW34" s="292"/>
      <c r="TX34" s="292"/>
      <c r="TY34" s="292"/>
    </row>
    <row r="35" spans="1:545" ht="20.149999999999999" customHeight="1" x14ac:dyDescent="0.25">
      <c r="A35" s="1344" t="s">
        <v>334</v>
      </c>
      <c r="B35" s="1345"/>
      <c r="C35" s="1345"/>
      <c r="D35" s="957"/>
      <c r="E35" s="957"/>
      <c r="F35" s="957"/>
      <c r="G35" s="1137" t="s">
        <v>335</v>
      </c>
      <c r="H35" s="957"/>
      <c r="I35" s="957"/>
      <c r="J35" s="957"/>
      <c r="K35" s="1137" t="s">
        <v>335</v>
      </c>
      <c r="L35" s="957"/>
      <c r="M35" s="957"/>
      <c r="N35" s="957"/>
      <c r="O35" s="1137" t="s">
        <v>335</v>
      </c>
      <c r="P35" s="957"/>
      <c r="Q35" s="957"/>
      <c r="R35" s="957"/>
      <c r="S35" s="1137" t="s">
        <v>335</v>
      </c>
      <c r="T35" s="957"/>
      <c r="U35" s="957"/>
      <c r="V35" s="957"/>
      <c r="W35" s="1137" t="s">
        <v>335</v>
      </c>
      <c r="X35" s="957"/>
      <c r="Y35" s="957"/>
      <c r="Z35" s="957"/>
      <c r="AA35" s="1137" t="s">
        <v>335</v>
      </c>
      <c r="AB35" s="957"/>
      <c r="AC35" s="957"/>
      <c r="AD35" s="1171" t="s">
        <v>336</v>
      </c>
      <c r="AE35" s="971"/>
    </row>
    <row r="36" spans="1:545" ht="15" customHeight="1" x14ac:dyDescent="0.25">
      <c r="A36" s="1337" t="s">
        <v>337</v>
      </c>
      <c r="B36" s="1338"/>
      <c r="C36" s="1094" t="s">
        <v>338</v>
      </c>
      <c r="D36" s="957"/>
      <c r="E36" s="957"/>
      <c r="F36" s="957"/>
      <c r="G36" s="622">
        <v>0</v>
      </c>
      <c r="H36" s="957"/>
      <c r="I36" s="957"/>
      <c r="J36" s="957"/>
      <c r="K36" s="622">
        <v>0</v>
      </c>
      <c r="L36" s="957"/>
      <c r="M36" s="957"/>
      <c r="N36" s="957"/>
      <c r="O36" s="622">
        <v>0</v>
      </c>
      <c r="P36" s="957"/>
      <c r="Q36" s="957"/>
      <c r="R36" s="957"/>
      <c r="S36" s="622">
        <v>0</v>
      </c>
      <c r="T36" s="957"/>
      <c r="U36" s="957"/>
      <c r="V36" s="957"/>
      <c r="W36" s="622">
        <v>0</v>
      </c>
      <c r="X36" s="957"/>
      <c r="Y36" s="957"/>
      <c r="Z36" s="957"/>
      <c r="AA36" s="622">
        <v>0</v>
      </c>
      <c r="AB36" s="975"/>
      <c r="AC36" s="957"/>
      <c r="AD36" s="1001">
        <f>G36+K36+O36+S36+W36+AA36</f>
        <v>0</v>
      </c>
      <c r="AE36" s="971"/>
    </row>
    <row r="37" spans="1:545" ht="15" customHeight="1" x14ac:dyDescent="0.25">
      <c r="A37" s="1337" t="s">
        <v>339</v>
      </c>
      <c r="B37" s="1338"/>
      <c r="C37" s="1094" t="s">
        <v>338</v>
      </c>
      <c r="D37" s="957"/>
      <c r="E37" s="957"/>
      <c r="F37" s="957"/>
      <c r="G37" s="622">
        <v>0</v>
      </c>
      <c r="H37" s="957"/>
      <c r="I37" s="957"/>
      <c r="J37" s="957"/>
      <c r="K37" s="622">
        <v>0</v>
      </c>
      <c r="L37" s="957"/>
      <c r="M37" s="957"/>
      <c r="N37" s="957"/>
      <c r="O37" s="622">
        <v>0</v>
      </c>
      <c r="P37" s="957"/>
      <c r="Q37" s="957"/>
      <c r="R37" s="957"/>
      <c r="S37" s="622">
        <v>0</v>
      </c>
      <c r="T37" s="957"/>
      <c r="U37" s="957"/>
      <c r="V37" s="957"/>
      <c r="W37" s="622">
        <v>0</v>
      </c>
      <c r="X37" s="957"/>
      <c r="Y37" s="957"/>
      <c r="Z37" s="957"/>
      <c r="AA37" s="622">
        <v>0</v>
      </c>
      <c r="AB37" s="975"/>
      <c r="AC37" s="957"/>
      <c r="AD37" s="1001">
        <f>G37+K37+O37+S37+W37+AA37</f>
        <v>0</v>
      </c>
      <c r="AE37" s="971"/>
    </row>
    <row r="38" spans="1:545" ht="15" customHeight="1" x14ac:dyDescent="0.25">
      <c r="A38" s="1337" t="s">
        <v>340</v>
      </c>
      <c r="B38" s="1338"/>
      <c r="C38" s="1094" t="s">
        <v>338</v>
      </c>
      <c r="D38" s="957"/>
      <c r="E38" s="957"/>
      <c r="F38" s="957"/>
      <c r="G38" s="622">
        <v>0</v>
      </c>
      <c r="H38" s="957"/>
      <c r="I38" s="957"/>
      <c r="J38" s="957"/>
      <c r="K38" s="622">
        <v>0</v>
      </c>
      <c r="L38" s="957"/>
      <c r="M38" s="957"/>
      <c r="N38" s="957"/>
      <c r="O38" s="622">
        <v>0</v>
      </c>
      <c r="P38" s="957"/>
      <c r="Q38" s="957"/>
      <c r="R38" s="957"/>
      <c r="S38" s="622">
        <v>0</v>
      </c>
      <c r="T38" s="957"/>
      <c r="U38" s="957"/>
      <c r="V38" s="957"/>
      <c r="W38" s="622">
        <v>0</v>
      </c>
      <c r="X38" s="957"/>
      <c r="Y38" s="957"/>
      <c r="Z38" s="957"/>
      <c r="AA38" s="622">
        <v>0</v>
      </c>
      <c r="AB38" s="975"/>
      <c r="AC38" s="957"/>
      <c r="AD38" s="1001">
        <f>G38+K38+O38+S38+W38+AA38</f>
        <v>0</v>
      </c>
      <c r="AE38" s="971"/>
    </row>
    <row r="39" spans="1:545" ht="15" customHeight="1" x14ac:dyDescent="0.25">
      <c r="A39" s="1329" t="s">
        <v>341</v>
      </c>
      <c r="B39" s="1330"/>
      <c r="C39" s="1094" t="s">
        <v>338</v>
      </c>
      <c r="D39" s="957"/>
      <c r="E39" s="957"/>
      <c r="F39" s="957"/>
      <c r="G39" s="622">
        <v>0</v>
      </c>
      <c r="H39" s="957"/>
      <c r="I39" s="957"/>
      <c r="J39" s="957"/>
      <c r="K39" s="622">
        <v>0</v>
      </c>
      <c r="L39" s="957"/>
      <c r="M39" s="957"/>
      <c r="N39" s="957"/>
      <c r="O39" s="622">
        <v>0</v>
      </c>
      <c r="P39" s="957"/>
      <c r="Q39" s="957"/>
      <c r="R39" s="957"/>
      <c r="S39" s="622">
        <v>0</v>
      </c>
      <c r="T39" s="957"/>
      <c r="U39" s="957"/>
      <c r="V39" s="957"/>
      <c r="W39" s="622">
        <v>0</v>
      </c>
      <c r="X39" s="957"/>
      <c r="Y39" s="957"/>
      <c r="Z39" s="957"/>
      <c r="AA39" s="622">
        <v>0</v>
      </c>
      <c r="AB39" s="975"/>
      <c r="AC39" s="957"/>
      <c r="AD39" s="1001">
        <f>G39+K39+O39+S39+W39+AA39</f>
        <v>0</v>
      </c>
      <c r="AE39" s="971"/>
    </row>
    <row r="40" spans="1:545" s="623" customFormat="1" ht="23.15" customHeight="1" x14ac:dyDescent="0.25">
      <c r="A40" s="1358" t="s">
        <v>335</v>
      </c>
      <c r="B40" s="1359"/>
      <c r="C40" s="1359"/>
      <c r="D40" s="962"/>
      <c r="E40" s="962"/>
      <c r="F40" s="962"/>
      <c r="G40" s="794">
        <f>SUM(G35:G39)</f>
        <v>0</v>
      </c>
      <c r="H40" s="979"/>
      <c r="I40" s="962"/>
      <c r="J40" s="962"/>
      <c r="K40" s="794">
        <f>SUM(K35:K39)</f>
        <v>0</v>
      </c>
      <c r="L40" s="979"/>
      <c r="M40" s="962"/>
      <c r="N40" s="962"/>
      <c r="O40" s="794">
        <f>SUM(O35:O39)</f>
        <v>0</v>
      </c>
      <c r="P40" s="979"/>
      <c r="Q40" s="957"/>
      <c r="R40" s="957"/>
      <c r="S40" s="794">
        <f>SUM(S35:S39)</f>
        <v>0</v>
      </c>
      <c r="T40" s="957"/>
      <c r="U40" s="1295"/>
      <c r="V40" s="1295"/>
      <c r="W40" s="794">
        <f>SUM(W35:W39)</f>
        <v>0</v>
      </c>
      <c r="X40" s="957"/>
      <c r="Y40" s="1295"/>
      <c r="Z40" s="1295"/>
      <c r="AA40" s="794">
        <f>SUM(AA35:AA39)</f>
        <v>0</v>
      </c>
      <c r="AB40" s="976"/>
      <c r="AC40" s="957"/>
      <c r="AD40" s="794">
        <f>G40+K40+O40+S40+W40+AA40</f>
        <v>0</v>
      </c>
      <c r="AE40" s="971"/>
      <c r="AF40" s="292"/>
      <c r="AG40" s="292"/>
      <c r="AH40" s="292"/>
      <c r="AI40" s="292"/>
      <c r="AJ40" s="292"/>
      <c r="AK40" s="292"/>
      <c r="AL40" s="292"/>
      <c r="AM40" s="292"/>
      <c r="AN40" s="292"/>
      <c r="AO40" s="292"/>
      <c r="AP40" s="292"/>
      <c r="AQ40" s="292"/>
      <c r="AR40" s="292"/>
      <c r="AS40" s="292"/>
      <c r="AT40" s="292"/>
      <c r="AU40" s="292"/>
      <c r="AV40" s="292"/>
      <c r="AW40" s="292"/>
      <c r="AX40" s="292"/>
      <c r="AY40" s="292"/>
      <c r="AZ40" s="292"/>
      <c r="BA40" s="292"/>
      <c r="BB40" s="292"/>
      <c r="BC40" s="292"/>
      <c r="BD40" s="292"/>
      <c r="BE40" s="292"/>
      <c r="BF40" s="292"/>
      <c r="BG40" s="292"/>
      <c r="BH40" s="292"/>
      <c r="BI40" s="292"/>
      <c r="BJ40" s="292"/>
      <c r="BK40" s="292"/>
      <c r="BL40" s="292"/>
      <c r="BM40" s="292"/>
      <c r="BN40" s="292"/>
      <c r="BO40" s="292"/>
      <c r="BP40" s="292"/>
      <c r="BQ40" s="292"/>
      <c r="BR40" s="292"/>
      <c r="BS40" s="292"/>
      <c r="BT40" s="292"/>
      <c r="BU40" s="292"/>
      <c r="BV40" s="292"/>
      <c r="BW40" s="292"/>
      <c r="BX40" s="292"/>
      <c r="BY40" s="292"/>
      <c r="BZ40" s="292"/>
      <c r="CA40" s="292"/>
      <c r="CB40" s="292"/>
      <c r="CC40" s="292"/>
      <c r="CD40" s="292"/>
      <c r="CE40" s="292"/>
      <c r="CF40" s="292"/>
      <c r="CG40" s="292"/>
      <c r="CH40" s="292"/>
      <c r="CI40" s="292"/>
      <c r="CJ40" s="292"/>
      <c r="CK40" s="292"/>
      <c r="CL40" s="292"/>
      <c r="CM40" s="292"/>
      <c r="CN40" s="292"/>
      <c r="CO40" s="292"/>
      <c r="CP40" s="292"/>
      <c r="CQ40" s="292"/>
      <c r="CR40" s="292"/>
      <c r="CS40" s="292"/>
      <c r="CT40" s="292"/>
      <c r="CU40" s="292"/>
      <c r="CV40" s="292"/>
      <c r="CW40" s="292"/>
      <c r="CX40" s="292"/>
      <c r="CY40" s="292"/>
      <c r="CZ40" s="292"/>
      <c r="DA40" s="292"/>
      <c r="DB40" s="292"/>
      <c r="DC40" s="292"/>
      <c r="DD40" s="292"/>
      <c r="DE40" s="292"/>
      <c r="DF40" s="292"/>
      <c r="DG40" s="292"/>
      <c r="DH40" s="292"/>
      <c r="DI40" s="292"/>
      <c r="DJ40" s="292"/>
      <c r="DK40" s="292"/>
      <c r="DL40" s="292"/>
      <c r="DM40" s="292"/>
      <c r="DN40" s="292"/>
      <c r="DO40" s="292"/>
      <c r="DP40" s="292"/>
      <c r="DQ40" s="292"/>
      <c r="DR40" s="292"/>
      <c r="DS40" s="292"/>
      <c r="DT40" s="292"/>
      <c r="DU40" s="292"/>
      <c r="DV40" s="292"/>
      <c r="DW40" s="292"/>
      <c r="DX40" s="292"/>
      <c r="DY40" s="292"/>
      <c r="DZ40" s="292"/>
      <c r="EA40" s="292"/>
      <c r="EB40" s="292"/>
      <c r="EC40" s="292"/>
      <c r="ED40" s="292"/>
      <c r="EE40" s="292"/>
      <c r="EF40" s="292"/>
      <c r="EG40" s="292"/>
      <c r="EH40" s="292"/>
      <c r="EI40" s="292"/>
      <c r="EJ40" s="292"/>
      <c r="EK40" s="292"/>
      <c r="EL40" s="292"/>
      <c r="EM40" s="292"/>
      <c r="EN40" s="292"/>
      <c r="EO40" s="292"/>
      <c r="EP40" s="292"/>
      <c r="EQ40" s="292"/>
      <c r="ER40" s="292"/>
      <c r="ES40" s="292"/>
      <c r="ET40" s="292"/>
      <c r="EU40" s="292"/>
      <c r="EV40" s="292"/>
      <c r="EW40" s="292"/>
      <c r="EX40" s="292"/>
      <c r="EY40" s="292"/>
      <c r="EZ40" s="292"/>
      <c r="FA40" s="292"/>
      <c r="FB40" s="292"/>
      <c r="FC40" s="292"/>
      <c r="FD40" s="292"/>
      <c r="FE40" s="292"/>
      <c r="FF40" s="292"/>
      <c r="FG40" s="292"/>
      <c r="FH40" s="292"/>
      <c r="FI40" s="292"/>
      <c r="FJ40" s="292"/>
      <c r="FK40" s="292"/>
      <c r="FL40" s="292"/>
      <c r="FM40" s="292"/>
      <c r="FN40" s="292"/>
      <c r="FO40" s="292"/>
      <c r="FP40" s="292"/>
      <c r="FQ40" s="292"/>
      <c r="FR40" s="292"/>
      <c r="FS40" s="292"/>
      <c r="FT40" s="292"/>
      <c r="FU40" s="292"/>
      <c r="FV40" s="292"/>
      <c r="FW40" s="292"/>
      <c r="FX40" s="292"/>
      <c r="FY40" s="292"/>
      <c r="FZ40" s="292"/>
      <c r="GA40" s="292"/>
      <c r="GB40" s="292"/>
      <c r="GC40" s="292"/>
      <c r="GD40" s="292"/>
      <c r="GE40" s="292"/>
      <c r="GF40" s="292"/>
      <c r="GG40" s="292"/>
      <c r="GH40" s="292"/>
      <c r="GI40" s="292"/>
      <c r="GJ40" s="292"/>
      <c r="GK40" s="292"/>
      <c r="GL40" s="292"/>
      <c r="GM40" s="292"/>
      <c r="GN40" s="292"/>
      <c r="GO40" s="292"/>
      <c r="GP40" s="292"/>
      <c r="GQ40" s="292"/>
      <c r="GR40" s="292"/>
      <c r="GS40" s="292"/>
      <c r="GT40" s="292"/>
      <c r="GU40" s="292"/>
      <c r="GV40" s="292"/>
      <c r="GW40" s="292"/>
      <c r="GX40" s="292"/>
      <c r="GY40" s="292"/>
      <c r="GZ40" s="292"/>
      <c r="HA40" s="292"/>
      <c r="HB40" s="292"/>
      <c r="HC40" s="292"/>
      <c r="HD40" s="292"/>
      <c r="HE40" s="292"/>
      <c r="HF40" s="292"/>
      <c r="HG40" s="292"/>
      <c r="HH40" s="292"/>
      <c r="HI40" s="292"/>
      <c r="HJ40" s="292"/>
      <c r="HK40" s="292"/>
      <c r="HL40" s="292"/>
      <c r="HM40" s="292"/>
      <c r="HN40" s="292"/>
      <c r="HO40" s="292"/>
      <c r="HP40" s="292"/>
      <c r="HQ40" s="292"/>
      <c r="HR40" s="292"/>
      <c r="HS40" s="292"/>
      <c r="HT40" s="292"/>
      <c r="HU40" s="292"/>
      <c r="HV40" s="292"/>
      <c r="HW40" s="292"/>
      <c r="HX40" s="292"/>
      <c r="HY40" s="292"/>
      <c r="HZ40" s="292"/>
      <c r="IA40" s="292"/>
      <c r="IB40" s="292"/>
      <c r="IC40" s="292"/>
      <c r="ID40" s="292"/>
      <c r="IE40" s="292"/>
      <c r="IF40" s="292"/>
      <c r="IG40" s="292"/>
      <c r="IH40" s="292"/>
      <c r="II40" s="292"/>
      <c r="IJ40" s="292"/>
      <c r="IK40" s="292"/>
      <c r="IL40" s="292"/>
      <c r="IM40" s="292"/>
      <c r="IN40" s="292"/>
      <c r="IO40" s="292"/>
      <c r="IP40" s="292"/>
      <c r="IQ40" s="292"/>
      <c r="IR40" s="292"/>
      <c r="IS40" s="292"/>
      <c r="IT40" s="292"/>
      <c r="IU40" s="292"/>
      <c r="IV40" s="292"/>
      <c r="IW40" s="292"/>
      <c r="IX40" s="292"/>
      <c r="IY40" s="292"/>
      <c r="IZ40" s="292"/>
      <c r="JA40" s="292"/>
      <c r="JB40" s="292"/>
      <c r="JC40" s="292"/>
      <c r="JD40" s="292"/>
      <c r="JE40" s="292"/>
      <c r="JF40" s="292"/>
      <c r="JG40" s="292"/>
      <c r="JH40" s="292"/>
      <c r="JI40" s="292"/>
      <c r="JJ40" s="292"/>
      <c r="JK40" s="292"/>
      <c r="JL40" s="292"/>
      <c r="JM40" s="292"/>
      <c r="JN40" s="292"/>
      <c r="JO40" s="292"/>
      <c r="JP40" s="292"/>
      <c r="JQ40" s="292"/>
      <c r="JR40" s="292"/>
      <c r="JS40" s="292"/>
      <c r="JT40" s="292"/>
      <c r="JU40" s="292"/>
      <c r="JV40" s="292"/>
      <c r="JW40" s="292"/>
      <c r="JX40" s="292"/>
      <c r="JY40" s="292"/>
      <c r="JZ40" s="292"/>
      <c r="KA40" s="292"/>
      <c r="KB40" s="292"/>
      <c r="KC40" s="292"/>
      <c r="KD40" s="292"/>
      <c r="KE40" s="292"/>
      <c r="KF40" s="292"/>
      <c r="KG40" s="292"/>
      <c r="KH40" s="292"/>
      <c r="KI40" s="292"/>
      <c r="KJ40" s="292"/>
      <c r="KK40" s="292"/>
      <c r="KL40" s="292"/>
      <c r="KM40" s="292"/>
      <c r="KN40" s="292"/>
      <c r="KO40" s="292"/>
      <c r="KP40" s="292"/>
      <c r="KQ40" s="292"/>
      <c r="KR40" s="292"/>
      <c r="KS40" s="292"/>
      <c r="KT40" s="292"/>
      <c r="KU40" s="292"/>
      <c r="KV40" s="292"/>
      <c r="KW40" s="292"/>
      <c r="KX40" s="292"/>
      <c r="KY40" s="292"/>
      <c r="KZ40" s="292"/>
      <c r="LA40" s="292"/>
      <c r="LB40" s="292"/>
      <c r="LC40" s="292"/>
      <c r="LD40" s="292"/>
      <c r="LE40" s="292"/>
      <c r="LF40" s="292"/>
      <c r="LG40" s="292"/>
      <c r="LH40" s="292"/>
      <c r="LI40" s="292"/>
      <c r="LJ40" s="292"/>
      <c r="LK40" s="292"/>
      <c r="LL40" s="292"/>
      <c r="LM40" s="292"/>
      <c r="LN40" s="292"/>
      <c r="LO40" s="292"/>
      <c r="LP40" s="292"/>
      <c r="LQ40" s="292"/>
      <c r="LR40" s="292"/>
      <c r="LS40" s="292"/>
      <c r="LT40" s="292"/>
      <c r="LU40" s="292"/>
      <c r="LV40" s="292"/>
      <c r="LW40" s="292"/>
      <c r="LX40" s="292"/>
      <c r="LY40" s="292"/>
      <c r="LZ40" s="292"/>
      <c r="MA40" s="292"/>
      <c r="MB40" s="292"/>
      <c r="MC40" s="292"/>
      <c r="MD40" s="292"/>
      <c r="ME40" s="292"/>
      <c r="MF40" s="292"/>
      <c r="MG40" s="292"/>
      <c r="MH40" s="292"/>
      <c r="MI40" s="292"/>
      <c r="MJ40" s="292"/>
      <c r="MK40" s="292"/>
      <c r="ML40" s="292"/>
      <c r="MM40" s="292"/>
      <c r="MN40" s="292"/>
      <c r="MO40" s="292"/>
      <c r="MP40" s="292"/>
      <c r="MQ40" s="292"/>
      <c r="MR40" s="292"/>
      <c r="MS40" s="292"/>
      <c r="MT40" s="292"/>
      <c r="MU40" s="292"/>
      <c r="MV40" s="292"/>
      <c r="MW40" s="292"/>
      <c r="MX40" s="292"/>
      <c r="MY40" s="292"/>
      <c r="MZ40" s="292"/>
      <c r="NA40" s="292"/>
      <c r="NB40" s="292"/>
      <c r="NC40" s="292"/>
      <c r="ND40" s="292"/>
      <c r="NE40" s="292"/>
      <c r="NF40" s="292"/>
      <c r="NG40" s="292"/>
      <c r="NH40" s="292"/>
      <c r="NI40" s="292"/>
      <c r="NJ40" s="292"/>
      <c r="NK40" s="292"/>
      <c r="NL40" s="292"/>
      <c r="NM40" s="292"/>
      <c r="NN40" s="292"/>
      <c r="NO40" s="292"/>
      <c r="NP40" s="292"/>
      <c r="NQ40" s="292"/>
      <c r="NR40" s="292"/>
      <c r="NS40" s="292"/>
      <c r="NT40" s="292"/>
      <c r="NU40" s="292"/>
      <c r="NV40" s="292"/>
      <c r="NW40" s="292"/>
      <c r="NX40" s="292"/>
      <c r="NY40" s="292"/>
      <c r="NZ40" s="292"/>
      <c r="OA40" s="292"/>
      <c r="OB40" s="292"/>
      <c r="OC40" s="292"/>
      <c r="OD40" s="292"/>
      <c r="OE40" s="292"/>
      <c r="OF40" s="292"/>
      <c r="OG40" s="292"/>
      <c r="OH40" s="292"/>
      <c r="OI40" s="292"/>
      <c r="OJ40" s="292"/>
      <c r="OK40" s="292"/>
      <c r="OL40" s="292"/>
      <c r="OM40" s="292"/>
      <c r="ON40" s="292"/>
      <c r="OO40" s="292"/>
      <c r="OP40" s="292"/>
      <c r="OQ40" s="292"/>
      <c r="OR40" s="292"/>
      <c r="OS40" s="292"/>
      <c r="OT40" s="292"/>
      <c r="OU40" s="292"/>
      <c r="OV40" s="292"/>
      <c r="OW40" s="292"/>
      <c r="OX40" s="292"/>
      <c r="OY40" s="292"/>
      <c r="OZ40" s="292"/>
      <c r="PA40" s="292"/>
      <c r="PB40" s="292"/>
      <c r="PC40" s="292"/>
      <c r="PD40" s="292"/>
      <c r="PE40" s="292"/>
      <c r="PF40" s="292"/>
      <c r="PG40" s="292"/>
      <c r="PH40" s="292"/>
      <c r="PI40" s="292"/>
      <c r="PJ40" s="292"/>
      <c r="PK40" s="292"/>
      <c r="PL40" s="292"/>
      <c r="PM40" s="292"/>
      <c r="PN40" s="292"/>
      <c r="PO40" s="292"/>
      <c r="PP40" s="292"/>
      <c r="PQ40" s="292"/>
      <c r="PR40" s="292"/>
      <c r="PS40" s="292"/>
      <c r="PT40" s="292"/>
      <c r="PU40" s="292"/>
      <c r="PV40" s="292"/>
      <c r="PW40" s="292"/>
      <c r="PX40" s="292"/>
      <c r="PY40" s="292"/>
      <c r="PZ40" s="292"/>
      <c r="QA40" s="292"/>
      <c r="QB40" s="292"/>
      <c r="QC40" s="292"/>
      <c r="QD40" s="292"/>
      <c r="QE40" s="292"/>
      <c r="QF40" s="292"/>
      <c r="QG40" s="292"/>
      <c r="QH40" s="292"/>
      <c r="QI40" s="292"/>
      <c r="QJ40" s="292"/>
      <c r="QK40" s="292"/>
      <c r="QL40" s="292"/>
      <c r="QM40" s="292"/>
      <c r="QN40" s="292"/>
      <c r="QO40" s="292"/>
      <c r="QP40" s="292"/>
      <c r="QQ40" s="292"/>
      <c r="QR40" s="292"/>
      <c r="QS40" s="292"/>
      <c r="QT40" s="292"/>
      <c r="QU40" s="292"/>
      <c r="QV40" s="292"/>
      <c r="QW40" s="292"/>
      <c r="QX40" s="292"/>
      <c r="QY40" s="292"/>
      <c r="QZ40" s="292"/>
      <c r="RA40" s="292"/>
      <c r="RB40" s="292"/>
      <c r="RC40" s="292"/>
      <c r="RD40" s="292"/>
      <c r="RE40" s="292"/>
      <c r="RF40" s="292"/>
      <c r="RG40" s="292"/>
      <c r="RH40" s="292"/>
      <c r="RI40" s="292"/>
      <c r="RJ40" s="292"/>
      <c r="RK40" s="292"/>
      <c r="RL40" s="292"/>
      <c r="RM40" s="292"/>
      <c r="RN40" s="292"/>
      <c r="RO40" s="292"/>
      <c r="RP40" s="292"/>
      <c r="RQ40" s="292"/>
      <c r="RR40" s="292"/>
      <c r="RS40" s="292"/>
      <c r="RT40" s="292"/>
      <c r="RU40" s="292"/>
      <c r="RV40" s="292"/>
      <c r="RW40" s="292"/>
      <c r="RX40" s="292"/>
      <c r="RY40" s="292"/>
      <c r="RZ40" s="292"/>
      <c r="SA40" s="292"/>
      <c r="SB40" s="292"/>
      <c r="SC40" s="292"/>
      <c r="SD40" s="292"/>
      <c r="SE40" s="292"/>
      <c r="SF40" s="292"/>
      <c r="SG40" s="292"/>
      <c r="SH40" s="292"/>
      <c r="SI40" s="292"/>
      <c r="SJ40" s="292"/>
      <c r="SK40" s="292"/>
      <c r="SL40" s="292"/>
      <c r="SM40" s="292"/>
      <c r="SN40" s="292"/>
      <c r="SO40" s="292"/>
      <c r="SP40" s="292"/>
      <c r="SQ40" s="292"/>
      <c r="SR40" s="292"/>
      <c r="SS40" s="292"/>
      <c r="ST40" s="292"/>
      <c r="SU40" s="292"/>
    </row>
    <row r="41" spans="1:545" s="620" customFormat="1" ht="15" customHeight="1" x14ac:dyDescent="0.25">
      <c r="A41" s="1007"/>
      <c r="B41" s="1006"/>
      <c r="C41" s="1006"/>
      <c r="D41" s="962"/>
      <c r="E41" s="962"/>
      <c r="F41" s="962"/>
      <c r="G41" s="981"/>
      <c r="H41" s="957"/>
      <c r="I41" s="962"/>
      <c r="J41" s="962"/>
      <c r="K41" s="981"/>
      <c r="L41" s="957"/>
      <c r="M41" s="962"/>
      <c r="N41" s="962"/>
      <c r="O41" s="981"/>
      <c r="P41" s="957"/>
      <c r="Q41" s="957"/>
      <c r="R41" s="957"/>
      <c r="S41" s="981"/>
      <c r="T41" s="957"/>
      <c r="U41" s="1180"/>
      <c r="V41" s="1180"/>
      <c r="W41" s="981"/>
      <c r="X41" s="957"/>
      <c r="Y41" s="1180"/>
      <c r="Z41" s="1180"/>
      <c r="AA41" s="981"/>
      <c r="AB41" s="976"/>
      <c r="AC41" s="957"/>
      <c r="AD41" s="981"/>
      <c r="AE41" s="971"/>
      <c r="AF41" s="292"/>
      <c r="AG41" s="292"/>
      <c r="AH41" s="292"/>
      <c r="AI41" s="292"/>
      <c r="AJ41" s="292"/>
      <c r="AK41" s="292"/>
      <c r="AL41" s="292"/>
      <c r="AM41" s="292"/>
      <c r="AN41" s="292"/>
      <c r="AO41" s="292"/>
      <c r="AP41" s="292"/>
      <c r="AQ41" s="292"/>
      <c r="AR41" s="292"/>
      <c r="AS41" s="292"/>
      <c r="AT41" s="292"/>
      <c r="AU41" s="292"/>
      <c r="AV41" s="292"/>
      <c r="AW41" s="292"/>
      <c r="AX41" s="292"/>
      <c r="AY41" s="292"/>
      <c r="AZ41" s="292"/>
      <c r="BA41" s="292"/>
      <c r="BB41" s="292"/>
      <c r="BC41" s="292"/>
      <c r="BD41" s="292"/>
      <c r="BE41" s="292"/>
      <c r="BF41" s="292"/>
      <c r="BG41" s="292"/>
      <c r="BH41" s="292"/>
      <c r="BI41" s="292"/>
      <c r="BJ41" s="292"/>
      <c r="BK41" s="292"/>
      <c r="BL41" s="292"/>
    </row>
    <row r="42" spans="1:545" ht="27.65" customHeight="1" x14ac:dyDescent="0.25">
      <c r="A42" s="1334" t="s">
        <v>342</v>
      </c>
      <c r="B42" s="1335"/>
      <c r="C42" s="1335"/>
      <c r="D42" s="957"/>
      <c r="E42" s="1179" t="s">
        <v>327</v>
      </c>
      <c r="F42" s="1179" t="s">
        <v>343</v>
      </c>
      <c r="G42" s="1141" t="s">
        <v>344</v>
      </c>
      <c r="H42" s="957"/>
      <c r="I42" s="1179" t="s">
        <v>327</v>
      </c>
      <c r="J42" s="1179" t="s">
        <v>343</v>
      </c>
      <c r="K42" s="1141" t="s">
        <v>344</v>
      </c>
      <c r="L42" s="957"/>
      <c r="M42" s="1179" t="s">
        <v>327</v>
      </c>
      <c r="N42" s="1179" t="s">
        <v>343</v>
      </c>
      <c r="O42" s="1141" t="s">
        <v>344</v>
      </c>
      <c r="P42" s="957"/>
      <c r="Q42" s="1179" t="s">
        <v>327</v>
      </c>
      <c r="R42" s="1179" t="s">
        <v>343</v>
      </c>
      <c r="S42" s="1141" t="s">
        <v>344</v>
      </c>
      <c r="T42" s="957"/>
      <c r="U42" s="1179" t="s">
        <v>327</v>
      </c>
      <c r="V42" s="1179" t="s">
        <v>343</v>
      </c>
      <c r="W42" s="1141" t="s">
        <v>344</v>
      </c>
      <c r="X42" s="957"/>
      <c r="Y42" s="1179" t="s">
        <v>345</v>
      </c>
      <c r="Z42" s="1179" t="s">
        <v>343</v>
      </c>
      <c r="AA42" s="1141" t="s">
        <v>344</v>
      </c>
      <c r="AB42" s="957"/>
      <c r="AC42" s="1179" t="s">
        <v>327</v>
      </c>
      <c r="AD42" s="1142" t="s">
        <v>346</v>
      </c>
      <c r="AE42" s="971"/>
    </row>
    <row r="43" spans="1:545" ht="15" customHeight="1" x14ac:dyDescent="0.25">
      <c r="A43" s="1337" t="s">
        <v>347</v>
      </c>
      <c r="B43" s="1338"/>
      <c r="C43" s="1095" t="s">
        <v>348</v>
      </c>
      <c r="D43" s="957"/>
      <c r="E43" s="797">
        <v>0</v>
      </c>
      <c r="F43" s="1158">
        <v>0</v>
      </c>
      <c r="G43" s="998">
        <f>E43*F43</f>
        <v>0</v>
      </c>
      <c r="H43" s="957"/>
      <c r="I43" s="797">
        <v>0</v>
      </c>
      <c r="J43" s="622">
        <v>0</v>
      </c>
      <c r="K43" s="998">
        <f>I43*J43</f>
        <v>0</v>
      </c>
      <c r="L43" s="957"/>
      <c r="M43" s="797">
        <v>0</v>
      </c>
      <c r="N43" s="622">
        <v>0</v>
      </c>
      <c r="O43" s="998">
        <f>M43*N43</f>
        <v>0</v>
      </c>
      <c r="P43" s="957"/>
      <c r="Q43" s="797">
        <v>0</v>
      </c>
      <c r="R43" s="622">
        <v>0</v>
      </c>
      <c r="S43" s="998">
        <f>Q43*R43</f>
        <v>0</v>
      </c>
      <c r="T43" s="957"/>
      <c r="U43" s="797">
        <v>0</v>
      </c>
      <c r="V43" s="622">
        <v>0</v>
      </c>
      <c r="W43" s="998">
        <f>U43*V43</f>
        <v>0</v>
      </c>
      <c r="X43" s="957"/>
      <c r="Y43" s="797">
        <v>0</v>
      </c>
      <c r="Z43" s="622">
        <v>0</v>
      </c>
      <c r="AA43" s="998">
        <f>Y43*Z43</f>
        <v>0</v>
      </c>
      <c r="AB43" s="975"/>
      <c r="AC43" s="1097">
        <f>SUM(E43,I43,M43,Q43,U43,Y43)</f>
        <v>0</v>
      </c>
      <c r="AD43" s="998">
        <f>G43+K43+O43+S43+W43+AA43</f>
        <v>0</v>
      </c>
      <c r="AE43" s="971"/>
    </row>
    <row r="44" spans="1:545" ht="15" customHeight="1" x14ac:dyDescent="0.25">
      <c r="A44" s="1337" t="s">
        <v>349</v>
      </c>
      <c r="B44" s="1338"/>
      <c r="C44" s="1095" t="s">
        <v>348</v>
      </c>
      <c r="D44" s="957"/>
      <c r="E44" s="797">
        <v>0</v>
      </c>
      <c r="F44" s="622">
        <v>0</v>
      </c>
      <c r="G44" s="998">
        <f>E45*F44</f>
        <v>0</v>
      </c>
      <c r="H44" s="957"/>
      <c r="I44" s="797">
        <v>0</v>
      </c>
      <c r="J44" s="622">
        <v>0</v>
      </c>
      <c r="K44" s="998">
        <f>I44*J44</f>
        <v>0</v>
      </c>
      <c r="L44" s="957"/>
      <c r="M44" s="797">
        <v>0</v>
      </c>
      <c r="N44" s="622">
        <v>0</v>
      </c>
      <c r="O44" s="998">
        <f>M44*N44</f>
        <v>0</v>
      </c>
      <c r="P44" s="957"/>
      <c r="Q44" s="797">
        <v>0</v>
      </c>
      <c r="R44" s="622">
        <v>0</v>
      </c>
      <c r="S44" s="998">
        <f>Q44*R44</f>
        <v>0</v>
      </c>
      <c r="T44" s="957"/>
      <c r="U44" s="797">
        <v>0</v>
      </c>
      <c r="V44" s="622">
        <v>0</v>
      </c>
      <c r="W44" s="998">
        <f>U44*V44</f>
        <v>0</v>
      </c>
      <c r="X44" s="957"/>
      <c r="Y44" s="797">
        <v>0</v>
      </c>
      <c r="Z44" s="622">
        <v>0</v>
      </c>
      <c r="AA44" s="998">
        <f>Y44*Z44</f>
        <v>0</v>
      </c>
      <c r="AB44" s="975"/>
      <c r="AC44" s="1097">
        <f>SUM(E44,I44,M44,Q44,U44,Y44)</f>
        <v>0</v>
      </c>
      <c r="AD44" s="998">
        <f>G44+K44+O44+S44+W44+AA44</f>
        <v>0</v>
      </c>
      <c r="AE44" s="971"/>
    </row>
    <row r="45" spans="1:545" ht="15" customHeight="1" x14ac:dyDescent="0.25">
      <c r="A45" s="1337" t="s">
        <v>350</v>
      </c>
      <c r="B45" s="1338"/>
      <c r="C45" s="1095" t="s">
        <v>348</v>
      </c>
      <c r="D45" s="957"/>
      <c r="E45" s="797">
        <v>0</v>
      </c>
      <c r="F45" s="622">
        <v>0</v>
      </c>
      <c r="G45" s="998">
        <f>E46*F45</f>
        <v>0</v>
      </c>
      <c r="H45" s="957"/>
      <c r="I45" s="797">
        <v>0</v>
      </c>
      <c r="J45" s="622">
        <v>0</v>
      </c>
      <c r="K45" s="998">
        <f>I45*J45</f>
        <v>0</v>
      </c>
      <c r="L45" s="957"/>
      <c r="M45" s="797">
        <v>0</v>
      </c>
      <c r="N45" s="622">
        <v>0</v>
      </c>
      <c r="O45" s="998">
        <f>M45*N45</f>
        <v>0</v>
      </c>
      <c r="P45" s="957"/>
      <c r="Q45" s="797">
        <v>0</v>
      </c>
      <c r="R45" s="622">
        <v>0</v>
      </c>
      <c r="S45" s="998">
        <f>Q45*R45</f>
        <v>0</v>
      </c>
      <c r="T45" s="957"/>
      <c r="U45" s="797">
        <v>0</v>
      </c>
      <c r="V45" s="622">
        <v>0</v>
      </c>
      <c r="W45" s="998">
        <f>U45*V45</f>
        <v>0</v>
      </c>
      <c r="X45" s="957"/>
      <c r="Y45" s="797">
        <v>0</v>
      </c>
      <c r="Z45" s="622">
        <v>0</v>
      </c>
      <c r="AA45" s="998">
        <f>Y45*Z45</f>
        <v>0</v>
      </c>
      <c r="AB45" s="975"/>
      <c r="AC45" s="1097">
        <f>SUM(E45,I45,M45,Q45,U45,Y45)</f>
        <v>0</v>
      </c>
      <c r="AD45" s="998">
        <f>G45+K45+O45+S45+W45+AA45</f>
        <v>0</v>
      </c>
      <c r="AE45" s="971"/>
    </row>
    <row r="46" spans="1:545" ht="15" customHeight="1" x14ac:dyDescent="0.25">
      <c r="A46" s="1329" t="s">
        <v>351</v>
      </c>
      <c r="B46" s="1330"/>
      <c r="C46" s="1095" t="s">
        <v>348</v>
      </c>
      <c r="D46" s="957"/>
      <c r="E46" s="797">
        <v>0</v>
      </c>
      <c r="F46" s="622">
        <v>0</v>
      </c>
      <c r="G46" s="998">
        <f>E46*F46</f>
        <v>0</v>
      </c>
      <c r="H46" s="957"/>
      <c r="I46" s="797">
        <v>0</v>
      </c>
      <c r="J46" s="622">
        <v>0</v>
      </c>
      <c r="K46" s="998">
        <f>I46*J46</f>
        <v>0</v>
      </c>
      <c r="L46" s="957"/>
      <c r="M46" s="797">
        <v>0</v>
      </c>
      <c r="N46" s="622">
        <v>0</v>
      </c>
      <c r="O46" s="998">
        <f>M46*N46</f>
        <v>0</v>
      </c>
      <c r="P46" s="957"/>
      <c r="Q46" s="797">
        <v>0</v>
      </c>
      <c r="R46" s="622">
        <v>0</v>
      </c>
      <c r="S46" s="998">
        <f>Q46*R46</f>
        <v>0</v>
      </c>
      <c r="T46" s="957"/>
      <c r="U46" s="797">
        <v>0</v>
      </c>
      <c r="V46" s="622">
        <v>0</v>
      </c>
      <c r="W46" s="998">
        <f>U46*V46</f>
        <v>0</v>
      </c>
      <c r="X46" s="957"/>
      <c r="Y46" s="797">
        <v>0</v>
      </c>
      <c r="Z46" s="622">
        <v>0</v>
      </c>
      <c r="AA46" s="998">
        <f>Y46*Z46</f>
        <v>0</v>
      </c>
      <c r="AB46" s="975"/>
      <c r="AC46" s="1097">
        <f>SUM(E46,I46,M46,Q46,U46,Y46)</f>
        <v>0</v>
      </c>
      <c r="AD46" s="998">
        <f>G46+K46+O46+S46+W46+AA46</f>
        <v>0</v>
      </c>
      <c r="AE46" s="971"/>
    </row>
    <row r="47" spans="1:545" s="615" customFormat="1" ht="23.15" customHeight="1" x14ac:dyDescent="0.25">
      <c r="A47" s="1360" t="s">
        <v>342</v>
      </c>
      <c r="B47" s="1361"/>
      <c r="C47" s="1361"/>
      <c r="D47" s="957"/>
      <c r="E47" s="798">
        <f>SUM(E43:E46)</f>
        <v>0</v>
      </c>
      <c r="F47" s="995"/>
      <c r="G47" s="1131">
        <f>SUM(G42:G46)</f>
        <v>0</v>
      </c>
      <c r="H47" s="957"/>
      <c r="I47" s="798">
        <f>SUM(I43:I46)</f>
        <v>0</v>
      </c>
      <c r="J47" s="996"/>
      <c r="K47" s="1131">
        <f>SUM(K42:K46)</f>
        <v>0</v>
      </c>
      <c r="L47" s="957"/>
      <c r="M47" s="798">
        <f>SUM(M43:M46)</f>
        <v>0</v>
      </c>
      <c r="N47" s="996"/>
      <c r="O47" s="1131">
        <f>SUM(O42:O46)</f>
        <v>0</v>
      </c>
      <c r="P47" s="957"/>
      <c r="Q47" s="798">
        <f>SUM(Q43:Q46)</f>
        <v>0</v>
      </c>
      <c r="R47" s="996"/>
      <c r="S47" s="1131">
        <f>SUM(S42:S46)</f>
        <v>0</v>
      </c>
      <c r="T47" s="957"/>
      <c r="U47" s="798">
        <f>SUM(U43:U46)</f>
        <v>0</v>
      </c>
      <c r="V47" s="987"/>
      <c r="W47" s="1131">
        <f>SUM(W42:W46)</f>
        <v>0</v>
      </c>
      <c r="X47" s="957"/>
      <c r="Y47" s="798">
        <f>SUM(Y43:Y46)</f>
        <v>0</v>
      </c>
      <c r="Z47" s="987"/>
      <c r="AA47" s="1131">
        <f>SUM(AA42:AA46)</f>
        <v>0</v>
      </c>
      <c r="AB47" s="976"/>
      <c r="AC47" s="798">
        <f>SUM(AC43:AC46)</f>
        <v>0</v>
      </c>
      <c r="AD47" s="1131">
        <f>G47+K47+O47+S47+W47+AA47</f>
        <v>0</v>
      </c>
      <c r="AE47" s="971"/>
      <c r="AF47" s="292"/>
      <c r="AG47" s="292"/>
      <c r="AH47" s="292"/>
      <c r="AI47" s="292"/>
      <c r="AJ47" s="292"/>
      <c r="AK47" s="292"/>
      <c r="AL47" s="292"/>
      <c r="AM47" s="292"/>
      <c r="AN47" s="292"/>
      <c r="AO47" s="292"/>
      <c r="AP47" s="292"/>
      <c r="AQ47" s="292"/>
      <c r="AR47" s="292"/>
      <c r="AS47" s="292"/>
      <c r="AT47" s="292"/>
      <c r="AU47" s="292"/>
      <c r="AV47" s="292"/>
      <c r="AW47" s="292"/>
      <c r="AX47" s="292"/>
      <c r="AY47" s="292"/>
      <c r="AZ47" s="292"/>
      <c r="BA47" s="292"/>
      <c r="BB47" s="292"/>
      <c r="BC47" s="292"/>
      <c r="BD47" s="292"/>
      <c r="BE47" s="292"/>
      <c r="BF47" s="292"/>
      <c r="BG47" s="292"/>
      <c r="BH47" s="292"/>
      <c r="BI47" s="292"/>
      <c r="BJ47" s="292"/>
      <c r="BK47" s="292"/>
      <c r="BL47" s="292"/>
      <c r="BM47" s="292"/>
      <c r="BN47" s="292"/>
      <c r="BO47" s="292"/>
      <c r="BP47" s="292"/>
      <c r="BQ47" s="292"/>
      <c r="BR47" s="292"/>
      <c r="BS47" s="292"/>
      <c r="BT47" s="292"/>
      <c r="BU47" s="292"/>
      <c r="BV47" s="292"/>
      <c r="BW47" s="292"/>
      <c r="BX47" s="292"/>
      <c r="BY47" s="292"/>
      <c r="BZ47" s="292"/>
      <c r="CA47" s="292"/>
      <c r="CB47" s="292"/>
      <c r="CC47" s="292"/>
      <c r="CD47" s="292"/>
      <c r="CE47" s="292"/>
      <c r="CF47" s="292"/>
      <c r="CG47" s="292"/>
      <c r="CH47" s="292"/>
      <c r="CI47" s="292"/>
      <c r="CJ47" s="292"/>
      <c r="CK47" s="292"/>
      <c r="CL47" s="292"/>
      <c r="CM47" s="292"/>
      <c r="CN47" s="292"/>
      <c r="CO47" s="292"/>
      <c r="CP47" s="292"/>
      <c r="CQ47" s="292"/>
      <c r="CR47" s="292"/>
      <c r="CS47" s="292"/>
      <c r="CT47" s="292"/>
      <c r="CU47" s="292"/>
      <c r="CV47" s="292"/>
      <c r="CW47" s="292"/>
      <c r="CX47" s="292"/>
      <c r="CY47" s="292"/>
      <c r="CZ47" s="292"/>
      <c r="DA47" s="292"/>
      <c r="DB47" s="292"/>
      <c r="DC47" s="292"/>
      <c r="DD47" s="292"/>
      <c r="DE47" s="292"/>
      <c r="DF47" s="292"/>
      <c r="DG47" s="292"/>
      <c r="DH47" s="292"/>
      <c r="DI47" s="292"/>
      <c r="DJ47" s="292"/>
      <c r="DK47" s="292"/>
      <c r="DL47" s="292"/>
      <c r="DM47" s="292"/>
      <c r="DN47" s="292"/>
      <c r="DO47" s="292"/>
      <c r="DP47" s="292"/>
      <c r="DQ47" s="292"/>
      <c r="DR47" s="292"/>
      <c r="DS47" s="292"/>
      <c r="DT47" s="292"/>
      <c r="DU47" s="292"/>
      <c r="DV47" s="292"/>
      <c r="DW47" s="292"/>
      <c r="DX47" s="292"/>
      <c r="DY47" s="292"/>
      <c r="DZ47" s="292"/>
      <c r="EA47" s="292"/>
      <c r="EB47" s="292"/>
      <c r="EC47" s="292"/>
      <c r="ED47" s="292"/>
      <c r="EE47" s="292"/>
      <c r="EF47" s="292"/>
      <c r="EG47" s="292"/>
      <c r="EH47" s="292"/>
      <c r="EI47" s="292"/>
      <c r="EJ47" s="292"/>
      <c r="EK47" s="292"/>
      <c r="EL47" s="292"/>
      <c r="EM47" s="292"/>
      <c r="EN47" s="292"/>
      <c r="EO47" s="292"/>
      <c r="EP47" s="292"/>
      <c r="EQ47" s="292"/>
      <c r="ER47" s="292"/>
      <c r="ES47" s="292"/>
      <c r="ET47" s="292"/>
      <c r="EU47" s="292"/>
      <c r="EV47" s="292"/>
      <c r="EW47" s="292"/>
      <c r="EX47" s="292"/>
      <c r="EY47" s="292"/>
      <c r="EZ47" s="292"/>
      <c r="FA47" s="292"/>
      <c r="FB47" s="292"/>
      <c r="FC47" s="292"/>
      <c r="FD47" s="292"/>
      <c r="FE47" s="292"/>
      <c r="FF47" s="292"/>
      <c r="FG47" s="292"/>
      <c r="FH47" s="292"/>
      <c r="FI47" s="292"/>
      <c r="FJ47" s="292"/>
      <c r="FK47" s="292"/>
      <c r="FL47" s="292"/>
      <c r="FM47" s="292"/>
      <c r="FN47" s="292"/>
      <c r="FO47" s="292"/>
      <c r="FP47" s="292"/>
      <c r="FQ47" s="292"/>
      <c r="FR47" s="292"/>
      <c r="FS47" s="292"/>
      <c r="FT47" s="292"/>
      <c r="FU47" s="292"/>
      <c r="FV47" s="292"/>
      <c r="FW47" s="292"/>
      <c r="FX47" s="292"/>
      <c r="FY47" s="292"/>
      <c r="FZ47" s="292"/>
      <c r="GA47" s="292"/>
      <c r="GB47" s="292"/>
      <c r="GC47" s="292"/>
      <c r="GD47" s="292"/>
      <c r="GE47" s="292"/>
      <c r="GF47" s="292"/>
      <c r="GG47" s="292"/>
      <c r="GH47" s="292"/>
      <c r="GI47" s="292"/>
      <c r="GJ47" s="292"/>
      <c r="GK47" s="292"/>
      <c r="GL47" s="292"/>
      <c r="GM47" s="292"/>
      <c r="GN47" s="292"/>
      <c r="GO47" s="292"/>
      <c r="GP47" s="292"/>
      <c r="GQ47" s="292"/>
      <c r="GR47" s="292"/>
      <c r="GS47" s="292"/>
      <c r="GT47" s="292"/>
      <c r="GU47" s="292"/>
      <c r="GV47" s="292"/>
      <c r="GW47" s="292"/>
      <c r="GX47" s="292"/>
      <c r="GY47" s="292"/>
      <c r="GZ47" s="292"/>
      <c r="HA47" s="292"/>
      <c r="HB47" s="292"/>
      <c r="HC47" s="292"/>
      <c r="HD47" s="292"/>
      <c r="HE47" s="292"/>
      <c r="HF47" s="292"/>
      <c r="HG47" s="292"/>
      <c r="HH47" s="292"/>
      <c r="HI47" s="292"/>
      <c r="HJ47" s="292"/>
      <c r="HK47" s="292"/>
      <c r="HL47" s="292"/>
      <c r="HM47" s="292"/>
      <c r="HN47" s="292"/>
      <c r="HO47" s="292"/>
      <c r="HP47" s="292"/>
      <c r="HQ47" s="292"/>
      <c r="HR47" s="292"/>
      <c r="HS47" s="292"/>
      <c r="HT47" s="292"/>
      <c r="HU47" s="292"/>
      <c r="HV47" s="292"/>
      <c r="HW47" s="292"/>
      <c r="HX47" s="292"/>
      <c r="HY47" s="292"/>
      <c r="HZ47" s="292"/>
      <c r="IA47" s="292"/>
      <c r="IB47" s="292"/>
      <c r="IC47" s="292"/>
      <c r="ID47" s="292"/>
      <c r="IE47" s="292"/>
      <c r="IF47" s="292"/>
      <c r="IG47" s="292"/>
      <c r="IH47" s="292"/>
      <c r="II47" s="292"/>
      <c r="IJ47" s="292"/>
      <c r="IK47" s="292"/>
      <c r="IL47" s="292"/>
      <c r="IM47" s="292"/>
      <c r="IN47" s="292"/>
      <c r="IO47" s="292"/>
      <c r="IP47" s="292"/>
      <c r="IQ47" s="292"/>
      <c r="IR47" s="292"/>
      <c r="IS47" s="292"/>
      <c r="IT47" s="292"/>
      <c r="IU47" s="292"/>
      <c r="IV47" s="292"/>
      <c r="IW47" s="292"/>
      <c r="IX47" s="292"/>
      <c r="IY47" s="292"/>
      <c r="IZ47" s="292"/>
      <c r="JA47" s="292"/>
      <c r="JB47" s="292"/>
      <c r="JC47" s="292"/>
      <c r="JD47" s="292"/>
      <c r="JE47" s="292"/>
      <c r="JF47" s="292"/>
      <c r="JG47" s="292"/>
      <c r="JH47" s="292"/>
      <c r="JI47" s="292"/>
      <c r="JJ47" s="292"/>
      <c r="JK47" s="292"/>
      <c r="JL47" s="292"/>
      <c r="JM47" s="292"/>
      <c r="JN47" s="292"/>
      <c r="JO47" s="292"/>
      <c r="JP47" s="292"/>
      <c r="JQ47" s="292"/>
      <c r="JR47" s="292"/>
      <c r="JS47" s="292"/>
      <c r="JT47" s="292"/>
      <c r="JU47" s="292"/>
      <c r="JV47" s="292"/>
      <c r="JW47" s="292"/>
      <c r="JX47" s="292"/>
      <c r="JY47" s="292"/>
      <c r="JZ47" s="292"/>
      <c r="KA47" s="292"/>
      <c r="KB47" s="292"/>
      <c r="KC47" s="292"/>
      <c r="KD47" s="292"/>
      <c r="KE47" s="292"/>
      <c r="KF47" s="292"/>
      <c r="KG47" s="292"/>
      <c r="KH47" s="292"/>
      <c r="KI47" s="292"/>
      <c r="KJ47" s="292"/>
      <c r="KK47" s="292"/>
      <c r="KL47" s="292"/>
      <c r="KM47" s="292"/>
      <c r="KN47" s="292"/>
      <c r="KO47" s="292"/>
      <c r="KP47" s="292"/>
      <c r="KQ47" s="292"/>
      <c r="KR47" s="292"/>
      <c r="KS47" s="292"/>
      <c r="KT47" s="292"/>
      <c r="KU47" s="292"/>
      <c r="KV47" s="292"/>
      <c r="KW47" s="292"/>
      <c r="KX47" s="292"/>
      <c r="KY47" s="292"/>
      <c r="KZ47" s="292"/>
      <c r="LA47" s="292"/>
      <c r="LB47" s="292"/>
      <c r="LC47" s="292"/>
      <c r="LD47" s="292"/>
      <c r="LE47" s="292"/>
      <c r="LF47" s="292"/>
      <c r="LG47" s="292"/>
      <c r="LH47" s="292"/>
      <c r="LI47" s="292"/>
      <c r="LJ47" s="292"/>
      <c r="LK47" s="292"/>
      <c r="LL47" s="292"/>
      <c r="LM47" s="292"/>
      <c r="LN47" s="292"/>
      <c r="LO47" s="292"/>
      <c r="LP47" s="292"/>
      <c r="LQ47" s="292"/>
      <c r="LR47" s="292"/>
      <c r="LS47" s="292"/>
      <c r="LT47" s="292"/>
      <c r="LU47" s="292"/>
      <c r="LV47" s="292"/>
      <c r="LW47" s="292"/>
      <c r="LX47" s="292"/>
      <c r="LY47" s="292"/>
      <c r="LZ47" s="292"/>
      <c r="MA47" s="292"/>
      <c r="MB47" s="292"/>
      <c r="MC47" s="292"/>
      <c r="MD47" s="292"/>
      <c r="ME47" s="292"/>
      <c r="MF47" s="292"/>
      <c r="MG47" s="292"/>
      <c r="MH47" s="292"/>
      <c r="MI47" s="292"/>
      <c r="MJ47" s="292"/>
      <c r="MK47" s="292"/>
      <c r="ML47" s="292"/>
      <c r="MM47" s="292"/>
      <c r="MN47" s="292"/>
      <c r="MO47" s="292"/>
      <c r="MP47" s="292"/>
      <c r="MQ47" s="292"/>
      <c r="MR47" s="292"/>
      <c r="MS47" s="292"/>
      <c r="MT47" s="292"/>
      <c r="MU47" s="292"/>
      <c r="MV47" s="292"/>
      <c r="MW47" s="292"/>
      <c r="MX47" s="292"/>
      <c r="MY47" s="292"/>
      <c r="MZ47" s="292"/>
      <c r="NA47" s="292"/>
      <c r="NB47" s="292"/>
      <c r="NC47" s="292"/>
      <c r="ND47" s="292"/>
      <c r="NE47" s="292"/>
      <c r="NF47" s="292"/>
      <c r="NG47" s="292"/>
      <c r="NH47" s="292"/>
      <c r="NI47" s="292"/>
      <c r="NJ47" s="292"/>
      <c r="NK47" s="292"/>
      <c r="NL47" s="292"/>
      <c r="NM47" s="292"/>
      <c r="NN47" s="292"/>
      <c r="NO47" s="292"/>
      <c r="NP47" s="292"/>
      <c r="NQ47" s="292"/>
      <c r="NR47" s="292"/>
      <c r="NS47" s="292"/>
      <c r="NT47" s="292"/>
      <c r="NU47" s="292"/>
      <c r="NV47" s="292"/>
      <c r="NW47" s="292"/>
      <c r="NX47" s="292"/>
      <c r="NY47" s="292"/>
      <c r="NZ47" s="292"/>
      <c r="OA47" s="292"/>
      <c r="OB47" s="292"/>
      <c r="OC47" s="292"/>
      <c r="OD47" s="292"/>
      <c r="OE47" s="292"/>
      <c r="OF47" s="292"/>
      <c r="OG47" s="292"/>
      <c r="OH47" s="292"/>
      <c r="OI47" s="292"/>
      <c r="OJ47" s="292"/>
      <c r="OK47" s="292"/>
      <c r="OL47" s="292"/>
      <c r="OM47" s="292"/>
      <c r="ON47" s="292"/>
      <c r="OO47" s="292"/>
      <c r="OP47" s="292"/>
      <c r="OQ47" s="292"/>
      <c r="OR47" s="292"/>
      <c r="OS47" s="292"/>
      <c r="OT47" s="292"/>
      <c r="OU47" s="292"/>
      <c r="OV47" s="292"/>
      <c r="OW47" s="292"/>
      <c r="OX47" s="292"/>
      <c r="OY47" s="292"/>
      <c r="OZ47" s="292"/>
      <c r="PA47" s="292"/>
      <c r="PB47" s="292"/>
      <c r="PC47" s="292"/>
      <c r="PD47" s="292"/>
      <c r="PE47" s="292"/>
      <c r="PF47" s="292"/>
      <c r="PG47" s="292"/>
      <c r="PH47" s="292"/>
      <c r="PI47" s="292"/>
      <c r="PJ47" s="292"/>
      <c r="PK47" s="292"/>
      <c r="PL47" s="292"/>
      <c r="PM47" s="292"/>
      <c r="PN47" s="292"/>
      <c r="PO47" s="292"/>
      <c r="PP47" s="292"/>
      <c r="PQ47" s="292"/>
      <c r="PR47" s="292"/>
      <c r="PS47" s="292"/>
      <c r="PT47" s="292"/>
      <c r="PU47" s="292"/>
      <c r="PV47" s="292"/>
      <c r="PW47" s="292"/>
      <c r="PX47" s="292"/>
      <c r="PY47" s="292"/>
      <c r="PZ47" s="292"/>
      <c r="QA47" s="292"/>
      <c r="QB47" s="292"/>
      <c r="QC47" s="292"/>
      <c r="QD47" s="292"/>
      <c r="QE47" s="292"/>
      <c r="QF47" s="292"/>
      <c r="QG47" s="292"/>
      <c r="QH47" s="292"/>
      <c r="QI47" s="292"/>
      <c r="QJ47" s="292"/>
      <c r="QK47" s="292"/>
      <c r="QL47" s="292"/>
      <c r="QM47" s="292"/>
      <c r="QN47" s="292"/>
      <c r="QO47" s="292"/>
      <c r="QP47" s="292"/>
      <c r="QQ47" s="292"/>
      <c r="QR47" s="292"/>
      <c r="QS47" s="292"/>
      <c r="QT47" s="292"/>
      <c r="QU47" s="292"/>
      <c r="QV47" s="292"/>
      <c r="QW47" s="292"/>
      <c r="QX47" s="292"/>
      <c r="QY47" s="292"/>
      <c r="QZ47" s="292"/>
      <c r="RA47" s="292"/>
      <c r="RB47" s="292"/>
      <c r="RC47" s="292"/>
      <c r="RD47" s="292"/>
      <c r="RE47" s="292"/>
      <c r="RF47" s="292"/>
      <c r="RG47" s="292"/>
      <c r="RH47" s="292"/>
      <c r="RI47" s="292"/>
      <c r="RJ47" s="292"/>
      <c r="RK47" s="292"/>
      <c r="RL47" s="292"/>
      <c r="RM47" s="292"/>
      <c r="RN47" s="292"/>
      <c r="RO47" s="292"/>
      <c r="RP47" s="292"/>
      <c r="RQ47" s="292"/>
      <c r="RR47" s="292"/>
      <c r="RS47" s="292"/>
      <c r="RT47" s="292"/>
      <c r="RU47" s="292"/>
      <c r="RV47" s="292"/>
      <c r="RW47" s="292"/>
      <c r="RX47" s="292"/>
      <c r="RY47" s="292"/>
      <c r="RZ47" s="292"/>
      <c r="SA47" s="292"/>
      <c r="SB47" s="292"/>
      <c r="SC47" s="292"/>
      <c r="SD47" s="292"/>
      <c r="SE47" s="292"/>
      <c r="SF47" s="292"/>
      <c r="SG47" s="292"/>
      <c r="SH47" s="292"/>
      <c r="SI47" s="292"/>
      <c r="SJ47" s="292"/>
      <c r="SK47" s="292"/>
      <c r="SL47" s="292"/>
      <c r="SM47" s="292"/>
      <c r="SN47" s="292"/>
      <c r="SO47" s="292"/>
      <c r="SP47" s="292"/>
      <c r="SQ47" s="292"/>
      <c r="SR47" s="292"/>
      <c r="SS47" s="292"/>
      <c r="ST47" s="292"/>
      <c r="SU47" s="292"/>
    </row>
    <row r="48" spans="1:545" s="620" customFormat="1" ht="15" customHeight="1" x14ac:dyDescent="0.25">
      <c r="A48" s="986"/>
      <c r="B48" s="984"/>
      <c r="C48" s="984"/>
      <c r="D48" s="957"/>
      <c r="E48" s="983"/>
      <c r="F48" s="957"/>
      <c r="G48" s="981"/>
      <c r="H48" s="957"/>
      <c r="I48" s="983"/>
      <c r="J48" s="981"/>
      <c r="K48" s="981"/>
      <c r="L48" s="957"/>
      <c r="M48" s="983"/>
      <c r="N48" s="981"/>
      <c r="O48" s="981"/>
      <c r="P48" s="957"/>
      <c r="Q48" s="983"/>
      <c r="R48" s="981"/>
      <c r="S48" s="981"/>
      <c r="T48" s="957"/>
      <c r="U48" s="983"/>
      <c r="V48" s="957"/>
      <c r="W48" s="981"/>
      <c r="X48" s="957"/>
      <c r="Y48" s="983"/>
      <c r="Z48" s="957"/>
      <c r="AA48" s="981"/>
      <c r="AB48" s="976"/>
      <c r="AC48" s="983"/>
      <c r="AD48" s="981"/>
      <c r="AE48" s="971"/>
      <c r="AF48" s="292"/>
      <c r="AG48" s="292"/>
      <c r="AH48" s="292"/>
      <c r="AI48" s="292"/>
      <c r="AJ48" s="292"/>
      <c r="AK48" s="292"/>
      <c r="AL48" s="292"/>
      <c r="AM48" s="292"/>
      <c r="AN48" s="292"/>
      <c r="AO48" s="292"/>
      <c r="AP48" s="292"/>
      <c r="AQ48" s="292"/>
      <c r="AR48" s="292"/>
      <c r="AS48" s="292"/>
      <c r="AT48" s="292"/>
      <c r="AU48" s="292"/>
      <c r="AV48" s="292"/>
      <c r="AW48" s="292"/>
      <c r="AX48" s="292"/>
      <c r="AY48" s="292"/>
      <c r="AZ48" s="292"/>
      <c r="BA48" s="292"/>
      <c r="BB48" s="292"/>
      <c r="BC48" s="292"/>
      <c r="BD48" s="292"/>
      <c r="BE48" s="292"/>
      <c r="BF48" s="292"/>
      <c r="BG48" s="292"/>
      <c r="BH48" s="292"/>
      <c r="BI48" s="292"/>
      <c r="BJ48" s="292"/>
      <c r="BK48" s="292"/>
      <c r="BL48" s="292"/>
    </row>
    <row r="49" spans="1:515" s="624" customFormat="1" ht="23.15" customHeight="1" x14ac:dyDescent="0.25">
      <c r="A49" s="1364" t="s">
        <v>352</v>
      </c>
      <c r="B49" s="1365"/>
      <c r="C49" s="1365"/>
      <c r="D49" s="962"/>
      <c r="E49" s="962"/>
      <c r="F49" s="962"/>
      <c r="G49" s="1175" t="s">
        <v>353</v>
      </c>
      <c r="H49" s="962"/>
      <c r="I49" s="962"/>
      <c r="J49" s="962"/>
      <c r="K49" s="1175" t="s">
        <v>353</v>
      </c>
      <c r="L49" s="962"/>
      <c r="M49" s="962"/>
      <c r="N49" s="962"/>
      <c r="O49" s="1175" t="s">
        <v>353</v>
      </c>
      <c r="P49" s="962"/>
      <c r="Q49" s="962"/>
      <c r="R49" s="962"/>
      <c r="S49" s="1175" t="s">
        <v>353</v>
      </c>
      <c r="T49" s="962"/>
      <c r="U49" s="962"/>
      <c r="V49" s="962"/>
      <c r="W49" s="1175" t="s">
        <v>345</v>
      </c>
      <c r="X49" s="962"/>
      <c r="Y49" s="962"/>
      <c r="Z49" s="962"/>
      <c r="AA49" s="1175" t="s">
        <v>353</v>
      </c>
      <c r="AB49" s="962"/>
      <c r="AC49" s="962"/>
      <c r="AD49" s="1175" t="s">
        <v>353</v>
      </c>
      <c r="AE49" s="971"/>
      <c r="AF49" s="292"/>
      <c r="AG49" s="292"/>
      <c r="AH49" s="292"/>
      <c r="AI49" s="292"/>
      <c r="AJ49" s="292"/>
      <c r="AK49" s="292"/>
      <c r="AL49" s="292"/>
      <c r="AM49" s="292"/>
      <c r="AN49" s="292"/>
      <c r="AO49" s="292"/>
      <c r="AP49" s="292"/>
      <c r="AQ49" s="292"/>
      <c r="AR49" s="292"/>
      <c r="AS49" s="292"/>
      <c r="AT49" s="292"/>
      <c r="AU49" s="292"/>
      <c r="AV49" s="292"/>
      <c r="AW49" s="292"/>
      <c r="AX49" s="292"/>
      <c r="AY49" s="292"/>
      <c r="AZ49" s="292"/>
      <c r="BA49" s="292"/>
      <c r="BB49" s="292"/>
      <c r="BC49" s="292"/>
      <c r="BD49" s="292"/>
      <c r="BE49" s="292"/>
      <c r="BF49" s="292"/>
      <c r="BG49" s="292"/>
      <c r="BH49" s="292"/>
      <c r="BI49" s="292"/>
      <c r="BJ49" s="292"/>
      <c r="BK49" s="292"/>
      <c r="BL49" s="292"/>
      <c r="BM49" s="292"/>
      <c r="BN49" s="292"/>
      <c r="BO49" s="292"/>
      <c r="BP49" s="292"/>
      <c r="BQ49" s="292"/>
      <c r="BR49" s="292"/>
      <c r="BS49" s="292"/>
      <c r="BT49" s="292"/>
      <c r="BU49" s="292"/>
      <c r="BV49" s="292"/>
      <c r="BW49" s="292"/>
      <c r="BX49" s="292"/>
      <c r="BY49" s="292"/>
      <c r="BZ49" s="292"/>
      <c r="CA49" s="292"/>
      <c r="CB49" s="292"/>
      <c r="CC49" s="292"/>
      <c r="CD49" s="292"/>
      <c r="CE49" s="292"/>
      <c r="CF49" s="292"/>
      <c r="CG49" s="292"/>
      <c r="CH49" s="292"/>
      <c r="CI49" s="292"/>
      <c r="CJ49" s="292"/>
      <c r="CK49" s="292"/>
      <c r="CL49" s="292"/>
      <c r="CM49" s="292"/>
      <c r="CN49" s="292"/>
      <c r="CO49" s="292"/>
      <c r="CP49" s="292"/>
      <c r="CQ49" s="292"/>
      <c r="CR49" s="292"/>
      <c r="CS49" s="292"/>
      <c r="CT49" s="292"/>
      <c r="CU49" s="292"/>
      <c r="CV49" s="292"/>
      <c r="CW49" s="292"/>
      <c r="CX49" s="292"/>
      <c r="CY49" s="292"/>
      <c r="CZ49" s="292"/>
      <c r="DA49" s="292"/>
      <c r="DB49" s="292"/>
      <c r="DC49" s="292"/>
      <c r="DD49" s="292"/>
      <c r="DE49" s="292"/>
      <c r="DF49" s="292"/>
      <c r="DG49" s="292"/>
      <c r="DH49" s="292"/>
      <c r="DI49" s="292"/>
      <c r="DJ49" s="292"/>
      <c r="DK49" s="292"/>
      <c r="DL49" s="292"/>
      <c r="DM49" s="292"/>
      <c r="DN49" s="292"/>
      <c r="DO49" s="292"/>
      <c r="DP49" s="292"/>
      <c r="DQ49" s="292"/>
      <c r="DR49" s="292"/>
      <c r="DS49" s="292"/>
      <c r="DT49" s="292"/>
      <c r="DU49" s="292"/>
      <c r="DV49" s="292"/>
      <c r="DW49" s="292"/>
      <c r="DX49" s="292"/>
      <c r="DY49" s="292"/>
      <c r="DZ49" s="292"/>
      <c r="EA49" s="292"/>
      <c r="EB49" s="292"/>
      <c r="EC49" s="292"/>
      <c r="ED49" s="292"/>
      <c r="EE49" s="292"/>
      <c r="EF49" s="292"/>
      <c r="EG49" s="292"/>
      <c r="EH49" s="292"/>
      <c r="EI49" s="292"/>
      <c r="EJ49" s="292"/>
      <c r="EK49" s="292"/>
      <c r="EL49" s="292"/>
      <c r="EM49" s="292"/>
      <c r="EN49" s="292"/>
      <c r="EO49" s="292"/>
      <c r="EP49" s="292"/>
      <c r="EQ49" s="292"/>
      <c r="ER49" s="292"/>
      <c r="ES49" s="292"/>
      <c r="ET49" s="292"/>
      <c r="EU49" s="292"/>
      <c r="EV49" s="292"/>
      <c r="EW49" s="292"/>
      <c r="EX49" s="292"/>
      <c r="EY49" s="292"/>
      <c r="EZ49" s="292"/>
      <c r="FA49" s="292"/>
      <c r="FB49" s="292"/>
      <c r="FC49" s="292"/>
      <c r="FD49" s="292"/>
      <c r="FE49" s="292"/>
      <c r="FF49" s="292"/>
      <c r="FG49" s="292"/>
      <c r="FH49" s="292"/>
      <c r="FI49" s="292"/>
      <c r="FJ49" s="292"/>
      <c r="FK49" s="292"/>
      <c r="FL49" s="292"/>
      <c r="FM49" s="292"/>
      <c r="FN49" s="292"/>
      <c r="FO49" s="292"/>
      <c r="FP49" s="292"/>
      <c r="FQ49" s="292"/>
      <c r="FR49" s="292"/>
      <c r="FS49" s="292"/>
      <c r="FT49" s="292"/>
      <c r="FU49" s="292"/>
      <c r="FV49" s="292"/>
      <c r="FW49" s="292"/>
      <c r="FX49" s="292"/>
      <c r="FY49" s="292"/>
      <c r="FZ49" s="292"/>
      <c r="GA49" s="292"/>
      <c r="GB49" s="292"/>
      <c r="GC49" s="292"/>
      <c r="GD49" s="292"/>
      <c r="GE49" s="292"/>
      <c r="GF49" s="292"/>
      <c r="GG49" s="292"/>
      <c r="GH49" s="292"/>
      <c r="GI49" s="292"/>
      <c r="GJ49" s="292"/>
      <c r="GK49" s="292"/>
      <c r="GL49" s="292"/>
      <c r="GM49" s="292"/>
      <c r="GN49" s="292"/>
      <c r="GO49" s="292"/>
      <c r="GP49" s="292"/>
      <c r="GQ49" s="292"/>
      <c r="GR49" s="292"/>
      <c r="GS49" s="292"/>
      <c r="GT49" s="292"/>
      <c r="GU49" s="292"/>
      <c r="GV49" s="292"/>
      <c r="GW49" s="292"/>
      <c r="GX49" s="292"/>
      <c r="GY49" s="292"/>
      <c r="GZ49" s="292"/>
      <c r="HA49" s="292"/>
      <c r="HB49" s="292"/>
      <c r="HC49" s="292"/>
      <c r="HD49" s="292"/>
      <c r="HE49" s="292"/>
      <c r="HF49" s="292"/>
      <c r="HG49" s="292"/>
      <c r="HH49" s="292"/>
      <c r="HI49" s="292"/>
      <c r="HJ49" s="292"/>
      <c r="HK49" s="292"/>
      <c r="HL49" s="292"/>
      <c r="HM49" s="292"/>
      <c r="HN49" s="292"/>
      <c r="HO49" s="292"/>
      <c r="HP49" s="292"/>
      <c r="HQ49" s="292"/>
      <c r="HR49" s="292"/>
      <c r="HS49" s="292"/>
      <c r="HT49" s="292"/>
      <c r="HU49" s="292"/>
      <c r="HV49" s="292"/>
      <c r="HW49" s="292"/>
      <c r="HX49" s="292"/>
      <c r="HY49" s="292"/>
      <c r="HZ49" s="292"/>
      <c r="IA49" s="292"/>
      <c r="IB49" s="292"/>
      <c r="IC49" s="292"/>
      <c r="ID49" s="292"/>
      <c r="IE49" s="292"/>
      <c r="IF49" s="292"/>
      <c r="IG49" s="292"/>
      <c r="IH49" s="292"/>
      <c r="II49" s="292"/>
      <c r="IJ49" s="292"/>
      <c r="IK49" s="292"/>
      <c r="IL49" s="292"/>
      <c r="IM49" s="292"/>
      <c r="IN49" s="292"/>
      <c r="IO49" s="292"/>
      <c r="IP49" s="292"/>
      <c r="IQ49" s="292"/>
      <c r="IR49" s="292"/>
      <c r="IS49" s="292"/>
      <c r="IT49" s="292"/>
      <c r="IU49" s="292"/>
      <c r="IV49" s="292"/>
      <c r="IW49" s="292"/>
      <c r="IX49" s="292"/>
      <c r="IY49" s="292"/>
      <c r="IZ49" s="292"/>
      <c r="JA49" s="292"/>
      <c r="JB49" s="292"/>
      <c r="JC49" s="292"/>
      <c r="JD49" s="292"/>
      <c r="JE49" s="292"/>
      <c r="JF49" s="292"/>
      <c r="JG49" s="292"/>
      <c r="JH49" s="292"/>
      <c r="JI49" s="292"/>
      <c r="JJ49" s="292"/>
      <c r="JK49" s="292"/>
      <c r="JL49" s="292"/>
      <c r="JM49" s="292"/>
      <c r="JN49" s="292"/>
      <c r="JO49" s="292"/>
      <c r="JP49" s="292"/>
      <c r="JQ49" s="292"/>
      <c r="JR49" s="292"/>
      <c r="JS49" s="292"/>
      <c r="JT49" s="292"/>
      <c r="JU49" s="292"/>
      <c r="JV49" s="292"/>
      <c r="JW49" s="292"/>
      <c r="JX49" s="292"/>
      <c r="JY49" s="292"/>
      <c r="JZ49" s="292"/>
      <c r="KA49" s="292"/>
      <c r="KB49" s="292"/>
      <c r="KC49" s="292"/>
      <c r="KD49" s="292"/>
      <c r="KE49" s="292"/>
      <c r="KF49" s="292"/>
      <c r="KG49" s="292"/>
      <c r="KH49" s="292"/>
      <c r="KI49" s="292"/>
      <c r="KJ49" s="292"/>
      <c r="KK49" s="292"/>
      <c r="KL49" s="292"/>
      <c r="KM49" s="292"/>
      <c r="KN49" s="292"/>
      <c r="KO49" s="292"/>
      <c r="KP49" s="292"/>
      <c r="KQ49" s="292"/>
      <c r="KR49" s="292"/>
      <c r="KS49" s="292"/>
      <c r="KT49" s="292"/>
      <c r="KU49" s="292"/>
      <c r="KV49" s="292"/>
      <c r="KW49" s="292"/>
      <c r="KX49" s="292"/>
      <c r="KY49" s="292"/>
      <c r="KZ49" s="292"/>
      <c r="LA49" s="292"/>
      <c r="LB49" s="292"/>
      <c r="LC49" s="292"/>
      <c r="LD49" s="292"/>
      <c r="LE49" s="292"/>
      <c r="LF49" s="292"/>
      <c r="LG49" s="292"/>
      <c r="LH49" s="292"/>
      <c r="LI49" s="292"/>
      <c r="LJ49" s="292"/>
      <c r="LK49" s="292"/>
      <c r="LL49" s="292"/>
      <c r="LM49" s="292"/>
      <c r="LN49" s="292"/>
      <c r="LO49" s="292"/>
      <c r="LP49" s="292"/>
      <c r="LQ49" s="292"/>
      <c r="LR49" s="292"/>
      <c r="LS49" s="292"/>
      <c r="LT49" s="292"/>
      <c r="LU49" s="292"/>
      <c r="LV49" s="292"/>
      <c r="LW49" s="292"/>
      <c r="LX49" s="292"/>
      <c r="LY49" s="292"/>
      <c r="LZ49" s="292"/>
      <c r="MA49" s="292"/>
      <c r="MB49" s="292"/>
      <c r="MC49" s="292"/>
      <c r="MD49" s="292"/>
      <c r="ME49" s="292"/>
      <c r="MF49" s="292"/>
      <c r="MG49" s="292"/>
      <c r="MH49" s="292"/>
      <c r="MI49" s="292"/>
      <c r="MJ49" s="292"/>
      <c r="MK49" s="292"/>
      <c r="ML49" s="292"/>
      <c r="MM49" s="292"/>
      <c r="MN49" s="292"/>
      <c r="MO49" s="292"/>
      <c r="MP49" s="292"/>
      <c r="MQ49" s="292"/>
      <c r="MR49" s="292"/>
      <c r="MS49" s="292"/>
      <c r="MT49" s="292"/>
      <c r="MU49" s="292"/>
      <c r="MV49" s="292"/>
      <c r="MW49" s="292"/>
      <c r="MX49" s="292"/>
      <c r="MY49" s="292"/>
      <c r="MZ49" s="292"/>
      <c r="NA49" s="292"/>
      <c r="NB49" s="292"/>
      <c r="NC49" s="292"/>
      <c r="ND49" s="292"/>
      <c r="NE49" s="292"/>
      <c r="NF49" s="292"/>
      <c r="NG49" s="292"/>
      <c r="NH49" s="292"/>
      <c r="NI49" s="292"/>
      <c r="NJ49" s="292"/>
      <c r="NK49" s="292"/>
      <c r="NL49" s="292"/>
      <c r="NM49" s="292"/>
      <c r="NN49" s="292"/>
      <c r="NO49" s="292"/>
      <c r="NP49" s="292"/>
      <c r="NQ49" s="292"/>
      <c r="NR49" s="292"/>
      <c r="NS49" s="292"/>
      <c r="NT49" s="292"/>
      <c r="NU49" s="292"/>
      <c r="NV49" s="292"/>
      <c r="NW49" s="292"/>
      <c r="NX49" s="292"/>
      <c r="NY49" s="292"/>
      <c r="NZ49" s="292"/>
      <c r="OA49" s="292"/>
      <c r="OB49" s="292"/>
      <c r="OC49" s="292"/>
      <c r="OD49" s="292"/>
      <c r="OE49" s="292"/>
      <c r="OF49" s="292"/>
      <c r="OG49" s="292"/>
      <c r="OH49" s="292"/>
      <c r="OI49" s="292"/>
      <c r="OJ49" s="292"/>
      <c r="OK49" s="292"/>
      <c r="OL49" s="292"/>
      <c r="OM49" s="292"/>
      <c r="ON49" s="292"/>
      <c r="OO49" s="292"/>
      <c r="OP49" s="292"/>
      <c r="OQ49" s="292"/>
      <c r="OR49" s="292"/>
      <c r="OS49" s="292"/>
      <c r="OT49" s="292"/>
      <c r="OU49" s="292"/>
      <c r="OV49" s="292"/>
      <c r="OW49" s="292"/>
      <c r="OX49" s="292"/>
      <c r="OY49" s="292"/>
      <c r="OZ49" s="292"/>
      <c r="PA49" s="292"/>
      <c r="PB49" s="292"/>
      <c r="PC49" s="292"/>
      <c r="PD49" s="292"/>
      <c r="PE49" s="292"/>
      <c r="PF49" s="292"/>
      <c r="PG49" s="292"/>
      <c r="PH49" s="292"/>
      <c r="PI49" s="292"/>
      <c r="PJ49" s="292"/>
      <c r="PK49" s="292"/>
      <c r="PL49" s="292"/>
      <c r="PM49" s="292"/>
      <c r="PN49" s="292"/>
      <c r="PO49" s="292"/>
      <c r="PP49" s="292"/>
      <c r="PQ49" s="292"/>
      <c r="PR49" s="292"/>
      <c r="PS49" s="292"/>
      <c r="PT49" s="292"/>
      <c r="PU49" s="292"/>
      <c r="PV49" s="292"/>
      <c r="PW49" s="292"/>
      <c r="PX49" s="292"/>
      <c r="PY49" s="292"/>
      <c r="PZ49" s="292"/>
      <c r="QA49" s="292"/>
      <c r="QB49" s="292"/>
      <c r="QC49" s="292"/>
      <c r="QD49" s="292"/>
      <c r="QE49" s="292"/>
      <c r="QF49" s="292"/>
      <c r="QG49" s="292"/>
      <c r="QH49" s="292"/>
      <c r="QI49" s="292"/>
      <c r="QJ49" s="292"/>
      <c r="QK49" s="292"/>
      <c r="QL49" s="292"/>
      <c r="QM49" s="292"/>
      <c r="QN49" s="292"/>
      <c r="QO49" s="292"/>
      <c r="QP49" s="292"/>
      <c r="QQ49" s="292"/>
      <c r="QR49" s="292"/>
      <c r="QS49" s="292"/>
      <c r="QT49" s="292"/>
      <c r="QU49" s="292"/>
      <c r="QV49" s="292"/>
      <c r="QW49" s="292"/>
      <c r="QX49" s="292"/>
      <c r="QY49" s="292"/>
      <c r="QZ49" s="292"/>
      <c r="RA49" s="292"/>
      <c r="RB49" s="292"/>
      <c r="RC49" s="292"/>
      <c r="RD49" s="292"/>
      <c r="RE49" s="292"/>
      <c r="RF49" s="292"/>
      <c r="RG49" s="292"/>
      <c r="RH49" s="292"/>
      <c r="RI49" s="292"/>
      <c r="RJ49" s="292"/>
      <c r="RK49" s="292"/>
      <c r="RL49" s="292"/>
      <c r="RM49" s="292"/>
      <c r="RN49" s="292"/>
      <c r="RO49" s="292"/>
      <c r="RP49" s="292"/>
      <c r="RQ49" s="292"/>
      <c r="RR49" s="292"/>
      <c r="RS49" s="292"/>
      <c r="RT49" s="292"/>
      <c r="RU49" s="292"/>
      <c r="RV49" s="292"/>
      <c r="RW49" s="292"/>
      <c r="RX49" s="292"/>
      <c r="RY49" s="292"/>
      <c r="RZ49" s="292"/>
      <c r="SA49" s="292"/>
      <c r="SB49" s="292"/>
      <c r="SC49" s="292"/>
      <c r="SD49" s="292"/>
      <c r="SE49" s="292"/>
      <c r="SF49" s="292"/>
      <c r="SG49" s="292"/>
      <c r="SH49" s="292"/>
      <c r="SI49" s="292"/>
      <c r="SJ49" s="292"/>
      <c r="SK49" s="292"/>
      <c r="SL49" s="292"/>
      <c r="SM49" s="292"/>
      <c r="SN49" s="292"/>
      <c r="SO49" s="292"/>
      <c r="SP49" s="292"/>
      <c r="SQ49" s="292"/>
      <c r="SR49" s="292"/>
      <c r="SS49" s="292"/>
      <c r="ST49" s="292"/>
      <c r="SU49" s="292"/>
    </row>
    <row r="50" spans="1:515" ht="15" customHeight="1" x14ac:dyDescent="0.25">
      <c r="A50" s="1337" t="s">
        <v>354</v>
      </c>
      <c r="B50" s="1338"/>
      <c r="C50" s="1096" t="s">
        <v>355</v>
      </c>
      <c r="D50" s="962"/>
      <c r="E50" s="962"/>
      <c r="F50" s="962"/>
      <c r="G50" s="622">
        <v>0</v>
      </c>
      <c r="H50" s="962"/>
      <c r="I50" s="962"/>
      <c r="J50" s="962"/>
      <c r="K50" s="622">
        <v>0</v>
      </c>
      <c r="L50" s="962"/>
      <c r="M50" s="962"/>
      <c r="N50" s="962"/>
      <c r="O50" s="622">
        <v>0</v>
      </c>
      <c r="P50" s="962"/>
      <c r="Q50" s="962"/>
      <c r="R50" s="962"/>
      <c r="S50" s="622">
        <v>0</v>
      </c>
      <c r="T50" s="962"/>
      <c r="U50" s="962"/>
      <c r="V50" s="962"/>
      <c r="W50" s="622">
        <v>0</v>
      </c>
      <c r="X50" s="962"/>
      <c r="Y50" s="962"/>
      <c r="Z50" s="962"/>
      <c r="AA50" s="622">
        <v>0</v>
      </c>
      <c r="AB50" s="975"/>
      <c r="AC50" s="962"/>
      <c r="AD50" s="999">
        <f>G50+K50+O50+S50+W50+AA50</f>
        <v>0</v>
      </c>
      <c r="AE50" s="971"/>
    </row>
    <row r="51" spans="1:515" ht="15" customHeight="1" x14ac:dyDescent="0.25">
      <c r="A51" s="1337" t="s">
        <v>356</v>
      </c>
      <c r="B51" s="1338"/>
      <c r="C51" s="1096" t="s">
        <v>357</v>
      </c>
      <c r="D51" s="962"/>
      <c r="E51" s="962"/>
      <c r="F51" s="962"/>
      <c r="G51" s="622">
        <v>0</v>
      </c>
      <c r="H51" s="962"/>
      <c r="I51" s="962"/>
      <c r="J51" s="962" t="s">
        <v>358</v>
      </c>
      <c r="K51" s="622">
        <v>0</v>
      </c>
      <c r="L51" s="962"/>
      <c r="M51" s="962"/>
      <c r="N51" s="962"/>
      <c r="O51" s="622">
        <v>0</v>
      </c>
      <c r="P51" s="962"/>
      <c r="Q51" s="962"/>
      <c r="R51" s="962"/>
      <c r="S51" s="622">
        <v>0</v>
      </c>
      <c r="T51" s="962"/>
      <c r="U51" s="962"/>
      <c r="V51" s="962"/>
      <c r="W51" s="622">
        <v>0</v>
      </c>
      <c r="X51" s="962"/>
      <c r="Y51" s="962"/>
      <c r="Z51" s="962"/>
      <c r="AA51" s="622">
        <v>0</v>
      </c>
      <c r="AB51" s="975"/>
      <c r="AC51" s="962"/>
      <c r="AD51" s="999">
        <f>G51+K51+O51+S51+W51+AA51</f>
        <v>0</v>
      </c>
      <c r="AE51" s="971"/>
    </row>
    <row r="52" spans="1:515" ht="15" customHeight="1" x14ac:dyDescent="0.25">
      <c r="A52" s="1337" t="s">
        <v>48</v>
      </c>
      <c r="B52" s="1338"/>
      <c r="C52" s="1096" t="s">
        <v>359</v>
      </c>
      <c r="D52" s="962"/>
      <c r="E52" s="962"/>
      <c r="F52" s="962"/>
      <c r="G52" s="622">
        <v>0</v>
      </c>
      <c r="H52" s="962"/>
      <c r="I52" s="962"/>
      <c r="J52" s="962"/>
      <c r="K52" s="622">
        <v>0</v>
      </c>
      <c r="L52" s="962"/>
      <c r="M52" s="962"/>
      <c r="N52" s="962"/>
      <c r="O52" s="622">
        <v>0</v>
      </c>
      <c r="P52" s="962"/>
      <c r="Q52" s="962"/>
      <c r="R52" s="962"/>
      <c r="S52" s="622">
        <v>0</v>
      </c>
      <c r="T52" s="962"/>
      <c r="U52" s="962"/>
      <c r="V52" s="962"/>
      <c r="W52" s="622">
        <v>0</v>
      </c>
      <c r="X52" s="962"/>
      <c r="Y52" s="962"/>
      <c r="Z52" s="962"/>
      <c r="AA52" s="622">
        <v>0</v>
      </c>
      <c r="AB52" s="975"/>
      <c r="AC52" s="962"/>
      <c r="AD52" s="999">
        <f>G52+K52+O52+S52+W52+AA52</f>
        <v>0</v>
      </c>
      <c r="AE52" s="971"/>
    </row>
    <row r="53" spans="1:515" ht="21" customHeight="1" x14ac:dyDescent="0.25">
      <c r="A53" s="1329" t="s">
        <v>360</v>
      </c>
      <c r="B53" s="1330"/>
      <c r="C53" s="1096" t="s">
        <v>361</v>
      </c>
      <c r="D53" s="962"/>
      <c r="E53" s="962"/>
      <c r="F53" s="962"/>
      <c r="G53" s="622">
        <v>0</v>
      </c>
      <c r="H53" s="988"/>
      <c r="I53" s="962"/>
      <c r="J53" s="962"/>
      <c r="K53" s="622">
        <v>0</v>
      </c>
      <c r="L53" s="962"/>
      <c r="M53" s="962"/>
      <c r="N53" s="962"/>
      <c r="O53" s="622">
        <v>0</v>
      </c>
      <c r="P53" s="962"/>
      <c r="Q53" s="962"/>
      <c r="R53" s="962"/>
      <c r="S53" s="622">
        <v>0</v>
      </c>
      <c r="T53" s="962"/>
      <c r="U53" s="962"/>
      <c r="V53" s="962"/>
      <c r="W53" s="622">
        <v>0</v>
      </c>
      <c r="X53" s="962"/>
      <c r="Y53" s="962"/>
      <c r="Z53" s="962"/>
      <c r="AA53" s="622">
        <v>0</v>
      </c>
      <c r="AB53" s="975"/>
      <c r="AC53" s="962"/>
      <c r="AD53" s="999">
        <f>G53+K53+O53+S53+W53+AA53</f>
        <v>0</v>
      </c>
      <c r="AE53" s="971"/>
    </row>
    <row r="54" spans="1:515" s="624" customFormat="1" ht="23.15" customHeight="1" x14ac:dyDescent="0.25">
      <c r="A54" s="1362" t="s">
        <v>352</v>
      </c>
      <c r="B54" s="1363"/>
      <c r="C54" s="1363"/>
      <c r="D54" s="962"/>
      <c r="E54" s="960"/>
      <c r="F54" s="976"/>
      <c r="G54" s="789">
        <f>SUM(G49:G53)</f>
        <v>0</v>
      </c>
      <c r="H54" s="962"/>
      <c r="I54" s="960"/>
      <c r="J54" s="981"/>
      <c r="K54" s="789">
        <f>SUM(K49:K53)</f>
        <v>0</v>
      </c>
      <c r="L54" s="962"/>
      <c r="M54" s="984"/>
      <c r="N54" s="984"/>
      <c r="O54" s="789">
        <f>SUM(O49:O53)</f>
        <v>0</v>
      </c>
      <c r="P54" s="962"/>
      <c r="Q54" s="962"/>
      <c r="R54" s="962"/>
      <c r="S54" s="789">
        <f>SUM(S49:S53)</f>
        <v>0</v>
      </c>
      <c r="T54" s="962"/>
      <c r="U54" s="1309"/>
      <c r="V54" s="1309"/>
      <c r="W54" s="625">
        <f>SUM(W49:W53)</f>
        <v>0</v>
      </c>
      <c r="X54" s="962"/>
      <c r="Y54" s="1309"/>
      <c r="Z54" s="1309"/>
      <c r="AA54" s="789">
        <f>SUM(AA49:AA53)</f>
        <v>0</v>
      </c>
      <c r="AB54" s="976"/>
      <c r="AC54" s="962"/>
      <c r="AD54" s="789">
        <f>G54+K54+O54+S54+W54+AA54</f>
        <v>0</v>
      </c>
      <c r="AE54" s="971"/>
      <c r="AF54" s="292"/>
      <c r="AG54" s="292"/>
      <c r="AH54" s="292"/>
      <c r="AI54" s="292"/>
      <c r="AJ54" s="292"/>
      <c r="AK54" s="292"/>
      <c r="AL54" s="292"/>
      <c r="AM54" s="292"/>
      <c r="AN54" s="292"/>
      <c r="AO54" s="292"/>
      <c r="AP54" s="292"/>
      <c r="AQ54" s="292"/>
      <c r="AR54" s="292"/>
      <c r="AS54" s="292"/>
      <c r="AT54" s="292"/>
      <c r="AU54" s="292"/>
      <c r="AV54" s="292"/>
      <c r="AW54" s="292"/>
      <c r="AX54" s="292"/>
      <c r="AY54" s="292"/>
      <c r="AZ54" s="292"/>
      <c r="BA54" s="292"/>
      <c r="BB54" s="292"/>
      <c r="BC54" s="292"/>
      <c r="BD54" s="292"/>
      <c r="BE54" s="292"/>
      <c r="BF54" s="292"/>
      <c r="BG54" s="292"/>
      <c r="BH54" s="292"/>
      <c r="BI54" s="292"/>
      <c r="BJ54" s="292"/>
      <c r="BK54" s="292"/>
      <c r="BL54" s="292"/>
      <c r="BM54" s="292"/>
      <c r="BN54" s="292"/>
      <c r="BO54" s="292"/>
      <c r="BP54" s="292"/>
      <c r="BQ54" s="292"/>
      <c r="BR54" s="292"/>
      <c r="BS54" s="292"/>
      <c r="BT54" s="292"/>
      <c r="BU54" s="292"/>
      <c r="BV54" s="292"/>
      <c r="BW54" s="292"/>
      <c r="BX54" s="292"/>
      <c r="BY54" s="292"/>
      <c r="BZ54" s="292"/>
      <c r="CA54" s="292"/>
      <c r="CB54" s="292"/>
      <c r="CC54" s="292"/>
      <c r="CD54" s="292"/>
      <c r="CE54" s="292"/>
      <c r="CF54" s="292"/>
      <c r="CG54" s="292"/>
      <c r="CH54" s="292"/>
      <c r="CI54" s="292"/>
      <c r="CJ54" s="292"/>
      <c r="CK54" s="292"/>
      <c r="CL54" s="292"/>
      <c r="CM54" s="292"/>
      <c r="CN54" s="292"/>
      <c r="CO54" s="292"/>
      <c r="CP54" s="292"/>
      <c r="CQ54" s="292"/>
      <c r="CR54" s="292"/>
      <c r="CS54" s="292"/>
      <c r="CT54" s="292"/>
      <c r="CU54" s="292"/>
      <c r="CV54" s="292"/>
      <c r="CW54" s="292"/>
      <c r="CX54" s="292"/>
      <c r="CY54" s="292"/>
      <c r="CZ54" s="292"/>
      <c r="DA54" s="292"/>
      <c r="DB54" s="292"/>
      <c r="DC54" s="292"/>
      <c r="DD54" s="292"/>
      <c r="DE54" s="292"/>
      <c r="DF54" s="292"/>
      <c r="DG54" s="292"/>
      <c r="DH54" s="292"/>
      <c r="DI54" s="292"/>
      <c r="DJ54" s="292"/>
      <c r="DK54" s="292"/>
      <c r="DL54" s="292"/>
      <c r="DM54" s="292"/>
      <c r="DN54" s="292"/>
      <c r="DO54" s="292"/>
      <c r="DP54" s="292"/>
      <c r="DQ54" s="292"/>
      <c r="DR54" s="292"/>
      <c r="DS54" s="292"/>
      <c r="DT54" s="292"/>
      <c r="DU54" s="292"/>
      <c r="DV54" s="292"/>
      <c r="DW54" s="292"/>
      <c r="DX54" s="292"/>
      <c r="DY54" s="292"/>
      <c r="DZ54" s="292"/>
      <c r="EA54" s="292"/>
      <c r="EB54" s="292"/>
      <c r="EC54" s="292"/>
      <c r="ED54" s="292"/>
      <c r="EE54" s="292"/>
      <c r="EF54" s="292"/>
      <c r="EG54" s="292"/>
      <c r="EH54" s="292"/>
      <c r="EI54" s="292"/>
      <c r="EJ54" s="292"/>
      <c r="EK54" s="292"/>
      <c r="EL54" s="292"/>
      <c r="EM54" s="292"/>
      <c r="EN54" s="292"/>
      <c r="EO54" s="292"/>
      <c r="EP54" s="292"/>
      <c r="EQ54" s="292"/>
      <c r="ER54" s="292"/>
      <c r="ES54" s="292"/>
      <c r="ET54" s="292"/>
      <c r="EU54" s="292"/>
      <c r="EV54" s="292"/>
      <c r="EW54" s="292"/>
      <c r="EX54" s="292"/>
      <c r="EY54" s="292"/>
      <c r="EZ54" s="292"/>
      <c r="FA54" s="292"/>
      <c r="FB54" s="292"/>
      <c r="FC54" s="292"/>
      <c r="FD54" s="292"/>
      <c r="FE54" s="292"/>
      <c r="FF54" s="292"/>
      <c r="FG54" s="292"/>
      <c r="FH54" s="292"/>
      <c r="FI54" s="292"/>
      <c r="FJ54" s="292"/>
      <c r="FK54" s="292"/>
      <c r="FL54" s="292"/>
      <c r="FM54" s="292"/>
      <c r="FN54" s="292"/>
      <c r="FO54" s="292"/>
      <c r="FP54" s="292"/>
      <c r="FQ54" s="292"/>
      <c r="FR54" s="292"/>
      <c r="FS54" s="292"/>
      <c r="FT54" s="292"/>
      <c r="FU54" s="292"/>
      <c r="FV54" s="292"/>
      <c r="FW54" s="292"/>
      <c r="FX54" s="292"/>
      <c r="FY54" s="292"/>
      <c r="FZ54" s="292"/>
      <c r="GA54" s="292"/>
      <c r="GB54" s="292"/>
      <c r="GC54" s="292"/>
      <c r="GD54" s="292"/>
      <c r="GE54" s="292"/>
      <c r="GF54" s="292"/>
      <c r="GG54" s="292"/>
      <c r="GH54" s="292"/>
      <c r="GI54" s="292"/>
      <c r="GJ54" s="292"/>
      <c r="GK54" s="292"/>
      <c r="GL54" s="292"/>
      <c r="GM54" s="292"/>
      <c r="GN54" s="292"/>
      <c r="GO54" s="292"/>
      <c r="GP54" s="292"/>
      <c r="GQ54" s="292"/>
      <c r="GR54" s="292"/>
      <c r="GS54" s="292"/>
      <c r="GT54" s="292"/>
      <c r="GU54" s="292"/>
      <c r="GV54" s="292"/>
      <c r="GW54" s="292"/>
      <c r="GX54" s="292"/>
      <c r="GY54" s="292"/>
      <c r="GZ54" s="292"/>
      <c r="HA54" s="292"/>
      <c r="HB54" s="292"/>
      <c r="HC54" s="292"/>
      <c r="HD54" s="292"/>
      <c r="HE54" s="292"/>
      <c r="HF54" s="292"/>
      <c r="HG54" s="292"/>
      <c r="HH54" s="292"/>
      <c r="HI54" s="292"/>
      <c r="HJ54" s="292"/>
      <c r="HK54" s="292"/>
      <c r="HL54" s="292"/>
      <c r="HM54" s="292"/>
      <c r="HN54" s="292"/>
      <c r="HO54" s="292"/>
      <c r="HP54" s="292"/>
      <c r="HQ54" s="292"/>
      <c r="HR54" s="292"/>
      <c r="HS54" s="292"/>
      <c r="HT54" s="292"/>
      <c r="HU54" s="292"/>
      <c r="HV54" s="292"/>
      <c r="HW54" s="292"/>
      <c r="HX54" s="292"/>
      <c r="HY54" s="292"/>
      <c r="HZ54" s="292"/>
      <c r="IA54" s="292"/>
      <c r="IB54" s="292"/>
      <c r="IC54" s="292"/>
      <c r="ID54" s="292"/>
      <c r="IE54" s="292"/>
      <c r="IF54" s="292"/>
      <c r="IG54" s="292"/>
      <c r="IH54" s="292"/>
      <c r="II54" s="292"/>
      <c r="IJ54" s="292"/>
      <c r="IK54" s="292"/>
      <c r="IL54" s="292"/>
      <c r="IM54" s="292"/>
      <c r="IN54" s="292"/>
      <c r="IO54" s="292"/>
      <c r="IP54" s="292"/>
      <c r="IQ54" s="292"/>
      <c r="IR54" s="292"/>
      <c r="IS54" s="292"/>
      <c r="IT54" s="292"/>
      <c r="IU54" s="292"/>
      <c r="IV54" s="292"/>
      <c r="IW54" s="292"/>
      <c r="IX54" s="292"/>
      <c r="IY54" s="292"/>
      <c r="IZ54" s="292"/>
      <c r="JA54" s="292"/>
      <c r="JB54" s="292"/>
      <c r="JC54" s="292"/>
      <c r="JD54" s="292"/>
      <c r="JE54" s="292"/>
      <c r="JF54" s="292"/>
      <c r="JG54" s="292"/>
      <c r="JH54" s="292"/>
      <c r="JI54" s="292"/>
      <c r="JJ54" s="292"/>
      <c r="JK54" s="292"/>
      <c r="JL54" s="292"/>
      <c r="JM54" s="292"/>
      <c r="JN54" s="292"/>
      <c r="JO54" s="292"/>
      <c r="JP54" s="292"/>
      <c r="JQ54" s="292"/>
      <c r="JR54" s="292"/>
      <c r="JS54" s="292"/>
      <c r="JT54" s="292"/>
      <c r="JU54" s="292"/>
      <c r="JV54" s="292"/>
      <c r="JW54" s="292"/>
      <c r="JX54" s="292"/>
      <c r="JY54" s="292"/>
      <c r="JZ54" s="292"/>
      <c r="KA54" s="292"/>
      <c r="KB54" s="292"/>
      <c r="KC54" s="292"/>
      <c r="KD54" s="292"/>
      <c r="KE54" s="292"/>
      <c r="KF54" s="292"/>
      <c r="KG54" s="292"/>
      <c r="KH54" s="292"/>
      <c r="KI54" s="292"/>
      <c r="KJ54" s="292"/>
      <c r="KK54" s="292"/>
      <c r="KL54" s="292"/>
      <c r="KM54" s="292"/>
      <c r="KN54" s="292"/>
      <c r="KO54" s="292"/>
      <c r="KP54" s="292"/>
      <c r="KQ54" s="292"/>
      <c r="KR54" s="292"/>
      <c r="KS54" s="292"/>
      <c r="KT54" s="292"/>
      <c r="KU54" s="292"/>
      <c r="KV54" s="292"/>
      <c r="KW54" s="292"/>
      <c r="KX54" s="292"/>
      <c r="KY54" s="292"/>
      <c r="KZ54" s="292"/>
      <c r="LA54" s="292"/>
      <c r="LB54" s="292"/>
      <c r="LC54" s="292"/>
      <c r="LD54" s="292"/>
      <c r="LE54" s="292"/>
      <c r="LF54" s="292"/>
      <c r="LG54" s="292"/>
      <c r="LH54" s="292"/>
      <c r="LI54" s="292"/>
      <c r="LJ54" s="292"/>
      <c r="LK54" s="292"/>
      <c r="LL54" s="292"/>
      <c r="LM54" s="292"/>
      <c r="LN54" s="292"/>
      <c r="LO54" s="292"/>
      <c r="LP54" s="292"/>
      <c r="LQ54" s="292"/>
      <c r="LR54" s="292"/>
      <c r="LS54" s="292"/>
      <c r="LT54" s="292"/>
      <c r="LU54" s="292"/>
      <c r="LV54" s="292"/>
      <c r="LW54" s="292"/>
      <c r="LX54" s="292"/>
      <c r="LY54" s="292"/>
      <c r="LZ54" s="292"/>
      <c r="MA54" s="292"/>
      <c r="MB54" s="292"/>
      <c r="MC54" s="292"/>
      <c r="MD54" s="292"/>
      <c r="ME54" s="292"/>
      <c r="MF54" s="292"/>
      <c r="MG54" s="292"/>
      <c r="MH54" s="292"/>
      <c r="MI54" s="292"/>
      <c r="MJ54" s="292"/>
      <c r="MK54" s="292"/>
      <c r="ML54" s="292"/>
      <c r="MM54" s="292"/>
      <c r="MN54" s="292"/>
      <c r="MO54" s="292"/>
      <c r="MP54" s="292"/>
      <c r="MQ54" s="292"/>
      <c r="MR54" s="292"/>
      <c r="MS54" s="292"/>
      <c r="MT54" s="292"/>
      <c r="MU54" s="292"/>
      <c r="MV54" s="292"/>
      <c r="MW54" s="292"/>
      <c r="MX54" s="292"/>
      <c r="MY54" s="292"/>
      <c r="MZ54" s="292"/>
      <c r="NA54" s="292"/>
      <c r="NB54" s="292"/>
      <c r="NC54" s="292"/>
      <c r="ND54" s="292"/>
      <c r="NE54" s="292"/>
      <c r="NF54" s="292"/>
      <c r="NG54" s="292"/>
      <c r="NH54" s="292"/>
      <c r="NI54" s="292"/>
      <c r="NJ54" s="292"/>
      <c r="NK54" s="292"/>
      <c r="NL54" s="292"/>
      <c r="NM54" s="292"/>
      <c r="NN54" s="292"/>
      <c r="NO54" s="292"/>
      <c r="NP54" s="292"/>
      <c r="NQ54" s="292"/>
      <c r="NR54" s="292"/>
      <c r="NS54" s="292"/>
      <c r="NT54" s="292"/>
      <c r="NU54" s="292"/>
      <c r="NV54" s="292"/>
      <c r="NW54" s="292"/>
      <c r="NX54" s="292"/>
      <c r="NY54" s="292"/>
      <c r="NZ54" s="292"/>
      <c r="OA54" s="292"/>
      <c r="OB54" s="292"/>
      <c r="OC54" s="292"/>
      <c r="OD54" s="292"/>
      <c r="OE54" s="292"/>
      <c r="OF54" s="292"/>
      <c r="OG54" s="292"/>
      <c r="OH54" s="292"/>
      <c r="OI54" s="292"/>
      <c r="OJ54" s="292"/>
      <c r="OK54" s="292"/>
      <c r="OL54" s="292"/>
      <c r="OM54" s="292"/>
      <c r="ON54" s="292"/>
      <c r="OO54" s="292"/>
      <c r="OP54" s="292"/>
      <c r="OQ54" s="292"/>
      <c r="OR54" s="292"/>
      <c r="OS54" s="292"/>
      <c r="OT54" s="292"/>
      <c r="OU54" s="292"/>
      <c r="OV54" s="292"/>
      <c r="OW54" s="292"/>
      <c r="OX54" s="292"/>
      <c r="OY54" s="292"/>
      <c r="OZ54" s="292"/>
      <c r="PA54" s="292"/>
      <c r="PB54" s="292"/>
      <c r="PC54" s="292"/>
      <c r="PD54" s="292"/>
      <c r="PE54" s="292"/>
      <c r="PF54" s="292"/>
      <c r="PG54" s="292"/>
      <c r="PH54" s="292"/>
      <c r="PI54" s="292"/>
      <c r="PJ54" s="292"/>
      <c r="PK54" s="292"/>
      <c r="PL54" s="292"/>
      <c r="PM54" s="292"/>
      <c r="PN54" s="292"/>
      <c r="PO54" s="292"/>
      <c r="PP54" s="292"/>
      <c r="PQ54" s="292"/>
      <c r="PR54" s="292"/>
      <c r="PS54" s="292"/>
      <c r="PT54" s="292"/>
      <c r="PU54" s="292"/>
      <c r="PV54" s="292"/>
      <c r="PW54" s="292"/>
      <c r="PX54" s="292"/>
      <c r="PY54" s="292"/>
      <c r="PZ54" s="292"/>
      <c r="QA54" s="292"/>
      <c r="QB54" s="292"/>
      <c r="QC54" s="292"/>
      <c r="QD54" s="292"/>
      <c r="QE54" s="292"/>
      <c r="QF54" s="292"/>
      <c r="QG54" s="292"/>
      <c r="QH54" s="292"/>
      <c r="QI54" s="292"/>
      <c r="QJ54" s="292"/>
      <c r="QK54" s="292"/>
      <c r="QL54" s="292"/>
      <c r="QM54" s="292"/>
      <c r="QN54" s="292"/>
      <c r="QO54" s="292"/>
      <c r="QP54" s="292"/>
      <c r="QQ54" s="292"/>
      <c r="QR54" s="292"/>
      <c r="QS54" s="292"/>
      <c r="QT54" s="292"/>
      <c r="QU54" s="292"/>
      <c r="QV54" s="292"/>
      <c r="QW54" s="292"/>
      <c r="QX54" s="292"/>
      <c r="QY54" s="292"/>
      <c r="QZ54" s="292"/>
      <c r="RA54" s="292"/>
      <c r="RB54" s="292"/>
      <c r="RC54" s="292"/>
      <c r="RD54" s="292"/>
      <c r="RE54" s="292"/>
      <c r="RF54" s="292"/>
      <c r="RG54" s="292"/>
      <c r="RH54" s="292"/>
      <c r="RI54" s="292"/>
      <c r="RJ54" s="292"/>
      <c r="RK54" s="292"/>
      <c r="RL54" s="292"/>
      <c r="RM54" s="292"/>
      <c r="RN54" s="292"/>
      <c r="RO54" s="292"/>
      <c r="RP54" s="292"/>
      <c r="RQ54" s="292"/>
      <c r="RR54" s="292"/>
      <c r="RS54" s="292"/>
      <c r="RT54" s="292"/>
      <c r="RU54" s="292"/>
      <c r="RV54" s="292"/>
      <c r="RW54" s="292"/>
      <c r="RX54" s="292"/>
      <c r="RY54" s="292"/>
      <c r="RZ54" s="292"/>
      <c r="SA54" s="292"/>
      <c r="SB54" s="292"/>
      <c r="SC54" s="292"/>
      <c r="SD54" s="292"/>
      <c r="SE54" s="292"/>
      <c r="SF54" s="292"/>
      <c r="SG54" s="292"/>
      <c r="SH54" s="292"/>
      <c r="SI54" s="292"/>
      <c r="SJ54" s="292"/>
      <c r="SK54" s="292"/>
      <c r="SL54" s="292"/>
      <c r="SM54" s="292"/>
      <c r="SN54" s="292"/>
      <c r="SO54" s="292"/>
      <c r="SP54" s="292"/>
      <c r="SQ54" s="292"/>
      <c r="SR54" s="292"/>
      <c r="SS54" s="292"/>
      <c r="ST54" s="292"/>
      <c r="SU54" s="292"/>
    </row>
    <row r="55" spans="1:515" s="620" customFormat="1" ht="15" customHeight="1" x14ac:dyDescent="0.25">
      <c r="A55" s="986"/>
      <c r="B55" s="984"/>
      <c r="C55" s="984"/>
      <c r="D55" s="962"/>
      <c r="E55" s="960"/>
      <c r="F55" s="976"/>
      <c r="G55" s="981"/>
      <c r="H55" s="962"/>
      <c r="I55" s="960"/>
      <c r="J55" s="981"/>
      <c r="K55" s="981"/>
      <c r="L55" s="962"/>
      <c r="M55" s="984"/>
      <c r="N55" s="984"/>
      <c r="O55" s="981"/>
      <c r="P55" s="962"/>
      <c r="Q55" s="962"/>
      <c r="R55" s="962"/>
      <c r="S55" s="976"/>
      <c r="T55" s="962"/>
      <c r="U55" s="1177"/>
      <c r="V55" s="1177"/>
      <c r="W55" s="976"/>
      <c r="X55" s="962"/>
      <c r="Y55" s="1177"/>
      <c r="Z55" s="1177"/>
      <c r="AA55" s="981"/>
      <c r="AB55" s="976"/>
      <c r="AC55" s="962"/>
      <c r="AD55" s="981"/>
      <c r="AE55" s="971"/>
      <c r="AF55" s="292"/>
      <c r="AG55" s="292"/>
      <c r="AH55" s="292"/>
      <c r="AI55" s="292"/>
      <c r="AJ55" s="292"/>
      <c r="AK55" s="292"/>
      <c r="AL55" s="292"/>
      <c r="AM55" s="292"/>
      <c r="AN55" s="292"/>
      <c r="AO55" s="292"/>
      <c r="AP55" s="292"/>
      <c r="AQ55" s="292"/>
      <c r="AR55" s="292"/>
      <c r="AS55" s="292"/>
      <c r="AT55" s="292"/>
      <c r="AU55" s="292"/>
      <c r="AV55" s="292"/>
      <c r="AW55" s="292"/>
      <c r="AX55" s="292"/>
      <c r="AY55" s="292"/>
      <c r="AZ55" s="292"/>
      <c r="BA55" s="292"/>
      <c r="BB55" s="292"/>
      <c r="BC55" s="292"/>
      <c r="BD55" s="292"/>
      <c r="BE55" s="292"/>
      <c r="BF55" s="292"/>
      <c r="BG55" s="292"/>
      <c r="BH55" s="292"/>
      <c r="BI55" s="292"/>
      <c r="BJ55" s="292"/>
      <c r="BK55" s="292"/>
      <c r="BL55" s="292"/>
    </row>
    <row r="56" spans="1:515" s="478" customFormat="1" ht="23.15" customHeight="1" x14ac:dyDescent="0.25">
      <c r="A56" s="1346" t="s">
        <v>362</v>
      </c>
      <c r="B56" s="1308"/>
      <c r="C56" s="1308"/>
      <c r="D56" s="957"/>
      <c r="E56" s="1172">
        <v>0</v>
      </c>
      <c r="F56" s="1172" t="s">
        <v>363</v>
      </c>
      <c r="G56" s="1172" t="s">
        <v>364</v>
      </c>
      <c r="H56" s="957"/>
      <c r="I56" s="1172" t="s">
        <v>15</v>
      </c>
      <c r="J56" s="1172" t="s">
        <v>363</v>
      </c>
      <c r="K56" s="1172" t="s">
        <v>364</v>
      </c>
      <c r="L56" s="957"/>
      <c r="M56" s="1172" t="s">
        <v>15</v>
      </c>
      <c r="N56" s="1172" t="s">
        <v>363</v>
      </c>
      <c r="O56" s="1172" t="s">
        <v>364</v>
      </c>
      <c r="P56" s="957"/>
      <c r="Q56" s="1172" t="s">
        <v>15</v>
      </c>
      <c r="R56" s="1172" t="s">
        <v>363</v>
      </c>
      <c r="S56" s="1172" t="s">
        <v>364</v>
      </c>
      <c r="T56" s="957"/>
      <c r="U56" s="1172" t="s">
        <v>15</v>
      </c>
      <c r="V56" s="1172" t="s">
        <v>363</v>
      </c>
      <c r="W56" s="1172" t="s">
        <v>364</v>
      </c>
      <c r="X56" s="957"/>
      <c r="Y56" s="1172" t="s">
        <v>15</v>
      </c>
      <c r="Z56" s="1172" t="s">
        <v>363</v>
      </c>
      <c r="AA56" s="1172" t="s">
        <v>364</v>
      </c>
      <c r="AB56" s="957"/>
      <c r="AC56" s="957"/>
      <c r="AD56" s="1172" t="s">
        <v>138</v>
      </c>
      <c r="AE56" s="971"/>
      <c r="AF56" s="292"/>
      <c r="AG56" s="292"/>
      <c r="AH56" s="292"/>
      <c r="AI56" s="292"/>
      <c r="AJ56" s="292"/>
      <c r="AK56" s="292"/>
      <c r="AL56" s="292"/>
      <c r="AM56" s="292"/>
      <c r="AN56" s="292"/>
      <c r="AO56" s="292"/>
      <c r="AP56" s="292"/>
      <c r="AQ56" s="292"/>
      <c r="AR56" s="292"/>
      <c r="AS56" s="292"/>
      <c r="AT56" s="292"/>
      <c r="AU56" s="292"/>
      <c r="AV56" s="292"/>
      <c r="AW56" s="292"/>
      <c r="AX56" s="292"/>
      <c r="AY56" s="292"/>
      <c r="AZ56" s="292"/>
      <c r="BA56" s="292"/>
      <c r="BB56" s="292"/>
      <c r="BC56" s="292"/>
      <c r="BD56" s="292"/>
      <c r="BE56" s="292"/>
      <c r="BF56" s="292"/>
      <c r="BG56" s="292"/>
      <c r="BH56" s="292"/>
      <c r="BI56" s="292"/>
      <c r="BJ56" s="292"/>
      <c r="BK56" s="292"/>
      <c r="BL56" s="292"/>
      <c r="BM56" s="292"/>
      <c r="BN56" s="292"/>
      <c r="BO56" s="292"/>
      <c r="BP56" s="292"/>
      <c r="BQ56" s="292"/>
      <c r="BR56" s="292"/>
      <c r="BS56" s="292"/>
      <c r="BT56" s="292"/>
      <c r="BU56" s="292"/>
      <c r="BV56" s="292"/>
      <c r="BW56" s="292"/>
      <c r="BX56" s="292"/>
      <c r="BY56" s="292"/>
      <c r="BZ56" s="292"/>
      <c r="CA56" s="292"/>
      <c r="CB56" s="292"/>
      <c r="CC56" s="292"/>
      <c r="CD56" s="292"/>
      <c r="CE56" s="292"/>
      <c r="CF56" s="292"/>
      <c r="CG56" s="292"/>
      <c r="CH56" s="292"/>
      <c r="CI56" s="292"/>
      <c r="CJ56" s="292"/>
      <c r="CK56" s="292"/>
      <c r="CL56" s="292"/>
      <c r="CM56" s="292"/>
      <c r="CN56" s="292"/>
      <c r="CO56" s="292"/>
      <c r="CP56" s="292"/>
      <c r="CQ56" s="292"/>
      <c r="CR56" s="292"/>
      <c r="CS56" s="292"/>
      <c r="CT56" s="292"/>
      <c r="CU56" s="292"/>
      <c r="CV56" s="292"/>
      <c r="CW56" s="292"/>
      <c r="CX56" s="292"/>
      <c r="CY56" s="292"/>
      <c r="CZ56" s="292"/>
      <c r="DA56" s="292"/>
      <c r="DB56" s="292"/>
      <c r="DC56" s="292"/>
      <c r="DD56" s="292"/>
      <c r="DE56" s="292"/>
      <c r="DF56" s="292"/>
      <c r="DG56" s="292"/>
      <c r="DH56" s="292"/>
      <c r="DI56" s="292"/>
      <c r="DJ56" s="292"/>
      <c r="DK56" s="292"/>
      <c r="DL56" s="292"/>
      <c r="DM56" s="292"/>
      <c r="DN56" s="292"/>
      <c r="DO56" s="292"/>
      <c r="DP56" s="292"/>
      <c r="DQ56" s="292"/>
      <c r="DR56" s="292"/>
      <c r="DS56" s="292"/>
      <c r="DT56" s="292"/>
      <c r="DU56" s="292"/>
      <c r="DV56" s="292"/>
      <c r="DW56" s="292"/>
      <c r="DX56" s="292"/>
      <c r="DY56" s="292"/>
      <c r="DZ56" s="292"/>
      <c r="EA56" s="292"/>
      <c r="EB56" s="292"/>
      <c r="EC56" s="292"/>
      <c r="ED56" s="292"/>
      <c r="EE56" s="292"/>
      <c r="EF56" s="292"/>
      <c r="EG56" s="292"/>
      <c r="EH56" s="292"/>
      <c r="EI56" s="292"/>
      <c r="EJ56" s="292"/>
      <c r="EK56" s="292"/>
      <c r="EL56" s="292"/>
      <c r="EM56" s="292"/>
      <c r="EN56" s="292"/>
      <c r="EO56" s="292"/>
      <c r="EP56" s="292"/>
      <c r="EQ56" s="292"/>
      <c r="ER56" s="292"/>
      <c r="ES56" s="292"/>
      <c r="ET56" s="292"/>
      <c r="EU56" s="292"/>
      <c r="EV56" s="292"/>
      <c r="EW56" s="292"/>
      <c r="EX56" s="292"/>
      <c r="EY56" s="292"/>
      <c r="EZ56" s="292"/>
      <c r="FA56" s="292"/>
      <c r="FB56" s="292"/>
      <c r="FC56" s="292"/>
      <c r="FD56" s="292"/>
      <c r="FE56" s="292"/>
      <c r="FF56" s="292"/>
      <c r="FG56" s="292"/>
      <c r="FH56" s="292"/>
      <c r="FI56" s="292"/>
      <c r="FJ56" s="292"/>
      <c r="FK56" s="292"/>
      <c r="FL56" s="292"/>
      <c r="FM56" s="292"/>
      <c r="FN56" s="292"/>
      <c r="FO56" s="292"/>
      <c r="FP56" s="292"/>
      <c r="FQ56" s="292"/>
      <c r="FR56" s="292"/>
      <c r="FS56" s="292"/>
      <c r="FT56" s="292"/>
      <c r="FU56" s="292"/>
      <c r="FV56" s="292"/>
      <c r="FW56" s="292"/>
      <c r="FX56" s="292"/>
      <c r="FY56" s="292"/>
      <c r="FZ56" s="292"/>
      <c r="GA56" s="292"/>
      <c r="GB56" s="292"/>
      <c r="GC56" s="292"/>
      <c r="GD56" s="292"/>
      <c r="GE56" s="292"/>
      <c r="GF56" s="292"/>
      <c r="GG56" s="292"/>
      <c r="GH56" s="292"/>
      <c r="GI56" s="292"/>
      <c r="GJ56" s="292"/>
      <c r="GK56" s="292"/>
      <c r="GL56" s="292"/>
      <c r="GM56" s="292"/>
      <c r="GN56" s="292"/>
      <c r="GO56" s="292"/>
      <c r="GP56" s="292"/>
      <c r="GQ56" s="292"/>
      <c r="GR56" s="292"/>
      <c r="GS56" s="292"/>
      <c r="GT56" s="292"/>
      <c r="GU56" s="292"/>
      <c r="GV56" s="292"/>
      <c r="GW56" s="292"/>
      <c r="GX56" s="292"/>
      <c r="GY56" s="292"/>
      <c r="GZ56" s="292"/>
      <c r="HA56" s="292"/>
      <c r="HB56" s="292"/>
      <c r="HC56" s="292"/>
      <c r="HD56" s="292"/>
      <c r="HE56" s="292"/>
      <c r="HF56" s="292"/>
      <c r="HG56" s="292"/>
      <c r="HH56" s="292"/>
      <c r="HI56" s="292"/>
      <c r="HJ56" s="292"/>
      <c r="HK56" s="292"/>
      <c r="HL56" s="292"/>
      <c r="HM56" s="292"/>
      <c r="HN56" s="292"/>
      <c r="HO56" s="292"/>
      <c r="HP56" s="292"/>
      <c r="HQ56" s="292"/>
      <c r="HR56" s="292"/>
      <c r="HS56" s="292"/>
      <c r="HT56" s="292"/>
      <c r="HU56" s="292"/>
      <c r="HV56" s="292"/>
      <c r="HW56" s="292"/>
      <c r="HX56" s="292"/>
      <c r="HY56" s="292"/>
      <c r="HZ56" s="292"/>
      <c r="IA56" s="292"/>
      <c r="IB56" s="292"/>
      <c r="IC56" s="292"/>
      <c r="ID56" s="292"/>
      <c r="IE56" s="292"/>
      <c r="IF56" s="292"/>
      <c r="IG56" s="292"/>
      <c r="IH56" s="292"/>
      <c r="II56" s="292"/>
      <c r="IJ56" s="292"/>
      <c r="IK56" s="292"/>
      <c r="IL56" s="292"/>
      <c r="IM56" s="292"/>
      <c r="IN56" s="292"/>
      <c r="IO56" s="292"/>
      <c r="IP56" s="292"/>
      <c r="IQ56" s="292"/>
      <c r="IR56" s="292"/>
      <c r="IS56" s="292"/>
      <c r="IT56" s="292"/>
      <c r="IU56" s="292"/>
      <c r="IV56" s="292"/>
      <c r="IW56" s="292"/>
      <c r="IX56" s="292"/>
      <c r="IY56" s="292"/>
      <c r="IZ56" s="292"/>
      <c r="JA56" s="292"/>
      <c r="JB56" s="292"/>
      <c r="JC56" s="292"/>
      <c r="JD56" s="292"/>
      <c r="JE56" s="292"/>
      <c r="JF56" s="292"/>
      <c r="JG56" s="292"/>
      <c r="JH56" s="292"/>
      <c r="JI56" s="292"/>
      <c r="JJ56" s="292"/>
      <c r="JK56" s="292"/>
      <c r="JL56" s="292"/>
      <c r="JM56" s="292"/>
      <c r="JN56" s="292"/>
      <c r="JO56" s="292"/>
      <c r="JP56" s="292"/>
      <c r="JQ56" s="292"/>
      <c r="JR56" s="292"/>
      <c r="JS56" s="292"/>
      <c r="JT56" s="292"/>
      <c r="JU56" s="292"/>
      <c r="JV56" s="292"/>
      <c r="JW56" s="292"/>
      <c r="JX56" s="292"/>
      <c r="JY56" s="292"/>
      <c r="JZ56" s="292"/>
      <c r="KA56" s="292"/>
      <c r="KB56" s="292"/>
      <c r="KC56" s="292"/>
      <c r="KD56" s="292"/>
      <c r="KE56" s="292"/>
      <c r="KF56" s="292"/>
      <c r="KG56" s="292"/>
      <c r="KH56" s="292"/>
      <c r="KI56" s="292"/>
      <c r="KJ56" s="292"/>
      <c r="KK56" s="292"/>
      <c r="KL56" s="292"/>
      <c r="KM56" s="292"/>
      <c r="KN56" s="292"/>
      <c r="KO56" s="292"/>
      <c r="KP56" s="292"/>
      <c r="KQ56" s="292"/>
      <c r="KR56" s="292"/>
      <c r="KS56" s="292"/>
      <c r="KT56" s="292"/>
      <c r="KU56" s="292"/>
      <c r="KV56" s="292"/>
      <c r="KW56" s="292"/>
      <c r="KX56" s="292"/>
      <c r="KY56" s="292"/>
      <c r="KZ56" s="292"/>
      <c r="LA56" s="292"/>
      <c r="LB56" s="292"/>
      <c r="LC56" s="292"/>
      <c r="LD56" s="292"/>
      <c r="LE56" s="292"/>
      <c r="LF56" s="292"/>
      <c r="LG56" s="292"/>
      <c r="LH56" s="292"/>
      <c r="LI56" s="292"/>
      <c r="LJ56" s="292"/>
      <c r="LK56" s="292"/>
      <c r="LL56" s="292"/>
      <c r="LM56" s="292"/>
      <c r="LN56" s="292"/>
      <c r="LO56" s="292"/>
      <c r="LP56" s="292"/>
      <c r="LQ56" s="292"/>
      <c r="LR56" s="292"/>
      <c r="LS56" s="292"/>
      <c r="LT56" s="292"/>
      <c r="LU56" s="292"/>
      <c r="LV56" s="292"/>
      <c r="LW56" s="292"/>
      <c r="LX56" s="292"/>
      <c r="LY56" s="292"/>
      <c r="LZ56" s="292"/>
      <c r="MA56" s="292"/>
      <c r="MB56" s="292"/>
      <c r="MC56" s="292"/>
      <c r="MD56" s="292"/>
      <c r="ME56" s="292"/>
      <c r="MF56" s="292"/>
      <c r="MG56" s="292"/>
      <c r="MH56" s="292"/>
      <c r="MI56" s="292"/>
      <c r="MJ56" s="292"/>
      <c r="MK56" s="292"/>
      <c r="ML56" s="292"/>
      <c r="MM56" s="292"/>
      <c r="MN56" s="292"/>
      <c r="MO56" s="292"/>
      <c r="MP56" s="292"/>
      <c r="MQ56" s="292"/>
      <c r="MR56" s="292"/>
      <c r="MS56" s="292"/>
      <c r="MT56" s="292"/>
      <c r="MU56" s="292"/>
      <c r="MV56" s="292"/>
      <c r="MW56" s="292"/>
      <c r="MX56" s="292"/>
      <c r="MY56" s="292"/>
      <c r="MZ56" s="292"/>
      <c r="NA56" s="292"/>
      <c r="NB56" s="292"/>
      <c r="NC56" s="292"/>
      <c r="ND56" s="292"/>
      <c r="NE56" s="292"/>
      <c r="NF56" s="292"/>
      <c r="NG56" s="292"/>
      <c r="NH56" s="292"/>
      <c r="NI56" s="292"/>
      <c r="NJ56" s="292"/>
      <c r="NK56" s="292"/>
      <c r="NL56" s="292"/>
      <c r="NM56" s="292"/>
      <c r="NN56" s="292"/>
      <c r="NO56" s="292"/>
      <c r="NP56" s="292"/>
      <c r="NQ56" s="292"/>
      <c r="NR56" s="292"/>
      <c r="NS56" s="292"/>
      <c r="NT56" s="292"/>
      <c r="NU56" s="292"/>
      <c r="NV56" s="292"/>
      <c r="NW56" s="292"/>
      <c r="NX56" s="292"/>
      <c r="NY56" s="292"/>
      <c r="NZ56" s="292"/>
      <c r="OA56" s="292"/>
      <c r="OB56" s="292"/>
      <c r="OC56" s="292"/>
      <c r="OD56" s="292"/>
      <c r="OE56" s="292"/>
      <c r="OF56" s="292"/>
      <c r="OG56" s="292"/>
      <c r="OH56" s="292"/>
      <c r="OI56" s="292"/>
      <c r="OJ56" s="292"/>
      <c r="OK56" s="292"/>
      <c r="OL56" s="292"/>
      <c r="OM56" s="292"/>
      <c r="ON56" s="292"/>
      <c r="OO56" s="292"/>
      <c r="OP56" s="292"/>
      <c r="OQ56" s="292"/>
      <c r="OR56" s="292"/>
      <c r="OS56" s="292"/>
      <c r="OT56" s="292"/>
      <c r="OU56" s="292"/>
      <c r="OV56" s="292"/>
      <c r="OW56" s="292"/>
      <c r="OX56" s="292"/>
      <c r="OY56" s="292"/>
      <c r="OZ56" s="292"/>
      <c r="PA56" s="292"/>
      <c r="PB56" s="292"/>
      <c r="PC56" s="292"/>
      <c r="PD56" s="292"/>
      <c r="PE56" s="292"/>
      <c r="PF56" s="292"/>
      <c r="PG56" s="292"/>
      <c r="PH56" s="292"/>
      <c r="PI56" s="292"/>
      <c r="PJ56" s="292"/>
      <c r="PK56" s="292"/>
      <c r="PL56" s="292"/>
      <c r="PM56" s="292"/>
      <c r="PN56" s="292"/>
      <c r="PO56" s="292"/>
      <c r="PP56" s="292"/>
      <c r="PQ56" s="292"/>
      <c r="PR56" s="292"/>
      <c r="PS56" s="292"/>
      <c r="PT56" s="292"/>
      <c r="PU56" s="292"/>
      <c r="PV56" s="292"/>
      <c r="PW56" s="292"/>
      <c r="PX56" s="292"/>
      <c r="PY56" s="292"/>
      <c r="PZ56" s="292"/>
      <c r="QA56" s="292"/>
      <c r="QB56" s="292"/>
      <c r="QC56" s="292"/>
      <c r="QD56" s="292"/>
      <c r="QE56" s="292"/>
      <c r="QF56" s="292"/>
      <c r="QG56" s="292"/>
      <c r="QH56" s="292"/>
      <c r="QI56" s="292"/>
      <c r="QJ56" s="292"/>
      <c r="QK56" s="292"/>
      <c r="QL56" s="292"/>
      <c r="QM56" s="292"/>
      <c r="QN56" s="292"/>
      <c r="QO56" s="292"/>
      <c r="QP56" s="292"/>
      <c r="QQ56" s="292"/>
      <c r="QR56" s="292"/>
      <c r="QS56" s="292"/>
      <c r="QT56" s="292"/>
      <c r="QU56" s="292"/>
      <c r="QV56" s="292"/>
      <c r="QW56" s="292"/>
      <c r="QX56" s="292"/>
      <c r="QY56" s="292"/>
      <c r="QZ56" s="292"/>
      <c r="RA56" s="292"/>
      <c r="RB56" s="292"/>
      <c r="RC56" s="292"/>
      <c r="RD56" s="292"/>
      <c r="RE56" s="292"/>
      <c r="RF56" s="292"/>
      <c r="RG56" s="292"/>
      <c r="RH56" s="292"/>
      <c r="RI56" s="292"/>
      <c r="RJ56" s="292"/>
      <c r="RK56" s="292"/>
      <c r="RL56" s="292"/>
      <c r="RM56" s="292"/>
      <c r="RN56" s="292"/>
      <c r="RO56" s="292"/>
      <c r="RP56" s="292"/>
      <c r="RQ56" s="292"/>
      <c r="RR56" s="292"/>
      <c r="RS56" s="292"/>
      <c r="RT56" s="292"/>
      <c r="RU56" s="292"/>
      <c r="RV56" s="292"/>
      <c r="RW56" s="292"/>
      <c r="RX56" s="292"/>
      <c r="RY56" s="292"/>
      <c r="RZ56" s="292"/>
      <c r="SA56" s="292"/>
      <c r="SB56" s="292"/>
      <c r="SC56" s="292"/>
      <c r="SD56" s="292"/>
      <c r="SE56" s="292"/>
      <c r="SF56" s="292"/>
      <c r="SG56" s="292"/>
      <c r="SH56" s="292"/>
      <c r="SI56" s="292"/>
      <c r="SJ56" s="292"/>
      <c r="SK56" s="292"/>
      <c r="SL56" s="292"/>
      <c r="SM56" s="292"/>
      <c r="SN56" s="292"/>
      <c r="SO56" s="292"/>
      <c r="SP56" s="292"/>
      <c r="SQ56" s="292"/>
      <c r="SR56" s="292"/>
      <c r="SS56" s="292"/>
      <c r="ST56" s="292"/>
      <c r="SU56" s="292"/>
    </row>
    <row r="57" spans="1:515" ht="15" customHeight="1" x14ac:dyDescent="0.25">
      <c r="A57" s="1349" t="s">
        <v>365</v>
      </c>
      <c r="B57" s="1350"/>
      <c r="C57" s="1350"/>
      <c r="D57" s="957"/>
      <c r="E57" s="622">
        <v>0</v>
      </c>
      <c r="F57" s="626">
        <v>0</v>
      </c>
      <c r="G57" s="1000">
        <f>E57*F57</f>
        <v>0</v>
      </c>
      <c r="H57" s="957"/>
      <c r="I57" s="622">
        <v>0</v>
      </c>
      <c r="J57" s="626">
        <v>0</v>
      </c>
      <c r="K57" s="1000">
        <f>I57*J57</f>
        <v>0</v>
      </c>
      <c r="L57" s="957"/>
      <c r="M57" s="622">
        <v>0</v>
      </c>
      <c r="N57" s="626">
        <v>0</v>
      </c>
      <c r="O57" s="1000">
        <f>M57*N57</f>
        <v>0</v>
      </c>
      <c r="P57" s="957"/>
      <c r="Q57" s="622">
        <v>0</v>
      </c>
      <c r="R57" s="626">
        <v>0</v>
      </c>
      <c r="S57" s="1000">
        <f>Q57*R57</f>
        <v>0</v>
      </c>
      <c r="T57" s="957"/>
      <c r="U57" s="622">
        <v>0</v>
      </c>
      <c r="V57" s="626">
        <v>0</v>
      </c>
      <c r="W57" s="1000">
        <f>U57*V57</f>
        <v>0</v>
      </c>
      <c r="X57" s="957"/>
      <c r="Y57" s="622">
        <v>0</v>
      </c>
      <c r="Z57" s="626">
        <v>0</v>
      </c>
      <c r="AA57" s="1000">
        <f>Y57*Z57</f>
        <v>0</v>
      </c>
      <c r="AB57" s="975"/>
      <c r="AC57" s="957"/>
      <c r="AD57" s="1000">
        <f>G57+K57+O57+S57+W57+AA57</f>
        <v>0</v>
      </c>
      <c r="AE57" s="971"/>
    </row>
    <row r="58" spans="1:515" ht="15" customHeight="1" x14ac:dyDescent="0.25">
      <c r="A58" s="1349" t="s">
        <v>366</v>
      </c>
      <c r="B58" s="1350"/>
      <c r="C58" s="1350"/>
      <c r="D58" s="957"/>
      <c r="E58" s="622">
        <v>0</v>
      </c>
      <c r="F58" s="626">
        <v>0</v>
      </c>
      <c r="G58" s="1000">
        <f>E58*F58</f>
        <v>0</v>
      </c>
      <c r="H58" s="957"/>
      <c r="I58" s="622">
        <v>0</v>
      </c>
      <c r="J58" s="626">
        <v>0</v>
      </c>
      <c r="K58" s="1000">
        <f>I58*J58</f>
        <v>0</v>
      </c>
      <c r="L58" s="957"/>
      <c r="M58" s="622">
        <v>0</v>
      </c>
      <c r="N58" s="626">
        <v>0</v>
      </c>
      <c r="O58" s="1000">
        <f>M58*N58</f>
        <v>0</v>
      </c>
      <c r="P58" s="957"/>
      <c r="Q58" s="622">
        <v>0</v>
      </c>
      <c r="R58" s="626">
        <v>0</v>
      </c>
      <c r="S58" s="1000">
        <f>Q58*R58</f>
        <v>0</v>
      </c>
      <c r="T58" s="957"/>
      <c r="U58" s="622">
        <v>0</v>
      </c>
      <c r="V58" s="626">
        <v>0</v>
      </c>
      <c r="W58" s="1000">
        <f>U58*V58</f>
        <v>0</v>
      </c>
      <c r="X58" s="957"/>
      <c r="Y58" s="622">
        <v>0</v>
      </c>
      <c r="Z58" s="626">
        <v>0</v>
      </c>
      <c r="AA58" s="1000">
        <f>Y58*Z58</f>
        <v>0</v>
      </c>
      <c r="AB58" s="975"/>
      <c r="AC58" s="957"/>
      <c r="AD58" s="1000">
        <f>G58+K58+O58+S58+W58+AA58</f>
        <v>0</v>
      </c>
      <c r="AE58" s="971"/>
    </row>
    <row r="59" spans="1:515" s="478" customFormat="1" ht="23.15" customHeight="1" x14ac:dyDescent="0.25">
      <c r="A59" s="1366" t="s">
        <v>138</v>
      </c>
      <c r="B59" s="1367"/>
      <c r="C59" s="1367"/>
      <c r="D59" s="962"/>
      <c r="E59" s="960"/>
      <c r="F59" s="994"/>
      <c r="G59" s="788">
        <f>SUM(G56:G58)</f>
        <v>0</v>
      </c>
      <c r="H59" s="957"/>
      <c r="I59" s="960"/>
      <c r="J59" s="993"/>
      <c r="K59" s="788">
        <f>SUM(K56:K58)</f>
        <v>0</v>
      </c>
      <c r="L59" s="957"/>
      <c r="M59" s="960"/>
      <c r="N59" s="997"/>
      <c r="O59" s="788">
        <f>SUM(O56:O58)</f>
        <v>0</v>
      </c>
      <c r="P59" s="957"/>
      <c r="Q59" s="960"/>
      <c r="R59" s="993"/>
      <c r="S59" s="788">
        <f>SUM(S56:S58)</f>
        <v>0</v>
      </c>
      <c r="T59" s="957"/>
      <c r="U59" s="957"/>
      <c r="V59" s="957"/>
      <c r="W59" s="788">
        <f>SUM(W56:W58)</f>
        <v>0</v>
      </c>
      <c r="X59" s="957"/>
      <c r="Y59" s="957"/>
      <c r="Z59" s="957"/>
      <c r="AA59" s="788">
        <f>SUM(AA56:AA58)</f>
        <v>0</v>
      </c>
      <c r="AB59" s="976"/>
      <c r="AC59" s="957"/>
      <c r="AD59" s="786">
        <f>G59+K59+O59+S59+W59+AA59</f>
        <v>0</v>
      </c>
      <c r="AE59" s="971"/>
      <c r="AF59" s="292"/>
      <c r="AG59" s="292"/>
      <c r="AH59" s="292"/>
      <c r="AI59" s="292"/>
      <c r="AJ59" s="292"/>
      <c r="AK59" s="292"/>
      <c r="AL59" s="292"/>
      <c r="AM59" s="292"/>
      <c r="AN59" s="292"/>
      <c r="AO59" s="292"/>
      <c r="AP59" s="292"/>
      <c r="AQ59" s="292"/>
      <c r="AR59" s="292"/>
      <c r="AS59" s="292"/>
      <c r="AT59" s="292"/>
      <c r="AU59" s="292"/>
      <c r="AV59" s="292"/>
      <c r="AW59" s="292"/>
      <c r="AX59" s="292"/>
      <c r="AY59" s="292"/>
      <c r="AZ59" s="292"/>
      <c r="BA59" s="292"/>
      <c r="BB59" s="292"/>
      <c r="BC59" s="292"/>
      <c r="BD59" s="292"/>
      <c r="BE59" s="292"/>
      <c r="BF59" s="292"/>
      <c r="BG59" s="292"/>
      <c r="BH59" s="292"/>
      <c r="BI59" s="292"/>
      <c r="BJ59" s="292"/>
      <c r="BK59" s="292"/>
      <c r="BL59" s="292"/>
      <c r="BM59" s="292"/>
      <c r="BN59" s="292"/>
      <c r="BO59" s="292"/>
      <c r="BP59" s="292"/>
      <c r="BQ59" s="292"/>
      <c r="BR59" s="292"/>
      <c r="BS59" s="292"/>
      <c r="BT59" s="292"/>
      <c r="BU59" s="292"/>
      <c r="BV59" s="292"/>
      <c r="BW59" s="292"/>
      <c r="BX59" s="292"/>
      <c r="BY59" s="292"/>
      <c r="BZ59" s="292"/>
      <c r="CA59" s="292"/>
      <c r="CB59" s="292"/>
      <c r="CC59" s="292"/>
      <c r="CD59" s="292"/>
      <c r="CE59" s="292"/>
      <c r="CF59" s="292"/>
      <c r="CG59" s="292"/>
      <c r="CH59" s="292"/>
      <c r="CI59" s="292"/>
      <c r="CJ59" s="292"/>
      <c r="CK59" s="292"/>
      <c r="CL59" s="292"/>
      <c r="CM59" s="292"/>
      <c r="CN59" s="292"/>
      <c r="CO59" s="292"/>
      <c r="CP59" s="292"/>
      <c r="CQ59" s="292"/>
      <c r="CR59" s="292"/>
      <c r="CS59" s="292"/>
      <c r="CT59" s="292"/>
      <c r="CU59" s="292"/>
      <c r="CV59" s="292"/>
      <c r="CW59" s="292"/>
      <c r="CX59" s="292"/>
      <c r="CY59" s="292"/>
      <c r="CZ59" s="292"/>
      <c r="DA59" s="292"/>
      <c r="DB59" s="292"/>
      <c r="DC59" s="292"/>
      <c r="DD59" s="292"/>
      <c r="DE59" s="292"/>
      <c r="DF59" s="292"/>
      <c r="DG59" s="292"/>
      <c r="DH59" s="292"/>
      <c r="DI59" s="292"/>
      <c r="DJ59" s="292"/>
      <c r="DK59" s="292"/>
      <c r="DL59" s="292"/>
      <c r="DM59" s="292"/>
      <c r="DN59" s="292"/>
      <c r="DO59" s="292"/>
      <c r="DP59" s="292"/>
      <c r="DQ59" s="292"/>
      <c r="DR59" s="292"/>
      <c r="DS59" s="292"/>
      <c r="DT59" s="292"/>
      <c r="DU59" s="292"/>
      <c r="DV59" s="292"/>
      <c r="DW59" s="292"/>
      <c r="DX59" s="292"/>
      <c r="DY59" s="292"/>
      <c r="DZ59" s="292"/>
      <c r="EA59" s="292"/>
      <c r="EB59" s="292"/>
      <c r="EC59" s="292"/>
      <c r="ED59" s="292"/>
      <c r="EE59" s="292"/>
      <c r="EF59" s="292"/>
      <c r="EG59" s="292"/>
      <c r="EH59" s="292"/>
      <c r="EI59" s="292"/>
      <c r="EJ59" s="292"/>
      <c r="EK59" s="292"/>
      <c r="EL59" s="292"/>
      <c r="EM59" s="292"/>
      <c r="EN59" s="292"/>
      <c r="EO59" s="292"/>
      <c r="EP59" s="292"/>
      <c r="EQ59" s="292"/>
      <c r="ER59" s="292"/>
      <c r="ES59" s="292"/>
      <c r="ET59" s="292"/>
      <c r="EU59" s="292"/>
      <c r="EV59" s="292"/>
      <c r="EW59" s="292"/>
      <c r="EX59" s="292"/>
      <c r="EY59" s="292"/>
      <c r="EZ59" s="292"/>
      <c r="FA59" s="292"/>
      <c r="FB59" s="292"/>
      <c r="FC59" s="292"/>
      <c r="FD59" s="292"/>
      <c r="FE59" s="292"/>
      <c r="FF59" s="292"/>
      <c r="FG59" s="292"/>
      <c r="FH59" s="292"/>
      <c r="FI59" s="292"/>
      <c r="FJ59" s="292"/>
      <c r="FK59" s="292"/>
      <c r="FL59" s="292"/>
      <c r="FM59" s="292"/>
      <c r="FN59" s="292"/>
      <c r="FO59" s="292"/>
      <c r="FP59" s="292"/>
      <c r="FQ59" s="292"/>
      <c r="FR59" s="292"/>
      <c r="FS59" s="292"/>
      <c r="FT59" s="292"/>
      <c r="FU59" s="292"/>
      <c r="FV59" s="292"/>
      <c r="FW59" s="292"/>
      <c r="FX59" s="292"/>
      <c r="FY59" s="292"/>
      <c r="FZ59" s="292"/>
      <c r="GA59" s="292"/>
      <c r="GB59" s="292"/>
      <c r="GC59" s="292"/>
      <c r="GD59" s="292"/>
      <c r="GE59" s="292"/>
      <c r="GF59" s="292"/>
      <c r="GG59" s="292"/>
      <c r="GH59" s="292"/>
      <c r="GI59" s="292"/>
      <c r="GJ59" s="292"/>
      <c r="GK59" s="292"/>
      <c r="GL59" s="292"/>
      <c r="GM59" s="292"/>
      <c r="GN59" s="292"/>
      <c r="GO59" s="292"/>
      <c r="GP59" s="292"/>
      <c r="GQ59" s="292"/>
      <c r="GR59" s="292"/>
      <c r="GS59" s="292"/>
      <c r="GT59" s="292"/>
      <c r="GU59" s="292"/>
      <c r="GV59" s="292"/>
      <c r="GW59" s="292"/>
      <c r="GX59" s="292"/>
      <c r="GY59" s="292"/>
      <c r="GZ59" s="292"/>
      <c r="HA59" s="292"/>
      <c r="HB59" s="292"/>
      <c r="HC59" s="292"/>
      <c r="HD59" s="292"/>
      <c r="HE59" s="292"/>
      <c r="HF59" s="292"/>
      <c r="HG59" s="292"/>
      <c r="HH59" s="292"/>
      <c r="HI59" s="292"/>
      <c r="HJ59" s="292"/>
      <c r="HK59" s="292"/>
      <c r="HL59" s="292"/>
      <c r="HM59" s="292"/>
      <c r="HN59" s="292"/>
      <c r="HO59" s="292"/>
      <c r="HP59" s="292"/>
      <c r="HQ59" s="292"/>
      <c r="HR59" s="292"/>
      <c r="HS59" s="292"/>
      <c r="HT59" s="292"/>
      <c r="HU59" s="292"/>
      <c r="HV59" s="292"/>
      <c r="HW59" s="292"/>
      <c r="HX59" s="292"/>
      <c r="HY59" s="292"/>
      <c r="HZ59" s="292"/>
      <c r="IA59" s="292"/>
      <c r="IB59" s="292"/>
      <c r="IC59" s="292"/>
      <c r="ID59" s="292"/>
      <c r="IE59" s="292"/>
      <c r="IF59" s="292"/>
      <c r="IG59" s="292"/>
      <c r="IH59" s="292"/>
      <c r="II59" s="292"/>
      <c r="IJ59" s="292"/>
      <c r="IK59" s="292"/>
      <c r="IL59" s="292"/>
      <c r="IM59" s="292"/>
      <c r="IN59" s="292"/>
      <c r="IO59" s="292"/>
      <c r="IP59" s="292"/>
      <c r="IQ59" s="292"/>
      <c r="IR59" s="292"/>
      <c r="IS59" s="292"/>
      <c r="IT59" s="292"/>
      <c r="IU59" s="292"/>
      <c r="IV59" s="292"/>
      <c r="IW59" s="292"/>
      <c r="IX59" s="292"/>
      <c r="IY59" s="292"/>
      <c r="IZ59" s="292"/>
      <c r="JA59" s="292"/>
      <c r="JB59" s="292"/>
      <c r="JC59" s="292"/>
      <c r="JD59" s="292"/>
      <c r="JE59" s="292"/>
      <c r="JF59" s="292"/>
      <c r="JG59" s="292"/>
      <c r="JH59" s="292"/>
      <c r="JI59" s="292"/>
      <c r="JJ59" s="292"/>
      <c r="JK59" s="292"/>
      <c r="JL59" s="292"/>
      <c r="JM59" s="292"/>
      <c r="JN59" s="292"/>
      <c r="JO59" s="292"/>
      <c r="JP59" s="292"/>
      <c r="JQ59" s="292"/>
      <c r="JR59" s="292"/>
      <c r="JS59" s="292"/>
      <c r="JT59" s="292"/>
      <c r="JU59" s="292"/>
      <c r="JV59" s="292"/>
      <c r="JW59" s="292"/>
      <c r="JX59" s="292"/>
      <c r="JY59" s="292"/>
      <c r="JZ59" s="292"/>
      <c r="KA59" s="292"/>
      <c r="KB59" s="292"/>
      <c r="KC59" s="292"/>
      <c r="KD59" s="292"/>
      <c r="KE59" s="292"/>
      <c r="KF59" s="292"/>
      <c r="KG59" s="292"/>
      <c r="KH59" s="292"/>
      <c r="KI59" s="292"/>
      <c r="KJ59" s="292"/>
      <c r="KK59" s="292"/>
      <c r="KL59" s="292"/>
      <c r="KM59" s="292"/>
      <c r="KN59" s="292"/>
      <c r="KO59" s="292"/>
      <c r="KP59" s="292"/>
      <c r="KQ59" s="292"/>
      <c r="KR59" s="292"/>
      <c r="KS59" s="292"/>
      <c r="KT59" s="292"/>
      <c r="KU59" s="292"/>
      <c r="KV59" s="292"/>
      <c r="KW59" s="292"/>
      <c r="KX59" s="292"/>
      <c r="KY59" s="292"/>
      <c r="KZ59" s="292"/>
      <c r="LA59" s="292"/>
      <c r="LB59" s="292"/>
      <c r="LC59" s="292"/>
      <c r="LD59" s="292"/>
      <c r="LE59" s="292"/>
      <c r="LF59" s="292"/>
      <c r="LG59" s="292"/>
      <c r="LH59" s="292"/>
      <c r="LI59" s="292"/>
      <c r="LJ59" s="292"/>
      <c r="LK59" s="292"/>
      <c r="LL59" s="292"/>
      <c r="LM59" s="292"/>
      <c r="LN59" s="292"/>
      <c r="LO59" s="292"/>
      <c r="LP59" s="292"/>
      <c r="LQ59" s="292"/>
      <c r="LR59" s="292"/>
      <c r="LS59" s="292"/>
      <c r="LT59" s="292"/>
      <c r="LU59" s="292"/>
      <c r="LV59" s="292"/>
      <c r="LW59" s="292"/>
      <c r="LX59" s="292"/>
      <c r="LY59" s="292"/>
      <c r="LZ59" s="292"/>
      <c r="MA59" s="292"/>
      <c r="MB59" s="292"/>
      <c r="MC59" s="292"/>
      <c r="MD59" s="292"/>
      <c r="ME59" s="292"/>
      <c r="MF59" s="292"/>
      <c r="MG59" s="292"/>
      <c r="MH59" s="292"/>
      <c r="MI59" s="292"/>
      <c r="MJ59" s="292"/>
      <c r="MK59" s="292"/>
      <c r="ML59" s="292"/>
      <c r="MM59" s="292"/>
      <c r="MN59" s="292"/>
      <c r="MO59" s="292"/>
      <c r="MP59" s="292"/>
      <c r="MQ59" s="292"/>
      <c r="MR59" s="292"/>
      <c r="MS59" s="292"/>
      <c r="MT59" s="292"/>
      <c r="MU59" s="292"/>
      <c r="MV59" s="292"/>
      <c r="MW59" s="292"/>
      <c r="MX59" s="292"/>
      <c r="MY59" s="292"/>
      <c r="MZ59" s="292"/>
      <c r="NA59" s="292"/>
      <c r="NB59" s="292"/>
      <c r="NC59" s="292"/>
      <c r="ND59" s="292"/>
      <c r="NE59" s="292"/>
      <c r="NF59" s="292"/>
      <c r="NG59" s="292"/>
      <c r="NH59" s="292"/>
      <c r="NI59" s="292"/>
      <c r="NJ59" s="292"/>
      <c r="NK59" s="292"/>
      <c r="NL59" s="292"/>
      <c r="NM59" s="292"/>
      <c r="NN59" s="292"/>
      <c r="NO59" s="292"/>
      <c r="NP59" s="292"/>
      <c r="NQ59" s="292"/>
      <c r="NR59" s="292"/>
      <c r="NS59" s="292"/>
      <c r="NT59" s="292"/>
      <c r="NU59" s="292"/>
      <c r="NV59" s="292"/>
      <c r="NW59" s="292"/>
      <c r="NX59" s="292"/>
      <c r="NY59" s="292"/>
      <c r="NZ59" s="292"/>
      <c r="OA59" s="292"/>
      <c r="OB59" s="292"/>
      <c r="OC59" s="292"/>
      <c r="OD59" s="292"/>
      <c r="OE59" s="292"/>
      <c r="OF59" s="292"/>
      <c r="OG59" s="292"/>
      <c r="OH59" s="292"/>
      <c r="OI59" s="292"/>
      <c r="OJ59" s="292"/>
      <c r="OK59" s="292"/>
      <c r="OL59" s="292"/>
      <c r="OM59" s="292"/>
      <c r="ON59" s="292"/>
      <c r="OO59" s="292"/>
      <c r="OP59" s="292"/>
      <c r="OQ59" s="292"/>
      <c r="OR59" s="292"/>
      <c r="OS59" s="292"/>
      <c r="OT59" s="292"/>
      <c r="OU59" s="292"/>
      <c r="OV59" s="292"/>
      <c r="OW59" s="292"/>
      <c r="OX59" s="292"/>
      <c r="OY59" s="292"/>
      <c r="OZ59" s="292"/>
      <c r="PA59" s="292"/>
      <c r="PB59" s="292"/>
      <c r="PC59" s="292"/>
      <c r="PD59" s="292"/>
      <c r="PE59" s="292"/>
      <c r="PF59" s="292"/>
      <c r="PG59" s="292"/>
      <c r="PH59" s="292"/>
      <c r="PI59" s="292"/>
      <c r="PJ59" s="292"/>
      <c r="PK59" s="292"/>
      <c r="PL59" s="292"/>
      <c r="PM59" s="292"/>
      <c r="PN59" s="292"/>
      <c r="PO59" s="292"/>
      <c r="PP59" s="292"/>
      <c r="PQ59" s="292"/>
      <c r="PR59" s="292"/>
      <c r="PS59" s="292"/>
      <c r="PT59" s="292"/>
      <c r="PU59" s="292"/>
      <c r="PV59" s="292"/>
      <c r="PW59" s="292"/>
      <c r="PX59" s="292"/>
      <c r="PY59" s="292"/>
      <c r="PZ59" s="292"/>
      <c r="QA59" s="292"/>
      <c r="QB59" s="292"/>
      <c r="QC59" s="292"/>
      <c r="QD59" s="292"/>
      <c r="QE59" s="292"/>
      <c r="QF59" s="292"/>
      <c r="QG59" s="292"/>
      <c r="QH59" s="292"/>
      <c r="QI59" s="292"/>
      <c r="QJ59" s="292"/>
      <c r="QK59" s="292"/>
      <c r="QL59" s="292"/>
      <c r="QM59" s="292"/>
      <c r="QN59" s="292"/>
      <c r="QO59" s="292"/>
      <c r="QP59" s="292"/>
      <c r="QQ59" s="292"/>
      <c r="QR59" s="292"/>
      <c r="QS59" s="292"/>
      <c r="QT59" s="292"/>
      <c r="QU59" s="292"/>
      <c r="QV59" s="292"/>
      <c r="QW59" s="292"/>
      <c r="QX59" s="292"/>
      <c r="QY59" s="292"/>
      <c r="QZ59" s="292"/>
      <c r="RA59" s="292"/>
      <c r="RB59" s="292"/>
      <c r="RC59" s="292"/>
      <c r="RD59" s="292"/>
      <c r="RE59" s="292"/>
      <c r="RF59" s="292"/>
      <c r="RG59" s="292"/>
      <c r="RH59" s="292"/>
      <c r="RI59" s="292"/>
      <c r="RJ59" s="292"/>
      <c r="RK59" s="292"/>
      <c r="RL59" s="292"/>
      <c r="RM59" s="292"/>
      <c r="RN59" s="292"/>
      <c r="RO59" s="292"/>
      <c r="RP59" s="292"/>
      <c r="RQ59" s="292"/>
      <c r="RR59" s="292"/>
      <c r="RS59" s="292"/>
      <c r="RT59" s="292"/>
      <c r="RU59" s="292"/>
      <c r="RV59" s="292"/>
      <c r="RW59" s="292"/>
      <c r="RX59" s="292"/>
      <c r="RY59" s="292"/>
      <c r="RZ59" s="292"/>
      <c r="SA59" s="292"/>
      <c r="SB59" s="292"/>
      <c r="SC59" s="292"/>
      <c r="SD59" s="292"/>
      <c r="SE59" s="292"/>
      <c r="SF59" s="292"/>
      <c r="SG59" s="292"/>
      <c r="SH59" s="292"/>
      <c r="SI59" s="292"/>
      <c r="SJ59" s="292"/>
      <c r="SK59" s="292"/>
      <c r="SL59" s="292"/>
      <c r="SM59" s="292"/>
      <c r="SN59" s="292"/>
      <c r="SO59" s="292"/>
      <c r="SP59" s="292"/>
      <c r="SQ59" s="292"/>
      <c r="SR59" s="292"/>
      <c r="SS59" s="292"/>
      <c r="ST59" s="292"/>
      <c r="SU59" s="292"/>
    </row>
    <row r="60" spans="1:515" s="478" customFormat="1" ht="13" customHeight="1" x14ac:dyDescent="0.25">
      <c r="A60" s="986"/>
      <c r="B60" s="984"/>
      <c r="C60" s="984"/>
      <c r="D60" s="962"/>
      <c r="E60" s="960"/>
      <c r="F60" s="976"/>
      <c r="G60" s="981"/>
      <c r="H60" s="957"/>
      <c r="I60" s="960"/>
      <c r="J60" s="981"/>
      <c r="K60" s="981"/>
      <c r="L60" s="957"/>
      <c r="M60" s="960"/>
      <c r="N60" s="985"/>
      <c r="O60" s="981"/>
      <c r="P60" s="957"/>
      <c r="Q60" s="960"/>
      <c r="R60" s="981"/>
      <c r="S60" s="981"/>
      <c r="T60" s="957"/>
      <c r="U60" s="957"/>
      <c r="V60" s="957"/>
      <c r="W60" s="981"/>
      <c r="X60" s="957"/>
      <c r="Y60" s="957"/>
      <c r="Z60" s="957"/>
      <c r="AA60" s="981"/>
      <c r="AB60" s="976"/>
      <c r="AC60" s="957"/>
      <c r="AD60" s="976"/>
      <c r="AE60" s="971"/>
      <c r="AF60" s="292"/>
      <c r="AG60" s="292"/>
      <c r="AH60" s="292"/>
      <c r="AI60" s="292"/>
      <c r="AJ60" s="292"/>
      <c r="AK60" s="292"/>
      <c r="AL60" s="292"/>
      <c r="AM60" s="292"/>
      <c r="AN60" s="292"/>
      <c r="AO60" s="292"/>
      <c r="AP60" s="292"/>
      <c r="AQ60" s="292"/>
      <c r="AR60" s="292"/>
      <c r="AS60" s="292"/>
      <c r="AT60" s="292"/>
      <c r="AU60" s="292"/>
      <c r="AV60" s="292"/>
      <c r="AW60" s="292"/>
      <c r="AX60" s="292"/>
      <c r="AY60" s="292"/>
      <c r="AZ60" s="292"/>
      <c r="BA60" s="292"/>
      <c r="BB60" s="292"/>
      <c r="BC60" s="292"/>
      <c r="BD60" s="292"/>
      <c r="BE60" s="292"/>
      <c r="BF60" s="292"/>
      <c r="BG60" s="292"/>
      <c r="BH60" s="292"/>
      <c r="BI60" s="292"/>
      <c r="BJ60" s="292"/>
      <c r="BK60" s="292"/>
      <c r="BL60" s="292"/>
      <c r="BM60" s="292"/>
      <c r="BN60" s="292"/>
      <c r="BO60" s="292"/>
      <c r="BP60" s="292"/>
      <c r="BQ60" s="292"/>
      <c r="BR60" s="292"/>
      <c r="BS60" s="292"/>
      <c r="BT60" s="292"/>
      <c r="BU60" s="292"/>
      <c r="BV60" s="292"/>
      <c r="BW60" s="292"/>
      <c r="BX60" s="292"/>
      <c r="BY60" s="292"/>
      <c r="BZ60" s="292"/>
      <c r="CA60" s="292"/>
      <c r="CB60" s="292"/>
      <c r="CC60" s="292"/>
      <c r="CD60" s="292"/>
      <c r="CE60" s="292"/>
      <c r="CF60" s="292"/>
      <c r="CG60" s="292"/>
      <c r="CH60" s="292"/>
      <c r="CI60" s="292"/>
      <c r="CJ60" s="292"/>
      <c r="CK60" s="292"/>
      <c r="CL60" s="292"/>
      <c r="CM60" s="292"/>
      <c r="CN60" s="292"/>
      <c r="CO60" s="292"/>
      <c r="CP60" s="292"/>
      <c r="CQ60" s="292"/>
      <c r="CR60" s="292"/>
      <c r="CS60" s="292"/>
      <c r="CT60" s="292"/>
      <c r="CU60" s="292"/>
      <c r="CV60" s="292"/>
      <c r="CW60" s="292"/>
      <c r="CX60" s="292"/>
      <c r="CY60" s="292"/>
      <c r="CZ60" s="292"/>
      <c r="DA60" s="292"/>
      <c r="DB60" s="292"/>
      <c r="DC60" s="292"/>
      <c r="DD60" s="292"/>
      <c r="DE60" s="292"/>
      <c r="DF60" s="292"/>
      <c r="DG60" s="292"/>
      <c r="DH60" s="292"/>
      <c r="DI60" s="292"/>
      <c r="DJ60" s="292"/>
      <c r="DK60" s="292"/>
      <c r="DL60" s="292"/>
      <c r="DM60" s="292"/>
      <c r="DN60" s="292"/>
      <c r="DO60" s="292"/>
      <c r="DP60" s="292"/>
      <c r="DQ60" s="292"/>
      <c r="DR60" s="292"/>
      <c r="DS60" s="292"/>
      <c r="DT60" s="292"/>
      <c r="DU60" s="292"/>
      <c r="DV60" s="292"/>
      <c r="DW60" s="292"/>
      <c r="DX60" s="292"/>
      <c r="DY60" s="292"/>
      <c r="DZ60" s="292"/>
      <c r="EA60" s="292"/>
      <c r="EB60" s="292"/>
      <c r="EC60" s="292"/>
      <c r="ED60" s="292"/>
      <c r="EE60" s="292"/>
      <c r="EF60" s="292"/>
      <c r="EG60" s="292"/>
      <c r="EH60" s="292"/>
      <c r="EI60" s="292"/>
      <c r="EJ60" s="292"/>
      <c r="EK60" s="292"/>
      <c r="EL60" s="292"/>
      <c r="EM60" s="292"/>
      <c r="EN60" s="292"/>
      <c r="EO60" s="292"/>
      <c r="EP60" s="292"/>
      <c r="EQ60" s="292"/>
      <c r="ER60" s="292"/>
      <c r="ES60" s="292"/>
      <c r="ET60" s="292"/>
      <c r="EU60" s="292"/>
      <c r="EV60" s="292"/>
      <c r="EW60" s="292"/>
      <c r="EX60" s="292"/>
      <c r="EY60" s="292"/>
      <c r="EZ60" s="292"/>
      <c r="FA60" s="292"/>
      <c r="FB60" s="292"/>
      <c r="FC60" s="292"/>
      <c r="FD60" s="292"/>
      <c r="FE60" s="292"/>
      <c r="FF60" s="292"/>
      <c r="FG60" s="292"/>
      <c r="FH60" s="292"/>
      <c r="FI60" s="292"/>
      <c r="FJ60" s="292"/>
      <c r="FK60" s="292"/>
      <c r="FL60" s="292"/>
      <c r="FM60" s="292"/>
      <c r="FN60" s="292"/>
      <c r="FO60" s="292"/>
      <c r="FP60" s="292"/>
      <c r="FQ60" s="292"/>
      <c r="FR60" s="292"/>
      <c r="FS60" s="292"/>
      <c r="FT60" s="292"/>
      <c r="FU60" s="292"/>
      <c r="FV60" s="292"/>
      <c r="FW60" s="292"/>
      <c r="FX60" s="292"/>
      <c r="FY60" s="292"/>
      <c r="FZ60" s="292"/>
      <c r="GA60" s="292"/>
      <c r="GB60" s="292"/>
      <c r="GC60" s="292"/>
      <c r="GD60" s="292"/>
      <c r="GE60" s="292"/>
      <c r="GF60" s="292"/>
      <c r="GG60" s="292"/>
      <c r="GH60" s="292"/>
      <c r="GI60" s="292"/>
      <c r="GJ60" s="292"/>
      <c r="GK60" s="292"/>
      <c r="GL60" s="292"/>
      <c r="GM60" s="292"/>
      <c r="GN60" s="292"/>
      <c r="GO60" s="292"/>
      <c r="GP60" s="292"/>
      <c r="GQ60" s="292"/>
      <c r="GR60" s="292"/>
      <c r="GS60" s="292"/>
      <c r="GT60" s="292"/>
      <c r="GU60" s="292"/>
      <c r="GV60" s="292"/>
      <c r="GW60" s="292"/>
      <c r="GX60" s="292"/>
      <c r="GY60" s="292"/>
      <c r="GZ60" s="292"/>
      <c r="HA60" s="292"/>
      <c r="HB60" s="292"/>
      <c r="HC60" s="292"/>
      <c r="HD60" s="292"/>
      <c r="HE60" s="292"/>
      <c r="HF60" s="292"/>
      <c r="HG60" s="292"/>
      <c r="HH60" s="292"/>
      <c r="HI60" s="292"/>
      <c r="HJ60" s="292"/>
      <c r="HK60" s="292"/>
      <c r="HL60" s="292"/>
      <c r="HM60" s="292"/>
      <c r="HN60" s="292"/>
      <c r="HO60" s="292"/>
      <c r="HP60" s="292"/>
      <c r="HQ60" s="292"/>
      <c r="HR60" s="292"/>
      <c r="HS60" s="292"/>
      <c r="HT60" s="292"/>
      <c r="HU60" s="292"/>
      <c r="HV60" s="292"/>
      <c r="HW60" s="292"/>
      <c r="HX60" s="292"/>
      <c r="HY60" s="292"/>
      <c r="HZ60" s="292"/>
      <c r="IA60" s="292"/>
      <c r="IB60" s="292"/>
      <c r="IC60" s="292"/>
      <c r="ID60" s="292"/>
      <c r="IE60" s="292"/>
      <c r="IF60" s="292"/>
      <c r="IG60" s="292"/>
      <c r="IH60" s="292"/>
      <c r="II60" s="292"/>
      <c r="IJ60" s="292"/>
      <c r="IK60" s="292"/>
      <c r="IL60" s="292"/>
      <c r="IM60" s="292"/>
      <c r="IN60" s="292"/>
      <c r="IO60" s="292"/>
      <c r="IP60" s="292"/>
      <c r="IQ60" s="292"/>
      <c r="IR60" s="292"/>
      <c r="IS60" s="292"/>
      <c r="IT60" s="292"/>
      <c r="IU60" s="292"/>
      <c r="IV60" s="292"/>
      <c r="IW60" s="292"/>
      <c r="IX60" s="292"/>
      <c r="IY60" s="292"/>
      <c r="IZ60" s="292"/>
      <c r="JA60" s="292"/>
      <c r="JB60" s="292"/>
      <c r="JC60" s="292"/>
      <c r="JD60" s="292"/>
      <c r="JE60" s="292"/>
      <c r="JF60" s="292"/>
      <c r="JG60" s="292"/>
      <c r="JH60" s="292"/>
      <c r="JI60" s="292"/>
      <c r="JJ60" s="292"/>
      <c r="JK60" s="292"/>
      <c r="JL60" s="292"/>
      <c r="JM60" s="292"/>
      <c r="JN60" s="292"/>
      <c r="JO60" s="292"/>
      <c r="JP60" s="292"/>
      <c r="JQ60" s="292"/>
      <c r="JR60" s="292"/>
      <c r="JS60" s="292"/>
      <c r="JT60" s="292"/>
      <c r="JU60" s="292"/>
      <c r="JV60" s="292"/>
      <c r="JW60" s="292"/>
      <c r="JX60" s="292"/>
      <c r="JY60" s="292"/>
      <c r="JZ60" s="292"/>
      <c r="KA60" s="292"/>
      <c r="KB60" s="292"/>
      <c r="KC60" s="292"/>
      <c r="KD60" s="292"/>
      <c r="KE60" s="292"/>
      <c r="KF60" s="292"/>
      <c r="KG60" s="292"/>
      <c r="KH60" s="292"/>
      <c r="KI60" s="292"/>
      <c r="KJ60" s="292"/>
      <c r="KK60" s="292"/>
      <c r="KL60" s="292"/>
      <c r="KM60" s="292"/>
      <c r="KN60" s="292"/>
      <c r="KO60" s="292"/>
      <c r="KP60" s="292"/>
      <c r="KQ60" s="292"/>
      <c r="KR60" s="292"/>
      <c r="KS60" s="292"/>
      <c r="KT60" s="292"/>
      <c r="KU60" s="292"/>
      <c r="KV60" s="292"/>
      <c r="KW60" s="292"/>
      <c r="KX60" s="292"/>
      <c r="KY60" s="292"/>
      <c r="KZ60" s="292"/>
      <c r="LA60" s="292"/>
      <c r="LB60" s="292"/>
      <c r="LC60" s="292"/>
      <c r="LD60" s="292"/>
      <c r="LE60" s="292"/>
      <c r="LF60" s="292"/>
      <c r="LG60" s="292"/>
      <c r="LH60" s="292"/>
      <c r="LI60" s="292"/>
      <c r="LJ60" s="292"/>
      <c r="LK60" s="292"/>
      <c r="LL60" s="292"/>
      <c r="LM60" s="292"/>
      <c r="LN60" s="292"/>
      <c r="LO60" s="292"/>
      <c r="LP60" s="292"/>
      <c r="LQ60" s="292"/>
      <c r="LR60" s="292"/>
      <c r="LS60" s="292"/>
      <c r="LT60" s="292"/>
      <c r="LU60" s="292"/>
      <c r="LV60" s="292"/>
      <c r="LW60" s="292"/>
      <c r="LX60" s="292"/>
      <c r="LY60" s="292"/>
      <c r="LZ60" s="292"/>
      <c r="MA60" s="292"/>
      <c r="MB60" s="292"/>
      <c r="MC60" s="292"/>
      <c r="MD60" s="292"/>
      <c r="ME60" s="292"/>
      <c r="MF60" s="292"/>
      <c r="MG60" s="292"/>
      <c r="MH60" s="292"/>
      <c r="MI60" s="292"/>
      <c r="MJ60" s="292"/>
      <c r="MK60" s="292"/>
      <c r="ML60" s="292"/>
      <c r="MM60" s="292"/>
      <c r="MN60" s="292"/>
      <c r="MO60" s="292"/>
      <c r="MP60" s="292"/>
      <c r="MQ60" s="292"/>
      <c r="MR60" s="292"/>
      <c r="MS60" s="292"/>
      <c r="MT60" s="292"/>
      <c r="MU60" s="292"/>
      <c r="MV60" s="292"/>
      <c r="MW60" s="292"/>
      <c r="MX60" s="292"/>
      <c r="MY60" s="292"/>
      <c r="MZ60" s="292"/>
      <c r="NA60" s="292"/>
      <c r="NB60" s="292"/>
      <c r="NC60" s="292"/>
      <c r="ND60" s="292"/>
      <c r="NE60" s="292"/>
      <c r="NF60" s="292"/>
      <c r="NG60" s="292"/>
      <c r="NH60" s="292"/>
      <c r="NI60" s="292"/>
      <c r="NJ60" s="292"/>
      <c r="NK60" s="292"/>
      <c r="NL60" s="292"/>
      <c r="NM60" s="292"/>
      <c r="NN60" s="292"/>
      <c r="NO60" s="292"/>
      <c r="NP60" s="292"/>
      <c r="NQ60" s="292"/>
      <c r="NR60" s="292"/>
      <c r="NS60" s="292"/>
      <c r="NT60" s="292"/>
      <c r="NU60" s="292"/>
      <c r="NV60" s="292"/>
      <c r="NW60" s="292"/>
      <c r="NX60" s="292"/>
      <c r="NY60" s="292"/>
      <c r="NZ60" s="292"/>
      <c r="OA60" s="292"/>
      <c r="OB60" s="292"/>
      <c r="OC60" s="292"/>
      <c r="OD60" s="292"/>
      <c r="OE60" s="292"/>
      <c r="OF60" s="292"/>
      <c r="OG60" s="292"/>
      <c r="OH60" s="292"/>
      <c r="OI60" s="292"/>
      <c r="OJ60" s="292"/>
      <c r="OK60" s="292"/>
      <c r="OL60" s="292"/>
      <c r="OM60" s="292"/>
      <c r="ON60" s="292"/>
      <c r="OO60" s="292"/>
      <c r="OP60" s="292"/>
      <c r="OQ60" s="292"/>
      <c r="OR60" s="292"/>
      <c r="OS60" s="292"/>
      <c r="OT60" s="292"/>
      <c r="OU60" s="292"/>
      <c r="OV60" s="292"/>
      <c r="OW60" s="292"/>
      <c r="OX60" s="292"/>
      <c r="OY60" s="292"/>
      <c r="OZ60" s="292"/>
      <c r="PA60" s="292"/>
      <c r="PB60" s="292"/>
      <c r="PC60" s="292"/>
      <c r="PD60" s="292"/>
      <c r="PE60" s="292"/>
      <c r="PF60" s="292"/>
      <c r="PG60" s="292"/>
      <c r="PH60" s="292"/>
      <c r="PI60" s="292"/>
      <c r="PJ60" s="292"/>
      <c r="PK60" s="292"/>
      <c r="PL60" s="292"/>
      <c r="PM60" s="292"/>
      <c r="PN60" s="292"/>
      <c r="PO60" s="292"/>
      <c r="PP60" s="292"/>
      <c r="PQ60" s="292"/>
      <c r="PR60" s="292"/>
      <c r="PS60" s="292"/>
      <c r="PT60" s="292"/>
      <c r="PU60" s="292"/>
      <c r="PV60" s="292"/>
      <c r="PW60" s="292"/>
      <c r="PX60" s="292"/>
      <c r="PY60" s="292"/>
      <c r="PZ60" s="292"/>
      <c r="QA60" s="292"/>
      <c r="QB60" s="292"/>
      <c r="QC60" s="292"/>
      <c r="QD60" s="292"/>
      <c r="QE60" s="292"/>
      <c r="QF60" s="292"/>
      <c r="QG60" s="292"/>
      <c r="QH60" s="292"/>
      <c r="QI60" s="292"/>
      <c r="QJ60" s="292"/>
      <c r="QK60" s="292"/>
      <c r="QL60" s="292"/>
      <c r="QM60" s="292"/>
      <c r="QN60" s="292"/>
      <c r="QO60" s="292"/>
      <c r="QP60" s="292"/>
      <c r="QQ60" s="292"/>
      <c r="QR60" s="292"/>
      <c r="QS60" s="292"/>
      <c r="QT60" s="292"/>
      <c r="QU60" s="292"/>
      <c r="QV60" s="292"/>
      <c r="QW60" s="292"/>
      <c r="QX60" s="292"/>
      <c r="QY60" s="292"/>
      <c r="QZ60" s="292"/>
      <c r="RA60" s="292"/>
      <c r="RB60" s="292"/>
      <c r="RC60" s="292"/>
      <c r="RD60" s="292"/>
      <c r="RE60" s="292"/>
      <c r="RF60" s="292"/>
      <c r="RG60" s="292"/>
      <c r="RH60" s="292"/>
      <c r="RI60" s="292"/>
      <c r="RJ60" s="292"/>
      <c r="RK60" s="292"/>
      <c r="RL60" s="292"/>
      <c r="RM60" s="292"/>
      <c r="RN60" s="292"/>
      <c r="RO60" s="292"/>
      <c r="RP60" s="292"/>
      <c r="RQ60" s="292"/>
      <c r="RR60" s="292"/>
      <c r="RS60" s="292"/>
      <c r="RT60" s="292"/>
      <c r="RU60" s="292"/>
      <c r="RV60" s="292"/>
      <c r="RW60" s="292"/>
      <c r="RX60" s="292"/>
      <c r="RY60" s="292"/>
      <c r="RZ60" s="292"/>
      <c r="SA60" s="292"/>
      <c r="SB60" s="292"/>
      <c r="SC60" s="292"/>
      <c r="SD60" s="292"/>
      <c r="SE60" s="292"/>
      <c r="SF60" s="292"/>
      <c r="SG60" s="292"/>
      <c r="SH60" s="292"/>
      <c r="SI60" s="292"/>
      <c r="SJ60" s="292"/>
      <c r="SK60" s="292"/>
      <c r="SL60" s="292"/>
      <c r="SM60" s="292"/>
      <c r="SN60" s="292"/>
      <c r="SO60" s="292"/>
      <c r="SP60" s="292"/>
      <c r="SQ60" s="292"/>
      <c r="SR60" s="292"/>
      <c r="SS60" s="292"/>
      <c r="ST60" s="292"/>
      <c r="SU60" s="292"/>
    </row>
    <row r="61" spans="1:515" s="478" customFormat="1" ht="13" customHeight="1" x14ac:dyDescent="0.25">
      <c r="A61" s="986"/>
      <c r="B61" s="984"/>
      <c r="C61" s="984"/>
      <c r="D61" s="962"/>
      <c r="E61" s="960"/>
      <c r="F61" s="976"/>
      <c r="G61" s="981"/>
      <c r="H61" s="957"/>
      <c r="I61" s="960"/>
      <c r="J61" s="981"/>
      <c r="K61" s="981"/>
      <c r="L61" s="957"/>
      <c r="M61" s="960"/>
      <c r="N61" s="985"/>
      <c r="O61" s="981"/>
      <c r="P61" s="957"/>
      <c r="Q61" s="960"/>
      <c r="R61" s="981"/>
      <c r="S61" s="981"/>
      <c r="T61" s="957"/>
      <c r="U61" s="957"/>
      <c r="V61" s="957"/>
      <c r="W61" s="981"/>
      <c r="X61" s="957"/>
      <c r="Y61" s="957"/>
      <c r="Z61" s="957"/>
      <c r="AA61" s="981"/>
      <c r="AB61" s="976"/>
      <c r="AC61" s="957"/>
      <c r="AD61" s="976"/>
      <c r="AE61" s="971"/>
      <c r="AF61" s="292"/>
      <c r="AG61" s="292"/>
      <c r="AH61" s="292"/>
      <c r="AI61" s="292"/>
      <c r="AJ61" s="292"/>
      <c r="AK61" s="292"/>
      <c r="AL61" s="292"/>
      <c r="AM61" s="292"/>
      <c r="AN61" s="292"/>
      <c r="AO61" s="292"/>
      <c r="AP61" s="292"/>
      <c r="AQ61" s="292"/>
      <c r="AR61" s="292"/>
      <c r="AS61" s="292"/>
      <c r="AT61" s="292"/>
      <c r="AU61" s="292"/>
      <c r="AV61" s="292"/>
      <c r="AW61" s="292"/>
      <c r="AX61" s="292"/>
      <c r="AY61" s="292"/>
      <c r="AZ61" s="292"/>
      <c r="BA61" s="292"/>
      <c r="BB61" s="292"/>
      <c r="BC61" s="292"/>
      <c r="BD61" s="292"/>
      <c r="BE61" s="292"/>
      <c r="BF61" s="292"/>
      <c r="BG61" s="292"/>
      <c r="BH61" s="292"/>
      <c r="BI61" s="292"/>
      <c r="BJ61" s="292"/>
      <c r="BK61" s="292"/>
      <c r="BL61" s="292"/>
      <c r="BM61" s="292"/>
      <c r="BN61" s="292"/>
      <c r="BO61" s="292"/>
      <c r="BP61" s="292"/>
      <c r="BQ61" s="292"/>
      <c r="BR61" s="292"/>
      <c r="BS61" s="292"/>
      <c r="BT61" s="292"/>
      <c r="BU61" s="292"/>
      <c r="BV61" s="292"/>
      <c r="BW61" s="292"/>
      <c r="BX61" s="292"/>
      <c r="BY61" s="292"/>
      <c r="BZ61" s="292"/>
      <c r="CA61" s="292"/>
      <c r="CB61" s="292"/>
      <c r="CC61" s="292"/>
      <c r="CD61" s="292"/>
      <c r="CE61" s="292"/>
      <c r="CF61" s="292"/>
      <c r="CG61" s="292"/>
      <c r="CH61" s="292"/>
      <c r="CI61" s="292"/>
      <c r="CJ61" s="292"/>
      <c r="CK61" s="292"/>
      <c r="CL61" s="292"/>
      <c r="CM61" s="292"/>
      <c r="CN61" s="292"/>
      <c r="CO61" s="292"/>
      <c r="CP61" s="292"/>
      <c r="CQ61" s="292"/>
      <c r="CR61" s="292"/>
      <c r="CS61" s="292"/>
      <c r="CT61" s="292"/>
      <c r="CU61" s="292"/>
      <c r="CV61" s="292"/>
      <c r="CW61" s="292"/>
      <c r="CX61" s="292"/>
      <c r="CY61" s="292"/>
      <c r="CZ61" s="292"/>
      <c r="DA61" s="292"/>
      <c r="DB61" s="292"/>
      <c r="DC61" s="292"/>
      <c r="DD61" s="292"/>
      <c r="DE61" s="292"/>
      <c r="DF61" s="292"/>
      <c r="DG61" s="292"/>
      <c r="DH61" s="292"/>
      <c r="DI61" s="292"/>
      <c r="DJ61" s="292"/>
      <c r="DK61" s="292"/>
      <c r="DL61" s="292"/>
      <c r="DM61" s="292"/>
      <c r="DN61" s="292"/>
      <c r="DO61" s="292"/>
      <c r="DP61" s="292"/>
      <c r="DQ61" s="292"/>
      <c r="DR61" s="292"/>
      <c r="DS61" s="292"/>
      <c r="DT61" s="292"/>
      <c r="DU61" s="292"/>
      <c r="DV61" s="292"/>
      <c r="DW61" s="292"/>
      <c r="DX61" s="292"/>
      <c r="DY61" s="292"/>
      <c r="DZ61" s="292"/>
      <c r="EA61" s="292"/>
      <c r="EB61" s="292"/>
      <c r="EC61" s="292"/>
      <c r="ED61" s="292"/>
      <c r="EE61" s="292"/>
      <c r="EF61" s="292"/>
      <c r="EG61" s="292"/>
      <c r="EH61" s="292"/>
      <c r="EI61" s="292"/>
      <c r="EJ61" s="292"/>
      <c r="EK61" s="292"/>
      <c r="EL61" s="292"/>
      <c r="EM61" s="292"/>
      <c r="EN61" s="292"/>
      <c r="EO61" s="292"/>
      <c r="EP61" s="292"/>
      <c r="EQ61" s="292"/>
      <c r="ER61" s="292"/>
      <c r="ES61" s="292"/>
      <c r="ET61" s="292"/>
      <c r="EU61" s="292"/>
      <c r="EV61" s="292"/>
      <c r="EW61" s="292"/>
      <c r="EX61" s="292"/>
      <c r="EY61" s="292"/>
      <c r="EZ61" s="292"/>
      <c r="FA61" s="292"/>
      <c r="FB61" s="292"/>
      <c r="FC61" s="292"/>
      <c r="FD61" s="292"/>
      <c r="FE61" s="292"/>
      <c r="FF61" s="292"/>
      <c r="FG61" s="292"/>
      <c r="FH61" s="292"/>
      <c r="FI61" s="292"/>
      <c r="FJ61" s="292"/>
      <c r="FK61" s="292"/>
      <c r="FL61" s="292"/>
      <c r="FM61" s="292"/>
      <c r="FN61" s="292"/>
      <c r="FO61" s="292"/>
      <c r="FP61" s="292"/>
      <c r="FQ61" s="292"/>
      <c r="FR61" s="292"/>
      <c r="FS61" s="292"/>
      <c r="FT61" s="292"/>
      <c r="FU61" s="292"/>
      <c r="FV61" s="292"/>
      <c r="FW61" s="292"/>
      <c r="FX61" s="292"/>
      <c r="FY61" s="292"/>
      <c r="FZ61" s="292"/>
      <c r="GA61" s="292"/>
      <c r="GB61" s="292"/>
      <c r="GC61" s="292"/>
      <c r="GD61" s="292"/>
      <c r="GE61" s="292"/>
      <c r="GF61" s="292"/>
      <c r="GG61" s="292"/>
      <c r="GH61" s="292"/>
      <c r="GI61" s="292"/>
      <c r="GJ61" s="292"/>
      <c r="GK61" s="292"/>
      <c r="GL61" s="292"/>
      <c r="GM61" s="292"/>
      <c r="GN61" s="292"/>
      <c r="GO61" s="292"/>
      <c r="GP61" s="292"/>
      <c r="GQ61" s="292"/>
      <c r="GR61" s="292"/>
      <c r="GS61" s="292"/>
      <c r="GT61" s="292"/>
      <c r="GU61" s="292"/>
      <c r="GV61" s="292"/>
      <c r="GW61" s="292"/>
      <c r="GX61" s="292"/>
      <c r="GY61" s="292"/>
      <c r="GZ61" s="292"/>
      <c r="HA61" s="292"/>
      <c r="HB61" s="292"/>
      <c r="HC61" s="292"/>
      <c r="HD61" s="292"/>
      <c r="HE61" s="292"/>
      <c r="HF61" s="292"/>
      <c r="HG61" s="292"/>
      <c r="HH61" s="292"/>
      <c r="HI61" s="292"/>
      <c r="HJ61" s="292"/>
      <c r="HK61" s="292"/>
      <c r="HL61" s="292"/>
      <c r="HM61" s="292"/>
      <c r="HN61" s="292"/>
      <c r="HO61" s="292"/>
      <c r="HP61" s="292"/>
      <c r="HQ61" s="292"/>
      <c r="HR61" s="292"/>
      <c r="HS61" s="292"/>
      <c r="HT61" s="292"/>
      <c r="HU61" s="292"/>
      <c r="HV61" s="292"/>
      <c r="HW61" s="292"/>
      <c r="HX61" s="292"/>
      <c r="HY61" s="292"/>
      <c r="HZ61" s="292"/>
      <c r="IA61" s="292"/>
      <c r="IB61" s="292"/>
      <c r="IC61" s="292"/>
      <c r="ID61" s="292"/>
      <c r="IE61" s="292"/>
      <c r="IF61" s="292"/>
      <c r="IG61" s="292"/>
      <c r="IH61" s="292"/>
      <c r="II61" s="292"/>
      <c r="IJ61" s="292"/>
      <c r="IK61" s="292"/>
      <c r="IL61" s="292"/>
      <c r="IM61" s="292"/>
      <c r="IN61" s="292"/>
      <c r="IO61" s="292"/>
      <c r="IP61" s="292"/>
      <c r="IQ61" s="292"/>
      <c r="IR61" s="292"/>
      <c r="IS61" s="292"/>
      <c r="IT61" s="292"/>
      <c r="IU61" s="292"/>
      <c r="IV61" s="292"/>
      <c r="IW61" s="292"/>
      <c r="IX61" s="292"/>
      <c r="IY61" s="292"/>
      <c r="IZ61" s="292"/>
      <c r="JA61" s="292"/>
      <c r="JB61" s="292"/>
      <c r="JC61" s="292"/>
      <c r="JD61" s="292"/>
      <c r="JE61" s="292"/>
      <c r="JF61" s="292"/>
      <c r="JG61" s="292"/>
      <c r="JH61" s="292"/>
      <c r="JI61" s="292"/>
      <c r="JJ61" s="292"/>
      <c r="JK61" s="292"/>
      <c r="JL61" s="292"/>
      <c r="JM61" s="292"/>
      <c r="JN61" s="292"/>
      <c r="JO61" s="292"/>
      <c r="JP61" s="292"/>
      <c r="JQ61" s="292"/>
      <c r="JR61" s="292"/>
      <c r="JS61" s="292"/>
      <c r="JT61" s="292"/>
      <c r="JU61" s="292"/>
      <c r="JV61" s="292"/>
      <c r="JW61" s="292"/>
      <c r="JX61" s="292"/>
      <c r="JY61" s="292"/>
      <c r="JZ61" s="292"/>
      <c r="KA61" s="292"/>
      <c r="KB61" s="292"/>
      <c r="KC61" s="292"/>
      <c r="KD61" s="292"/>
      <c r="KE61" s="292"/>
      <c r="KF61" s="292"/>
      <c r="KG61" s="292"/>
      <c r="KH61" s="292"/>
      <c r="KI61" s="292"/>
      <c r="KJ61" s="292"/>
      <c r="KK61" s="292"/>
      <c r="KL61" s="292"/>
      <c r="KM61" s="292"/>
      <c r="KN61" s="292"/>
      <c r="KO61" s="292"/>
      <c r="KP61" s="292"/>
      <c r="KQ61" s="292"/>
      <c r="KR61" s="292"/>
      <c r="KS61" s="292"/>
      <c r="KT61" s="292"/>
      <c r="KU61" s="292"/>
      <c r="KV61" s="292"/>
      <c r="KW61" s="292"/>
      <c r="KX61" s="292"/>
      <c r="KY61" s="292"/>
      <c r="KZ61" s="292"/>
      <c r="LA61" s="292"/>
      <c r="LB61" s="292"/>
      <c r="LC61" s="292"/>
      <c r="LD61" s="292"/>
      <c r="LE61" s="292"/>
      <c r="LF61" s="292"/>
      <c r="LG61" s="292"/>
      <c r="LH61" s="292"/>
      <c r="LI61" s="292"/>
      <c r="LJ61" s="292"/>
      <c r="LK61" s="292"/>
      <c r="LL61" s="292"/>
      <c r="LM61" s="292"/>
      <c r="LN61" s="292"/>
      <c r="LO61" s="292"/>
      <c r="LP61" s="292"/>
      <c r="LQ61" s="292"/>
      <c r="LR61" s="292"/>
      <c r="LS61" s="292"/>
      <c r="LT61" s="292"/>
      <c r="LU61" s="292"/>
      <c r="LV61" s="292"/>
      <c r="LW61" s="292"/>
      <c r="LX61" s="292"/>
      <c r="LY61" s="292"/>
      <c r="LZ61" s="292"/>
      <c r="MA61" s="292"/>
      <c r="MB61" s="292"/>
      <c r="MC61" s="292"/>
      <c r="MD61" s="292"/>
      <c r="ME61" s="292"/>
      <c r="MF61" s="292"/>
      <c r="MG61" s="292"/>
      <c r="MH61" s="292"/>
      <c r="MI61" s="292"/>
      <c r="MJ61" s="292"/>
      <c r="MK61" s="292"/>
      <c r="ML61" s="292"/>
      <c r="MM61" s="292"/>
      <c r="MN61" s="292"/>
      <c r="MO61" s="292"/>
      <c r="MP61" s="292"/>
      <c r="MQ61" s="292"/>
      <c r="MR61" s="292"/>
      <c r="MS61" s="292"/>
      <c r="MT61" s="292"/>
      <c r="MU61" s="292"/>
      <c r="MV61" s="292"/>
      <c r="MW61" s="292"/>
      <c r="MX61" s="292"/>
      <c r="MY61" s="292"/>
      <c r="MZ61" s="292"/>
      <c r="NA61" s="292"/>
      <c r="NB61" s="292"/>
      <c r="NC61" s="292"/>
      <c r="ND61" s="292"/>
      <c r="NE61" s="292"/>
      <c r="NF61" s="292"/>
      <c r="NG61" s="292"/>
      <c r="NH61" s="292"/>
      <c r="NI61" s="292"/>
      <c r="NJ61" s="292"/>
      <c r="NK61" s="292"/>
      <c r="NL61" s="292"/>
      <c r="NM61" s="292"/>
      <c r="NN61" s="292"/>
      <c r="NO61" s="292"/>
      <c r="NP61" s="292"/>
      <c r="NQ61" s="292"/>
      <c r="NR61" s="292"/>
      <c r="NS61" s="292"/>
      <c r="NT61" s="292"/>
      <c r="NU61" s="292"/>
      <c r="NV61" s="292"/>
      <c r="NW61" s="292"/>
      <c r="NX61" s="292"/>
      <c r="NY61" s="292"/>
      <c r="NZ61" s="292"/>
      <c r="OA61" s="292"/>
      <c r="OB61" s="292"/>
      <c r="OC61" s="292"/>
      <c r="OD61" s="292"/>
      <c r="OE61" s="292"/>
      <c r="OF61" s="292"/>
      <c r="OG61" s="292"/>
      <c r="OH61" s="292"/>
      <c r="OI61" s="292"/>
      <c r="OJ61" s="292"/>
      <c r="OK61" s="292"/>
      <c r="OL61" s="292"/>
      <c r="OM61" s="292"/>
      <c r="ON61" s="292"/>
      <c r="OO61" s="292"/>
      <c r="OP61" s="292"/>
      <c r="OQ61" s="292"/>
      <c r="OR61" s="292"/>
      <c r="OS61" s="292"/>
      <c r="OT61" s="292"/>
      <c r="OU61" s="292"/>
      <c r="OV61" s="292"/>
      <c r="OW61" s="292"/>
      <c r="OX61" s="292"/>
      <c r="OY61" s="292"/>
      <c r="OZ61" s="292"/>
      <c r="PA61" s="292"/>
      <c r="PB61" s="292"/>
      <c r="PC61" s="292"/>
      <c r="PD61" s="292"/>
      <c r="PE61" s="292"/>
      <c r="PF61" s="292"/>
      <c r="PG61" s="292"/>
      <c r="PH61" s="292"/>
      <c r="PI61" s="292"/>
      <c r="PJ61" s="292"/>
      <c r="PK61" s="292"/>
      <c r="PL61" s="292"/>
      <c r="PM61" s="292"/>
      <c r="PN61" s="292"/>
      <c r="PO61" s="292"/>
      <c r="PP61" s="292"/>
      <c r="PQ61" s="292"/>
      <c r="PR61" s="292"/>
      <c r="PS61" s="292"/>
      <c r="PT61" s="292"/>
      <c r="PU61" s="292"/>
      <c r="PV61" s="292"/>
      <c r="PW61" s="292"/>
      <c r="PX61" s="292"/>
      <c r="PY61" s="292"/>
      <c r="PZ61" s="292"/>
      <c r="QA61" s="292"/>
      <c r="QB61" s="292"/>
      <c r="QC61" s="292"/>
      <c r="QD61" s="292"/>
      <c r="QE61" s="292"/>
      <c r="QF61" s="292"/>
      <c r="QG61" s="292"/>
      <c r="QH61" s="292"/>
      <c r="QI61" s="292"/>
      <c r="QJ61" s="292"/>
      <c r="QK61" s="292"/>
      <c r="QL61" s="292"/>
      <c r="QM61" s="292"/>
      <c r="QN61" s="292"/>
      <c r="QO61" s="292"/>
      <c r="QP61" s="292"/>
      <c r="QQ61" s="292"/>
      <c r="QR61" s="292"/>
      <c r="QS61" s="292"/>
      <c r="QT61" s="292"/>
      <c r="QU61" s="292"/>
      <c r="QV61" s="292"/>
      <c r="QW61" s="292"/>
      <c r="QX61" s="292"/>
      <c r="QY61" s="292"/>
      <c r="QZ61" s="292"/>
      <c r="RA61" s="292"/>
      <c r="RB61" s="292"/>
      <c r="RC61" s="292"/>
      <c r="RD61" s="292"/>
      <c r="RE61" s="292"/>
      <c r="RF61" s="292"/>
      <c r="RG61" s="292"/>
      <c r="RH61" s="292"/>
      <c r="RI61" s="292"/>
      <c r="RJ61" s="292"/>
      <c r="RK61" s="292"/>
      <c r="RL61" s="292"/>
      <c r="RM61" s="292"/>
      <c r="RN61" s="292"/>
      <c r="RO61" s="292"/>
      <c r="RP61" s="292"/>
      <c r="RQ61" s="292"/>
      <c r="RR61" s="292"/>
      <c r="RS61" s="292"/>
      <c r="RT61" s="292"/>
      <c r="RU61" s="292"/>
      <c r="RV61" s="292"/>
      <c r="RW61" s="292"/>
      <c r="RX61" s="292"/>
      <c r="RY61" s="292"/>
      <c r="RZ61" s="292"/>
      <c r="SA61" s="292"/>
      <c r="SB61" s="292"/>
      <c r="SC61" s="292"/>
      <c r="SD61" s="292"/>
      <c r="SE61" s="292"/>
      <c r="SF61" s="292"/>
      <c r="SG61" s="292"/>
      <c r="SH61" s="292"/>
      <c r="SI61" s="292"/>
      <c r="SJ61" s="292"/>
      <c r="SK61" s="292"/>
      <c r="SL61" s="292"/>
      <c r="SM61" s="292"/>
      <c r="SN61" s="292"/>
      <c r="SO61" s="292"/>
      <c r="SP61" s="292"/>
      <c r="SQ61" s="292"/>
      <c r="SR61" s="292"/>
      <c r="SS61" s="292"/>
      <c r="ST61" s="292"/>
      <c r="SU61" s="292"/>
    </row>
    <row r="62" spans="1:515" s="478" customFormat="1" ht="28.5" customHeight="1" x14ac:dyDescent="0.25">
      <c r="A62" s="986"/>
      <c r="B62" s="984"/>
      <c r="C62" s="984"/>
      <c r="D62" s="962"/>
      <c r="E62" s="1294" t="s">
        <v>367</v>
      </c>
      <c r="F62" s="1294"/>
      <c r="G62" s="1294"/>
      <c r="H62" s="957"/>
      <c r="I62" s="1294" t="s">
        <v>367</v>
      </c>
      <c r="J62" s="1294"/>
      <c r="K62" s="1294"/>
      <c r="L62" s="957"/>
      <c r="M62" s="1294" t="s">
        <v>367</v>
      </c>
      <c r="N62" s="1294"/>
      <c r="O62" s="1294"/>
      <c r="P62" s="957"/>
      <c r="Q62" s="1294" t="s">
        <v>367</v>
      </c>
      <c r="R62" s="1294"/>
      <c r="S62" s="1294"/>
      <c r="T62" s="957"/>
      <c r="U62" s="1294" t="s">
        <v>367</v>
      </c>
      <c r="V62" s="1294"/>
      <c r="W62" s="1294"/>
      <c r="X62" s="957"/>
      <c r="Y62" s="1294" t="s">
        <v>367</v>
      </c>
      <c r="Z62" s="1294"/>
      <c r="AA62" s="1294"/>
      <c r="AB62" s="976"/>
      <c r="AC62" s="957"/>
      <c r="AD62" s="1181" t="s">
        <v>367</v>
      </c>
      <c r="AE62" s="971"/>
      <c r="AF62" s="292"/>
      <c r="AG62" s="292"/>
      <c r="AH62" s="292"/>
      <c r="AI62" s="292"/>
      <c r="AJ62" s="292"/>
      <c r="AK62" s="292"/>
      <c r="AL62" s="292"/>
      <c r="AM62" s="292"/>
      <c r="AN62" s="292"/>
      <c r="AO62" s="292"/>
      <c r="AP62" s="292"/>
      <c r="AQ62" s="292"/>
      <c r="AR62" s="292"/>
      <c r="AS62" s="292"/>
      <c r="AT62" s="292"/>
      <c r="AU62" s="292"/>
      <c r="AV62" s="292"/>
      <c r="AW62" s="292"/>
      <c r="AX62" s="292"/>
      <c r="AY62" s="292"/>
      <c r="AZ62" s="292"/>
      <c r="BA62" s="292"/>
      <c r="BB62" s="292"/>
      <c r="BC62" s="292"/>
      <c r="BD62" s="292"/>
      <c r="BE62" s="292"/>
      <c r="BF62" s="292"/>
      <c r="BG62" s="292"/>
      <c r="BH62" s="292"/>
      <c r="BI62" s="292"/>
      <c r="BJ62" s="292"/>
      <c r="BK62" s="292"/>
      <c r="BL62" s="292"/>
      <c r="BM62" s="292"/>
      <c r="BN62" s="292"/>
      <c r="BO62" s="292"/>
      <c r="BP62" s="292"/>
      <c r="BQ62" s="292"/>
      <c r="BR62" s="292"/>
      <c r="BS62" s="292"/>
      <c r="BT62" s="292"/>
      <c r="BU62" s="292"/>
      <c r="BV62" s="292"/>
      <c r="BW62" s="292"/>
      <c r="BX62" s="292"/>
      <c r="BY62" s="292"/>
      <c r="BZ62" s="292"/>
      <c r="CA62" s="292"/>
      <c r="CB62" s="292"/>
      <c r="CC62" s="292"/>
      <c r="CD62" s="292"/>
      <c r="CE62" s="292"/>
      <c r="CF62" s="292"/>
      <c r="CG62" s="292"/>
      <c r="CH62" s="292"/>
      <c r="CI62" s="292"/>
      <c r="CJ62" s="292"/>
      <c r="CK62" s="292"/>
      <c r="CL62" s="292"/>
      <c r="CM62" s="292"/>
      <c r="CN62" s="292"/>
      <c r="CO62" s="292"/>
      <c r="CP62" s="292"/>
      <c r="CQ62" s="292"/>
      <c r="CR62" s="292"/>
      <c r="CS62" s="292"/>
      <c r="CT62" s="292"/>
      <c r="CU62" s="292"/>
      <c r="CV62" s="292"/>
      <c r="CW62" s="292"/>
      <c r="CX62" s="292"/>
      <c r="CY62" s="292"/>
      <c r="CZ62" s="292"/>
      <c r="DA62" s="292"/>
      <c r="DB62" s="292"/>
      <c r="DC62" s="292"/>
      <c r="DD62" s="292"/>
      <c r="DE62" s="292"/>
      <c r="DF62" s="292"/>
      <c r="DG62" s="292"/>
      <c r="DH62" s="292"/>
      <c r="DI62" s="292"/>
      <c r="DJ62" s="292"/>
      <c r="DK62" s="292"/>
      <c r="DL62" s="292"/>
      <c r="DM62" s="292"/>
      <c r="DN62" s="292"/>
      <c r="DO62" s="292"/>
      <c r="DP62" s="292"/>
      <c r="DQ62" s="292"/>
      <c r="DR62" s="292"/>
      <c r="DS62" s="292"/>
      <c r="DT62" s="292"/>
      <c r="DU62" s="292"/>
      <c r="DV62" s="292"/>
      <c r="DW62" s="292"/>
      <c r="DX62" s="292"/>
      <c r="DY62" s="292"/>
      <c r="DZ62" s="292"/>
      <c r="EA62" s="292"/>
      <c r="EB62" s="292"/>
      <c r="EC62" s="292"/>
      <c r="ED62" s="292"/>
      <c r="EE62" s="292"/>
      <c r="EF62" s="292"/>
      <c r="EG62" s="292"/>
      <c r="EH62" s="292"/>
      <c r="EI62" s="292"/>
      <c r="EJ62" s="292"/>
      <c r="EK62" s="292"/>
      <c r="EL62" s="292"/>
      <c r="EM62" s="292"/>
      <c r="EN62" s="292"/>
      <c r="EO62" s="292"/>
      <c r="EP62" s="292"/>
      <c r="EQ62" s="292"/>
      <c r="ER62" s="292"/>
      <c r="ES62" s="292"/>
      <c r="ET62" s="292"/>
      <c r="EU62" s="292"/>
      <c r="EV62" s="292"/>
      <c r="EW62" s="292"/>
      <c r="EX62" s="292"/>
      <c r="EY62" s="292"/>
      <c r="EZ62" s="292"/>
      <c r="FA62" s="292"/>
      <c r="FB62" s="292"/>
      <c r="FC62" s="292"/>
      <c r="FD62" s="292"/>
      <c r="FE62" s="292"/>
      <c r="FF62" s="292"/>
      <c r="FG62" s="292"/>
      <c r="FH62" s="292"/>
      <c r="FI62" s="292"/>
      <c r="FJ62" s="292"/>
      <c r="FK62" s="292"/>
      <c r="FL62" s="292"/>
      <c r="FM62" s="292"/>
      <c r="FN62" s="292"/>
      <c r="FO62" s="292"/>
      <c r="FP62" s="292"/>
      <c r="FQ62" s="292"/>
      <c r="FR62" s="292"/>
      <c r="FS62" s="292"/>
      <c r="FT62" s="292"/>
      <c r="FU62" s="292"/>
      <c r="FV62" s="292"/>
      <c r="FW62" s="292"/>
      <c r="FX62" s="292"/>
      <c r="FY62" s="292"/>
      <c r="FZ62" s="292"/>
      <c r="GA62" s="292"/>
      <c r="GB62" s="292"/>
      <c r="GC62" s="292"/>
      <c r="GD62" s="292"/>
      <c r="GE62" s="292"/>
      <c r="GF62" s="292"/>
      <c r="GG62" s="292"/>
      <c r="GH62" s="292"/>
      <c r="GI62" s="292"/>
      <c r="GJ62" s="292"/>
      <c r="GK62" s="292"/>
      <c r="GL62" s="292"/>
      <c r="GM62" s="292"/>
      <c r="GN62" s="292"/>
      <c r="GO62" s="292"/>
      <c r="GP62" s="292"/>
      <c r="GQ62" s="292"/>
      <c r="GR62" s="292"/>
      <c r="GS62" s="292"/>
      <c r="GT62" s="292"/>
      <c r="GU62" s="292"/>
      <c r="GV62" s="292"/>
      <c r="GW62" s="292"/>
      <c r="GX62" s="292"/>
      <c r="GY62" s="292"/>
      <c r="GZ62" s="292"/>
      <c r="HA62" s="292"/>
      <c r="HB62" s="292"/>
      <c r="HC62" s="292"/>
      <c r="HD62" s="292"/>
      <c r="HE62" s="292"/>
      <c r="HF62" s="292"/>
      <c r="HG62" s="292"/>
      <c r="HH62" s="292"/>
      <c r="HI62" s="292"/>
      <c r="HJ62" s="292"/>
      <c r="HK62" s="292"/>
      <c r="HL62" s="292"/>
      <c r="HM62" s="292"/>
      <c r="HN62" s="292"/>
      <c r="HO62" s="292"/>
      <c r="HP62" s="292"/>
      <c r="HQ62" s="292"/>
      <c r="HR62" s="292"/>
      <c r="HS62" s="292"/>
      <c r="HT62" s="292"/>
      <c r="HU62" s="292"/>
      <c r="HV62" s="292"/>
      <c r="HW62" s="292"/>
      <c r="HX62" s="292"/>
      <c r="HY62" s="292"/>
      <c r="HZ62" s="292"/>
      <c r="IA62" s="292"/>
      <c r="IB62" s="292"/>
      <c r="IC62" s="292"/>
      <c r="ID62" s="292"/>
      <c r="IE62" s="292"/>
      <c r="IF62" s="292"/>
      <c r="IG62" s="292"/>
      <c r="IH62" s="292"/>
      <c r="II62" s="292"/>
      <c r="IJ62" s="292"/>
      <c r="IK62" s="292"/>
      <c r="IL62" s="292"/>
      <c r="IM62" s="292"/>
      <c r="IN62" s="292"/>
      <c r="IO62" s="292"/>
      <c r="IP62" s="292"/>
      <c r="IQ62" s="292"/>
      <c r="IR62" s="292"/>
      <c r="IS62" s="292"/>
      <c r="IT62" s="292"/>
      <c r="IU62" s="292"/>
      <c r="IV62" s="292"/>
      <c r="IW62" s="292"/>
      <c r="IX62" s="292"/>
      <c r="IY62" s="292"/>
      <c r="IZ62" s="292"/>
      <c r="JA62" s="292"/>
      <c r="JB62" s="292"/>
      <c r="JC62" s="292"/>
      <c r="JD62" s="292"/>
      <c r="JE62" s="292"/>
      <c r="JF62" s="292"/>
      <c r="JG62" s="292"/>
      <c r="JH62" s="292"/>
      <c r="JI62" s="292"/>
      <c r="JJ62" s="292"/>
      <c r="JK62" s="292"/>
      <c r="JL62" s="292"/>
      <c r="JM62" s="292"/>
      <c r="JN62" s="292"/>
      <c r="JO62" s="292"/>
      <c r="JP62" s="292"/>
      <c r="JQ62" s="292"/>
      <c r="JR62" s="292"/>
      <c r="JS62" s="292"/>
      <c r="JT62" s="292"/>
      <c r="JU62" s="292"/>
      <c r="JV62" s="292"/>
      <c r="JW62" s="292"/>
      <c r="JX62" s="292"/>
      <c r="JY62" s="292"/>
      <c r="JZ62" s="292"/>
      <c r="KA62" s="292"/>
      <c r="KB62" s="292"/>
      <c r="KC62" s="292"/>
      <c r="KD62" s="292"/>
      <c r="KE62" s="292"/>
      <c r="KF62" s="292"/>
      <c r="KG62" s="292"/>
      <c r="KH62" s="292"/>
      <c r="KI62" s="292"/>
      <c r="KJ62" s="292"/>
      <c r="KK62" s="292"/>
      <c r="KL62" s="292"/>
      <c r="KM62" s="292"/>
      <c r="KN62" s="292"/>
      <c r="KO62" s="292"/>
      <c r="KP62" s="292"/>
      <c r="KQ62" s="292"/>
      <c r="KR62" s="292"/>
      <c r="KS62" s="292"/>
      <c r="KT62" s="292"/>
      <c r="KU62" s="292"/>
      <c r="KV62" s="292"/>
      <c r="KW62" s="292"/>
      <c r="KX62" s="292"/>
      <c r="KY62" s="292"/>
      <c r="KZ62" s="292"/>
      <c r="LA62" s="292"/>
      <c r="LB62" s="292"/>
      <c r="LC62" s="292"/>
      <c r="LD62" s="292"/>
      <c r="LE62" s="292"/>
      <c r="LF62" s="292"/>
      <c r="LG62" s="292"/>
      <c r="LH62" s="292"/>
      <c r="LI62" s="292"/>
      <c r="LJ62" s="292"/>
      <c r="LK62" s="292"/>
      <c r="LL62" s="292"/>
      <c r="LM62" s="292"/>
      <c r="LN62" s="292"/>
      <c r="LO62" s="292"/>
      <c r="LP62" s="292"/>
      <c r="LQ62" s="292"/>
      <c r="LR62" s="292"/>
      <c r="LS62" s="292"/>
      <c r="LT62" s="292"/>
      <c r="LU62" s="292"/>
      <c r="LV62" s="292"/>
      <c r="LW62" s="292"/>
      <c r="LX62" s="292"/>
      <c r="LY62" s="292"/>
      <c r="LZ62" s="292"/>
      <c r="MA62" s="292"/>
      <c r="MB62" s="292"/>
      <c r="MC62" s="292"/>
      <c r="MD62" s="292"/>
      <c r="ME62" s="292"/>
      <c r="MF62" s="292"/>
      <c r="MG62" s="292"/>
      <c r="MH62" s="292"/>
      <c r="MI62" s="292"/>
      <c r="MJ62" s="292"/>
      <c r="MK62" s="292"/>
      <c r="ML62" s="292"/>
      <c r="MM62" s="292"/>
      <c r="MN62" s="292"/>
      <c r="MO62" s="292"/>
      <c r="MP62" s="292"/>
      <c r="MQ62" s="292"/>
      <c r="MR62" s="292"/>
      <c r="MS62" s="292"/>
      <c r="MT62" s="292"/>
      <c r="MU62" s="292"/>
      <c r="MV62" s="292"/>
      <c r="MW62" s="292"/>
      <c r="MX62" s="292"/>
      <c r="MY62" s="292"/>
      <c r="MZ62" s="292"/>
      <c r="NA62" s="292"/>
      <c r="NB62" s="292"/>
      <c r="NC62" s="292"/>
      <c r="ND62" s="292"/>
      <c r="NE62" s="292"/>
      <c r="NF62" s="292"/>
      <c r="NG62" s="292"/>
      <c r="NH62" s="292"/>
      <c r="NI62" s="292"/>
      <c r="NJ62" s="292"/>
      <c r="NK62" s="292"/>
      <c r="NL62" s="292"/>
      <c r="NM62" s="292"/>
      <c r="NN62" s="292"/>
      <c r="NO62" s="292"/>
      <c r="NP62" s="292"/>
      <c r="NQ62" s="292"/>
      <c r="NR62" s="292"/>
      <c r="NS62" s="292"/>
      <c r="NT62" s="292"/>
      <c r="NU62" s="292"/>
      <c r="NV62" s="292"/>
      <c r="NW62" s="292"/>
      <c r="NX62" s="292"/>
      <c r="NY62" s="292"/>
      <c r="NZ62" s="292"/>
      <c r="OA62" s="292"/>
      <c r="OB62" s="292"/>
      <c r="OC62" s="292"/>
      <c r="OD62" s="292"/>
      <c r="OE62" s="292"/>
      <c r="OF62" s="292"/>
      <c r="OG62" s="292"/>
      <c r="OH62" s="292"/>
      <c r="OI62" s="292"/>
      <c r="OJ62" s="292"/>
      <c r="OK62" s="292"/>
      <c r="OL62" s="292"/>
      <c r="OM62" s="292"/>
      <c r="ON62" s="292"/>
      <c r="OO62" s="292"/>
      <c r="OP62" s="292"/>
      <c r="OQ62" s="292"/>
      <c r="OR62" s="292"/>
      <c r="OS62" s="292"/>
      <c r="OT62" s="292"/>
      <c r="OU62" s="292"/>
      <c r="OV62" s="292"/>
      <c r="OW62" s="292"/>
      <c r="OX62" s="292"/>
      <c r="OY62" s="292"/>
      <c r="OZ62" s="292"/>
      <c r="PA62" s="292"/>
      <c r="PB62" s="292"/>
      <c r="PC62" s="292"/>
      <c r="PD62" s="292"/>
      <c r="PE62" s="292"/>
      <c r="PF62" s="292"/>
      <c r="PG62" s="292"/>
      <c r="PH62" s="292"/>
      <c r="PI62" s="292"/>
      <c r="PJ62" s="292"/>
      <c r="PK62" s="292"/>
      <c r="PL62" s="292"/>
      <c r="PM62" s="292"/>
      <c r="PN62" s="292"/>
      <c r="PO62" s="292"/>
      <c r="PP62" s="292"/>
      <c r="PQ62" s="292"/>
      <c r="PR62" s="292"/>
      <c r="PS62" s="292"/>
      <c r="PT62" s="292"/>
      <c r="PU62" s="292"/>
      <c r="PV62" s="292"/>
      <c r="PW62" s="292"/>
      <c r="PX62" s="292"/>
      <c r="PY62" s="292"/>
      <c r="PZ62" s="292"/>
      <c r="QA62" s="292"/>
      <c r="QB62" s="292"/>
      <c r="QC62" s="292"/>
      <c r="QD62" s="292"/>
      <c r="QE62" s="292"/>
      <c r="QF62" s="292"/>
      <c r="QG62" s="292"/>
      <c r="QH62" s="292"/>
      <c r="QI62" s="292"/>
      <c r="QJ62" s="292"/>
      <c r="QK62" s="292"/>
      <c r="QL62" s="292"/>
      <c r="QM62" s="292"/>
      <c r="QN62" s="292"/>
      <c r="QO62" s="292"/>
      <c r="QP62" s="292"/>
      <c r="QQ62" s="292"/>
      <c r="QR62" s="292"/>
      <c r="QS62" s="292"/>
      <c r="QT62" s="292"/>
      <c r="QU62" s="292"/>
      <c r="QV62" s="292"/>
      <c r="QW62" s="292"/>
      <c r="QX62" s="292"/>
      <c r="QY62" s="292"/>
      <c r="QZ62" s="292"/>
      <c r="RA62" s="292"/>
      <c r="RB62" s="292"/>
      <c r="RC62" s="292"/>
      <c r="RD62" s="292"/>
      <c r="RE62" s="292"/>
      <c r="RF62" s="292"/>
      <c r="RG62" s="292"/>
      <c r="RH62" s="292"/>
      <c r="RI62" s="292"/>
      <c r="RJ62" s="292"/>
      <c r="RK62" s="292"/>
      <c r="RL62" s="292"/>
      <c r="RM62" s="292"/>
      <c r="RN62" s="292"/>
      <c r="RO62" s="292"/>
      <c r="RP62" s="292"/>
      <c r="RQ62" s="292"/>
      <c r="RR62" s="292"/>
      <c r="RS62" s="292"/>
      <c r="RT62" s="292"/>
      <c r="RU62" s="292"/>
      <c r="RV62" s="292"/>
      <c r="RW62" s="292"/>
      <c r="RX62" s="292"/>
      <c r="RY62" s="292"/>
      <c r="RZ62" s="292"/>
      <c r="SA62" s="292"/>
      <c r="SB62" s="292"/>
      <c r="SC62" s="292"/>
      <c r="SD62" s="292"/>
      <c r="SE62" s="292"/>
      <c r="SF62" s="292"/>
      <c r="SG62" s="292"/>
      <c r="SH62" s="292"/>
      <c r="SI62" s="292"/>
      <c r="SJ62" s="292"/>
      <c r="SK62" s="292"/>
      <c r="SL62" s="292"/>
      <c r="SM62" s="292"/>
      <c r="SN62" s="292"/>
      <c r="SO62" s="292"/>
      <c r="SP62" s="292"/>
      <c r="SQ62" s="292"/>
      <c r="SR62" s="292"/>
      <c r="SS62" s="292"/>
      <c r="ST62" s="292"/>
      <c r="SU62" s="292"/>
    </row>
    <row r="63" spans="1:515" s="603" customFormat="1" ht="23.15" customHeight="1" x14ac:dyDescent="0.25">
      <c r="A63" s="1323" t="s">
        <v>368</v>
      </c>
      <c r="B63" s="1324"/>
      <c r="C63" s="1324"/>
      <c r="D63" s="962"/>
      <c r="E63" s="1296">
        <f>G33+G40+G47+G54+G59</f>
        <v>0</v>
      </c>
      <c r="F63" s="1296"/>
      <c r="G63" s="1296"/>
      <c r="H63" s="962"/>
      <c r="I63" s="1296">
        <f>K33+K40+K47+K54+K59</f>
        <v>0</v>
      </c>
      <c r="J63" s="1296"/>
      <c r="K63" s="1296"/>
      <c r="L63" s="962"/>
      <c r="M63" s="1296">
        <f>O33+O40+O47+O54+O59</f>
        <v>0</v>
      </c>
      <c r="N63" s="1296"/>
      <c r="O63" s="1296"/>
      <c r="P63" s="962"/>
      <c r="Q63" s="1296">
        <f>S33+S40+S47+S54+S59</f>
        <v>0</v>
      </c>
      <c r="R63" s="1296"/>
      <c r="S63" s="1296"/>
      <c r="T63" s="962"/>
      <c r="U63" s="1296">
        <f>W33+W40+W47+W54+W59</f>
        <v>0</v>
      </c>
      <c r="V63" s="1296"/>
      <c r="W63" s="1296"/>
      <c r="X63" s="962"/>
      <c r="Y63" s="1296">
        <f>AA33+AA40+AA47+AA54+AA59</f>
        <v>0</v>
      </c>
      <c r="Z63" s="1296"/>
      <c r="AA63" s="1296"/>
      <c r="AB63" s="976"/>
      <c r="AC63" s="1144"/>
      <c r="AD63" s="1176">
        <f>E63+I63+M63+Q63+U63+Y63</f>
        <v>0</v>
      </c>
      <c r="AE63" s="971"/>
      <c r="AF63" s="613"/>
      <c r="AG63" s="613"/>
      <c r="AH63" s="613"/>
      <c r="AI63" s="613"/>
      <c r="AJ63" s="613"/>
      <c r="AK63" s="613"/>
      <c r="AL63" s="613"/>
      <c r="AM63" s="613"/>
      <c r="AN63" s="613"/>
      <c r="AO63" s="613"/>
      <c r="AP63" s="613"/>
      <c r="AQ63" s="613"/>
      <c r="AR63" s="613"/>
      <c r="AS63" s="613"/>
      <c r="AT63" s="613"/>
      <c r="AU63" s="613"/>
      <c r="AV63" s="613"/>
      <c r="AW63" s="613"/>
      <c r="AX63" s="613"/>
      <c r="AY63" s="613"/>
      <c r="AZ63" s="613"/>
      <c r="BA63" s="613"/>
      <c r="BB63" s="613"/>
      <c r="BC63" s="613"/>
      <c r="BD63" s="613"/>
      <c r="BE63" s="613"/>
      <c r="BF63" s="613"/>
      <c r="BG63" s="613"/>
      <c r="BH63" s="613"/>
      <c r="BI63" s="613"/>
      <c r="BJ63" s="613"/>
      <c r="BK63" s="613"/>
      <c r="BL63" s="613"/>
      <c r="BM63" s="613"/>
      <c r="BN63" s="613"/>
      <c r="BO63" s="613"/>
      <c r="BP63" s="613"/>
      <c r="BQ63" s="613"/>
      <c r="BR63" s="613"/>
      <c r="BS63" s="613"/>
      <c r="BT63" s="613"/>
      <c r="BU63" s="613"/>
      <c r="BV63" s="613"/>
      <c r="BW63" s="613"/>
      <c r="BX63" s="613"/>
      <c r="BY63" s="613"/>
      <c r="BZ63" s="613"/>
      <c r="CA63" s="613"/>
      <c r="CB63" s="613"/>
      <c r="CC63" s="613"/>
      <c r="CD63" s="613"/>
      <c r="CE63" s="613"/>
      <c r="CF63" s="613"/>
      <c r="CG63" s="613"/>
      <c r="CH63" s="613"/>
      <c r="CI63" s="613"/>
      <c r="CJ63" s="613"/>
      <c r="CK63" s="613"/>
      <c r="CL63" s="613"/>
      <c r="CM63" s="613"/>
      <c r="CN63" s="613"/>
      <c r="CO63" s="613"/>
      <c r="CP63" s="613"/>
      <c r="CQ63" s="613"/>
      <c r="CR63" s="613"/>
      <c r="CS63" s="613"/>
      <c r="CT63" s="613"/>
      <c r="CU63" s="613"/>
      <c r="CV63" s="613"/>
      <c r="CW63" s="613"/>
      <c r="CX63" s="613"/>
      <c r="CY63" s="613"/>
      <c r="CZ63" s="613"/>
      <c r="DA63" s="613"/>
      <c r="DB63" s="613"/>
      <c r="DC63" s="613"/>
      <c r="DD63" s="613"/>
      <c r="DE63" s="613"/>
      <c r="DF63" s="613"/>
      <c r="DG63" s="613"/>
      <c r="DH63" s="613"/>
      <c r="DI63" s="613"/>
      <c r="DJ63" s="613"/>
      <c r="DK63" s="613"/>
      <c r="DL63" s="613"/>
      <c r="DM63" s="613"/>
      <c r="DN63" s="613"/>
      <c r="DO63" s="613"/>
      <c r="DP63" s="613"/>
      <c r="DQ63" s="613"/>
      <c r="DR63" s="613"/>
      <c r="DS63" s="613"/>
      <c r="DT63" s="613"/>
      <c r="DU63" s="613"/>
      <c r="DV63" s="613"/>
      <c r="DW63" s="613"/>
      <c r="DX63" s="613"/>
      <c r="DY63" s="613"/>
      <c r="DZ63" s="613"/>
      <c r="EA63" s="613"/>
      <c r="EB63" s="613"/>
      <c r="EC63" s="613"/>
      <c r="ED63" s="613"/>
      <c r="EE63" s="613"/>
      <c r="EF63" s="613"/>
      <c r="EG63" s="613"/>
      <c r="EH63" s="613"/>
      <c r="EI63" s="613"/>
      <c r="EJ63" s="613"/>
      <c r="EK63" s="613"/>
      <c r="EL63" s="613"/>
      <c r="EM63" s="613"/>
      <c r="EN63" s="613"/>
      <c r="EO63" s="613"/>
      <c r="EP63" s="613"/>
      <c r="EQ63" s="613"/>
      <c r="ER63" s="613"/>
      <c r="ES63" s="613"/>
      <c r="ET63" s="613"/>
      <c r="EU63" s="613"/>
      <c r="EV63" s="613"/>
      <c r="EW63" s="613"/>
      <c r="EX63" s="613"/>
      <c r="EY63" s="613"/>
      <c r="EZ63" s="613"/>
      <c r="FA63" s="613"/>
      <c r="FB63" s="613"/>
      <c r="FC63" s="613"/>
      <c r="FD63" s="613"/>
      <c r="FE63" s="613"/>
      <c r="FF63" s="613"/>
      <c r="FG63" s="613"/>
      <c r="FH63" s="613"/>
      <c r="FI63" s="613"/>
      <c r="FJ63" s="613"/>
      <c r="FK63" s="613"/>
      <c r="FL63" s="613"/>
      <c r="FM63" s="613"/>
      <c r="FN63" s="613"/>
      <c r="FO63" s="613"/>
      <c r="FP63" s="613"/>
      <c r="FQ63" s="613"/>
      <c r="FR63" s="613"/>
      <c r="FS63" s="613"/>
      <c r="FT63" s="613"/>
      <c r="FU63" s="613"/>
      <c r="FV63" s="613"/>
      <c r="FW63" s="613"/>
      <c r="FX63" s="613"/>
      <c r="FY63" s="613"/>
      <c r="FZ63" s="613"/>
      <c r="GA63" s="613"/>
      <c r="GB63" s="613"/>
      <c r="GC63" s="613"/>
      <c r="GD63" s="613"/>
      <c r="GE63" s="613"/>
      <c r="GF63" s="613"/>
      <c r="GG63" s="613"/>
      <c r="GH63" s="613"/>
      <c r="GI63" s="613"/>
      <c r="GJ63" s="613"/>
      <c r="GK63" s="613"/>
      <c r="GL63" s="613"/>
      <c r="GM63" s="613"/>
      <c r="GN63" s="613"/>
      <c r="GO63" s="613"/>
      <c r="GP63" s="613"/>
      <c r="GQ63" s="613"/>
      <c r="GR63" s="613"/>
      <c r="GS63" s="613"/>
      <c r="GT63" s="613"/>
      <c r="GU63" s="613"/>
      <c r="GV63" s="613"/>
      <c r="GW63" s="613"/>
      <c r="GX63" s="613"/>
      <c r="GY63" s="613"/>
      <c r="GZ63" s="613"/>
      <c r="HA63" s="613"/>
      <c r="HB63" s="613"/>
      <c r="HC63" s="613"/>
      <c r="HD63" s="613"/>
      <c r="HE63" s="613"/>
      <c r="HF63" s="613"/>
      <c r="HG63" s="613"/>
      <c r="HH63" s="613"/>
      <c r="HI63" s="613"/>
      <c r="HJ63" s="613"/>
      <c r="HK63" s="613"/>
      <c r="HL63" s="613"/>
      <c r="HM63" s="613"/>
      <c r="HN63" s="613"/>
      <c r="HO63" s="613"/>
      <c r="HP63" s="613"/>
      <c r="HQ63" s="613"/>
      <c r="HR63" s="613"/>
      <c r="HS63" s="613"/>
      <c r="HT63" s="613"/>
      <c r="HU63" s="613"/>
      <c r="HV63" s="613"/>
      <c r="HW63" s="613"/>
      <c r="HX63" s="613"/>
      <c r="HY63" s="613"/>
      <c r="HZ63" s="613"/>
      <c r="IA63" s="613"/>
      <c r="IB63" s="613"/>
      <c r="IC63" s="613"/>
      <c r="ID63" s="613"/>
      <c r="IE63" s="613"/>
      <c r="IF63" s="613"/>
      <c r="IG63" s="613"/>
      <c r="IH63" s="613"/>
      <c r="II63" s="613"/>
      <c r="IJ63" s="613"/>
      <c r="IK63" s="613"/>
      <c r="IL63" s="613"/>
      <c r="IM63" s="613"/>
      <c r="IN63" s="613"/>
      <c r="IO63" s="613"/>
      <c r="IP63" s="613"/>
      <c r="IQ63" s="613"/>
      <c r="IR63" s="613"/>
      <c r="IS63" s="613"/>
      <c r="IT63" s="613"/>
      <c r="IU63" s="613"/>
      <c r="IV63" s="613"/>
      <c r="IW63" s="613"/>
      <c r="IX63" s="613"/>
      <c r="IY63" s="613"/>
      <c r="IZ63" s="613"/>
      <c r="JA63" s="613"/>
      <c r="JB63" s="613"/>
      <c r="JC63" s="613"/>
      <c r="JD63" s="613"/>
      <c r="JE63" s="613"/>
      <c r="JF63" s="613"/>
      <c r="JG63" s="613"/>
      <c r="JH63" s="613"/>
      <c r="JI63" s="613"/>
      <c r="JJ63" s="613"/>
      <c r="JK63" s="613"/>
      <c r="JL63" s="613"/>
      <c r="JM63" s="613"/>
      <c r="JN63" s="613"/>
      <c r="JO63" s="613"/>
      <c r="JP63" s="613"/>
      <c r="JQ63" s="613"/>
      <c r="JR63" s="613"/>
      <c r="JS63" s="613"/>
      <c r="JT63" s="613"/>
      <c r="JU63" s="613"/>
      <c r="JV63" s="613"/>
      <c r="JW63" s="613"/>
      <c r="JX63" s="613"/>
      <c r="JY63" s="613"/>
      <c r="JZ63" s="613"/>
      <c r="KA63" s="613"/>
      <c r="KB63" s="613"/>
      <c r="KC63" s="613"/>
      <c r="KD63" s="613"/>
      <c r="KE63" s="613"/>
      <c r="KF63" s="613"/>
      <c r="KG63" s="613"/>
      <c r="KH63" s="613"/>
      <c r="KI63" s="613"/>
      <c r="KJ63" s="613"/>
      <c r="KK63" s="613"/>
      <c r="KL63" s="613"/>
      <c r="KM63" s="613"/>
      <c r="KN63" s="613"/>
      <c r="KO63" s="613"/>
      <c r="KP63" s="613"/>
      <c r="KQ63" s="613"/>
      <c r="KR63" s="613"/>
      <c r="KS63" s="613"/>
      <c r="KT63" s="613"/>
      <c r="KU63" s="613"/>
      <c r="KV63" s="613"/>
      <c r="KW63" s="613"/>
      <c r="KX63" s="613"/>
      <c r="KY63" s="613"/>
      <c r="KZ63" s="613"/>
      <c r="LA63" s="613"/>
      <c r="LB63" s="613"/>
      <c r="LC63" s="613"/>
      <c r="LD63" s="613"/>
      <c r="LE63" s="613"/>
      <c r="LF63" s="613"/>
      <c r="LG63" s="613"/>
      <c r="LH63" s="613"/>
      <c r="LI63" s="613"/>
      <c r="LJ63" s="613"/>
      <c r="LK63" s="613"/>
      <c r="LL63" s="613"/>
      <c r="LM63" s="613"/>
      <c r="LN63" s="613"/>
      <c r="LO63" s="613"/>
      <c r="LP63" s="613"/>
      <c r="LQ63" s="613"/>
      <c r="LR63" s="613"/>
      <c r="LS63" s="613"/>
      <c r="LT63" s="613"/>
      <c r="LU63" s="613"/>
      <c r="LV63" s="613"/>
      <c r="LW63" s="613"/>
      <c r="LX63" s="613"/>
      <c r="LY63" s="613"/>
      <c r="LZ63" s="613"/>
      <c r="MA63" s="613"/>
      <c r="MB63" s="613"/>
      <c r="MC63" s="613"/>
      <c r="MD63" s="613"/>
      <c r="ME63" s="613"/>
      <c r="MF63" s="613"/>
      <c r="MG63" s="613"/>
      <c r="MH63" s="613"/>
      <c r="MI63" s="613"/>
      <c r="MJ63" s="613"/>
      <c r="MK63" s="613"/>
      <c r="ML63" s="613"/>
      <c r="MM63" s="613"/>
      <c r="MN63" s="613"/>
      <c r="MO63" s="613"/>
      <c r="MP63" s="613"/>
      <c r="MQ63" s="613"/>
      <c r="MR63" s="613"/>
      <c r="MS63" s="613"/>
      <c r="MT63" s="613"/>
      <c r="MU63" s="613"/>
      <c r="MV63" s="613"/>
      <c r="MW63" s="613"/>
      <c r="MX63" s="613"/>
      <c r="MY63" s="613"/>
      <c r="MZ63" s="613"/>
      <c r="NA63" s="613"/>
      <c r="NB63" s="613"/>
      <c r="NC63" s="613"/>
      <c r="ND63" s="613"/>
      <c r="NE63" s="613"/>
      <c r="NF63" s="613"/>
      <c r="NG63" s="613"/>
      <c r="NH63" s="613"/>
      <c r="NI63" s="613"/>
      <c r="NJ63" s="613"/>
      <c r="NK63" s="613"/>
      <c r="NL63" s="613"/>
      <c r="NM63" s="613"/>
      <c r="NN63" s="613"/>
      <c r="NO63" s="613"/>
      <c r="NP63" s="613"/>
      <c r="NQ63" s="613"/>
      <c r="NR63" s="613"/>
      <c r="NS63" s="613"/>
      <c r="NT63" s="613"/>
      <c r="NU63" s="613"/>
      <c r="NV63" s="613"/>
      <c r="NW63" s="613"/>
      <c r="NX63" s="613"/>
      <c r="NY63" s="613"/>
      <c r="NZ63" s="613"/>
      <c r="OA63" s="613"/>
      <c r="OB63" s="613"/>
      <c r="OC63" s="613"/>
      <c r="OD63" s="613"/>
      <c r="OE63" s="613"/>
      <c r="OF63" s="613"/>
      <c r="OG63" s="613"/>
      <c r="OH63" s="613"/>
      <c r="OI63" s="613"/>
      <c r="OJ63" s="613"/>
      <c r="OK63" s="613"/>
      <c r="OL63" s="613"/>
      <c r="OM63" s="613"/>
      <c r="ON63" s="613"/>
      <c r="OO63" s="613"/>
      <c r="OP63" s="613"/>
      <c r="OQ63" s="613"/>
      <c r="OR63" s="613"/>
      <c r="OS63" s="613"/>
      <c r="OT63" s="613"/>
      <c r="OU63" s="613"/>
      <c r="OV63" s="613"/>
      <c r="OW63" s="613"/>
      <c r="OX63" s="613"/>
      <c r="OY63" s="613"/>
      <c r="OZ63" s="613"/>
      <c r="PA63" s="613"/>
      <c r="PB63" s="613"/>
      <c r="PC63" s="613"/>
      <c r="PD63" s="613"/>
      <c r="PE63" s="613"/>
      <c r="PF63" s="613"/>
      <c r="PG63" s="613"/>
      <c r="PH63" s="613"/>
      <c r="PI63" s="613"/>
      <c r="PJ63" s="613"/>
      <c r="PK63" s="613"/>
      <c r="PL63" s="613"/>
      <c r="PM63" s="613"/>
      <c r="PN63" s="613"/>
      <c r="PO63" s="613"/>
      <c r="PP63" s="613"/>
      <c r="PQ63" s="613"/>
      <c r="PR63" s="613"/>
      <c r="PS63" s="613"/>
      <c r="PT63" s="613"/>
      <c r="PU63" s="613"/>
      <c r="PV63" s="613"/>
      <c r="PW63" s="613"/>
      <c r="PX63" s="613"/>
      <c r="PY63" s="613"/>
      <c r="PZ63" s="613"/>
      <c r="QA63" s="613"/>
      <c r="QB63" s="613"/>
      <c r="QC63" s="613"/>
      <c r="QD63" s="613"/>
      <c r="QE63" s="613"/>
      <c r="QF63" s="613"/>
      <c r="QG63" s="613"/>
      <c r="QH63" s="613"/>
      <c r="QI63" s="613"/>
      <c r="QJ63" s="613"/>
      <c r="QK63" s="613"/>
      <c r="QL63" s="613"/>
      <c r="QM63" s="613"/>
      <c r="QN63" s="613"/>
      <c r="QO63" s="613"/>
      <c r="QP63" s="613"/>
      <c r="QQ63" s="613"/>
      <c r="QR63" s="613"/>
      <c r="QS63" s="613"/>
      <c r="QT63" s="613"/>
      <c r="QU63" s="613"/>
      <c r="QV63" s="613"/>
      <c r="QW63" s="613"/>
      <c r="QX63" s="613"/>
      <c r="QY63" s="613"/>
      <c r="QZ63" s="613"/>
      <c r="RA63" s="613"/>
      <c r="RB63" s="613"/>
      <c r="RC63" s="613"/>
      <c r="RD63" s="613"/>
      <c r="RE63" s="613"/>
      <c r="RF63" s="613"/>
      <c r="RG63" s="613"/>
      <c r="RH63" s="613"/>
      <c r="RI63" s="613"/>
      <c r="RJ63" s="613"/>
      <c r="RK63" s="613"/>
      <c r="RL63" s="613"/>
      <c r="RM63" s="613"/>
      <c r="RN63" s="613"/>
      <c r="RO63" s="613"/>
      <c r="RP63" s="613"/>
      <c r="RQ63" s="613"/>
      <c r="RR63" s="613"/>
      <c r="RS63" s="613"/>
      <c r="RT63" s="613"/>
      <c r="RU63" s="613"/>
      <c r="RV63" s="613"/>
      <c r="RW63" s="613"/>
      <c r="RX63" s="613"/>
      <c r="RY63" s="613"/>
      <c r="RZ63" s="613"/>
      <c r="SA63" s="613"/>
      <c r="SB63" s="613"/>
      <c r="SC63" s="613"/>
      <c r="SD63" s="613"/>
      <c r="SE63" s="613"/>
      <c r="SF63" s="613"/>
      <c r="SG63" s="613"/>
      <c r="SH63" s="613"/>
      <c r="SI63" s="613"/>
      <c r="SJ63" s="613"/>
      <c r="SK63" s="613"/>
      <c r="SL63" s="613"/>
      <c r="SM63" s="613"/>
      <c r="SN63" s="613"/>
      <c r="SO63" s="613"/>
      <c r="SP63" s="613"/>
      <c r="SQ63" s="613"/>
      <c r="SR63" s="613"/>
      <c r="SS63" s="613"/>
      <c r="ST63" s="613"/>
      <c r="SU63" s="613"/>
    </row>
    <row r="64" spans="1:515" s="801" customFormat="1" ht="15" customHeight="1" x14ac:dyDescent="0.25">
      <c r="A64" s="986"/>
      <c r="B64" s="984"/>
      <c r="C64" s="984"/>
      <c r="D64" s="962"/>
      <c r="E64" s="981"/>
      <c r="F64" s="981"/>
      <c r="G64" s="981"/>
      <c r="H64" s="962"/>
      <c r="I64" s="981"/>
      <c r="J64" s="981"/>
      <c r="K64" s="981"/>
      <c r="L64" s="962"/>
      <c r="M64" s="981"/>
      <c r="N64" s="981"/>
      <c r="O64" s="981"/>
      <c r="P64" s="962"/>
      <c r="Q64" s="981"/>
      <c r="R64" s="981"/>
      <c r="S64" s="981"/>
      <c r="T64" s="962"/>
      <c r="U64" s="981"/>
      <c r="V64" s="981"/>
      <c r="W64" s="981"/>
      <c r="X64" s="962"/>
      <c r="Y64" s="981"/>
      <c r="Z64" s="981"/>
      <c r="AA64" s="981"/>
      <c r="AB64" s="976"/>
      <c r="AC64" s="1144"/>
      <c r="AD64" s="981"/>
      <c r="AE64" s="971"/>
      <c r="AF64" s="613"/>
      <c r="AG64" s="613"/>
      <c r="AH64" s="613"/>
      <c r="AI64" s="613"/>
      <c r="AJ64" s="613"/>
      <c r="AK64" s="613"/>
      <c r="AL64" s="613"/>
      <c r="AM64" s="613"/>
      <c r="AN64" s="613"/>
      <c r="AO64" s="613"/>
      <c r="AP64" s="613"/>
      <c r="AQ64" s="613"/>
      <c r="AR64" s="613"/>
      <c r="AS64" s="613"/>
      <c r="AT64" s="613"/>
      <c r="AU64" s="613"/>
      <c r="AV64" s="613"/>
      <c r="AW64" s="613"/>
      <c r="AX64" s="613"/>
      <c r="AY64" s="613"/>
      <c r="AZ64" s="613"/>
      <c r="BA64" s="613"/>
      <c r="BB64" s="613"/>
      <c r="BC64" s="613"/>
      <c r="BD64" s="613"/>
      <c r="BE64" s="613"/>
      <c r="BF64" s="613"/>
      <c r="BG64" s="613"/>
      <c r="BH64" s="613"/>
      <c r="BI64" s="613"/>
      <c r="BJ64" s="613"/>
      <c r="BK64" s="613"/>
      <c r="BL64" s="613"/>
    </row>
    <row r="65" spans="1:515" s="624" customFormat="1" ht="23.15" customHeight="1" x14ac:dyDescent="0.25">
      <c r="A65" s="1347" t="s">
        <v>369</v>
      </c>
      <c r="B65" s="1348"/>
      <c r="C65" s="1348"/>
      <c r="D65" s="957"/>
      <c r="E65" s="1173" t="s">
        <v>15</v>
      </c>
      <c r="F65" s="1173" t="s">
        <v>363</v>
      </c>
      <c r="G65" s="1136" t="s">
        <v>370</v>
      </c>
      <c r="H65" s="957"/>
      <c r="I65" s="1173" t="s">
        <v>15</v>
      </c>
      <c r="J65" s="1173" t="s">
        <v>363</v>
      </c>
      <c r="K65" s="1136" t="s">
        <v>370</v>
      </c>
      <c r="L65" s="957"/>
      <c r="M65" s="1173" t="s">
        <v>15</v>
      </c>
      <c r="N65" s="1173" t="s">
        <v>363</v>
      </c>
      <c r="O65" s="1136" t="s">
        <v>370</v>
      </c>
      <c r="P65" s="957"/>
      <c r="Q65" s="1173" t="s">
        <v>15</v>
      </c>
      <c r="R65" s="1173" t="s">
        <v>363</v>
      </c>
      <c r="S65" s="1136" t="s">
        <v>370</v>
      </c>
      <c r="T65" s="957"/>
      <c r="U65" s="1173" t="s">
        <v>15</v>
      </c>
      <c r="V65" s="1173" t="s">
        <v>363</v>
      </c>
      <c r="W65" s="1136" t="s">
        <v>370</v>
      </c>
      <c r="X65" s="957"/>
      <c r="Y65" s="1173" t="s">
        <v>15</v>
      </c>
      <c r="Z65" s="1173" t="s">
        <v>363</v>
      </c>
      <c r="AA65" s="1136" t="s">
        <v>370</v>
      </c>
      <c r="AB65" s="957"/>
      <c r="AC65" s="957"/>
      <c r="AD65" s="1136" t="s">
        <v>370</v>
      </c>
      <c r="AE65" s="971"/>
      <c r="AF65" s="292"/>
      <c r="AG65" s="292"/>
      <c r="AH65" s="292"/>
      <c r="AI65" s="292"/>
      <c r="AJ65" s="292"/>
      <c r="AK65" s="292"/>
      <c r="AL65" s="292"/>
      <c r="AM65" s="292"/>
      <c r="AN65" s="292"/>
      <c r="AO65" s="292"/>
      <c r="AP65" s="292"/>
      <c r="AQ65" s="292"/>
      <c r="AR65" s="292"/>
      <c r="AS65" s="292"/>
      <c r="AT65" s="292"/>
      <c r="AU65" s="292"/>
      <c r="AV65" s="292"/>
      <c r="AW65" s="292"/>
      <c r="AX65" s="292"/>
      <c r="AY65" s="292"/>
      <c r="AZ65" s="292"/>
      <c r="BA65" s="292"/>
      <c r="BB65" s="292"/>
      <c r="BC65" s="292"/>
      <c r="BD65" s="292"/>
      <c r="BE65" s="292"/>
      <c r="BF65" s="292"/>
      <c r="BG65" s="292"/>
      <c r="BH65" s="292"/>
      <c r="BI65" s="292"/>
      <c r="BJ65" s="292"/>
      <c r="BK65" s="292"/>
      <c r="BL65" s="292"/>
      <c r="BM65" s="292"/>
      <c r="BN65" s="292"/>
      <c r="BO65" s="292"/>
      <c r="BP65" s="292"/>
      <c r="BQ65" s="292"/>
      <c r="BR65" s="292"/>
      <c r="BS65" s="292"/>
      <c r="BT65" s="292"/>
      <c r="BU65" s="292"/>
      <c r="BV65" s="292"/>
      <c r="BW65" s="292"/>
      <c r="BX65" s="292"/>
      <c r="BY65" s="292"/>
      <c r="BZ65" s="292"/>
      <c r="CA65" s="292"/>
      <c r="CB65" s="292"/>
      <c r="CC65" s="292"/>
      <c r="CD65" s="292"/>
      <c r="CE65" s="292"/>
      <c r="CF65" s="292"/>
      <c r="CG65" s="292"/>
      <c r="CH65" s="292"/>
      <c r="CI65" s="292"/>
      <c r="CJ65" s="292"/>
      <c r="CK65" s="292"/>
      <c r="CL65" s="292"/>
      <c r="CM65" s="292"/>
      <c r="CN65" s="292"/>
      <c r="CO65" s="292"/>
      <c r="CP65" s="292"/>
      <c r="CQ65" s="292"/>
      <c r="CR65" s="292"/>
      <c r="CS65" s="292"/>
      <c r="CT65" s="292"/>
      <c r="CU65" s="292"/>
      <c r="CV65" s="292"/>
      <c r="CW65" s="292"/>
      <c r="CX65" s="292"/>
      <c r="CY65" s="292"/>
      <c r="CZ65" s="292"/>
      <c r="DA65" s="292"/>
      <c r="DB65" s="292"/>
      <c r="DC65" s="292"/>
      <c r="DD65" s="292"/>
      <c r="DE65" s="292"/>
      <c r="DF65" s="292"/>
      <c r="DG65" s="292"/>
      <c r="DH65" s="292"/>
      <c r="DI65" s="292"/>
      <c r="DJ65" s="292"/>
      <c r="DK65" s="292"/>
      <c r="DL65" s="292"/>
      <c r="DM65" s="292"/>
      <c r="DN65" s="292"/>
      <c r="DO65" s="292"/>
      <c r="DP65" s="292"/>
      <c r="DQ65" s="292"/>
      <c r="DR65" s="292"/>
      <c r="DS65" s="292"/>
      <c r="DT65" s="292"/>
      <c r="DU65" s="292"/>
      <c r="DV65" s="292"/>
      <c r="DW65" s="292"/>
      <c r="DX65" s="292"/>
      <c r="DY65" s="292"/>
      <c r="DZ65" s="292"/>
      <c r="EA65" s="292"/>
      <c r="EB65" s="292"/>
      <c r="EC65" s="292"/>
      <c r="ED65" s="292"/>
      <c r="EE65" s="292"/>
      <c r="EF65" s="292"/>
      <c r="EG65" s="292"/>
      <c r="EH65" s="292"/>
      <c r="EI65" s="292"/>
      <c r="EJ65" s="292"/>
      <c r="EK65" s="292"/>
      <c r="EL65" s="292"/>
      <c r="EM65" s="292"/>
      <c r="EN65" s="292"/>
      <c r="EO65" s="292"/>
      <c r="EP65" s="292"/>
      <c r="EQ65" s="292"/>
      <c r="ER65" s="292"/>
      <c r="ES65" s="292"/>
      <c r="ET65" s="292"/>
      <c r="EU65" s="292"/>
      <c r="EV65" s="292"/>
      <c r="EW65" s="292"/>
      <c r="EX65" s="292"/>
      <c r="EY65" s="292"/>
      <c r="EZ65" s="292"/>
      <c r="FA65" s="292"/>
      <c r="FB65" s="292"/>
      <c r="FC65" s="292"/>
      <c r="FD65" s="292"/>
      <c r="FE65" s="292"/>
      <c r="FF65" s="292"/>
      <c r="FG65" s="292"/>
      <c r="FH65" s="292"/>
      <c r="FI65" s="292"/>
      <c r="FJ65" s="292"/>
      <c r="FK65" s="292"/>
      <c r="FL65" s="292"/>
      <c r="FM65" s="292"/>
      <c r="FN65" s="292"/>
      <c r="FO65" s="292"/>
      <c r="FP65" s="292"/>
      <c r="FQ65" s="292"/>
      <c r="FR65" s="292"/>
      <c r="FS65" s="292"/>
      <c r="FT65" s="292"/>
      <c r="FU65" s="292"/>
      <c r="FV65" s="292"/>
      <c r="FW65" s="292"/>
      <c r="FX65" s="292"/>
      <c r="FY65" s="292"/>
      <c r="FZ65" s="292"/>
      <c r="GA65" s="292"/>
      <c r="GB65" s="292"/>
      <c r="GC65" s="292"/>
      <c r="GD65" s="292"/>
      <c r="GE65" s="292"/>
      <c r="GF65" s="292"/>
      <c r="GG65" s="292"/>
      <c r="GH65" s="292"/>
      <c r="GI65" s="292"/>
      <c r="GJ65" s="292"/>
      <c r="GK65" s="292"/>
      <c r="GL65" s="292"/>
      <c r="GM65" s="292"/>
      <c r="GN65" s="292"/>
      <c r="GO65" s="292"/>
      <c r="GP65" s="292"/>
      <c r="GQ65" s="292"/>
      <c r="GR65" s="292"/>
      <c r="GS65" s="292"/>
      <c r="GT65" s="292"/>
      <c r="GU65" s="292"/>
      <c r="GV65" s="292"/>
      <c r="GW65" s="292"/>
      <c r="GX65" s="292"/>
      <c r="GY65" s="292"/>
      <c r="GZ65" s="292"/>
      <c r="HA65" s="292"/>
      <c r="HB65" s="292"/>
      <c r="HC65" s="292"/>
      <c r="HD65" s="292"/>
      <c r="HE65" s="292"/>
      <c r="HF65" s="292"/>
      <c r="HG65" s="292"/>
      <c r="HH65" s="292"/>
      <c r="HI65" s="292"/>
      <c r="HJ65" s="292"/>
      <c r="HK65" s="292"/>
      <c r="HL65" s="292"/>
      <c r="HM65" s="292"/>
      <c r="HN65" s="292"/>
      <c r="HO65" s="292"/>
      <c r="HP65" s="292"/>
      <c r="HQ65" s="292"/>
      <c r="HR65" s="292"/>
      <c r="HS65" s="292"/>
      <c r="HT65" s="292"/>
      <c r="HU65" s="292"/>
      <c r="HV65" s="292"/>
      <c r="HW65" s="292"/>
      <c r="HX65" s="292"/>
      <c r="HY65" s="292"/>
      <c r="HZ65" s="292"/>
      <c r="IA65" s="292"/>
      <c r="IB65" s="292"/>
      <c r="IC65" s="292"/>
      <c r="ID65" s="292"/>
      <c r="IE65" s="292"/>
      <c r="IF65" s="292"/>
      <c r="IG65" s="292"/>
      <c r="IH65" s="292"/>
      <c r="II65" s="292"/>
      <c r="IJ65" s="292"/>
      <c r="IK65" s="292"/>
      <c r="IL65" s="292"/>
      <c r="IM65" s="292"/>
      <c r="IN65" s="292"/>
      <c r="IO65" s="292"/>
      <c r="IP65" s="292"/>
      <c r="IQ65" s="292"/>
      <c r="IR65" s="292"/>
      <c r="IS65" s="292"/>
      <c r="IT65" s="292"/>
      <c r="IU65" s="292"/>
      <c r="IV65" s="292"/>
      <c r="IW65" s="292"/>
      <c r="IX65" s="292"/>
      <c r="IY65" s="292"/>
      <c r="IZ65" s="292"/>
      <c r="JA65" s="292"/>
      <c r="JB65" s="292"/>
      <c r="JC65" s="292"/>
      <c r="JD65" s="292"/>
      <c r="JE65" s="292"/>
      <c r="JF65" s="292"/>
      <c r="JG65" s="292"/>
      <c r="JH65" s="292"/>
      <c r="JI65" s="292"/>
      <c r="JJ65" s="292"/>
      <c r="JK65" s="292"/>
      <c r="JL65" s="292"/>
      <c r="JM65" s="292"/>
      <c r="JN65" s="292"/>
      <c r="JO65" s="292"/>
      <c r="JP65" s="292"/>
      <c r="JQ65" s="292"/>
      <c r="JR65" s="292"/>
      <c r="JS65" s="292"/>
      <c r="JT65" s="292"/>
      <c r="JU65" s="292"/>
      <c r="JV65" s="292"/>
      <c r="JW65" s="292"/>
      <c r="JX65" s="292"/>
      <c r="JY65" s="292"/>
      <c r="JZ65" s="292"/>
      <c r="KA65" s="292"/>
      <c r="KB65" s="292"/>
      <c r="KC65" s="292"/>
      <c r="KD65" s="292"/>
      <c r="KE65" s="292"/>
      <c r="KF65" s="292"/>
      <c r="KG65" s="292"/>
      <c r="KH65" s="292"/>
      <c r="KI65" s="292"/>
      <c r="KJ65" s="292"/>
      <c r="KK65" s="292"/>
      <c r="KL65" s="292"/>
      <c r="KM65" s="292"/>
      <c r="KN65" s="292"/>
      <c r="KO65" s="292"/>
      <c r="KP65" s="292"/>
      <c r="KQ65" s="292"/>
      <c r="KR65" s="292"/>
      <c r="KS65" s="292"/>
      <c r="KT65" s="292"/>
      <c r="KU65" s="292"/>
      <c r="KV65" s="292"/>
      <c r="KW65" s="292"/>
      <c r="KX65" s="292"/>
      <c r="KY65" s="292"/>
      <c r="KZ65" s="292"/>
      <c r="LA65" s="292"/>
      <c r="LB65" s="292"/>
      <c r="LC65" s="292"/>
      <c r="LD65" s="292"/>
      <c r="LE65" s="292"/>
      <c r="LF65" s="292"/>
      <c r="LG65" s="292"/>
      <c r="LH65" s="292"/>
      <c r="LI65" s="292"/>
      <c r="LJ65" s="292"/>
      <c r="LK65" s="292"/>
      <c r="LL65" s="292"/>
      <c r="LM65" s="292"/>
      <c r="LN65" s="292"/>
      <c r="LO65" s="292"/>
      <c r="LP65" s="292"/>
      <c r="LQ65" s="292"/>
      <c r="LR65" s="292"/>
      <c r="LS65" s="292"/>
      <c r="LT65" s="292"/>
      <c r="LU65" s="292"/>
      <c r="LV65" s="292"/>
      <c r="LW65" s="292"/>
      <c r="LX65" s="292"/>
      <c r="LY65" s="292"/>
      <c r="LZ65" s="292"/>
      <c r="MA65" s="292"/>
      <c r="MB65" s="292"/>
      <c r="MC65" s="292"/>
      <c r="MD65" s="292"/>
      <c r="ME65" s="292"/>
      <c r="MF65" s="292"/>
      <c r="MG65" s="292"/>
      <c r="MH65" s="292"/>
      <c r="MI65" s="292"/>
      <c r="MJ65" s="292"/>
      <c r="MK65" s="292"/>
      <c r="ML65" s="292"/>
      <c r="MM65" s="292"/>
      <c r="MN65" s="292"/>
      <c r="MO65" s="292"/>
      <c r="MP65" s="292"/>
      <c r="MQ65" s="292"/>
      <c r="MR65" s="292"/>
      <c r="MS65" s="292"/>
      <c r="MT65" s="292"/>
      <c r="MU65" s="292"/>
      <c r="MV65" s="292"/>
      <c r="MW65" s="292"/>
      <c r="MX65" s="292"/>
      <c r="MY65" s="292"/>
      <c r="MZ65" s="292"/>
      <c r="NA65" s="292"/>
      <c r="NB65" s="292"/>
      <c r="NC65" s="292"/>
      <c r="ND65" s="292"/>
      <c r="NE65" s="292"/>
      <c r="NF65" s="292"/>
      <c r="NG65" s="292"/>
      <c r="NH65" s="292"/>
      <c r="NI65" s="292"/>
      <c r="NJ65" s="292"/>
      <c r="NK65" s="292"/>
      <c r="NL65" s="292"/>
      <c r="NM65" s="292"/>
      <c r="NN65" s="292"/>
      <c r="NO65" s="292"/>
      <c r="NP65" s="292"/>
      <c r="NQ65" s="292"/>
      <c r="NR65" s="292"/>
      <c r="NS65" s="292"/>
      <c r="NT65" s="292"/>
      <c r="NU65" s="292"/>
      <c r="NV65" s="292"/>
      <c r="NW65" s="292"/>
      <c r="NX65" s="292"/>
      <c r="NY65" s="292"/>
      <c r="NZ65" s="292"/>
      <c r="OA65" s="292"/>
      <c r="OB65" s="292"/>
      <c r="OC65" s="292"/>
      <c r="OD65" s="292"/>
      <c r="OE65" s="292"/>
      <c r="OF65" s="292"/>
      <c r="OG65" s="292"/>
      <c r="OH65" s="292"/>
      <c r="OI65" s="292"/>
      <c r="OJ65" s="292"/>
      <c r="OK65" s="292"/>
      <c r="OL65" s="292"/>
      <c r="OM65" s="292"/>
      <c r="ON65" s="292"/>
      <c r="OO65" s="292"/>
      <c r="OP65" s="292"/>
      <c r="OQ65" s="292"/>
      <c r="OR65" s="292"/>
      <c r="OS65" s="292"/>
      <c r="OT65" s="292"/>
      <c r="OU65" s="292"/>
      <c r="OV65" s="292"/>
      <c r="OW65" s="292"/>
      <c r="OX65" s="292"/>
      <c r="OY65" s="292"/>
      <c r="OZ65" s="292"/>
      <c r="PA65" s="292"/>
      <c r="PB65" s="292"/>
      <c r="PC65" s="292"/>
      <c r="PD65" s="292"/>
      <c r="PE65" s="292"/>
      <c r="PF65" s="292"/>
      <c r="PG65" s="292"/>
      <c r="PH65" s="292"/>
      <c r="PI65" s="292"/>
      <c r="PJ65" s="292"/>
      <c r="PK65" s="292"/>
      <c r="PL65" s="292"/>
      <c r="PM65" s="292"/>
      <c r="PN65" s="292"/>
      <c r="PO65" s="292"/>
      <c r="PP65" s="292"/>
      <c r="PQ65" s="292"/>
      <c r="PR65" s="292"/>
      <c r="PS65" s="292"/>
      <c r="PT65" s="292"/>
      <c r="PU65" s="292"/>
      <c r="PV65" s="292"/>
      <c r="PW65" s="292"/>
      <c r="PX65" s="292"/>
      <c r="PY65" s="292"/>
      <c r="PZ65" s="292"/>
      <c r="QA65" s="292"/>
      <c r="QB65" s="292"/>
      <c r="QC65" s="292"/>
      <c r="QD65" s="292"/>
      <c r="QE65" s="292"/>
      <c r="QF65" s="292"/>
      <c r="QG65" s="292"/>
      <c r="QH65" s="292"/>
      <c r="QI65" s="292"/>
      <c r="QJ65" s="292"/>
      <c r="QK65" s="292"/>
      <c r="QL65" s="292"/>
      <c r="QM65" s="292"/>
      <c r="QN65" s="292"/>
      <c r="QO65" s="292"/>
      <c r="QP65" s="292"/>
      <c r="QQ65" s="292"/>
      <c r="QR65" s="292"/>
      <c r="QS65" s="292"/>
      <c r="QT65" s="292"/>
      <c r="QU65" s="292"/>
      <c r="QV65" s="292"/>
      <c r="QW65" s="292"/>
      <c r="QX65" s="292"/>
      <c r="QY65" s="292"/>
      <c r="QZ65" s="292"/>
      <c r="RA65" s="292"/>
      <c r="RB65" s="292"/>
      <c r="RC65" s="292"/>
      <c r="RD65" s="292"/>
      <c r="RE65" s="292"/>
      <c r="RF65" s="292"/>
      <c r="RG65" s="292"/>
      <c r="RH65" s="292"/>
      <c r="RI65" s="292"/>
      <c r="RJ65" s="292"/>
      <c r="RK65" s="292"/>
      <c r="RL65" s="292"/>
      <c r="RM65" s="292"/>
      <c r="RN65" s="292"/>
      <c r="RO65" s="292"/>
      <c r="RP65" s="292"/>
      <c r="RQ65" s="292"/>
      <c r="RR65" s="292"/>
      <c r="RS65" s="292"/>
      <c r="RT65" s="292"/>
      <c r="RU65" s="292"/>
      <c r="RV65" s="292"/>
      <c r="RW65" s="292"/>
      <c r="RX65" s="292"/>
      <c r="RY65" s="292"/>
      <c r="RZ65" s="292"/>
      <c r="SA65" s="292"/>
      <c r="SB65" s="292"/>
      <c r="SC65" s="292"/>
      <c r="SD65" s="292"/>
      <c r="SE65" s="292"/>
      <c r="SF65" s="292"/>
      <c r="SG65" s="292"/>
      <c r="SH65" s="292"/>
      <c r="SI65" s="292"/>
      <c r="SJ65" s="292"/>
      <c r="SK65" s="292"/>
      <c r="SL65" s="292"/>
      <c r="SM65" s="292"/>
      <c r="SN65" s="292"/>
      <c r="SO65" s="292"/>
      <c r="SP65" s="292"/>
      <c r="SQ65" s="292"/>
      <c r="SR65" s="292"/>
      <c r="SS65" s="292"/>
      <c r="ST65" s="292"/>
      <c r="SU65" s="292"/>
    </row>
    <row r="66" spans="1:515" ht="15" customHeight="1" x14ac:dyDescent="0.25">
      <c r="A66" s="1327" t="str">
        <f>IF(LaborCollection="Academia","F&amp;A","G&amp;A")</f>
        <v>G&amp;A</v>
      </c>
      <c r="B66" s="1328"/>
      <c r="C66" s="1368" t="s">
        <v>371</v>
      </c>
      <c r="D66" s="957" t="s">
        <v>358</v>
      </c>
      <c r="E66" s="622">
        <f>G33</f>
        <v>0</v>
      </c>
      <c r="F66" s="626">
        <v>0</v>
      </c>
      <c r="G66" s="999">
        <f>E66*F66</f>
        <v>0</v>
      </c>
      <c r="H66" s="957"/>
      <c r="I66" s="622">
        <f>K33</f>
        <v>0</v>
      </c>
      <c r="J66" s="626">
        <v>0</v>
      </c>
      <c r="K66" s="999">
        <f>I66*J66</f>
        <v>0</v>
      </c>
      <c r="L66" s="957"/>
      <c r="M66" s="622">
        <f>O33</f>
        <v>0</v>
      </c>
      <c r="N66" s="626">
        <v>0</v>
      </c>
      <c r="O66" s="999">
        <f>M66*N66</f>
        <v>0</v>
      </c>
      <c r="P66" s="957"/>
      <c r="Q66" s="622">
        <f>S33</f>
        <v>0</v>
      </c>
      <c r="R66" s="626">
        <v>0</v>
      </c>
      <c r="S66" s="999">
        <f>Q66*R66</f>
        <v>0</v>
      </c>
      <c r="T66" s="957"/>
      <c r="U66" s="622">
        <f>W33</f>
        <v>0</v>
      </c>
      <c r="V66" s="626">
        <v>0</v>
      </c>
      <c r="W66" s="999">
        <f>U66*V66</f>
        <v>0</v>
      </c>
      <c r="X66" s="957"/>
      <c r="Y66" s="622">
        <f>AA33</f>
        <v>0</v>
      </c>
      <c r="Z66" s="626">
        <v>0</v>
      </c>
      <c r="AA66" s="999">
        <f>Y66*Z66</f>
        <v>0</v>
      </c>
      <c r="AB66" s="975"/>
      <c r="AC66" s="957"/>
      <c r="AD66" s="999">
        <f>G66+K66+O66+S66+W66+AA66</f>
        <v>0</v>
      </c>
      <c r="AE66" s="971"/>
    </row>
    <row r="67" spans="1:515" ht="15" customHeight="1" x14ac:dyDescent="0.25">
      <c r="A67" s="1329" t="s">
        <v>372</v>
      </c>
      <c r="B67" s="1330"/>
      <c r="C67" s="1370"/>
      <c r="D67" s="957"/>
      <c r="E67" s="622">
        <v>0</v>
      </c>
      <c r="F67" s="626">
        <v>0</v>
      </c>
      <c r="G67" s="999">
        <f>E67*F67</f>
        <v>0</v>
      </c>
      <c r="H67" s="957"/>
      <c r="I67" s="622">
        <v>0</v>
      </c>
      <c r="J67" s="626">
        <v>0</v>
      </c>
      <c r="K67" s="999">
        <f>I67*J67</f>
        <v>0</v>
      </c>
      <c r="L67" s="957"/>
      <c r="M67" s="622">
        <v>0</v>
      </c>
      <c r="N67" s="626">
        <v>0</v>
      </c>
      <c r="O67" s="999">
        <f>M67*N67</f>
        <v>0</v>
      </c>
      <c r="P67" s="957"/>
      <c r="Q67" s="622">
        <v>0</v>
      </c>
      <c r="R67" s="626">
        <v>0</v>
      </c>
      <c r="S67" s="999">
        <f>Q67*R67</f>
        <v>0</v>
      </c>
      <c r="T67" s="957"/>
      <c r="U67" s="622">
        <v>0</v>
      </c>
      <c r="V67" s="626">
        <v>0</v>
      </c>
      <c r="W67" s="999">
        <f>U67*V67</f>
        <v>0</v>
      </c>
      <c r="X67" s="957"/>
      <c r="Y67" s="622">
        <v>0</v>
      </c>
      <c r="Z67" s="626">
        <v>0</v>
      </c>
      <c r="AA67" s="999">
        <f>Y67*Z67</f>
        <v>0</v>
      </c>
      <c r="AB67" s="975"/>
      <c r="AC67" s="957"/>
      <c r="AD67" s="999">
        <f>G67+K67+O67+S67+W67+AA67</f>
        <v>0</v>
      </c>
      <c r="AE67" s="971"/>
    </row>
    <row r="68" spans="1:515" s="624" customFormat="1" ht="23.15" customHeight="1" x14ac:dyDescent="0.25">
      <c r="A68" s="1319" t="s">
        <v>373</v>
      </c>
      <c r="B68" s="1320"/>
      <c r="C68" s="1320"/>
      <c r="D68" s="957"/>
      <c r="E68" s="960"/>
      <c r="F68" s="989"/>
      <c r="G68" s="792">
        <f>SUM(G65:G67)</f>
        <v>0</v>
      </c>
      <c r="H68" s="957"/>
      <c r="I68" s="990"/>
      <c r="J68" s="991"/>
      <c r="K68" s="792">
        <f>SUM(K66:K67)</f>
        <v>0</v>
      </c>
      <c r="L68" s="957"/>
      <c r="M68" s="990"/>
      <c r="N68" s="991"/>
      <c r="O68" s="792">
        <f>SUM(O66:O67)</f>
        <v>0</v>
      </c>
      <c r="P68" s="957"/>
      <c r="Q68" s="957"/>
      <c r="R68" s="957"/>
      <c r="S68" s="792">
        <f>SUM(S66:S67)</f>
        <v>0</v>
      </c>
      <c r="T68" s="957"/>
      <c r="U68" s="1295"/>
      <c r="V68" s="1295"/>
      <c r="W68" s="792">
        <f>SUM(W66:W67)</f>
        <v>0</v>
      </c>
      <c r="X68" s="957"/>
      <c r="Y68" s="1297"/>
      <c r="Z68" s="1298"/>
      <c r="AA68" s="792">
        <f>SUM(AA66:AA67)</f>
        <v>0</v>
      </c>
      <c r="AB68" s="976"/>
      <c r="AC68" s="957"/>
      <c r="AD68" s="787">
        <f>G68+K68+O68+S68+W68+AA68</f>
        <v>0</v>
      </c>
      <c r="AE68" s="971"/>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292"/>
      <c r="BH68" s="292"/>
      <c r="BI68" s="292"/>
      <c r="BJ68" s="292"/>
      <c r="BK68" s="292"/>
      <c r="BL68" s="292"/>
      <c r="BM68" s="292"/>
      <c r="BN68" s="292"/>
      <c r="BO68" s="292"/>
      <c r="BP68" s="292"/>
      <c r="BQ68" s="292"/>
      <c r="BR68" s="292"/>
      <c r="BS68" s="292"/>
      <c r="BT68" s="292"/>
      <c r="BU68" s="292"/>
      <c r="BV68" s="292"/>
      <c r="BW68" s="292"/>
      <c r="BX68" s="292"/>
      <c r="BY68" s="292"/>
      <c r="BZ68" s="292"/>
      <c r="CA68" s="292"/>
      <c r="CB68" s="292"/>
      <c r="CC68" s="292"/>
      <c r="CD68" s="292"/>
      <c r="CE68" s="292"/>
      <c r="CF68" s="292"/>
      <c r="CG68" s="292"/>
      <c r="CH68" s="292"/>
      <c r="CI68" s="292"/>
      <c r="CJ68" s="292"/>
      <c r="CK68" s="292"/>
      <c r="CL68" s="292"/>
      <c r="CM68" s="292"/>
      <c r="CN68" s="292"/>
      <c r="CO68" s="292"/>
      <c r="CP68" s="292"/>
      <c r="CQ68" s="292"/>
      <c r="CR68" s="292"/>
      <c r="CS68" s="292"/>
      <c r="CT68" s="292"/>
      <c r="CU68" s="292"/>
      <c r="CV68" s="292"/>
      <c r="CW68" s="292"/>
      <c r="CX68" s="292"/>
      <c r="CY68" s="292"/>
      <c r="CZ68" s="292"/>
      <c r="DA68" s="292"/>
      <c r="DB68" s="292"/>
      <c r="DC68" s="292"/>
      <c r="DD68" s="292"/>
      <c r="DE68" s="292"/>
      <c r="DF68" s="292"/>
      <c r="DG68" s="292"/>
      <c r="DH68" s="292"/>
      <c r="DI68" s="292"/>
      <c r="DJ68" s="292"/>
      <c r="DK68" s="292"/>
      <c r="DL68" s="292"/>
      <c r="DM68" s="292"/>
      <c r="DN68" s="292"/>
      <c r="DO68" s="292"/>
      <c r="DP68" s="292"/>
      <c r="DQ68" s="292"/>
      <c r="DR68" s="292"/>
      <c r="DS68" s="292"/>
      <c r="DT68" s="292"/>
      <c r="DU68" s="292"/>
      <c r="DV68" s="292"/>
      <c r="DW68" s="292"/>
      <c r="DX68" s="292"/>
      <c r="DY68" s="292"/>
      <c r="DZ68" s="292"/>
      <c r="EA68" s="292"/>
      <c r="EB68" s="292"/>
      <c r="EC68" s="292"/>
      <c r="ED68" s="292"/>
      <c r="EE68" s="292"/>
      <c r="EF68" s="292"/>
      <c r="EG68" s="292"/>
      <c r="EH68" s="292"/>
      <c r="EI68" s="292"/>
      <c r="EJ68" s="292"/>
      <c r="EK68" s="292"/>
      <c r="EL68" s="292"/>
      <c r="EM68" s="292"/>
      <c r="EN68" s="292"/>
      <c r="EO68" s="292"/>
      <c r="EP68" s="292"/>
      <c r="EQ68" s="292"/>
      <c r="ER68" s="292"/>
      <c r="ES68" s="292"/>
      <c r="ET68" s="292"/>
      <c r="EU68" s="292"/>
      <c r="EV68" s="292"/>
      <c r="EW68" s="292"/>
      <c r="EX68" s="292"/>
      <c r="EY68" s="292"/>
      <c r="EZ68" s="292"/>
      <c r="FA68" s="292"/>
      <c r="FB68" s="292"/>
      <c r="FC68" s="292"/>
      <c r="FD68" s="292"/>
      <c r="FE68" s="292"/>
      <c r="FF68" s="292"/>
      <c r="FG68" s="292"/>
      <c r="FH68" s="292"/>
      <c r="FI68" s="292"/>
      <c r="FJ68" s="292"/>
      <c r="FK68" s="292"/>
      <c r="FL68" s="292"/>
      <c r="FM68" s="292"/>
      <c r="FN68" s="292"/>
      <c r="FO68" s="292"/>
      <c r="FP68" s="292"/>
      <c r="FQ68" s="292"/>
      <c r="FR68" s="292"/>
      <c r="FS68" s="292"/>
      <c r="FT68" s="292"/>
      <c r="FU68" s="292"/>
      <c r="FV68" s="292"/>
      <c r="FW68" s="292"/>
      <c r="FX68" s="292"/>
      <c r="FY68" s="292"/>
      <c r="FZ68" s="292"/>
      <c r="GA68" s="292"/>
      <c r="GB68" s="292"/>
      <c r="GC68" s="292"/>
      <c r="GD68" s="292"/>
      <c r="GE68" s="292"/>
      <c r="GF68" s="292"/>
      <c r="GG68" s="292"/>
      <c r="GH68" s="292"/>
      <c r="GI68" s="292"/>
      <c r="GJ68" s="292"/>
      <c r="GK68" s="292"/>
      <c r="GL68" s="292"/>
      <c r="GM68" s="292"/>
      <c r="GN68" s="292"/>
      <c r="GO68" s="292"/>
      <c r="GP68" s="292"/>
      <c r="GQ68" s="292"/>
      <c r="GR68" s="292"/>
      <c r="GS68" s="292"/>
      <c r="GT68" s="292"/>
      <c r="GU68" s="292"/>
      <c r="GV68" s="292"/>
      <c r="GW68" s="292"/>
      <c r="GX68" s="292"/>
      <c r="GY68" s="292"/>
      <c r="GZ68" s="292"/>
      <c r="HA68" s="292"/>
      <c r="HB68" s="292"/>
      <c r="HC68" s="292"/>
      <c r="HD68" s="292"/>
      <c r="HE68" s="292"/>
      <c r="HF68" s="292"/>
      <c r="HG68" s="292"/>
      <c r="HH68" s="292"/>
      <c r="HI68" s="292"/>
      <c r="HJ68" s="292"/>
      <c r="HK68" s="292"/>
      <c r="HL68" s="292"/>
      <c r="HM68" s="292"/>
      <c r="HN68" s="292"/>
      <c r="HO68" s="292"/>
      <c r="HP68" s="292"/>
      <c r="HQ68" s="292"/>
      <c r="HR68" s="292"/>
      <c r="HS68" s="292"/>
      <c r="HT68" s="292"/>
      <c r="HU68" s="292"/>
      <c r="HV68" s="292"/>
      <c r="HW68" s="292"/>
      <c r="HX68" s="292"/>
      <c r="HY68" s="292"/>
      <c r="HZ68" s="292"/>
      <c r="IA68" s="292"/>
      <c r="IB68" s="292"/>
      <c r="IC68" s="292"/>
      <c r="ID68" s="292"/>
      <c r="IE68" s="292"/>
      <c r="IF68" s="292"/>
      <c r="IG68" s="292"/>
      <c r="IH68" s="292"/>
      <c r="II68" s="292"/>
      <c r="IJ68" s="292"/>
      <c r="IK68" s="292"/>
      <c r="IL68" s="292"/>
      <c r="IM68" s="292"/>
      <c r="IN68" s="292"/>
      <c r="IO68" s="292"/>
      <c r="IP68" s="292"/>
      <c r="IQ68" s="292"/>
      <c r="IR68" s="292"/>
      <c r="IS68" s="292"/>
      <c r="IT68" s="292"/>
      <c r="IU68" s="292"/>
      <c r="IV68" s="292"/>
      <c r="IW68" s="292"/>
      <c r="IX68" s="292"/>
      <c r="IY68" s="292"/>
      <c r="IZ68" s="292"/>
      <c r="JA68" s="292"/>
      <c r="JB68" s="292"/>
      <c r="JC68" s="292"/>
      <c r="JD68" s="292"/>
      <c r="JE68" s="292"/>
      <c r="JF68" s="292"/>
      <c r="JG68" s="292"/>
      <c r="JH68" s="292"/>
      <c r="JI68" s="292"/>
      <c r="JJ68" s="292"/>
      <c r="JK68" s="292"/>
      <c r="JL68" s="292"/>
      <c r="JM68" s="292"/>
      <c r="JN68" s="292"/>
      <c r="JO68" s="292"/>
      <c r="JP68" s="292"/>
      <c r="JQ68" s="292"/>
      <c r="JR68" s="292"/>
      <c r="JS68" s="292"/>
      <c r="JT68" s="292"/>
      <c r="JU68" s="292"/>
      <c r="JV68" s="292"/>
      <c r="JW68" s="292"/>
      <c r="JX68" s="292"/>
      <c r="JY68" s="292"/>
      <c r="JZ68" s="292"/>
      <c r="KA68" s="292"/>
      <c r="KB68" s="292"/>
      <c r="KC68" s="292"/>
      <c r="KD68" s="292"/>
      <c r="KE68" s="292"/>
      <c r="KF68" s="292"/>
      <c r="KG68" s="292"/>
      <c r="KH68" s="292"/>
      <c r="KI68" s="292"/>
      <c r="KJ68" s="292"/>
      <c r="KK68" s="292"/>
      <c r="KL68" s="292"/>
      <c r="KM68" s="292"/>
      <c r="KN68" s="292"/>
      <c r="KO68" s="292"/>
      <c r="KP68" s="292"/>
      <c r="KQ68" s="292"/>
      <c r="KR68" s="292"/>
      <c r="KS68" s="292"/>
      <c r="KT68" s="292"/>
      <c r="KU68" s="292"/>
      <c r="KV68" s="292"/>
      <c r="KW68" s="292"/>
      <c r="KX68" s="292"/>
      <c r="KY68" s="292"/>
      <c r="KZ68" s="292"/>
      <c r="LA68" s="292"/>
      <c r="LB68" s="292"/>
      <c r="LC68" s="292"/>
      <c r="LD68" s="292"/>
      <c r="LE68" s="292"/>
      <c r="LF68" s="292"/>
      <c r="LG68" s="292"/>
      <c r="LH68" s="292"/>
      <c r="LI68" s="292"/>
      <c r="LJ68" s="292"/>
      <c r="LK68" s="292"/>
      <c r="LL68" s="292"/>
      <c r="LM68" s="292"/>
      <c r="LN68" s="292"/>
      <c r="LO68" s="292"/>
      <c r="LP68" s="292"/>
      <c r="LQ68" s="292"/>
      <c r="LR68" s="292"/>
      <c r="LS68" s="292"/>
      <c r="LT68" s="292"/>
      <c r="LU68" s="292"/>
      <c r="LV68" s="292"/>
      <c r="LW68" s="292"/>
      <c r="LX68" s="292"/>
      <c r="LY68" s="292"/>
      <c r="LZ68" s="292"/>
      <c r="MA68" s="292"/>
      <c r="MB68" s="292"/>
      <c r="MC68" s="292"/>
      <c r="MD68" s="292"/>
      <c r="ME68" s="292"/>
      <c r="MF68" s="292"/>
      <c r="MG68" s="292"/>
      <c r="MH68" s="292"/>
      <c r="MI68" s="292"/>
      <c r="MJ68" s="292"/>
      <c r="MK68" s="292"/>
      <c r="ML68" s="292"/>
      <c r="MM68" s="292"/>
      <c r="MN68" s="292"/>
      <c r="MO68" s="292"/>
      <c r="MP68" s="292"/>
      <c r="MQ68" s="292"/>
      <c r="MR68" s="292"/>
      <c r="MS68" s="292"/>
      <c r="MT68" s="292"/>
      <c r="MU68" s="292"/>
      <c r="MV68" s="292"/>
      <c r="MW68" s="292"/>
      <c r="MX68" s="292"/>
      <c r="MY68" s="292"/>
      <c r="MZ68" s="292"/>
      <c r="NA68" s="292"/>
      <c r="NB68" s="292"/>
      <c r="NC68" s="292"/>
      <c r="ND68" s="292"/>
      <c r="NE68" s="292"/>
      <c r="NF68" s="292"/>
      <c r="NG68" s="292"/>
      <c r="NH68" s="292"/>
      <c r="NI68" s="292"/>
      <c r="NJ68" s="292"/>
      <c r="NK68" s="292"/>
      <c r="NL68" s="292"/>
      <c r="NM68" s="292"/>
      <c r="NN68" s="292"/>
      <c r="NO68" s="292"/>
      <c r="NP68" s="292"/>
      <c r="NQ68" s="292"/>
      <c r="NR68" s="292"/>
      <c r="NS68" s="292"/>
      <c r="NT68" s="292"/>
      <c r="NU68" s="292"/>
      <c r="NV68" s="292"/>
      <c r="NW68" s="292"/>
      <c r="NX68" s="292"/>
      <c r="NY68" s="292"/>
      <c r="NZ68" s="292"/>
      <c r="OA68" s="292"/>
      <c r="OB68" s="292"/>
      <c r="OC68" s="292"/>
      <c r="OD68" s="292"/>
      <c r="OE68" s="292"/>
      <c r="OF68" s="292"/>
      <c r="OG68" s="292"/>
      <c r="OH68" s="292"/>
      <c r="OI68" s="292"/>
      <c r="OJ68" s="292"/>
      <c r="OK68" s="292"/>
      <c r="OL68" s="292"/>
      <c r="OM68" s="292"/>
      <c r="ON68" s="292"/>
      <c r="OO68" s="292"/>
      <c r="OP68" s="292"/>
      <c r="OQ68" s="292"/>
      <c r="OR68" s="292"/>
      <c r="OS68" s="292"/>
      <c r="OT68" s="292"/>
      <c r="OU68" s="292"/>
      <c r="OV68" s="292"/>
      <c r="OW68" s="292"/>
      <c r="OX68" s="292"/>
      <c r="OY68" s="292"/>
      <c r="OZ68" s="292"/>
      <c r="PA68" s="292"/>
      <c r="PB68" s="292"/>
      <c r="PC68" s="292"/>
      <c r="PD68" s="292"/>
      <c r="PE68" s="292"/>
      <c r="PF68" s="292"/>
      <c r="PG68" s="292"/>
      <c r="PH68" s="292"/>
      <c r="PI68" s="292"/>
      <c r="PJ68" s="292"/>
      <c r="PK68" s="292"/>
      <c r="PL68" s="292"/>
      <c r="PM68" s="292"/>
      <c r="PN68" s="292"/>
      <c r="PO68" s="292"/>
      <c r="PP68" s="292"/>
      <c r="PQ68" s="292"/>
      <c r="PR68" s="292"/>
      <c r="PS68" s="292"/>
      <c r="PT68" s="292"/>
      <c r="PU68" s="292"/>
      <c r="PV68" s="292"/>
      <c r="PW68" s="292"/>
      <c r="PX68" s="292"/>
      <c r="PY68" s="292"/>
      <c r="PZ68" s="292"/>
      <c r="QA68" s="292"/>
      <c r="QB68" s="292"/>
      <c r="QC68" s="292"/>
      <c r="QD68" s="292"/>
      <c r="QE68" s="292"/>
      <c r="QF68" s="292"/>
      <c r="QG68" s="292"/>
      <c r="QH68" s="292"/>
      <c r="QI68" s="292"/>
      <c r="QJ68" s="292"/>
      <c r="QK68" s="292"/>
      <c r="QL68" s="292"/>
      <c r="QM68" s="292"/>
      <c r="QN68" s="292"/>
      <c r="QO68" s="292"/>
      <c r="QP68" s="292"/>
      <c r="QQ68" s="292"/>
      <c r="QR68" s="292"/>
      <c r="QS68" s="292"/>
      <c r="QT68" s="292"/>
      <c r="QU68" s="292"/>
      <c r="QV68" s="292"/>
      <c r="QW68" s="292"/>
      <c r="QX68" s="292"/>
      <c r="QY68" s="292"/>
      <c r="QZ68" s="292"/>
      <c r="RA68" s="292"/>
      <c r="RB68" s="292"/>
      <c r="RC68" s="292"/>
      <c r="RD68" s="292"/>
      <c r="RE68" s="292"/>
      <c r="RF68" s="292"/>
      <c r="RG68" s="292"/>
      <c r="RH68" s="292"/>
      <c r="RI68" s="292"/>
      <c r="RJ68" s="292"/>
      <c r="RK68" s="292"/>
      <c r="RL68" s="292"/>
      <c r="RM68" s="292"/>
      <c r="RN68" s="292"/>
      <c r="RO68" s="292"/>
      <c r="RP68" s="292"/>
      <c r="RQ68" s="292"/>
      <c r="RR68" s="292"/>
      <c r="RS68" s="292"/>
      <c r="RT68" s="292"/>
      <c r="RU68" s="292"/>
      <c r="RV68" s="292"/>
      <c r="RW68" s="292"/>
      <c r="RX68" s="292"/>
      <c r="RY68" s="292"/>
      <c r="RZ68" s="292"/>
      <c r="SA68" s="292"/>
      <c r="SB68" s="292"/>
      <c r="SC68" s="292"/>
      <c r="SD68" s="292"/>
      <c r="SE68" s="292"/>
      <c r="SF68" s="292"/>
      <c r="SG68" s="292"/>
      <c r="SH68" s="292"/>
      <c r="SI68" s="292"/>
      <c r="SJ68" s="292"/>
      <c r="SK68" s="292"/>
      <c r="SL68" s="292"/>
      <c r="SM68" s="292"/>
      <c r="SN68" s="292"/>
      <c r="SO68" s="292"/>
      <c r="SP68" s="292"/>
      <c r="SQ68" s="292"/>
      <c r="SR68" s="292"/>
      <c r="SS68" s="292"/>
      <c r="ST68" s="292"/>
      <c r="SU68" s="292"/>
    </row>
    <row r="69" spans="1:515" s="624" customFormat="1" ht="11.5" customHeight="1" x14ac:dyDescent="0.25">
      <c r="A69" s="986"/>
      <c r="B69" s="984"/>
      <c r="C69" s="984"/>
      <c r="D69" s="957"/>
      <c r="E69" s="960"/>
      <c r="F69" s="960"/>
      <c r="G69" s="981"/>
      <c r="H69" s="957"/>
      <c r="I69" s="957"/>
      <c r="J69" s="957"/>
      <c r="K69" s="981"/>
      <c r="L69" s="957"/>
      <c r="M69" s="957"/>
      <c r="N69" s="957"/>
      <c r="O69" s="981"/>
      <c r="P69" s="957"/>
      <c r="Q69" s="957"/>
      <c r="R69" s="957"/>
      <c r="S69" s="981"/>
      <c r="T69" s="957"/>
      <c r="U69" s="1180"/>
      <c r="V69" s="1180"/>
      <c r="W69" s="981"/>
      <c r="X69" s="957"/>
      <c r="Y69" s="1180"/>
      <c r="Z69" s="1180"/>
      <c r="AA69" s="981"/>
      <c r="AB69" s="976"/>
      <c r="AC69" s="957"/>
      <c r="AD69" s="976"/>
      <c r="AE69" s="971"/>
      <c r="AF69" s="292"/>
      <c r="AG69" s="292"/>
      <c r="AH69" s="292"/>
      <c r="AI69" s="292"/>
      <c r="AJ69" s="292"/>
      <c r="AK69" s="292"/>
      <c r="AL69" s="292"/>
      <c r="AM69" s="292"/>
      <c r="AN69" s="292"/>
      <c r="AO69" s="292"/>
      <c r="AP69" s="292"/>
      <c r="AQ69" s="292"/>
      <c r="AR69" s="292"/>
      <c r="AS69" s="292"/>
      <c r="AT69" s="292"/>
      <c r="AU69" s="292"/>
      <c r="AV69" s="292"/>
      <c r="AW69" s="292"/>
      <c r="AX69" s="292"/>
      <c r="AY69" s="292"/>
      <c r="AZ69" s="292"/>
      <c r="BA69" s="292"/>
      <c r="BB69" s="292"/>
      <c r="BC69" s="292"/>
      <c r="BD69" s="292"/>
      <c r="BE69" s="292"/>
      <c r="BF69" s="292"/>
      <c r="BG69" s="292"/>
      <c r="BH69" s="292"/>
      <c r="BI69" s="292"/>
      <c r="BJ69" s="292"/>
      <c r="BK69" s="292"/>
      <c r="BL69" s="292"/>
      <c r="BM69" s="292"/>
      <c r="BN69" s="292"/>
      <c r="BO69" s="292"/>
      <c r="BP69" s="292"/>
      <c r="BQ69" s="292"/>
      <c r="BR69" s="292"/>
      <c r="BS69" s="292"/>
      <c r="BT69" s="292"/>
      <c r="BU69" s="292"/>
      <c r="BV69" s="292"/>
      <c r="BW69" s="292"/>
      <c r="BX69" s="292"/>
      <c r="BY69" s="292"/>
      <c r="BZ69" s="292"/>
      <c r="CA69" s="292"/>
      <c r="CB69" s="292"/>
      <c r="CC69" s="292"/>
      <c r="CD69" s="292"/>
      <c r="CE69" s="292"/>
      <c r="CF69" s="292"/>
      <c r="CG69" s="292"/>
      <c r="CH69" s="292"/>
      <c r="CI69" s="292"/>
      <c r="CJ69" s="292"/>
      <c r="CK69" s="292"/>
      <c r="CL69" s="292"/>
      <c r="CM69" s="292"/>
      <c r="CN69" s="292"/>
      <c r="CO69" s="292"/>
      <c r="CP69" s="292"/>
      <c r="CQ69" s="292"/>
      <c r="CR69" s="292"/>
      <c r="CS69" s="292"/>
      <c r="CT69" s="292"/>
      <c r="CU69" s="292"/>
      <c r="CV69" s="292"/>
      <c r="CW69" s="292"/>
      <c r="CX69" s="292"/>
      <c r="CY69" s="292"/>
      <c r="CZ69" s="292"/>
      <c r="DA69" s="292"/>
      <c r="DB69" s="292"/>
      <c r="DC69" s="292"/>
      <c r="DD69" s="292"/>
      <c r="DE69" s="292"/>
      <c r="DF69" s="292"/>
      <c r="DG69" s="292"/>
      <c r="DH69" s="292"/>
      <c r="DI69" s="292"/>
      <c r="DJ69" s="292"/>
      <c r="DK69" s="292"/>
      <c r="DL69" s="292"/>
      <c r="DM69" s="292"/>
      <c r="DN69" s="292"/>
      <c r="DO69" s="292"/>
      <c r="DP69" s="292"/>
      <c r="DQ69" s="292"/>
      <c r="DR69" s="292"/>
      <c r="DS69" s="292"/>
      <c r="DT69" s="292"/>
      <c r="DU69" s="292"/>
      <c r="DV69" s="292"/>
      <c r="DW69" s="292"/>
      <c r="DX69" s="292"/>
      <c r="DY69" s="292"/>
      <c r="DZ69" s="292"/>
      <c r="EA69" s="292"/>
      <c r="EB69" s="292"/>
      <c r="EC69" s="292"/>
      <c r="ED69" s="292"/>
      <c r="EE69" s="292"/>
      <c r="EF69" s="292"/>
      <c r="EG69" s="292"/>
      <c r="EH69" s="292"/>
      <c r="EI69" s="292"/>
      <c r="EJ69" s="292"/>
      <c r="EK69" s="292"/>
      <c r="EL69" s="292"/>
      <c r="EM69" s="292"/>
      <c r="EN69" s="292"/>
      <c r="EO69" s="292"/>
      <c r="EP69" s="292"/>
      <c r="EQ69" s="292"/>
      <c r="ER69" s="292"/>
      <c r="ES69" s="292"/>
      <c r="ET69" s="292"/>
      <c r="EU69" s="292"/>
      <c r="EV69" s="292"/>
      <c r="EW69" s="292"/>
      <c r="EX69" s="292"/>
      <c r="EY69" s="292"/>
      <c r="EZ69" s="292"/>
      <c r="FA69" s="292"/>
      <c r="FB69" s="292"/>
      <c r="FC69" s="292"/>
      <c r="FD69" s="292"/>
      <c r="FE69" s="292"/>
      <c r="FF69" s="292"/>
      <c r="FG69" s="292"/>
      <c r="FH69" s="292"/>
      <c r="FI69" s="292"/>
      <c r="FJ69" s="292"/>
      <c r="FK69" s="292"/>
      <c r="FL69" s="292"/>
      <c r="FM69" s="292"/>
      <c r="FN69" s="292"/>
      <c r="FO69" s="292"/>
      <c r="FP69" s="292"/>
      <c r="FQ69" s="292"/>
      <c r="FR69" s="292"/>
      <c r="FS69" s="292"/>
      <c r="FT69" s="292"/>
      <c r="FU69" s="292"/>
      <c r="FV69" s="292"/>
      <c r="FW69" s="292"/>
      <c r="FX69" s="292"/>
      <c r="FY69" s="292"/>
      <c r="FZ69" s="292"/>
      <c r="GA69" s="292"/>
      <c r="GB69" s="292"/>
      <c r="GC69" s="292"/>
      <c r="GD69" s="292"/>
      <c r="GE69" s="292"/>
      <c r="GF69" s="292"/>
      <c r="GG69" s="292"/>
      <c r="GH69" s="292"/>
      <c r="GI69" s="292"/>
      <c r="GJ69" s="292"/>
      <c r="GK69" s="292"/>
      <c r="GL69" s="292"/>
      <c r="GM69" s="292"/>
      <c r="GN69" s="292"/>
      <c r="GO69" s="292"/>
      <c r="GP69" s="292"/>
      <c r="GQ69" s="292"/>
      <c r="GR69" s="292"/>
      <c r="GS69" s="292"/>
      <c r="GT69" s="292"/>
      <c r="GU69" s="292"/>
      <c r="GV69" s="292"/>
      <c r="GW69" s="292"/>
      <c r="GX69" s="292"/>
      <c r="GY69" s="292"/>
      <c r="GZ69" s="292"/>
      <c r="HA69" s="292"/>
      <c r="HB69" s="292"/>
      <c r="HC69" s="292"/>
      <c r="HD69" s="292"/>
      <c r="HE69" s="292"/>
      <c r="HF69" s="292"/>
      <c r="HG69" s="292"/>
      <c r="HH69" s="292"/>
      <c r="HI69" s="292"/>
      <c r="HJ69" s="292"/>
      <c r="HK69" s="292"/>
      <c r="HL69" s="292"/>
      <c r="HM69" s="292"/>
      <c r="HN69" s="292"/>
      <c r="HO69" s="292"/>
      <c r="HP69" s="292"/>
      <c r="HQ69" s="292"/>
      <c r="HR69" s="292"/>
      <c r="HS69" s="292"/>
      <c r="HT69" s="292"/>
      <c r="HU69" s="292"/>
      <c r="HV69" s="292"/>
      <c r="HW69" s="292"/>
      <c r="HX69" s="292"/>
      <c r="HY69" s="292"/>
      <c r="HZ69" s="292"/>
      <c r="IA69" s="292"/>
      <c r="IB69" s="292"/>
      <c r="IC69" s="292"/>
      <c r="ID69" s="292"/>
      <c r="IE69" s="292"/>
      <c r="IF69" s="292"/>
      <c r="IG69" s="292"/>
      <c r="IH69" s="292"/>
      <c r="II69" s="292"/>
      <c r="IJ69" s="292"/>
      <c r="IK69" s="292"/>
      <c r="IL69" s="292"/>
      <c r="IM69" s="292"/>
      <c r="IN69" s="292"/>
      <c r="IO69" s="292"/>
      <c r="IP69" s="292"/>
      <c r="IQ69" s="292"/>
      <c r="IR69" s="292"/>
      <c r="IS69" s="292"/>
      <c r="IT69" s="292"/>
      <c r="IU69" s="292"/>
      <c r="IV69" s="292"/>
      <c r="IW69" s="292"/>
      <c r="IX69" s="292"/>
      <c r="IY69" s="292"/>
      <c r="IZ69" s="292"/>
      <c r="JA69" s="292"/>
      <c r="JB69" s="292"/>
      <c r="JC69" s="292"/>
      <c r="JD69" s="292"/>
      <c r="JE69" s="292"/>
      <c r="JF69" s="292"/>
      <c r="JG69" s="292"/>
      <c r="JH69" s="292"/>
      <c r="JI69" s="292"/>
      <c r="JJ69" s="292"/>
      <c r="JK69" s="292"/>
      <c r="JL69" s="292"/>
      <c r="JM69" s="292"/>
      <c r="JN69" s="292"/>
      <c r="JO69" s="292"/>
      <c r="JP69" s="292"/>
      <c r="JQ69" s="292"/>
      <c r="JR69" s="292"/>
      <c r="JS69" s="292"/>
      <c r="JT69" s="292"/>
      <c r="JU69" s="292"/>
      <c r="JV69" s="292"/>
      <c r="JW69" s="292"/>
      <c r="JX69" s="292"/>
      <c r="JY69" s="292"/>
      <c r="JZ69" s="292"/>
      <c r="KA69" s="292"/>
      <c r="KB69" s="292"/>
      <c r="KC69" s="292"/>
      <c r="KD69" s="292"/>
      <c r="KE69" s="292"/>
      <c r="KF69" s="292"/>
      <c r="KG69" s="292"/>
      <c r="KH69" s="292"/>
      <c r="KI69" s="292"/>
      <c r="KJ69" s="292"/>
      <c r="KK69" s="292"/>
      <c r="KL69" s="292"/>
      <c r="KM69" s="292"/>
      <c r="KN69" s="292"/>
      <c r="KO69" s="292"/>
      <c r="KP69" s="292"/>
      <c r="KQ69" s="292"/>
      <c r="KR69" s="292"/>
      <c r="KS69" s="292"/>
      <c r="KT69" s="292"/>
      <c r="KU69" s="292"/>
      <c r="KV69" s="292"/>
      <c r="KW69" s="292"/>
      <c r="KX69" s="292"/>
      <c r="KY69" s="292"/>
      <c r="KZ69" s="292"/>
      <c r="LA69" s="292"/>
      <c r="LB69" s="292"/>
      <c r="LC69" s="292"/>
      <c r="LD69" s="292"/>
      <c r="LE69" s="292"/>
      <c r="LF69" s="292"/>
      <c r="LG69" s="292"/>
      <c r="LH69" s="292"/>
      <c r="LI69" s="292"/>
      <c r="LJ69" s="292"/>
      <c r="LK69" s="292"/>
      <c r="LL69" s="292"/>
      <c r="LM69" s="292"/>
      <c r="LN69" s="292"/>
      <c r="LO69" s="292"/>
      <c r="LP69" s="292"/>
      <c r="LQ69" s="292"/>
      <c r="LR69" s="292"/>
      <c r="LS69" s="292"/>
      <c r="LT69" s="292"/>
      <c r="LU69" s="292"/>
      <c r="LV69" s="292"/>
      <c r="LW69" s="292"/>
      <c r="LX69" s="292"/>
      <c r="LY69" s="292"/>
      <c r="LZ69" s="292"/>
      <c r="MA69" s="292"/>
      <c r="MB69" s="292"/>
      <c r="MC69" s="292"/>
      <c r="MD69" s="292"/>
      <c r="ME69" s="292"/>
      <c r="MF69" s="292"/>
      <c r="MG69" s="292"/>
      <c r="MH69" s="292"/>
      <c r="MI69" s="292"/>
      <c r="MJ69" s="292"/>
      <c r="MK69" s="292"/>
      <c r="ML69" s="292"/>
      <c r="MM69" s="292"/>
      <c r="MN69" s="292"/>
      <c r="MO69" s="292"/>
      <c r="MP69" s="292"/>
      <c r="MQ69" s="292"/>
      <c r="MR69" s="292"/>
      <c r="MS69" s="292"/>
      <c r="MT69" s="292"/>
      <c r="MU69" s="292"/>
      <c r="MV69" s="292"/>
      <c r="MW69" s="292"/>
      <c r="MX69" s="292"/>
      <c r="MY69" s="292"/>
      <c r="MZ69" s="292"/>
      <c r="NA69" s="292"/>
      <c r="NB69" s="292"/>
      <c r="NC69" s="292"/>
      <c r="ND69" s="292"/>
      <c r="NE69" s="292"/>
      <c r="NF69" s="292"/>
      <c r="NG69" s="292"/>
      <c r="NH69" s="292"/>
      <c r="NI69" s="292"/>
      <c r="NJ69" s="292"/>
      <c r="NK69" s="292"/>
      <c r="NL69" s="292"/>
      <c r="NM69" s="292"/>
      <c r="NN69" s="292"/>
      <c r="NO69" s="292"/>
      <c r="NP69" s="292"/>
      <c r="NQ69" s="292"/>
      <c r="NR69" s="292"/>
      <c r="NS69" s="292"/>
      <c r="NT69" s="292"/>
      <c r="NU69" s="292"/>
      <c r="NV69" s="292"/>
      <c r="NW69" s="292"/>
      <c r="NX69" s="292"/>
      <c r="NY69" s="292"/>
      <c r="NZ69" s="292"/>
      <c r="OA69" s="292"/>
      <c r="OB69" s="292"/>
      <c r="OC69" s="292"/>
      <c r="OD69" s="292"/>
      <c r="OE69" s="292"/>
      <c r="OF69" s="292"/>
      <c r="OG69" s="292"/>
      <c r="OH69" s="292"/>
      <c r="OI69" s="292"/>
      <c r="OJ69" s="292"/>
      <c r="OK69" s="292"/>
      <c r="OL69" s="292"/>
      <c r="OM69" s="292"/>
      <c r="ON69" s="292"/>
      <c r="OO69" s="292"/>
      <c r="OP69" s="292"/>
      <c r="OQ69" s="292"/>
      <c r="OR69" s="292"/>
      <c r="OS69" s="292"/>
      <c r="OT69" s="292"/>
      <c r="OU69" s="292"/>
      <c r="OV69" s="292"/>
      <c r="OW69" s="292"/>
      <c r="OX69" s="292"/>
      <c r="OY69" s="292"/>
      <c r="OZ69" s="292"/>
      <c r="PA69" s="292"/>
      <c r="PB69" s="292"/>
      <c r="PC69" s="292"/>
      <c r="PD69" s="292"/>
      <c r="PE69" s="292"/>
      <c r="PF69" s="292"/>
      <c r="PG69" s="292"/>
      <c r="PH69" s="292"/>
      <c r="PI69" s="292"/>
      <c r="PJ69" s="292"/>
      <c r="PK69" s="292"/>
      <c r="PL69" s="292"/>
      <c r="PM69" s="292"/>
      <c r="PN69" s="292"/>
      <c r="PO69" s="292"/>
      <c r="PP69" s="292"/>
      <c r="PQ69" s="292"/>
      <c r="PR69" s="292"/>
      <c r="PS69" s="292"/>
      <c r="PT69" s="292"/>
      <c r="PU69" s="292"/>
      <c r="PV69" s="292"/>
      <c r="PW69" s="292"/>
      <c r="PX69" s="292"/>
      <c r="PY69" s="292"/>
      <c r="PZ69" s="292"/>
      <c r="QA69" s="292"/>
      <c r="QB69" s="292"/>
      <c r="QC69" s="292"/>
      <c r="QD69" s="292"/>
      <c r="QE69" s="292"/>
      <c r="QF69" s="292"/>
      <c r="QG69" s="292"/>
      <c r="QH69" s="292"/>
      <c r="QI69" s="292"/>
      <c r="QJ69" s="292"/>
      <c r="QK69" s="292"/>
      <c r="QL69" s="292"/>
      <c r="QM69" s="292"/>
      <c r="QN69" s="292"/>
      <c r="QO69" s="292"/>
      <c r="QP69" s="292"/>
      <c r="QQ69" s="292"/>
      <c r="QR69" s="292"/>
      <c r="QS69" s="292"/>
      <c r="QT69" s="292"/>
      <c r="QU69" s="292"/>
      <c r="QV69" s="292"/>
      <c r="QW69" s="292"/>
      <c r="QX69" s="292"/>
      <c r="QY69" s="292"/>
      <c r="QZ69" s="292"/>
      <c r="RA69" s="292"/>
      <c r="RB69" s="292"/>
      <c r="RC69" s="292"/>
      <c r="RD69" s="292"/>
      <c r="RE69" s="292"/>
      <c r="RF69" s="292"/>
      <c r="RG69" s="292"/>
      <c r="RH69" s="292"/>
      <c r="RI69" s="292"/>
      <c r="RJ69" s="292"/>
      <c r="RK69" s="292"/>
      <c r="RL69" s="292"/>
      <c r="RM69" s="292"/>
      <c r="RN69" s="292"/>
      <c r="RO69" s="292"/>
      <c r="RP69" s="292"/>
      <c r="RQ69" s="292"/>
      <c r="RR69" s="292"/>
      <c r="RS69" s="292"/>
      <c r="RT69" s="292"/>
      <c r="RU69" s="292"/>
      <c r="RV69" s="292"/>
      <c r="RW69" s="292"/>
      <c r="RX69" s="292"/>
      <c r="RY69" s="292"/>
      <c r="RZ69" s="292"/>
      <c r="SA69" s="292"/>
      <c r="SB69" s="292"/>
      <c r="SC69" s="292"/>
      <c r="SD69" s="292"/>
      <c r="SE69" s="292"/>
      <c r="SF69" s="292"/>
      <c r="SG69" s="292"/>
      <c r="SH69" s="292"/>
      <c r="SI69" s="292"/>
      <c r="SJ69" s="292"/>
      <c r="SK69" s="292"/>
      <c r="SL69" s="292"/>
      <c r="SM69" s="292"/>
      <c r="SN69" s="292"/>
      <c r="SO69" s="292"/>
      <c r="SP69" s="292"/>
      <c r="SQ69" s="292"/>
      <c r="SR69" s="292"/>
      <c r="SS69" s="292"/>
      <c r="ST69" s="292"/>
      <c r="SU69" s="292"/>
    </row>
    <row r="70" spans="1:515" s="624" customFormat="1" ht="11.5" customHeight="1" x14ac:dyDescent="0.25">
      <c r="A70" s="986"/>
      <c r="B70" s="984"/>
      <c r="C70" s="984"/>
      <c r="D70" s="957"/>
      <c r="E70" s="960"/>
      <c r="F70" s="960"/>
      <c r="G70" s="981"/>
      <c r="H70" s="957"/>
      <c r="I70" s="957"/>
      <c r="J70" s="957"/>
      <c r="K70" s="981"/>
      <c r="L70" s="957"/>
      <c r="M70" s="957"/>
      <c r="N70" s="957"/>
      <c r="O70" s="981"/>
      <c r="P70" s="957"/>
      <c r="Q70" s="957"/>
      <c r="R70" s="957"/>
      <c r="S70" s="981"/>
      <c r="T70" s="957"/>
      <c r="U70" s="1180"/>
      <c r="V70" s="1180"/>
      <c r="W70" s="981"/>
      <c r="X70" s="957"/>
      <c r="Y70" s="1180"/>
      <c r="Z70" s="1180"/>
      <c r="AA70" s="981"/>
      <c r="AB70" s="976"/>
      <c r="AC70" s="957"/>
      <c r="AD70" s="976"/>
      <c r="AE70" s="971"/>
      <c r="AF70" s="292"/>
      <c r="AG70" s="292"/>
      <c r="AH70" s="292"/>
      <c r="AI70" s="292"/>
      <c r="AJ70" s="292"/>
      <c r="AK70" s="292"/>
      <c r="AL70" s="292"/>
      <c r="AM70" s="292"/>
      <c r="AN70" s="292"/>
      <c r="AO70" s="292"/>
      <c r="AP70" s="292"/>
      <c r="AQ70" s="292"/>
      <c r="AR70" s="292"/>
      <c r="AS70" s="292"/>
      <c r="AT70" s="292"/>
      <c r="AU70" s="292"/>
      <c r="AV70" s="292"/>
      <c r="AW70" s="292"/>
      <c r="AX70" s="292"/>
      <c r="AY70" s="292"/>
      <c r="AZ70" s="292"/>
      <c r="BA70" s="292"/>
      <c r="BB70" s="292"/>
      <c r="BC70" s="292"/>
      <c r="BD70" s="292"/>
      <c r="BE70" s="292"/>
      <c r="BF70" s="292"/>
      <c r="BG70" s="292"/>
      <c r="BH70" s="292"/>
      <c r="BI70" s="292"/>
      <c r="BJ70" s="292"/>
      <c r="BK70" s="292"/>
      <c r="BL70" s="292"/>
      <c r="BM70" s="292"/>
      <c r="BN70" s="292"/>
      <c r="BO70" s="292"/>
      <c r="BP70" s="292"/>
      <c r="BQ70" s="292"/>
      <c r="BR70" s="292"/>
      <c r="BS70" s="292"/>
      <c r="BT70" s="292"/>
      <c r="BU70" s="292"/>
      <c r="BV70" s="292"/>
      <c r="BW70" s="292"/>
      <c r="BX70" s="292"/>
      <c r="BY70" s="292"/>
      <c r="BZ70" s="292"/>
      <c r="CA70" s="292"/>
      <c r="CB70" s="292"/>
      <c r="CC70" s="292"/>
      <c r="CD70" s="292"/>
      <c r="CE70" s="292"/>
      <c r="CF70" s="292"/>
      <c r="CG70" s="292"/>
      <c r="CH70" s="292"/>
      <c r="CI70" s="292"/>
      <c r="CJ70" s="292"/>
      <c r="CK70" s="292"/>
      <c r="CL70" s="292"/>
      <c r="CM70" s="292"/>
      <c r="CN70" s="292"/>
      <c r="CO70" s="292"/>
      <c r="CP70" s="292"/>
      <c r="CQ70" s="292"/>
      <c r="CR70" s="292"/>
      <c r="CS70" s="292"/>
      <c r="CT70" s="292"/>
      <c r="CU70" s="292"/>
      <c r="CV70" s="292"/>
      <c r="CW70" s="292"/>
      <c r="CX70" s="292"/>
      <c r="CY70" s="292"/>
      <c r="CZ70" s="292"/>
      <c r="DA70" s="292"/>
      <c r="DB70" s="292"/>
      <c r="DC70" s="292"/>
      <c r="DD70" s="292"/>
      <c r="DE70" s="292"/>
      <c r="DF70" s="292"/>
      <c r="DG70" s="292"/>
      <c r="DH70" s="292"/>
      <c r="DI70" s="292"/>
      <c r="DJ70" s="292"/>
      <c r="DK70" s="292"/>
      <c r="DL70" s="292"/>
      <c r="DM70" s="292"/>
      <c r="DN70" s="292"/>
      <c r="DO70" s="292"/>
      <c r="DP70" s="292"/>
      <c r="DQ70" s="292"/>
      <c r="DR70" s="292"/>
      <c r="DS70" s="292"/>
      <c r="DT70" s="292"/>
      <c r="DU70" s="292"/>
      <c r="DV70" s="292"/>
      <c r="DW70" s="292"/>
      <c r="DX70" s="292"/>
      <c r="DY70" s="292"/>
      <c r="DZ70" s="292"/>
      <c r="EA70" s="292"/>
      <c r="EB70" s="292"/>
      <c r="EC70" s="292"/>
      <c r="ED70" s="292"/>
      <c r="EE70" s="292"/>
      <c r="EF70" s="292"/>
      <c r="EG70" s="292"/>
      <c r="EH70" s="292"/>
      <c r="EI70" s="292"/>
      <c r="EJ70" s="292"/>
      <c r="EK70" s="292"/>
      <c r="EL70" s="292"/>
      <c r="EM70" s="292"/>
      <c r="EN70" s="292"/>
      <c r="EO70" s="292"/>
      <c r="EP70" s="292"/>
      <c r="EQ70" s="292"/>
      <c r="ER70" s="292"/>
      <c r="ES70" s="292"/>
      <c r="ET70" s="292"/>
      <c r="EU70" s="292"/>
      <c r="EV70" s="292"/>
      <c r="EW70" s="292"/>
      <c r="EX70" s="292"/>
      <c r="EY70" s="292"/>
      <c r="EZ70" s="292"/>
      <c r="FA70" s="292"/>
      <c r="FB70" s="292"/>
      <c r="FC70" s="292"/>
      <c r="FD70" s="292"/>
      <c r="FE70" s="292"/>
      <c r="FF70" s="292"/>
      <c r="FG70" s="292"/>
      <c r="FH70" s="292"/>
      <c r="FI70" s="292"/>
      <c r="FJ70" s="292"/>
      <c r="FK70" s="292"/>
      <c r="FL70" s="292"/>
      <c r="FM70" s="292"/>
      <c r="FN70" s="292"/>
      <c r="FO70" s="292"/>
      <c r="FP70" s="292"/>
      <c r="FQ70" s="292"/>
      <c r="FR70" s="292"/>
      <c r="FS70" s="292"/>
      <c r="FT70" s="292"/>
      <c r="FU70" s="292"/>
      <c r="FV70" s="292"/>
      <c r="FW70" s="292"/>
      <c r="FX70" s="292"/>
      <c r="FY70" s="292"/>
      <c r="FZ70" s="292"/>
      <c r="GA70" s="292"/>
      <c r="GB70" s="292"/>
      <c r="GC70" s="292"/>
      <c r="GD70" s="292"/>
      <c r="GE70" s="292"/>
      <c r="GF70" s="292"/>
      <c r="GG70" s="292"/>
      <c r="GH70" s="292"/>
      <c r="GI70" s="292"/>
      <c r="GJ70" s="292"/>
      <c r="GK70" s="292"/>
      <c r="GL70" s="292"/>
      <c r="GM70" s="292"/>
      <c r="GN70" s="292"/>
      <c r="GO70" s="292"/>
      <c r="GP70" s="292"/>
      <c r="GQ70" s="292"/>
      <c r="GR70" s="292"/>
      <c r="GS70" s="292"/>
      <c r="GT70" s="292"/>
      <c r="GU70" s="292"/>
      <c r="GV70" s="292"/>
      <c r="GW70" s="292"/>
      <c r="GX70" s="292"/>
      <c r="GY70" s="292"/>
      <c r="GZ70" s="292"/>
      <c r="HA70" s="292"/>
      <c r="HB70" s="292"/>
      <c r="HC70" s="292"/>
      <c r="HD70" s="292"/>
      <c r="HE70" s="292"/>
      <c r="HF70" s="292"/>
      <c r="HG70" s="292"/>
      <c r="HH70" s="292"/>
      <c r="HI70" s="292"/>
      <c r="HJ70" s="292"/>
      <c r="HK70" s="292"/>
      <c r="HL70" s="292"/>
      <c r="HM70" s="292"/>
      <c r="HN70" s="292"/>
      <c r="HO70" s="292"/>
      <c r="HP70" s="292"/>
      <c r="HQ70" s="292"/>
      <c r="HR70" s="292"/>
      <c r="HS70" s="292"/>
      <c r="HT70" s="292"/>
      <c r="HU70" s="292"/>
      <c r="HV70" s="292"/>
      <c r="HW70" s="292"/>
      <c r="HX70" s="292"/>
      <c r="HY70" s="292"/>
      <c r="HZ70" s="292"/>
      <c r="IA70" s="292"/>
      <c r="IB70" s="292"/>
      <c r="IC70" s="292"/>
      <c r="ID70" s="292"/>
      <c r="IE70" s="292"/>
      <c r="IF70" s="292"/>
      <c r="IG70" s="292"/>
      <c r="IH70" s="292"/>
      <c r="II70" s="292"/>
      <c r="IJ70" s="292"/>
      <c r="IK70" s="292"/>
      <c r="IL70" s="292"/>
      <c r="IM70" s="292"/>
      <c r="IN70" s="292"/>
      <c r="IO70" s="292"/>
      <c r="IP70" s="292"/>
      <c r="IQ70" s="292"/>
      <c r="IR70" s="292"/>
      <c r="IS70" s="292"/>
      <c r="IT70" s="292"/>
      <c r="IU70" s="292"/>
      <c r="IV70" s="292"/>
      <c r="IW70" s="292"/>
      <c r="IX70" s="292"/>
      <c r="IY70" s="292"/>
      <c r="IZ70" s="292"/>
      <c r="JA70" s="292"/>
      <c r="JB70" s="292"/>
      <c r="JC70" s="292"/>
      <c r="JD70" s="292"/>
      <c r="JE70" s="292"/>
      <c r="JF70" s="292"/>
      <c r="JG70" s="292"/>
      <c r="JH70" s="292"/>
      <c r="JI70" s="292"/>
      <c r="JJ70" s="292"/>
      <c r="JK70" s="292"/>
      <c r="JL70" s="292"/>
      <c r="JM70" s="292"/>
      <c r="JN70" s="292"/>
      <c r="JO70" s="292"/>
      <c r="JP70" s="292"/>
      <c r="JQ70" s="292"/>
      <c r="JR70" s="292"/>
      <c r="JS70" s="292"/>
      <c r="JT70" s="292"/>
      <c r="JU70" s="292"/>
      <c r="JV70" s="292"/>
      <c r="JW70" s="292"/>
      <c r="JX70" s="292"/>
      <c r="JY70" s="292"/>
      <c r="JZ70" s="292"/>
      <c r="KA70" s="292"/>
      <c r="KB70" s="292"/>
      <c r="KC70" s="292"/>
      <c r="KD70" s="292"/>
      <c r="KE70" s="292"/>
      <c r="KF70" s="292"/>
      <c r="KG70" s="292"/>
      <c r="KH70" s="292"/>
      <c r="KI70" s="292"/>
      <c r="KJ70" s="292"/>
      <c r="KK70" s="292"/>
      <c r="KL70" s="292"/>
      <c r="KM70" s="292"/>
      <c r="KN70" s="292"/>
      <c r="KO70" s="292"/>
      <c r="KP70" s="292"/>
      <c r="KQ70" s="292"/>
      <c r="KR70" s="292"/>
      <c r="KS70" s="292"/>
      <c r="KT70" s="292"/>
      <c r="KU70" s="292"/>
      <c r="KV70" s="292"/>
      <c r="KW70" s="292"/>
      <c r="KX70" s="292"/>
      <c r="KY70" s="292"/>
      <c r="KZ70" s="292"/>
      <c r="LA70" s="292"/>
      <c r="LB70" s="292"/>
      <c r="LC70" s="292"/>
      <c r="LD70" s="292"/>
      <c r="LE70" s="292"/>
      <c r="LF70" s="292"/>
      <c r="LG70" s="292"/>
      <c r="LH70" s="292"/>
      <c r="LI70" s="292"/>
      <c r="LJ70" s="292"/>
      <c r="LK70" s="292"/>
      <c r="LL70" s="292"/>
      <c r="LM70" s="292"/>
      <c r="LN70" s="292"/>
      <c r="LO70" s="292"/>
      <c r="LP70" s="292"/>
      <c r="LQ70" s="292"/>
      <c r="LR70" s="292"/>
      <c r="LS70" s="292"/>
      <c r="LT70" s="292"/>
      <c r="LU70" s="292"/>
      <c r="LV70" s="292"/>
      <c r="LW70" s="292"/>
      <c r="LX70" s="292"/>
      <c r="LY70" s="292"/>
      <c r="LZ70" s="292"/>
      <c r="MA70" s="292"/>
      <c r="MB70" s="292"/>
      <c r="MC70" s="292"/>
      <c r="MD70" s="292"/>
      <c r="ME70" s="292"/>
      <c r="MF70" s="292"/>
      <c r="MG70" s="292"/>
      <c r="MH70" s="292"/>
      <c r="MI70" s="292"/>
      <c r="MJ70" s="292"/>
      <c r="MK70" s="292"/>
      <c r="ML70" s="292"/>
      <c r="MM70" s="292"/>
      <c r="MN70" s="292"/>
      <c r="MO70" s="292"/>
      <c r="MP70" s="292"/>
      <c r="MQ70" s="292"/>
      <c r="MR70" s="292"/>
      <c r="MS70" s="292"/>
      <c r="MT70" s="292"/>
      <c r="MU70" s="292"/>
      <c r="MV70" s="292"/>
      <c r="MW70" s="292"/>
      <c r="MX70" s="292"/>
      <c r="MY70" s="292"/>
      <c r="MZ70" s="292"/>
      <c r="NA70" s="292"/>
      <c r="NB70" s="292"/>
      <c r="NC70" s="292"/>
      <c r="ND70" s="292"/>
      <c r="NE70" s="292"/>
      <c r="NF70" s="292"/>
      <c r="NG70" s="292"/>
      <c r="NH70" s="292"/>
      <c r="NI70" s="292"/>
      <c r="NJ70" s="292"/>
      <c r="NK70" s="292"/>
      <c r="NL70" s="292"/>
      <c r="NM70" s="292"/>
      <c r="NN70" s="292"/>
      <c r="NO70" s="292"/>
      <c r="NP70" s="292"/>
      <c r="NQ70" s="292"/>
      <c r="NR70" s="292"/>
      <c r="NS70" s="292"/>
      <c r="NT70" s="292"/>
      <c r="NU70" s="292"/>
      <c r="NV70" s="292"/>
      <c r="NW70" s="292"/>
      <c r="NX70" s="292"/>
      <c r="NY70" s="292"/>
      <c r="NZ70" s="292"/>
      <c r="OA70" s="292"/>
      <c r="OB70" s="292"/>
      <c r="OC70" s="292"/>
      <c r="OD70" s="292"/>
      <c r="OE70" s="292"/>
      <c r="OF70" s="292"/>
      <c r="OG70" s="292"/>
      <c r="OH70" s="292"/>
      <c r="OI70" s="292"/>
      <c r="OJ70" s="292"/>
      <c r="OK70" s="292"/>
      <c r="OL70" s="292"/>
      <c r="OM70" s="292"/>
      <c r="ON70" s="292"/>
      <c r="OO70" s="292"/>
      <c r="OP70" s="292"/>
      <c r="OQ70" s="292"/>
      <c r="OR70" s="292"/>
      <c r="OS70" s="292"/>
      <c r="OT70" s="292"/>
      <c r="OU70" s="292"/>
      <c r="OV70" s="292"/>
      <c r="OW70" s="292"/>
      <c r="OX70" s="292"/>
      <c r="OY70" s="292"/>
      <c r="OZ70" s="292"/>
      <c r="PA70" s="292"/>
      <c r="PB70" s="292"/>
      <c r="PC70" s="292"/>
      <c r="PD70" s="292"/>
      <c r="PE70" s="292"/>
      <c r="PF70" s="292"/>
      <c r="PG70" s="292"/>
      <c r="PH70" s="292"/>
      <c r="PI70" s="292"/>
      <c r="PJ70" s="292"/>
      <c r="PK70" s="292"/>
      <c r="PL70" s="292"/>
      <c r="PM70" s="292"/>
      <c r="PN70" s="292"/>
      <c r="PO70" s="292"/>
      <c r="PP70" s="292"/>
      <c r="PQ70" s="292"/>
      <c r="PR70" s="292"/>
      <c r="PS70" s="292"/>
      <c r="PT70" s="292"/>
      <c r="PU70" s="292"/>
      <c r="PV70" s="292"/>
      <c r="PW70" s="292"/>
      <c r="PX70" s="292"/>
      <c r="PY70" s="292"/>
      <c r="PZ70" s="292"/>
      <c r="QA70" s="292"/>
      <c r="QB70" s="292"/>
      <c r="QC70" s="292"/>
      <c r="QD70" s="292"/>
      <c r="QE70" s="292"/>
      <c r="QF70" s="292"/>
      <c r="QG70" s="292"/>
      <c r="QH70" s="292"/>
      <c r="QI70" s="292"/>
      <c r="QJ70" s="292"/>
      <c r="QK70" s="292"/>
      <c r="QL70" s="292"/>
      <c r="QM70" s="292"/>
      <c r="QN70" s="292"/>
      <c r="QO70" s="292"/>
      <c r="QP70" s="292"/>
      <c r="QQ70" s="292"/>
      <c r="QR70" s="292"/>
      <c r="QS70" s="292"/>
      <c r="QT70" s="292"/>
      <c r="QU70" s="292"/>
      <c r="QV70" s="292"/>
      <c r="QW70" s="292"/>
      <c r="QX70" s="292"/>
      <c r="QY70" s="292"/>
      <c r="QZ70" s="292"/>
      <c r="RA70" s="292"/>
      <c r="RB70" s="292"/>
      <c r="RC70" s="292"/>
      <c r="RD70" s="292"/>
      <c r="RE70" s="292"/>
      <c r="RF70" s="292"/>
      <c r="RG70" s="292"/>
      <c r="RH70" s="292"/>
      <c r="RI70" s="292"/>
      <c r="RJ70" s="292"/>
      <c r="RK70" s="292"/>
      <c r="RL70" s="292"/>
      <c r="RM70" s="292"/>
      <c r="RN70" s="292"/>
      <c r="RO70" s="292"/>
      <c r="RP70" s="292"/>
      <c r="RQ70" s="292"/>
      <c r="RR70" s="292"/>
      <c r="RS70" s="292"/>
      <c r="RT70" s="292"/>
      <c r="RU70" s="292"/>
      <c r="RV70" s="292"/>
      <c r="RW70" s="292"/>
      <c r="RX70" s="292"/>
      <c r="RY70" s="292"/>
      <c r="RZ70" s="292"/>
      <c r="SA70" s="292"/>
      <c r="SB70" s="292"/>
      <c r="SC70" s="292"/>
      <c r="SD70" s="292"/>
      <c r="SE70" s="292"/>
      <c r="SF70" s="292"/>
      <c r="SG70" s="292"/>
      <c r="SH70" s="292"/>
      <c r="SI70" s="292"/>
      <c r="SJ70" s="292"/>
      <c r="SK70" s="292"/>
      <c r="SL70" s="292"/>
      <c r="SM70" s="292"/>
      <c r="SN70" s="292"/>
      <c r="SO70" s="292"/>
      <c r="SP70" s="292"/>
      <c r="SQ70" s="292"/>
      <c r="SR70" s="292"/>
      <c r="SS70" s="292"/>
      <c r="ST70" s="292"/>
      <c r="SU70" s="292"/>
    </row>
    <row r="71" spans="1:515" s="624" customFormat="1" ht="20.5" customHeight="1" x14ac:dyDescent="0.25">
      <c r="A71" s="986"/>
      <c r="B71" s="984"/>
      <c r="C71" s="984"/>
      <c r="D71" s="957"/>
      <c r="E71" s="1294" t="s">
        <v>374</v>
      </c>
      <c r="F71" s="1294"/>
      <c r="G71" s="1294"/>
      <c r="H71" s="957"/>
      <c r="I71" s="1294" t="s">
        <v>374</v>
      </c>
      <c r="J71" s="1294"/>
      <c r="K71" s="1294"/>
      <c r="L71" s="957"/>
      <c r="M71" s="1294" t="s">
        <v>374</v>
      </c>
      <c r="N71" s="1294"/>
      <c r="O71" s="1294"/>
      <c r="P71" s="957"/>
      <c r="Q71" s="1294" t="s">
        <v>374</v>
      </c>
      <c r="R71" s="1294"/>
      <c r="S71" s="1294"/>
      <c r="T71" s="957"/>
      <c r="U71" s="1294" t="s">
        <v>374</v>
      </c>
      <c r="V71" s="1294"/>
      <c r="W71" s="1294"/>
      <c r="X71" s="957"/>
      <c r="Y71" s="1294" t="s">
        <v>374</v>
      </c>
      <c r="Z71" s="1294"/>
      <c r="AA71" s="1294"/>
      <c r="AB71" s="976"/>
      <c r="AC71" s="957"/>
      <c r="AD71" s="1145" t="s">
        <v>374</v>
      </c>
      <c r="AE71" s="971"/>
      <c r="AF71" s="292"/>
      <c r="AG71" s="292"/>
      <c r="AH71" s="292"/>
      <c r="AI71" s="292"/>
      <c r="AJ71" s="292"/>
      <c r="AK71" s="292"/>
      <c r="AL71" s="292"/>
      <c r="AM71" s="292"/>
      <c r="AN71" s="292"/>
      <c r="AO71" s="292"/>
      <c r="AP71" s="292"/>
      <c r="AQ71" s="292"/>
      <c r="AR71" s="292"/>
      <c r="AS71" s="292"/>
      <c r="AT71" s="292"/>
      <c r="AU71" s="292"/>
      <c r="AV71" s="292"/>
      <c r="AW71" s="292"/>
      <c r="AX71" s="292"/>
      <c r="AY71" s="292"/>
      <c r="AZ71" s="292"/>
      <c r="BA71" s="292"/>
      <c r="BB71" s="292"/>
      <c r="BC71" s="292"/>
      <c r="BD71" s="292"/>
      <c r="BE71" s="292"/>
      <c r="BF71" s="292"/>
      <c r="BG71" s="292"/>
      <c r="BH71" s="292"/>
      <c r="BI71" s="292"/>
      <c r="BJ71" s="292"/>
      <c r="BK71" s="292"/>
      <c r="BL71" s="292"/>
      <c r="BM71" s="292"/>
      <c r="BN71" s="292"/>
      <c r="BO71" s="292"/>
      <c r="BP71" s="292"/>
      <c r="BQ71" s="292"/>
      <c r="BR71" s="292"/>
      <c r="BS71" s="292"/>
      <c r="BT71" s="292"/>
      <c r="BU71" s="292"/>
      <c r="BV71" s="292"/>
      <c r="BW71" s="292"/>
      <c r="BX71" s="292"/>
      <c r="BY71" s="292"/>
      <c r="BZ71" s="292"/>
      <c r="CA71" s="292"/>
      <c r="CB71" s="292"/>
      <c r="CC71" s="292"/>
      <c r="CD71" s="292"/>
      <c r="CE71" s="292"/>
      <c r="CF71" s="292"/>
      <c r="CG71" s="292"/>
      <c r="CH71" s="292"/>
      <c r="CI71" s="292"/>
      <c r="CJ71" s="292"/>
      <c r="CK71" s="292"/>
      <c r="CL71" s="292"/>
      <c r="CM71" s="292"/>
      <c r="CN71" s="292"/>
      <c r="CO71" s="292"/>
      <c r="CP71" s="292"/>
      <c r="CQ71" s="292"/>
      <c r="CR71" s="292"/>
      <c r="CS71" s="292"/>
      <c r="CT71" s="292"/>
      <c r="CU71" s="292"/>
      <c r="CV71" s="292"/>
      <c r="CW71" s="292"/>
      <c r="CX71" s="292"/>
      <c r="CY71" s="292"/>
      <c r="CZ71" s="292"/>
      <c r="DA71" s="292"/>
      <c r="DB71" s="292"/>
      <c r="DC71" s="292"/>
      <c r="DD71" s="292"/>
      <c r="DE71" s="292"/>
      <c r="DF71" s="292"/>
      <c r="DG71" s="292"/>
      <c r="DH71" s="292"/>
      <c r="DI71" s="292"/>
      <c r="DJ71" s="292"/>
      <c r="DK71" s="292"/>
      <c r="DL71" s="292"/>
      <c r="DM71" s="292"/>
      <c r="DN71" s="292"/>
      <c r="DO71" s="292"/>
      <c r="DP71" s="292"/>
      <c r="DQ71" s="292"/>
      <c r="DR71" s="292"/>
      <c r="DS71" s="292"/>
      <c r="DT71" s="292"/>
      <c r="DU71" s="292"/>
      <c r="DV71" s="292"/>
      <c r="DW71" s="292"/>
      <c r="DX71" s="292"/>
      <c r="DY71" s="292"/>
      <c r="DZ71" s="292"/>
      <c r="EA71" s="292"/>
      <c r="EB71" s="292"/>
      <c r="EC71" s="292"/>
      <c r="ED71" s="292"/>
      <c r="EE71" s="292"/>
      <c r="EF71" s="292"/>
      <c r="EG71" s="292"/>
      <c r="EH71" s="292"/>
      <c r="EI71" s="292"/>
      <c r="EJ71" s="292"/>
      <c r="EK71" s="292"/>
      <c r="EL71" s="292"/>
      <c r="EM71" s="292"/>
      <c r="EN71" s="292"/>
      <c r="EO71" s="292"/>
      <c r="EP71" s="292"/>
      <c r="EQ71" s="292"/>
      <c r="ER71" s="292"/>
      <c r="ES71" s="292"/>
      <c r="ET71" s="292"/>
      <c r="EU71" s="292"/>
      <c r="EV71" s="292"/>
      <c r="EW71" s="292"/>
      <c r="EX71" s="292"/>
      <c r="EY71" s="292"/>
      <c r="EZ71" s="292"/>
      <c r="FA71" s="292"/>
      <c r="FB71" s="292"/>
      <c r="FC71" s="292"/>
      <c r="FD71" s="292"/>
      <c r="FE71" s="292"/>
      <c r="FF71" s="292"/>
      <c r="FG71" s="292"/>
      <c r="FH71" s="292"/>
      <c r="FI71" s="292"/>
      <c r="FJ71" s="292"/>
      <c r="FK71" s="292"/>
      <c r="FL71" s="292"/>
      <c r="FM71" s="292"/>
      <c r="FN71" s="292"/>
      <c r="FO71" s="292"/>
      <c r="FP71" s="292"/>
      <c r="FQ71" s="292"/>
      <c r="FR71" s="292"/>
      <c r="FS71" s="292"/>
      <c r="FT71" s="292"/>
      <c r="FU71" s="292"/>
      <c r="FV71" s="292"/>
      <c r="FW71" s="292"/>
      <c r="FX71" s="292"/>
      <c r="FY71" s="292"/>
      <c r="FZ71" s="292"/>
      <c r="GA71" s="292"/>
      <c r="GB71" s="292"/>
      <c r="GC71" s="292"/>
      <c r="GD71" s="292"/>
      <c r="GE71" s="292"/>
      <c r="GF71" s="292"/>
      <c r="GG71" s="292"/>
      <c r="GH71" s="292"/>
      <c r="GI71" s="292"/>
      <c r="GJ71" s="292"/>
      <c r="GK71" s="292"/>
      <c r="GL71" s="292"/>
      <c r="GM71" s="292"/>
      <c r="GN71" s="292"/>
      <c r="GO71" s="292"/>
      <c r="GP71" s="292"/>
      <c r="GQ71" s="292"/>
      <c r="GR71" s="292"/>
      <c r="GS71" s="292"/>
      <c r="GT71" s="292"/>
      <c r="GU71" s="292"/>
      <c r="GV71" s="292"/>
      <c r="GW71" s="292"/>
      <c r="GX71" s="292"/>
      <c r="GY71" s="292"/>
      <c r="GZ71" s="292"/>
      <c r="HA71" s="292"/>
      <c r="HB71" s="292"/>
      <c r="HC71" s="292"/>
      <c r="HD71" s="292"/>
      <c r="HE71" s="292"/>
      <c r="HF71" s="292"/>
      <c r="HG71" s="292"/>
      <c r="HH71" s="292"/>
      <c r="HI71" s="292"/>
      <c r="HJ71" s="292"/>
      <c r="HK71" s="292"/>
      <c r="HL71" s="292"/>
      <c r="HM71" s="292"/>
      <c r="HN71" s="292"/>
      <c r="HO71" s="292"/>
      <c r="HP71" s="292"/>
      <c r="HQ71" s="292"/>
      <c r="HR71" s="292"/>
      <c r="HS71" s="292"/>
      <c r="HT71" s="292"/>
      <c r="HU71" s="292"/>
      <c r="HV71" s="292"/>
      <c r="HW71" s="292"/>
      <c r="HX71" s="292"/>
      <c r="HY71" s="292"/>
      <c r="HZ71" s="292"/>
      <c r="IA71" s="292"/>
      <c r="IB71" s="292"/>
      <c r="IC71" s="292"/>
      <c r="ID71" s="292"/>
      <c r="IE71" s="292"/>
      <c r="IF71" s="292"/>
      <c r="IG71" s="292"/>
      <c r="IH71" s="292"/>
      <c r="II71" s="292"/>
      <c r="IJ71" s="292"/>
      <c r="IK71" s="292"/>
      <c r="IL71" s="292"/>
      <c r="IM71" s="292"/>
      <c r="IN71" s="292"/>
      <c r="IO71" s="292"/>
      <c r="IP71" s="292"/>
      <c r="IQ71" s="292"/>
      <c r="IR71" s="292"/>
      <c r="IS71" s="292"/>
      <c r="IT71" s="292"/>
      <c r="IU71" s="292"/>
      <c r="IV71" s="292"/>
      <c r="IW71" s="292"/>
      <c r="IX71" s="292"/>
      <c r="IY71" s="292"/>
      <c r="IZ71" s="292"/>
      <c r="JA71" s="292"/>
      <c r="JB71" s="292"/>
      <c r="JC71" s="292"/>
      <c r="JD71" s="292"/>
      <c r="JE71" s="292"/>
      <c r="JF71" s="292"/>
      <c r="JG71" s="292"/>
      <c r="JH71" s="292"/>
      <c r="JI71" s="292"/>
      <c r="JJ71" s="292"/>
      <c r="JK71" s="292"/>
      <c r="JL71" s="292"/>
      <c r="JM71" s="292"/>
      <c r="JN71" s="292"/>
      <c r="JO71" s="292"/>
      <c r="JP71" s="292"/>
      <c r="JQ71" s="292"/>
      <c r="JR71" s="292"/>
      <c r="JS71" s="292"/>
      <c r="JT71" s="292"/>
      <c r="JU71" s="292"/>
      <c r="JV71" s="292"/>
      <c r="JW71" s="292"/>
      <c r="JX71" s="292"/>
      <c r="JY71" s="292"/>
      <c r="JZ71" s="292"/>
      <c r="KA71" s="292"/>
      <c r="KB71" s="292"/>
      <c r="KC71" s="292"/>
      <c r="KD71" s="292"/>
      <c r="KE71" s="292"/>
      <c r="KF71" s="292"/>
      <c r="KG71" s="292"/>
      <c r="KH71" s="292"/>
      <c r="KI71" s="292"/>
      <c r="KJ71" s="292"/>
      <c r="KK71" s="292"/>
      <c r="KL71" s="292"/>
      <c r="KM71" s="292"/>
      <c r="KN71" s="292"/>
      <c r="KO71" s="292"/>
      <c r="KP71" s="292"/>
      <c r="KQ71" s="292"/>
      <c r="KR71" s="292"/>
      <c r="KS71" s="292"/>
      <c r="KT71" s="292"/>
      <c r="KU71" s="292"/>
      <c r="KV71" s="292"/>
      <c r="KW71" s="292"/>
      <c r="KX71" s="292"/>
      <c r="KY71" s="292"/>
      <c r="KZ71" s="292"/>
      <c r="LA71" s="292"/>
      <c r="LB71" s="292"/>
      <c r="LC71" s="292"/>
      <c r="LD71" s="292"/>
      <c r="LE71" s="292"/>
      <c r="LF71" s="292"/>
      <c r="LG71" s="292"/>
      <c r="LH71" s="292"/>
      <c r="LI71" s="292"/>
      <c r="LJ71" s="292"/>
      <c r="LK71" s="292"/>
      <c r="LL71" s="292"/>
      <c r="LM71" s="292"/>
      <c r="LN71" s="292"/>
      <c r="LO71" s="292"/>
      <c r="LP71" s="292"/>
      <c r="LQ71" s="292"/>
      <c r="LR71" s="292"/>
      <c r="LS71" s="292"/>
      <c r="LT71" s="292"/>
      <c r="LU71" s="292"/>
      <c r="LV71" s="292"/>
      <c r="LW71" s="292"/>
      <c r="LX71" s="292"/>
      <c r="LY71" s="292"/>
      <c r="LZ71" s="292"/>
      <c r="MA71" s="292"/>
      <c r="MB71" s="292"/>
      <c r="MC71" s="292"/>
      <c r="MD71" s="292"/>
      <c r="ME71" s="292"/>
      <c r="MF71" s="292"/>
      <c r="MG71" s="292"/>
      <c r="MH71" s="292"/>
      <c r="MI71" s="292"/>
      <c r="MJ71" s="292"/>
      <c r="MK71" s="292"/>
      <c r="ML71" s="292"/>
      <c r="MM71" s="292"/>
      <c r="MN71" s="292"/>
      <c r="MO71" s="292"/>
      <c r="MP71" s="292"/>
      <c r="MQ71" s="292"/>
      <c r="MR71" s="292"/>
      <c r="MS71" s="292"/>
      <c r="MT71" s="292"/>
      <c r="MU71" s="292"/>
      <c r="MV71" s="292"/>
      <c r="MW71" s="292"/>
      <c r="MX71" s="292"/>
      <c r="MY71" s="292"/>
      <c r="MZ71" s="292"/>
      <c r="NA71" s="292"/>
      <c r="NB71" s="292"/>
      <c r="NC71" s="292"/>
      <c r="ND71" s="292"/>
      <c r="NE71" s="292"/>
      <c r="NF71" s="292"/>
      <c r="NG71" s="292"/>
      <c r="NH71" s="292"/>
      <c r="NI71" s="292"/>
      <c r="NJ71" s="292"/>
      <c r="NK71" s="292"/>
      <c r="NL71" s="292"/>
      <c r="NM71" s="292"/>
      <c r="NN71" s="292"/>
      <c r="NO71" s="292"/>
      <c r="NP71" s="292"/>
      <c r="NQ71" s="292"/>
      <c r="NR71" s="292"/>
      <c r="NS71" s="292"/>
      <c r="NT71" s="292"/>
      <c r="NU71" s="292"/>
      <c r="NV71" s="292"/>
      <c r="NW71" s="292"/>
      <c r="NX71" s="292"/>
      <c r="NY71" s="292"/>
      <c r="NZ71" s="292"/>
      <c r="OA71" s="292"/>
      <c r="OB71" s="292"/>
      <c r="OC71" s="292"/>
      <c r="OD71" s="292"/>
      <c r="OE71" s="292"/>
      <c r="OF71" s="292"/>
      <c r="OG71" s="292"/>
      <c r="OH71" s="292"/>
      <c r="OI71" s="292"/>
      <c r="OJ71" s="292"/>
      <c r="OK71" s="292"/>
      <c r="OL71" s="292"/>
      <c r="OM71" s="292"/>
      <c r="ON71" s="292"/>
      <c r="OO71" s="292"/>
      <c r="OP71" s="292"/>
      <c r="OQ71" s="292"/>
      <c r="OR71" s="292"/>
      <c r="OS71" s="292"/>
      <c r="OT71" s="292"/>
      <c r="OU71" s="292"/>
      <c r="OV71" s="292"/>
      <c r="OW71" s="292"/>
      <c r="OX71" s="292"/>
      <c r="OY71" s="292"/>
      <c r="OZ71" s="292"/>
      <c r="PA71" s="292"/>
      <c r="PB71" s="292"/>
      <c r="PC71" s="292"/>
      <c r="PD71" s="292"/>
      <c r="PE71" s="292"/>
      <c r="PF71" s="292"/>
      <c r="PG71" s="292"/>
      <c r="PH71" s="292"/>
      <c r="PI71" s="292"/>
      <c r="PJ71" s="292"/>
      <c r="PK71" s="292"/>
      <c r="PL71" s="292"/>
      <c r="PM71" s="292"/>
      <c r="PN71" s="292"/>
      <c r="PO71" s="292"/>
      <c r="PP71" s="292"/>
      <c r="PQ71" s="292"/>
      <c r="PR71" s="292"/>
      <c r="PS71" s="292"/>
      <c r="PT71" s="292"/>
      <c r="PU71" s="292"/>
      <c r="PV71" s="292"/>
      <c r="PW71" s="292"/>
      <c r="PX71" s="292"/>
      <c r="PY71" s="292"/>
      <c r="PZ71" s="292"/>
      <c r="QA71" s="292"/>
      <c r="QB71" s="292"/>
      <c r="QC71" s="292"/>
      <c r="QD71" s="292"/>
      <c r="QE71" s="292"/>
      <c r="QF71" s="292"/>
      <c r="QG71" s="292"/>
      <c r="QH71" s="292"/>
      <c r="QI71" s="292"/>
      <c r="QJ71" s="292"/>
      <c r="QK71" s="292"/>
      <c r="QL71" s="292"/>
      <c r="QM71" s="292"/>
      <c r="QN71" s="292"/>
      <c r="QO71" s="292"/>
      <c r="QP71" s="292"/>
      <c r="QQ71" s="292"/>
      <c r="QR71" s="292"/>
      <c r="QS71" s="292"/>
      <c r="QT71" s="292"/>
      <c r="QU71" s="292"/>
      <c r="QV71" s="292"/>
      <c r="QW71" s="292"/>
      <c r="QX71" s="292"/>
      <c r="QY71" s="292"/>
      <c r="QZ71" s="292"/>
      <c r="RA71" s="292"/>
      <c r="RB71" s="292"/>
      <c r="RC71" s="292"/>
      <c r="RD71" s="292"/>
      <c r="RE71" s="292"/>
      <c r="RF71" s="292"/>
      <c r="RG71" s="292"/>
      <c r="RH71" s="292"/>
      <c r="RI71" s="292"/>
      <c r="RJ71" s="292"/>
      <c r="RK71" s="292"/>
      <c r="RL71" s="292"/>
      <c r="RM71" s="292"/>
      <c r="RN71" s="292"/>
      <c r="RO71" s="292"/>
      <c r="RP71" s="292"/>
      <c r="RQ71" s="292"/>
      <c r="RR71" s="292"/>
      <c r="RS71" s="292"/>
      <c r="RT71" s="292"/>
      <c r="RU71" s="292"/>
      <c r="RV71" s="292"/>
      <c r="RW71" s="292"/>
      <c r="RX71" s="292"/>
      <c r="RY71" s="292"/>
      <c r="RZ71" s="292"/>
      <c r="SA71" s="292"/>
      <c r="SB71" s="292"/>
      <c r="SC71" s="292"/>
      <c r="SD71" s="292"/>
      <c r="SE71" s="292"/>
      <c r="SF71" s="292"/>
      <c r="SG71" s="292"/>
      <c r="SH71" s="292"/>
      <c r="SI71" s="292"/>
      <c r="SJ71" s="292"/>
      <c r="SK71" s="292"/>
      <c r="SL71" s="292"/>
      <c r="SM71" s="292"/>
      <c r="SN71" s="292"/>
      <c r="SO71" s="292"/>
      <c r="SP71" s="292"/>
      <c r="SQ71" s="292"/>
      <c r="SR71" s="292"/>
      <c r="SS71" s="292"/>
      <c r="ST71" s="292"/>
      <c r="SU71" s="292"/>
    </row>
    <row r="72" spans="1:515" s="538" customFormat="1" ht="23.15" customHeight="1" x14ac:dyDescent="0.25">
      <c r="A72" s="1323" t="s">
        <v>375</v>
      </c>
      <c r="B72" s="1324"/>
      <c r="C72" s="1324"/>
      <c r="D72" s="957"/>
      <c r="E72" s="1296">
        <f>E63+G68</f>
        <v>0</v>
      </c>
      <c r="F72" s="1296"/>
      <c r="G72" s="1296"/>
      <c r="H72" s="957"/>
      <c r="I72" s="1296">
        <f>I63+K68</f>
        <v>0</v>
      </c>
      <c r="J72" s="1296"/>
      <c r="K72" s="1296"/>
      <c r="L72" s="957"/>
      <c r="M72" s="1296">
        <f>M63+O68</f>
        <v>0</v>
      </c>
      <c r="N72" s="1296"/>
      <c r="O72" s="1296"/>
      <c r="P72" s="957"/>
      <c r="Q72" s="1296">
        <f>Q63+S68</f>
        <v>0</v>
      </c>
      <c r="R72" s="1296"/>
      <c r="S72" s="1296"/>
      <c r="T72" s="957"/>
      <c r="U72" s="1296">
        <f>U63+W68</f>
        <v>0</v>
      </c>
      <c r="V72" s="1296"/>
      <c r="W72" s="1296"/>
      <c r="X72" s="957"/>
      <c r="Y72" s="1296">
        <f>Y63+AA68</f>
        <v>0</v>
      </c>
      <c r="Z72" s="1296"/>
      <c r="AA72" s="1296"/>
      <c r="AB72" s="976"/>
      <c r="AC72" s="1144"/>
      <c r="AD72" s="1176">
        <f>E72+I72+M72+Q72+U72+Y72</f>
        <v>0</v>
      </c>
      <c r="AE72" s="971"/>
      <c r="AF72" s="292"/>
      <c r="AG72" s="292"/>
      <c r="AH72" s="292"/>
      <c r="AI72" s="292"/>
      <c r="AJ72" s="292"/>
      <c r="AK72" s="292"/>
      <c r="AL72" s="292"/>
      <c r="AM72" s="292"/>
      <c r="AN72" s="292"/>
      <c r="AO72" s="292"/>
      <c r="AP72" s="292"/>
      <c r="AQ72" s="292"/>
      <c r="AR72" s="292"/>
      <c r="AS72" s="292"/>
      <c r="AT72" s="292"/>
      <c r="AU72" s="292"/>
      <c r="AV72" s="292"/>
      <c r="AW72" s="292"/>
      <c r="AX72" s="292"/>
      <c r="AY72" s="292"/>
      <c r="AZ72" s="292"/>
      <c r="BA72" s="292"/>
      <c r="BB72" s="292"/>
      <c r="BC72" s="292"/>
      <c r="BD72" s="292"/>
      <c r="BE72" s="292"/>
      <c r="BF72" s="292"/>
      <c r="BG72" s="292"/>
      <c r="BH72" s="292"/>
      <c r="BI72" s="292"/>
      <c r="BJ72" s="292"/>
      <c r="BK72" s="292"/>
      <c r="BL72" s="292"/>
      <c r="BM72" s="292"/>
      <c r="BN72" s="292"/>
      <c r="BO72" s="292"/>
      <c r="BP72" s="292"/>
      <c r="BQ72" s="292"/>
      <c r="BR72" s="292"/>
      <c r="BS72" s="292"/>
      <c r="BT72" s="292"/>
      <c r="BU72" s="292"/>
      <c r="BV72" s="292"/>
      <c r="BW72" s="292"/>
      <c r="BX72" s="292"/>
      <c r="BY72" s="292"/>
      <c r="BZ72" s="292"/>
      <c r="CA72" s="292"/>
      <c r="CB72" s="292"/>
      <c r="CC72" s="292"/>
      <c r="CD72" s="292"/>
      <c r="CE72" s="292"/>
      <c r="CF72" s="292"/>
      <c r="CG72" s="292"/>
      <c r="CH72" s="292"/>
      <c r="CI72" s="292"/>
      <c r="CJ72" s="292"/>
      <c r="CK72" s="292"/>
      <c r="CL72" s="292"/>
      <c r="CM72" s="292"/>
      <c r="CN72" s="292"/>
      <c r="CO72" s="292"/>
      <c r="CP72" s="292"/>
      <c r="CQ72" s="292"/>
      <c r="CR72" s="292"/>
      <c r="CS72" s="292"/>
      <c r="CT72" s="292"/>
      <c r="CU72" s="292"/>
      <c r="CV72" s="292"/>
      <c r="CW72" s="292"/>
      <c r="CX72" s="292"/>
      <c r="CY72" s="292"/>
      <c r="CZ72" s="292"/>
      <c r="DA72" s="292"/>
      <c r="DB72" s="292"/>
      <c r="DC72" s="292"/>
      <c r="DD72" s="292"/>
      <c r="DE72" s="292"/>
      <c r="DF72" s="292"/>
      <c r="DG72" s="292"/>
      <c r="DH72" s="292"/>
      <c r="DI72" s="292"/>
      <c r="DJ72" s="292"/>
      <c r="DK72" s="292"/>
      <c r="DL72" s="292"/>
      <c r="DM72" s="292"/>
      <c r="DN72" s="292"/>
      <c r="DO72" s="292"/>
      <c r="DP72" s="292"/>
      <c r="DQ72" s="292"/>
      <c r="DR72" s="292"/>
      <c r="DS72" s="292"/>
      <c r="DT72" s="292"/>
      <c r="DU72" s="292"/>
      <c r="DV72" s="292"/>
      <c r="DW72" s="292"/>
      <c r="DX72" s="292"/>
      <c r="DY72" s="292"/>
      <c r="DZ72" s="292"/>
      <c r="EA72" s="292"/>
      <c r="EB72" s="292"/>
      <c r="EC72" s="292"/>
      <c r="ED72" s="292"/>
      <c r="EE72" s="292"/>
      <c r="EF72" s="292"/>
      <c r="EG72" s="292"/>
      <c r="EH72" s="292"/>
      <c r="EI72" s="292"/>
      <c r="EJ72" s="292"/>
      <c r="EK72" s="292"/>
      <c r="EL72" s="292"/>
      <c r="EM72" s="292"/>
      <c r="EN72" s="292"/>
      <c r="EO72" s="292"/>
      <c r="EP72" s="292"/>
      <c r="EQ72" s="292"/>
      <c r="ER72" s="292"/>
      <c r="ES72" s="292"/>
      <c r="ET72" s="292"/>
      <c r="EU72" s="292"/>
      <c r="EV72" s="292"/>
      <c r="EW72" s="292"/>
      <c r="EX72" s="292"/>
      <c r="EY72" s="292"/>
      <c r="EZ72" s="292"/>
      <c r="FA72" s="292"/>
      <c r="FB72" s="292"/>
      <c r="FC72" s="292"/>
      <c r="FD72" s="292"/>
      <c r="FE72" s="292"/>
      <c r="FF72" s="292"/>
      <c r="FG72" s="292"/>
      <c r="FH72" s="292"/>
      <c r="FI72" s="292"/>
      <c r="FJ72" s="292"/>
      <c r="FK72" s="292"/>
      <c r="FL72" s="292"/>
      <c r="FM72" s="292"/>
      <c r="FN72" s="292"/>
      <c r="FO72" s="292"/>
      <c r="FP72" s="292"/>
      <c r="FQ72" s="292"/>
      <c r="FR72" s="292"/>
      <c r="FS72" s="292"/>
      <c r="FT72" s="292"/>
      <c r="FU72" s="292"/>
      <c r="FV72" s="292"/>
      <c r="FW72" s="292"/>
      <c r="FX72" s="292"/>
      <c r="FY72" s="292"/>
      <c r="FZ72" s="292"/>
      <c r="GA72" s="292"/>
      <c r="GB72" s="292"/>
      <c r="GC72" s="292"/>
      <c r="GD72" s="292"/>
      <c r="GE72" s="292"/>
      <c r="GF72" s="292"/>
      <c r="GG72" s="292"/>
      <c r="GH72" s="292"/>
      <c r="GI72" s="292"/>
      <c r="GJ72" s="292"/>
      <c r="GK72" s="292"/>
      <c r="GL72" s="292"/>
      <c r="GM72" s="292"/>
      <c r="GN72" s="292"/>
      <c r="GO72" s="292"/>
      <c r="GP72" s="292"/>
      <c r="GQ72" s="292"/>
      <c r="GR72" s="292"/>
      <c r="GS72" s="292"/>
      <c r="GT72" s="292"/>
      <c r="GU72" s="292"/>
      <c r="GV72" s="292"/>
      <c r="GW72" s="292"/>
      <c r="GX72" s="292"/>
      <c r="GY72" s="292"/>
      <c r="GZ72" s="292"/>
      <c r="HA72" s="292"/>
      <c r="HB72" s="292"/>
      <c r="HC72" s="292"/>
      <c r="HD72" s="292"/>
      <c r="HE72" s="292"/>
      <c r="HF72" s="292"/>
      <c r="HG72" s="292"/>
      <c r="HH72" s="292"/>
      <c r="HI72" s="292"/>
      <c r="HJ72" s="292"/>
      <c r="HK72" s="292"/>
      <c r="HL72" s="292"/>
      <c r="HM72" s="292"/>
      <c r="HN72" s="292"/>
      <c r="HO72" s="292"/>
      <c r="HP72" s="292"/>
      <c r="HQ72" s="292"/>
      <c r="HR72" s="292"/>
      <c r="HS72" s="292"/>
      <c r="HT72" s="292"/>
      <c r="HU72" s="292"/>
      <c r="HV72" s="292"/>
      <c r="HW72" s="292"/>
      <c r="HX72" s="292"/>
      <c r="HY72" s="292"/>
      <c r="HZ72" s="292"/>
      <c r="IA72" s="292"/>
      <c r="IB72" s="292"/>
      <c r="IC72" s="292"/>
      <c r="ID72" s="292"/>
      <c r="IE72" s="292"/>
      <c r="IF72" s="292"/>
      <c r="IG72" s="292"/>
      <c r="IH72" s="292"/>
      <c r="II72" s="292"/>
      <c r="IJ72" s="292"/>
      <c r="IK72" s="292"/>
      <c r="IL72" s="292"/>
      <c r="IM72" s="292"/>
      <c r="IN72" s="292"/>
      <c r="IO72" s="292"/>
      <c r="IP72" s="292"/>
      <c r="IQ72" s="292"/>
      <c r="IR72" s="292"/>
      <c r="IS72" s="292"/>
      <c r="IT72" s="292"/>
      <c r="IU72" s="292"/>
      <c r="IV72" s="292"/>
      <c r="IW72" s="292"/>
      <c r="IX72" s="292"/>
      <c r="IY72" s="292"/>
      <c r="IZ72" s="292"/>
      <c r="JA72" s="292"/>
      <c r="JB72" s="292"/>
      <c r="JC72" s="292"/>
      <c r="JD72" s="292"/>
      <c r="JE72" s="292"/>
      <c r="JF72" s="292"/>
      <c r="JG72" s="292"/>
      <c r="JH72" s="292"/>
      <c r="JI72" s="292"/>
      <c r="JJ72" s="292"/>
      <c r="JK72" s="292"/>
      <c r="JL72" s="292"/>
      <c r="JM72" s="292"/>
      <c r="JN72" s="292"/>
      <c r="JO72" s="292"/>
      <c r="JP72" s="292"/>
      <c r="JQ72" s="292"/>
      <c r="JR72" s="292"/>
      <c r="JS72" s="292"/>
      <c r="JT72" s="292"/>
      <c r="JU72" s="292"/>
      <c r="JV72" s="292"/>
      <c r="JW72" s="292"/>
      <c r="JX72" s="292"/>
      <c r="JY72" s="292"/>
      <c r="JZ72" s="292"/>
      <c r="KA72" s="292"/>
      <c r="KB72" s="292"/>
      <c r="KC72" s="292"/>
      <c r="KD72" s="292"/>
      <c r="KE72" s="292"/>
      <c r="KF72" s="292"/>
      <c r="KG72" s="292"/>
      <c r="KH72" s="292"/>
      <c r="KI72" s="292"/>
      <c r="KJ72" s="292"/>
      <c r="KK72" s="292"/>
      <c r="KL72" s="292"/>
      <c r="KM72" s="292"/>
      <c r="KN72" s="292"/>
      <c r="KO72" s="292"/>
      <c r="KP72" s="292"/>
      <c r="KQ72" s="292"/>
      <c r="KR72" s="292"/>
      <c r="KS72" s="292"/>
      <c r="KT72" s="292"/>
      <c r="KU72" s="292"/>
      <c r="KV72" s="292"/>
      <c r="KW72" s="292"/>
      <c r="KX72" s="292"/>
      <c r="KY72" s="292"/>
      <c r="KZ72" s="292"/>
      <c r="LA72" s="292"/>
      <c r="LB72" s="292"/>
      <c r="LC72" s="292"/>
      <c r="LD72" s="292"/>
      <c r="LE72" s="292"/>
      <c r="LF72" s="292"/>
      <c r="LG72" s="292"/>
      <c r="LH72" s="292"/>
      <c r="LI72" s="292"/>
      <c r="LJ72" s="292"/>
      <c r="LK72" s="292"/>
      <c r="LL72" s="292"/>
      <c r="LM72" s="292"/>
      <c r="LN72" s="292"/>
      <c r="LO72" s="292"/>
      <c r="LP72" s="292"/>
      <c r="LQ72" s="292"/>
      <c r="LR72" s="292"/>
      <c r="LS72" s="292"/>
      <c r="LT72" s="292"/>
      <c r="LU72" s="292"/>
      <c r="LV72" s="292"/>
      <c r="LW72" s="292"/>
      <c r="LX72" s="292"/>
      <c r="LY72" s="292"/>
      <c r="LZ72" s="292"/>
      <c r="MA72" s="292"/>
      <c r="MB72" s="292"/>
      <c r="MC72" s="292"/>
      <c r="MD72" s="292"/>
      <c r="ME72" s="292"/>
      <c r="MF72" s="292"/>
      <c r="MG72" s="292"/>
      <c r="MH72" s="292"/>
      <c r="MI72" s="292"/>
      <c r="MJ72" s="292"/>
      <c r="MK72" s="292"/>
      <c r="ML72" s="292"/>
      <c r="MM72" s="292"/>
      <c r="MN72" s="292"/>
      <c r="MO72" s="292"/>
      <c r="MP72" s="292"/>
      <c r="MQ72" s="292"/>
      <c r="MR72" s="292"/>
      <c r="MS72" s="292"/>
      <c r="MT72" s="292"/>
      <c r="MU72" s="292"/>
      <c r="MV72" s="292"/>
      <c r="MW72" s="292"/>
      <c r="MX72" s="292"/>
      <c r="MY72" s="292"/>
      <c r="MZ72" s="292"/>
      <c r="NA72" s="292"/>
      <c r="NB72" s="292"/>
      <c r="NC72" s="292"/>
      <c r="ND72" s="292"/>
      <c r="NE72" s="292"/>
      <c r="NF72" s="292"/>
      <c r="NG72" s="292"/>
      <c r="NH72" s="292"/>
      <c r="NI72" s="292"/>
      <c r="NJ72" s="292"/>
      <c r="NK72" s="292"/>
      <c r="NL72" s="292"/>
      <c r="NM72" s="292"/>
      <c r="NN72" s="292"/>
      <c r="NO72" s="292"/>
      <c r="NP72" s="292"/>
      <c r="NQ72" s="292"/>
      <c r="NR72" s="292"/>
      <c r="NS72" s="292"/>
      <c r="NT72" s="292"/>
      <c r="NU72" s="292"/>
      <c r="NV72" s="292"/>
      <c r="NW72" s="292"/>
      <c r="NX72" s="292"/>
      <c r="NY72" s="292"/>
      <c r="NZ72" s="292"/>
      <c r="OA72" s="292"/>
      <c r="OB72" s="292"/>
      <c r="OC72" s="292"/>
      <c r="OD72" s="292"/>
      <c r="OE72" s="292"/>
      <c r="OF72" s="292"/>
      <c r="OG72" s="292"/>
      <c r="OH72" s="292"/>
      <c r="OI72" s="292"/>
      <c r="OJ72" s="292"/>
      <c r="OK72" s="292"/>
      <c r="OL72" s="292"/>
      <c r="OM72" s="292"/>
      <c r="ON72" s="292"/>
      <c r="OO72" s="292"/>
      <c r="OP72" s="292"/>
      <c r="OQ72" s="292"/>
      <c r="OR72" s="292"/>
      <c r="OS72" s="292"/>
      <c r="OT72" s="292"/>
      <c r="OU72" s="292"/>
      <c r="OV72" s="292"/>
      <c r="OW72" s="292"/>
      <c r="OX72" s="292"/>
      <c r="OY72" s="292"/>
      <c r="OZ72" s="292"/>
      <c r="PA72" s="292"/>
      <c r="PB72" s="292"/>
      <c r="PC72" s="292"/>
      <c r="PD72" s="292"/>
      <c r="PE72" s="292"/>
      <c r="PF72" s="292"/>
      <c r="PG72" s="292"/>
      <c r="PH72" s="292"/>
      <c r="PI72" s="292"/>
      <c r="PJ72" s="292"/>
      <c r="PK72" s="292"/>
      <c r="PL72" s="292"/>
      <c r="PM72" s="292"/>
      <c r="PN72" s="292"/>
      <c r="PO72" s="292"/>
      <c r="PP72" s="292"/>
      <c r="PQ72" s="292"/>
      <c r="PR72" s="292"/>
      <c r="PS72" s="292"/>
      <c r="PT72" s="292"/>
      <c r="PU72" s="292"/>
      <c r="PV72" s="292"/>
      <c r="PW72" s="292"/>
      <c r="PX72" s="292"/>
      <c r="PY72" s="292"/>
      <c r="PZ72" s="292"/>
      <c r="QA72" s="292"/>
      <c r="QB72" s="292"/>
      <c r="QC72" s="292"/>
      <c r="QD72" s="292"/>
      <c r="QE72" s="292"/>
      <c r="QF72" s="292"/>
      <c r="QG72" s="292"/>
      <c r="QH72" s="292"/>
      <c r="QI72" s="292"/>
      <c r="QJ72" s="292"/>
      <c r="QK72" s="292"/>
      <c r="QL72" s="292"/>
      <c r="QM72" s="292"/>
      <c r="QN72" s="292"/>
      <c r="QO72" s="292"/>
      <c r="QP72" s="292"/>
      <c r="QQ72" s="292"/>
      <c r="QR72" s="292"/>
      <c r="QS72" s="292"/>
      <c r="QT72" s="292"/>
      <c r="QU72" s="292"/>
      <c r="QV72" s="292"/>
      <c r="QW72" s="292"/>
      <c r="QX72" s="292"/>
      <c r="QY72" s="292"/>
      <c r="QZ72" s="292"/>
      <c r="RA72" s="292"/>
      <c r="RB72" s="292"/>
      <c r="RC72" s="292"/>
      <c r="RD72" s="292"/>
      <c r="RE72" s="292"/>
      <c r="RF72" s="292"/>
      <c r="RG72" s="292"/>
      <c r="RH72" s="292"/>
      <c r="RI72" s="292"/>
      <c r="RJ72" s="292"/>
      <c r="RK72" s="292"/>
      <c r="RL72" s="292"/>
      <c r="RM72" s="292"/>
      <c r="RN72" s="292"/>
      <c r="RO72" s="292"/>
      <c r="RP72" s="292"/>
      <c r="RQ72" s="292"/>
      <c r="RR72" s="292"/>
      <c r="RS72" s="292"/>
      <c r="RT72" s="292"/>
      <c r="RU72" s="292"/>
      <c r="RV72" s="292"/>
      <c r="RW72" s="292"/>
      <c r="RX72" s="292"/>
      <c r="RY72" s="292"/>
      <c r="RZ72" s="292"/>
      <c r="SA72" s="292"/>
      <c r="SB72" s="292"/>
      <c r="SC72" s="292"/>
      <c r="SD72" s="292"/>
      <c r="SE72" s="292"/>
      <c r="SF72" s="292"/>
      <c r="SG72" s="292"/>
      <c r="SH72" s="292"/>
      <c r="SI72" s="292"/>
      <c r="SJ72" s="292"/>
      <c r="SK72" s="292"/>
      <c r="SL72" s="292"/>
      <c r="SM72" s="292"/>
      <c r="SN72" s="292"/>
      <c r="SO72" s="292"/>
      <c r="SP72" s="292"/>
      <c r="SQ72" s="292"/>
      <c r="SR72" s="292"/>
      <c r="SS72" s="292"/>
      <c r="ST72" s="292"/>
      <c r="SU72" s="292"/>
    </row>
    <row r="73" spans="1:515" s="538" customFormat="1" ht="15" customHeight="1" x14ac:dyDescent="0.25">
      <c r="A73" s="986"/>
      <c r="B73" s="984"/>
      <c r="C73" s="984"/>
      <c r="D73" s="957"/>
      <c r="E73" s="981"/>
      <c r="F73" s="981"/>
      <c r="G73" s="981"/>
      <c r="H73" s="957"/>
      <c r="I73" s="981"/>
      <c r="J73" s="981"/>
      <c r="K73" s="981"/>
      <c r="L73" s="957"/>
      <c r="M73" s="981"/>
      <c r="N73" s="981"/>
      <c r="O73" s="981"/>
      <c r="P73" s="957"/>
      <c r="Q73" s="981"/>
      <c r="R73" s="981"/>
      <c r="S73" s="981"/>
      <c r="T73" s="957"/>
      <c r="U73" s="981"/>
      <c r="V73" s="981"/>
      <c r="W73" s="981"/>
      <c r="X73" s="957"/>
      <c r="Y73" s="981"/>
      <c r="Z73" s="981"/>
      <c r="AA73" s="981"/>
      <c r="AB73" s="976"/>
      <c r="AC73" s="1144"/>
      <c r="AD73" s="981"/>
      <c r="AE73" s="971"/>
      <c r="AF73" s="292"/>
      <c r="AG73" s="292"/>
      <c r="AH73" s="292"/>
      <c r="AI73" s="292"/>
      <c r="AJ73" s="292"/>
      <c r="AK73" s="292"/>
      <c r="AL73" s="292"/>
      <c r="AM73" s="292"/>
      <c r="AN73" s="292"/>
      <c r="AO73" s="292"/>
      <c r="AP73" s="292"/>
      <c r="AQ73" s="292"/>
      <c r="AR73" s="292"/>
      <c r="AS73" s="292"/>
      <c r="AT73" s="292"/>
      <c r="AU73" s="292"/>
      <c r="AV73" s="292"/>
      <c r="AW73" s="292"/>
      <c r="AX73" s="292"/>
      <c r="AY73" s="292"/>
      <c r="AZ73" s="292"/>
      <c r="BA73" s="292"/>
      <c r="BB73" s="292"/>
      <c r="BC73" s="292"/>
      <c r="BD73" s="292"/>
      <c r="BE73" s="292"/>
      <c r="BF73" s="292"/>
      <c r="BG73" s="292"/>
      <c r="BH73" s="292"/>
      <c r="BI73" s="292"/>
      <c r="BJ73" s="292"/>
      <c r="BK73" s="292"/>
      <c r="BL73" s="292"/>
      <c r="BM73" s="292"/>
      <c r="BN73" s="292"/>
      <c r="BO73" s="292"/>
      <c r="BP73" s="292"/>
      <c r="BQ73" s="292"/>
      <c r="BR73" s="292"/>
      <c r="BS73" s="292"/>
      <c r="BT73" s="292"/>
      <c r="BU73" s="292"/>
      <c r="BV73" s="292"/>
      <c r="BW73" s="292"/>
      <c r="BX73" s="292"/>
      <c r="BY73" s="292"/>
      <c r="BZ73" s="292"/>
      <c r="CA73" s="292"/>
      <c r="CB73" s="292"/>
      <c r="CC73" s="292"/>
      <c r="CD73" s="292"/>
      <c r="CE73" s="292"/>
      <c r="CF73" s="292"/>
      <c r="CG73" s="292"/>
      <c r="CH73" s="292"/>
      <c r="CI73" s="292"/>
      <c r="CJ73" s="292"/>
      <c r="CK73" s="292"/>
      <c r="CL73" s="292"/>
      <c r="CM73" s="292"/>
      <c r="CN73" s="292"/>
      <c r="CO73" s="292"/>
      <c r="CP73" s="292"/>
      <c r="CQ73" s="292"/>
      <c r="CR73" s="292"/>
      <c r="CS73" s="292"/>
      <c r="CT73" s="292"/>
      <c r="CU73" s="292"/>
      <c r="CV73" s="292"/>
      <c r="CW73" s="292"/>
      <c r="CX73" s="292"/>
      <c r="CY73" s="292"/>
      <c r="CZ73" s="292"/>
      <c r="DA73" s="292"/>
      <c r="DB73" s="292"/>
      <c r="DC73" s="292"/>
      <c r="DD73" s="292"/>
      <c r="DE73" s="292"/>
      <c r="DF73" s="292"/>
      <c r="DG73" s="292"/>
      <c r="DH73" s="292"/>
      <c r="DI73" s="292"/>
      <c r="DJ73" s="292"/>
      <c r="DK73" s="292"/>
      <c r="DL73" s="292"/>
      <c r="DM73" s="292"/>
      <c r="DN73" s="292"/>
      <c r="DO73" s="292"/>
      <c r="DP73" s="292"/>
      <c r="DQ73" s="292"/>
      <c r="DR73" s="292"/>
      <c r="DS73" s="292"/>
      <c r="DT73" s="292"/>
      <c r="DU73" s="292"/>
      <c r="DV73" s="292"/>
      <c r="DW73" s="292"/>
      <c r="DX73" s="292"/>
      <c r="DY73" s="292"/>
      <c r="DZ73" s="292"/>
      <c r="EA73" s="292"/>
      <c r="EB73" s="292"/>
      <c r="EC73" s="292"/>
      <c r="ED73" s="292"/>
      <c r="EE73" s="292"/>
      <c r="EF73" s="292"/>
      <c r="EG73" s="292"/>
      <c r="EH73" s="292"/>
      <c r="EI73" s="292"/>
      <c r="EJ73" s="292"/>
      <c r="EK73" s="292"/>
      <c r="EL73" s="292"/>
      <c r="EM73" s="292"/>
      <c r="EN73" s="292"/>
      <c r="EO73" s="292"/>
      <c r="EP73" s="292"/>
      <c r="EQ73" s="292"/>
      <c r="ER73" s="292"/>
      <c r="ES73" s="292"/>
      <c r="ET73" s="292"/>
      <c r="EU73" s="292"/>
      <c r="EV73" s="292"/>
      <c r="EW73" s="292"/>
      <c r="EX73" s="292"/>
      <c r="EY73" s="292"/>
      <c r="EZ73" s="292"/>
      <c r="FA73" s="292"/>
      <c r="FB73" s="292"/>
      <c r="FC73" s="292"/>
      <c r="FD73" s="292"/>
      <c r="FE73" s="292"/>
      <c r="FF73" s="292"/>
      <c r="FG73" s="292"/>
      <c r="FH73" s="292"/>
      <c r="FI73" s="292"/>
      <c r="FJ73" s="292"/>
      <c r="FK73" s="292"/>
      <c r="FL73" s="292"/>
      <c r="FM73" s="292"/>
      <c r="FN73" s="292"/>
      <c r="FO73" s="292"/>
      <c r="FP73" s="292"/>
      <c r="FQ73" s="292"/>
      <c r="FR73" s="292"/>
      <c r="FS73" s="292"/>
      <c r="FT73" s="292"/>
      <c r="FU73" s="292"/>
      <c r="FV73" s="292"/>
      <c r="FW73" s="292"/>
      <c r="FX73" s="292"/>
      <c r="FY73" s="292"/>
      <c r="FZ73" s="292"/>
      <c r="GA73" s="292"/>
      <c r="GB73" s="292"/>
      <c r="GC73" s="292"/>
      <c r="GD73" s="292"/>
      <c r="GE73" s="292"/>
      <c r="GF73" s="292"/>
      <c r="GG73" s="292"/>
      <c r="GH73" s="292"/>
      <c r="GI73" s="292"/>
      <c r="GJ73" s="292"/>
      <c r="GK73" s="292"/>
      <c r="GL73" s="292"/>
      <c r="GM73" s="292"/>
      <c r="GN73" s="292"/>
      <c r="GO73" s="292"/>
      <c r="GP73" s="292"/>
      <c r="GQ73" s="292"/>
      <c r="GR73" s="292"/>
      <c r="GS73" s="292"/>
      <c r="GT73" s="292"/>
      <c r="GU73" s="292"/>
      <c r="GV73" s="292"/>
      <c r="GW73" s="292"/>
      <c r="GX73" s="292"/>
      <c r="GY73" s="292"/>
      <c r="GZ73" s="292"/>
      <c r="HA73" s="292"/>
      <c r="HB73" s="292"/>
      <c r="HC73" s="292"/>
      <c r="HD73" s="292"/>
      <c r="HE73" s="292"/>
      <c r="HF73" s="292"/>
      <c r="HG73" s="292"/>
      <c r="HH73" s="292"/>
      <c r="HI73" s="292"/>
      <c r="HJ73" s="292"/>
      <c r="HK73" s="292"/>
      <c r="HL73" s="292"/>
      <c r="HM73" s="292"/>
      <c r="HN73" s="292"/>
      <c r="HO73" s="292"/>
      <c r="HP73" s="292"/>
      <c r="HQ73" s="292"/>
      <c r="HR73" s="292"/>
      <c r="HS73" s="292"/>
      <c r="HT73" s="292"/>
      <c r="HU73" s="292"/>
      <c r="HV73" s="292"/>
      <c r="HW73" s="292"/>
      <c r="HX73" s="292"/>
      <c r="HY73" s="292"/>
      <c r="HZ73" s="292"/>
      <c r="IA73" s="292"/>
      <c r="IB73" s="292"/>
      <c r="IC73" s="292"/>
      <c r="ID73" s="292"/>
      <c r="IE73" s="292"/>
      <c r="IF73" s="292"/>
      <c r="IG73" s="292"/>
      <c r="IH73" s="292"/>
      <c r="II73" s="292"/>
      <c r="IJ73" s="292"/>
      <c r="IK73" s="292"/>
      <c r="IL73" s="292"/>
      <c r="IM73" s="292"/>
      <c r="IN73" s="292"/>
      <c r="IO73" s="292"/>
      <c r="IP73" s="292"/>
      <c r="IQ73" s="292"/>
      <c r="IR73" s="292"/>
      <c r="IS73" s="292"/>
      <c r="IT73" s="292"/>
      <c r="IU73" s="292"/>
      <c r="IV73" s="292"/>
      <c r="IW73" s="292"/>
      <c r="IX73" s="292"/>
      <c r="IY73" s="292"/>
      <c r="IZ73" s="292"/>
      <c r="JA73" s="292"/>
      <c r="JB73" s="292"/>
      <c r="JC73" s="292"/>
      <c r="JD73" s="292"/>
      <c r="JE73" s="292"/>
      <c r="JF73" s="292"/>
      <c r="JG73" s="292"/>
      <c r="JH73" s="292"/>
      <c r="JI73" s="292"/>
      <c r="JJ73" s="292"/>
      <c r="JK73" s="292"/>
      <c r="JL73" s="292"/>
      <c r="JM73" s="292"/>
      <c r="JN73" s="292"/>
      <c r="JO73" s="292"/>
      <c r="JP73" s="292"/>
      <c r="JQ73" s="292"/>
      <c r="JR73" s="292"/>
      <c r="JS73" s="292"/>
      <c r="JT73" s="292"/>
      <c r="JU73" s="292"/>
      <c r="JV73" s="292"/>
      <c r="JW73" s="292"/>
      <c r="JX73" s="292"/>
      <c r="JY73" s="292"/>
      <c r="JZ73" s="292"/>
      <c r="KA73" s="292"/>
      <c r="KB73" s="292"/>
      <c r="KC73" s="292"/>
      <c r="KD73" s="292"/>
      <c r="KE73" s="292"/>
      <c r="KF73" s="292"/>
      <c r="KG73" s="292"/>
      <c r="KH73" s="292"/>
      <c r="KI73" s="292"/>
      <c r="KJ73" s="292"/>
      <c r="KK73" s="292"/>
      <c r="KL73" s="292"/>
      <c r="KM73" s="292"/>
      <c r="KN73" s="292"/>
      <c r="KO73" s="292"/>
      <c r="KP73" s="292"/>
      <c r="KQ73" s="292"/>
      <c r="KR73" s="292"/>
      <c r="KS73" s="292"/>
      <c r="KT73" s="292"/>
      <c r="KU73" s="292"/>
      <c r="KV73" s="292"/>
      <c r="KW73" s="292"/>
      <c r="KX73" s="292"/>
      <c r="KY73" s="292"/>
      <c r="KZ73" s="292"/>
      <c r="LA73" s="292"/>
      <c r="LB73" s="292"/>
      <c r="LC73" s="292"/>
      <c r="LD73" s="292"/>
      <c r="LE73" s="292"/>
      <c r="LF73" s="292"/>
      <c r="LG73" s="292"/>
      <c r="LH73" s="292"/>
      <c r="LI73" s="292"/>
      <c r="LJ73" s="292"/>
      <c r="LK73" s="292"/>
      <c r="LL73" s="292"/>
      <c r="LM73" s="292"/>
      <c r="LN73" s="292"/>
      <c r="LO73" s="292"/>
      <c r="LP73" s="292"/>
      <c r="LQ73" s="292"/>
      <c r="LR73" s="292"/>
      <c r="LS73" s="292"/>
      <c r="LT73" s="292"/>
      <c r="LU73" s="292"/>
      <c r="LV73" s="292"/>
      <c r="LW73" s="292"/>
      <c r="LX73" s="292"/>
      <c r="LY73" s="292"/>
      <c r="LZ73" s="292"/>
      <c r="MA73" s="292"/>
      <c r="MB73" s="292"/>
      <c r="MC73" s="292"/>
      <c r="MD73" s="292"/>
      <c r="ME73" s="292"/>
      <c r="MF73" s="292"/>
      <c r="MG73" s="292"/>
      <c r="MH73" s="292"/>
      <c r="MI73" s="292"/>
      <c r="MJ73" s="292"/>
      <c r="MK73" s="292"/>
      <c r="ML73" s="292"/>
      <c r="MM73" s="292"/>
      <c r="MN73" s="292"/>
      <c r="MO73" s="292"/>
      <c r="MP73" s="292"/>
      <c r="MQ73" s="292"/>
      <c r="MR73" s="292"/>
      <c r="MS73" s="292"/>
      <c r="MT73" s="292"/>
      <c r="MU73" s="292"/>
      <c r="MV73" s="292"/>
      <c r="MW73" s="292"/>
      <c r="MX73" s="292"/>
      <c r="MY73" s="292"/>
      <c r="MZ73" s="292"/>
      <c r="NA73" s="292"/>
      <c r="NB73" s="292"/>
      <c r="NC73" s="292"/>
      <c r="ND73" s="292"/>
      <c r="NE73" s="292"/>
      <c r="NF73" s="292"/>
      <c r="NG73" s="292"/>
      <c r="NH73" s="292"/>
      <c r="NI73" s="292"/>
      <c r="NJ73" s="292"/>
      <c r="NK73" s="292"/>
      <c r="NL73" s="292"/>
      <c r="NM73" s="292"/>
      <c r="NN73" s="292"/>
      <c r="NO73" s="292"/>
      <c r="NP73" s="292"/>
      <c r="NQ73" s="292"/>
      <c r="NR73" s="292"/>
      <c r="NS73" s="292"/>
      <c r="NT73" s="292"/>
      <c r="NU73" s="292"/>
      <c r="NV73" s="292"/>
      <c r="NW73" s="292"/>
      <c r="NX73" s="292"/>
      <c r="NY73" s="292"/>
      <c r="NZ73" s="292"/>
      <c r="OA73" s="292"/>
      <c r="OB73" s="292"/>
      <c r="OC73" s="292"/>
      <c r="OD73" s="292"/>
      <c r="OE73" s="292"/>
      <c r="OF73" s="292"/>
      <c r="OG73" s="292"/>
      <c r="OH73" s="292"/>
      <c r="OI73" s="292"/>
      <c r="OJ73" s="292"/>
      <c r="OK73" s="292"/>
      <c r="OL73" s="292"/>
      <c r="OM73" s="292"/>
      <c r="ON73" s="292"/>
      <c r="OO73" s="292"/>
      <c r="OP73" s="292"/>
      <c r="OQ73" s="292"/>
      <c r="OR73" s="292"/>
      <c r="OS73" s="292"/>
      <c r="OT73" s="292"/>
      <c r="OU73" s="292"/>
      <c r="OV73" s="292"/>
      <c r="OW73" s="292"/>
      <c r="OX73" s="292"/>
      <c r="OY73" s="292"/>
      <c r="OZ73" s="292"/>
      <c r="PA73" s="292"/>
      <c r="PB73" s="292"/>
      <c r="PC73" s="292"/>
      <c r="PD73" s="292"/>
      <c r="PE73" s="292"/>
      <c r="PF73" s="292"/>
      <c r="PG73" s="292"/>
      <c r="PH73" s="292"/>
      <c r="PI73" s="292"/>
      <c r="PJ73" s="292"/>
      <c r="PK73" s="292"/>
      <c r="PL73" s="292"/>
      <c r="PM73" s="292"/>
      <c r="PN73" s="292"/>
      <c r="PO73" s="292"/>
      <c r="PP73" s="292"/>
      <c r="PQ73" s="292"/>
      <c r="PR73" s="292"/>
      <c r="PS73" s="292"/>
      <c r="PT73" s="292"/>
      <c r="PU73" s="292"/>
      <c r="PV73" s="292"/>
      <c r="PW73" s="292"/>
      <c r="PX73" s="292"/>
      <c r="PY73" s="292"/>
      <c r="PZ73" s="292"/>
      <c r="QA73" s="292"/>
      <c r="QB73" s="292"/>
      <c r="QC73" s="292"/>
      <c r="QD73" s="292"/>
      <c r="QE73" s="292"/>
      <c r="QF73" s="292"/>
      <c r="QG73" s="292"/>
      <c r="QH73" s="292"/>
      <c r="QI73" s="292"/>
      <c r="QJ73" s="292"/>
      <c r="QK73" s="292"/>
      <c r="QL73" s="292"/>
      <c r="QM73" s="292"/>
      <c r="QN73" s="292"/>
      <c r="QO73" s="292"/>
      <c r="QP73" s="292"/>
      <c r="QQ73" s="292"/>
      <c r="QR73" s="292"/>
      <c r="QS73" s="292"/>
      <c r="QT73" s="292"/>
      <c r="QU73" s="292"/>
      <c r="QV73" s="292"/>
      <c r="QW73" s="292"/>
      <c r="QX73" s="292"/>
      <c r="QY73" s="292"/>
      <c r="QZ73" s="292"/>
      <c r="RA73" s="292"/>
      <c r="RB73" s="292"/>
      <c r="RC73" s="292"/>
      <c r="RD73" s="292"/>
      <c r="RE73" s="292"/>
      <c r="RF73" s="292"/>
      <c r="RG73" s="292"/>
      <c r="RH73" s="292"/>
      <c r="RI73" s="292"/>
      <c r="RJ73" s="292"/>
      <c r="RK73" s="292"/>
      <c r="RL73" s="292"/>
      <c r="RM73" s="292"/>
      <c r="RN73" s="292"/>
      <c r="RO73" s="292"/>
      <c r="RP73" s="292"/>
      <c r="RQ73" s="292"/>
      <c r="RR73" s="292"/>
      <c r="RS73" s="292"/>
      <c r="RT73" s="292"/>
      <c r="RU73" s="292"/>
      <c r="RV73" s="292"/>
      <c r="RW73" s="292"/>
      <c r="RX73" s="292"/>
      <c r="RY73" s="292"/>
      <c r="RZ73" s="292"/>
      <c r="SA73" s="292"/>
      <c r="SB73" s="292"/>
      <c r="SC73" s="292"/>
      <c r="SD73" s="292"/>
      <c r="SE73" s="292"/>
      <c r="SF73" s="292"/>
      <c r="SG73" s="292"/>
      <c r="SH73" s="292"/>
      <c r="SI73" s="292"/>
      <c r="SJ73" s="292"/>
      <c r="SK73" s="292"/>
      <c r="SL73" s="292"/>
      <c r="SM73" s="292"/>
      <c r="SN73" s="292"/>
      <c r="SO73" s="292"/>
      <c r="SP73" s="292"/>
      <c r="SQ73" s="292"/>
      <c r="SR73" s="292"/>
      <c r="SS73" s="292"/>
      <c r="ST73" s="292"/>
      <c r="SU73" s="292"/>
    </row>
    <row r="74" spans="1:515" s="627" customFormat="1" ht="23.15" customHeight="1" x14ac:dyDescent="0.25">
      <c r="A74" s="1353" t="s">
        <v>376</v>
      </c>
      <c r="B74" s="1354"/>
      <c r="C74" s="1354"/>
      <c r="D74" s="957"/>
      <c r="E74" s="1174" t="s">
        <v>15</v>
      </c>
      <c r="F74" s="1174" t="s">
        <v>363</v>
      </c>
      <c r="G74" s="1174" t="s">
        <v>377</v>
      </c>
      <c r="H74" s="957"/>
      <c r="I74" s="1174" t="s">
        <v>15</v>
      </c>
      <c r="J74" s="1174" t="s">
        <v>363</v>
      </c>
      <c r="K74" s="1174" t="s">
        <v>377</v>
      </c>
      <c r="L74" s="957"/>
      <c r="M74" s="1174" t="s">
        <v>15</v>
      </c>
      <c r="N74" s="1174" t="s">
        <v>363</v>
      </c>
      <c r="O74" s="1174" t="s">
        <v>377</v>
      </c>
      <c r="P74" s="957"/>
      <c r="Q74" s="1174" t="s">
        <v>15</v>
      </c>
      <c r="R74" s="1174" t="s">
        <v>363</v>
      </c>
      <c r="S74" s="1174" t="s">
        <v>377</v>
      </c>
      <c r="T74" s="957"/>
      <c r="U74" s="1174" t="s">
        <v>15</v>
      </c>
      <c r="V74" s="1174" t="s">
        <v>363</v>
      </c>
      <c r="W74" s="1174" t="s">
        <v>377</v>
      </c>
      <c r="X74" s="960"/>
      <c r="Y74" s="1174" t="s">
        <v>15</v>
      </c>
      <c r="Z74" s="1174" t="s">
        <v>363</v>
      </c>
      <c r="AA74" s="1174" t="s">
        <v>377</v>
      </c>
      <c r="AB74" s="957"/>
      <c r="AC74" s="957"/>
      <c r="AD74" s="1174" t="s">
        <v>377</v>
      </c>
      <c r="AE74" s="971"/>
      <c r="AF74" s="292"/>
      <c r="AG74" s="292"/>
      <c r="AH74" s="292"/>
      <c r="AI74" s="292"/>
      <c r="AJ74" s="292"/>
      <c r="AK74" s="292"/>
      <c r="AL74" s="292"/>
      <c r="AM74" s="292"/>
      <c r="AN74" s="292"/>
      <c r="AO74" s="292"/>
      <c r="AP74" s="292"/>
      <c r="AQ74" s="292"/>
      <c r="AR74" s="292"/>
      <c r="AS74" s="292"/>
      <c r="AT74" s="292"/>
      <c r="AU74" s="292"/>
      <c r="AV74" s="292"/>
      <c r="AW74" s="292"/>
      <c r="AX74" s="292"/>
      <c r="AY74" s="292"/>
      <c r="AZ74" s="292"/>
      <c r="BA74" s="292"/>
      <c r="BB74" s="292"/>
      <c r="BC74" s="292"/>
      <c r="BD74" s="292"/>
      <c r="BE74" s="292"/>
      <c r="BF74" s="292"/>
      <c r="BG74" s="292"/>
      <c r="BH74" s="292"/>
      <c r="BI74" s="292"/>
      <c r="BJ74" s="292"/>
      <c r="BK74" s="292"/>
      <c r="BL74" s="292"/>
      <c r="BM74" s="292"/>
      <c r="BN74" s="292"/>
      <c r="BO74" s="292"/>
      <c r="BP74" s="292"/>
      <c r="BQ74" s="292"/>
      <c r="BR74" s="292"/>
      <c r="BS74" s="292"/>
      <c r="BT74" s="292"/>
      <c r="BU74" s="292"/>
      <c r="BV74" s="292"/>
      <c r="BW74" s="292"/>
      <c r="BX74" s="292"/>
      <c r="BY74" s="292"/>
      <c r="BZ74" s="292"/>
      <c r="CA74" s="292"/>
      <c r="CB74" s="292"/>
      <c r="CC74" s="292"/>
      <c r="CD74" s="292"/>
      <c r="CE74" s="292"/>
      <c r="CF74" s="292"/>
      <c r="CG74" s="292"/>
      <c r="CH74" s="292"/>
      <c r="CI74" s="292"/>
      <c r="CJ74" s="292"/>
      <c r="CK74" s="292"/>
      <c r="CL74" s="292"/>
      <c r="CM74" s="292"/>
      <c r="CN74" s="292"/>
      <c r="CO74" s="292"/>
      <c r="CP74" s="292"/>
      <c r="CQ74" s="292"/>
      <c r="CR74" s="292"/>
      <c r="CS74" s="292"/>
      <c r="CT74" s="292"/>
      <c r="CU74" s="292"/>
      <c r="CV74" s="292"/>
      <c r="CW74" s="292"/>
      <c r="CX74" s="292"/>
      <c r="CY74" s="292"/>
      <c r="CZ74" s="292"/>
      <c r="DA74" s="292"/>
      <c r="DB74" s="292"/>
      <c r="DC74" s="292"/>
      <c r="DD74" s="292"/>
      <c r="DE74" s="292"/>
      <c r="DF74" s="292"/>
      <c r="DG74" s="292"/>
      <c r="DH74" s="292"/>
      <c r="DI74" s="292"/>
      <c r="DJ74" s="292"/>
      <c r="DK74" s="292"/>
      <c r="DL74" s="292"/>
      <c r="DM74" s="292"/>
      <c r="DN74" s="292"/>
      <c r="DO74" s="292"/>
      <c r="DP74" s="292"/>
      <c r="DQ74" s="292"/>
      <c r="DR74" s="292"/>
      <c r="DS74" s="292"/>
      <c r="DT74" s="292"/>
      <c r="DU74" s="292"/>
      <c r="DV74" s="292"/>
      <c r="DW74" s="292"/>
      <c r="DX74" s="292"/>
      <c r="DY74" s="292"/>
      <c r="DZ74" s="292"/>
      <c r="EA74" s="292"/>
      <c r="EB74" s="292"/>
      <c r="EC74" s="292"/>
      <c r="ED74" s="292"/>
      <c r="EE74" s="292"/>
      <c r="EF74" s="292"/>
      <c r="EG74" s="292"/>
      <c r="EH74" s="292"/>
      <c r="EI74" s="292"/>
      <c r="EJ74" s="292"/>
      <c r="EK74" s="292"/>
      <c r="EL74" s="292"/>
      <c r="EM74" s="292"/>
      <c r="EN74" s="292"/>
      <c r="EO74" s="292"/>
      <c r="EP74" s="292"/>
      <c r="EQ74" s="292"/>
      <c r="ER74" s="292"/>
      <c r="ES74" s="292"/>
      <c r="ET74" s="292"/>
      <c r="EU74" s="292"/>
      <c r="EV74" s="292"/>
      <c r="EW74" s="292"/>
      <c r="EX74" s="292"/>
      <c r="EY74" s="292"/>
      <c r="EZ74" s="292"/>
      <c r="FA74" s="292"/>
      <c r="FB74" s="292"/>
      <c r="FC74" s="292"/>
      <c r="FD74" s="292"/>
      <c r="FE74" s="292"/>
      <c r="FF74" s="292"/>
      <c r="FG74" s="292"/>
      <c r="FH74" s="292"/>
      <c r="FI74" s="292"/>
      <c r="FJ74" s="292"/>
      <c r="FK74" s="292"/>
      <c r="FL74" s="292"/>
      <c r="FM74" s="292"/>
      <c r="FN74" s="292"/>
      <c r="FO74" s="292"/>
      <c r="FP74" s="292"/>
      <c r="FQ74" s="292"/>
      <c r="FR74" s="292"/>
      <c r="FS74" s="292"/>
      <c r="FT74" s="292"/>
      <c r="FU74" s="292"/>
      <c r="FV74" s="292"/>
      <c r="FW74" s="292"/>
      <c r="FX74" s="292"/>
      <c r="FY74" s="292"/>
      <c r="FZ74" s="292"/>
      <c r="GA74" s="292"/>
      <c r="GB74" s="292"/>
      <c r="GC74" s="292"/>
      <c r="GD74" s="292"/>
      <c r="GE74" s="292"/>
      <c r="GF74" s="292"/>
      <c r="GG74" s="292"/>
      <c r="GH74" s="292"/>
      <c r="GI74" s="292"/>
      <c r="GJ74" s="292"/>
      <c r="GK74" s="292"/>
      <c r="GL74" s="292"/>
      <c r="GM74" s="292"/>
      <c r="GN74" s="292"/>
      <c r="GO74" s="292"/>
      <c r="GP74" s="292"/>
      <c r="GQ74" s="292"/>
      <c r="GR74" s="292"/>
      <c r="GS74" s="292"/>
      <c r="GT74" s="292"/>
      <c r="GU74" s="292"/>
      <c r="GV74" s="292"/>
      <c r="GW74" s="292"/>
      <c r="GX74" s="292"/>
      <c r="GY74" s="292"/>
      <c r="GZ74" s="292"/>
      <c r="HA74" s="292"/>
      <c r="HB74" s="292"/>
      <c r="HC74" s="292"/>
      <c r="HD74" s="292"/>
      <c r="HE74" s="292"/>
      <c r="HF74" s="292"/>
      <c r="HG74" s="292"/>
      <c r="HH74" s="292"/>
      <c r="HI74" s="292"/>
      <c r="HJ74" s="292"/>
      <c r="HK74" s="292"/>
      <c r="HL74" s="292"/>
      <c r="HM74" s="292"/>
      <c r="HN74" s="292"/>
      <c r="HO74" s="292"/>
      <c r="HP74" s="292"/>
      <c r="HQ74" s="292"/>
      <c r="HR74" s="292"/>
      <c r="HS74" s="292"/>
      <c r="HT74" s="292"/>
      <c r="HU74" s="292"/>
      <c r="HV74" s="292"/>
      <c r="HW74" s="292"/>
      <c r="HX74" s="292"/>
      <c r="HY74" s="292"/>
      <c r="HZ74" s="292"/>
      <c r="IA74" s="292"/>
      <c r="IB74" s="292"/>
      <c r="IC74" s="292"/>
      <c r="ID74" s="292"/>
      <c r="IE74" s="292"/>
      <c r="IF74" s="292"/>
      <c r="IG74" s="292"/>
      <c r="IH74" s="292"/>
      <c r="II74" s="292"/>
      <c r="IJ74" s="292"/>
      <c r="IK74" s="292"/>
      <c r="IL74" s="292"/>
      <c r="IM74" s="292"/>
      <c r="IN74" s="292"/>
      <c r="IO74" s="292"/>
      <c r="IP74" s="292"/>
      <c r="IQ74" s="292"/>
      <c r="IR74" s="292"/>
      <c r="IS74" s="292"/>
      <c r="IT74" s="292"/>
      <c r="IU74" s="292"/>
      <c r="IV74" s="292"/>
      <c r="IW74" s="292"/>
      <c r="IX74" s="292"/>
      <c r="IY74" s="292"/>
      <c r="IZ74" s="292"/>
      <c r="JA74" s="292"/>
      <c r="JB74" s="292"/>
      <c r="JC74" s="292"/>
      <c r="JD74" s="292"/>
      <c r="JE74" s="292"/>
      <c r="JF74" s="292"/>
      <c r="JG74" s="292"/>
      <c r="JH74" s="292"/>
      <c r="JI74" s="292"/>
      <c r="JJ74" s="292"/>
      <c r="JK74" s="292"/>
      <c r="JL74" s="292"/>
      <c r="JM74" s="292"/>
      <c r="JN74" s="292"/>
      <c r="JO74" s="292"/>
      <c r="JP74" s="292"/>
      <c r="JQ74" s="292"/>
      <c r="JR74" s="292"/>
      <c r="JS74" s="292"/>
      <c r="JT74" s="292"/>
      <c r="JU74" s="292"/>
      <c r="JV74" s="292"/>
      <c r="JW74" s="292"/>
      <c r="JX74" s="292"/>
      <c r="JY74" s="292"/>
      <c r="JZ74" s="292"/>
      <c r="KA74" s="292"/>
      <c r="KB74" s="292"/>
      <c r="KC74" s="292"/>
      <c r="KD74" s="292"/>
      <c r="KE74" s="292"/>
      <c r="KF74" s="292"/>
      <c r="KG74" s="292"/>
      <c r="KH74" s="292"/>
      <c r="KI74" s="292"/>
      <c r="KJ74" s="292"/>
      <c r="KK74" s="292"/>
      <c r="KL74" s="292"/>
      <c r="KM74" s="292"/>
      <c r="KN74" s="292"/>
      <c r="KO74" s="292"/>
      <c r="KP74" s="292"/>
      <c r="KQ74" s="292"/>
      <c r="KR74" s="292"/>
      <c r="KS74" s="292"/>
      <c r="KT74" s="292"/>
      <c r="KU74" s="292"/>
      <c r="KV74" s="292"/>
      <c r="KW74" s="292"/>
      <c r="KX74" s="292"/>
      <c r="KY74" s="292"/>
      <c r="KZ74" s="292"/>
      <c r="LA74" s="292"/>
      <c r="LB74" s="292"/>
      <c r="LC74" s="292"/>
      <c r="LD74" s="292"/>
      <c r="LE74" s="292"/>
      <c r="LF74" s="292"/>
      <c r="LG74" s="292"/>
      <c r="LH74" s="292"/>
      <c r="LI74" s="292"/>
      <c r="LJ74" s="292"/>
      <c r="LK74" s="292"/>
      <c r="LL74" s="292"/>
      <c r="LM74" s="292"/>
      <c r="LN74" s="292"/>
      <c r="LO74" s="292"/>
      <c r="LP74" s="292"/>
      <c r="LQ74" s="292"/>
      <c r="LR74" s="292"/>
      <c r="LS74" s="292"/>
      <c r="LT74" s="292"/>
      <c r="LU74" s="292"/>
      <c r="LV74" s="292"/>
      <c r="LW74" s="292"/>
      <c r="LX74" s="292"/>
      <c r="LY74" s="292"/>
      <c r="LZ74" s="292"/>
      <c r="MA74" s="292"/>
      <c r="MB74" s="292"/>
      <c r="MC74" s="292"/>
      <c r="MD74" s="292"/>
      <c r="ME74" s="292"/>
      <c r="MF74" s="292"/>
      <c r="MG74" s="292"/>
      <c r="MH74" s="292"/>
      <c r="MI74" s="292"/>
      <c r="MJ74" s="292"/>
      <c r="MK74" s="292"/>
      <c r="ML74" s="292"/>
      <c r="MM74" s="292"/>
      <c r="MN74" s="292"/>
      <c r="MO74" s="292"/>
      <c r="MP74" s="292"/>
      <c r="MQ74" s="292"/>
      <c r="MR74" s="292"/>
      <c r="MS74" s="292"/>
      <c r="MT74" s="292"/>
      <c r="MU74" s="292"/>
      <c r="MV74" s="292"/>
      <c r="MW74" s="292"/>
      <c r="MX74" s="292"/>
      <c r="MY74" s="292"/>
      <c r="MZ74" s="292"/>
      <c r="NA74" s="292"/>
      <c r="NB74" s="292"/>
      <c r="NC74" s="292"/>
      <c r="ND74" s="292"/>
      <c r="NE74" s="292"/>
      <c r="NF74" s="292"/>
      <c r="NG74" s="292"/>
      <c r="NH74" s="292"/>
      <c r="NI74" s="292"/>
      <c r="NJ74" s="292"/>
      <c r="NK74" s="292"/>
      <c r="NL74" s="292"/>
      <c r="NM74" s="292"/>
      <c r="NN74" s="292"/>
      <c r="NO74" s="292"/>
      <c r="NP74" s="292"/>
      <c r="NQ74" s="292"/>
      <c r="NR74" s="292"/>
      <c r="NS74" s="292"/>
      <c r="NT74" s="292"/>
      <c r="NU74" s="292"/>
      <c r="NV74" s="292"/>
      <c r="NW74" s="292"/>
      <c r="NX74" s="292"/>
      <c r="NY74" s="292"/>
      <c r="NZ74" s="292"/>
      <c r="OA74" s="292"/>
      <c r="OB74" s="292"/>
      <c r="OC74" s="292"/>
      <c r="OD74" s="292"/>
      <c r="OE74" s="292"/>
      <c r="OF74" s="292"/>
      <c r="OG74" s="292"/>
      <c r="OH74" s="292"/>
      <c r="OI74" s="292"/>
      <c r="OJ74" s="292"/>
      <c r="OK74" s="292"/>
      <c r="OL74" s="292"/>
      <c r="OM74" s="292"/>
      <c r="ON74" s="292"/>
      <c r="OO74" s="292"/>
      <c r="OP74" s="292"/>
      <c r="OQ74" s="292"/>
      <c r="OR74" s="292"/>
      <c r="OS74" s="292"/>
      <c r="OT74" s="292"/>
      <c r="OU74" s="292"/>
      <c r="OV74" s="292"/>
      <c r="OW74" s="292"/>
      <c r="OX74" s="292"/>
      <c r="OY74" s="292"/>
      <c r="OZ74" s="292"/>
      <c r="PA74" s="292"/>
      <c r="PB74" s="292"/>
      <c r="PC74" s="292"/>
      <c r="PD74" s="292"/>
      <c r="PE74" s="292"/>
      <c r="PF74" s="292"/>
      <c r="PG74" s="292"/>
      <c r="PH74" s="292"/>
      <c r="PI74" s="292"/>
      <c r="PJ74" s="292"/>
      <c r="PK74" s="292"/>
      <c r="PL74" s="292"/>
      <c r="PM74" s="292"/>
      <c r="PN74" s="292"/>
      <c r="PO74" s="292"/>
      <c r="PP74" s="292"/>
      <c r="PQ74" s="292"/>
      <c r="PR74" s="292"/>
      <c r="PS74" s="292"/>
      <c r="PT74" s="292"/>
      <c r="PU74" s="292"/>
      <c r="PV74" s="292"/>
      <c r="PW74" s="292"/>
      <c r="PX74" s="292"/>
      <c r="PY74" s="292"/>
      <c r="PZ74" s="292"/>
      <c r="QA74" s="292"/>
      <c r="QB74" s="292"/>
      <c r="QC74" s="292"/>
      <c r="QD74" s="292"/>
      <c r="QE74" s="292"/>
      <c r="QF74" s="292"/>
      <c r="QG74" s="292"/>
      <c r="QH74" s="292"/>
      <c r="QI74" s="292"/>
      <c r="QJ74" s="292"/>
      <c r="QK74" s="292"/>
      <c r="QL74" s="292"/>
      <c r="QM74" s="292"/>
      <c r="QN74" s="292"/>
      <c r="QO74" s="292"/>
      <c r="QP74" s="292"/>
      <c r="QQ74" s="292"/>
      <c r="QR74" s="292"/>
      <c r="QS74" s="292"/>
      <c r="QT74" s="292"/>
      <c r="QU74" s="292"/>
      <c r="QV74" s="292"/>
      <c r="QW74" s="292"/>
      <c r="QX74" s="292"/>
      <c r="QY74" s="292"/>
      <c r="QZ74" s="292"/>
      <c r="RA74" s="292"/>
      <c r="RB74" s="292"/>
      <c r="RC74" s="292"/>
      <c r="RD74" s="292"/>
      <c r="RE74" s="292"/>
      <c r="RF74" s="292"/>
      <c r="RG74" s="292"/>
      <c r="RH74" s="292"/>
      <c r="RI74" s="292"/>
      <c r="RJ74" s="292"/>
      <c r="RK74" s="292"/>
      <c r="RL74" s="292"/>
      <c r="RM74" s="292"/>
      <c r="RN74" s="292"/>
      <c r="RO74" s="292"/>
      <c r="RP74" s="292"/>
      <c r="RQ74" s="292"/>
      <c r="RR74" s="292"/>
      <c r="RS74" s="292"/>
      <c r="RT74" s="292"/>
      <c r="RU74" s="292"/>
      <c r="RV74" s="292"/>
      <c r="RW74" s="292"/>
      <c r="RX74" s="292"/>
      <c r="RY74" s="292"/>
      <c r="RZ74" s="292"/>
      <c r="SA74" s="292"/>
      <c r="SB74" s="292"/>
      <c r="SC74" s="292"/>
      <c r="SD74" s="292"/>
      <c r="SE74" s="292"/>
      <c r="SF74" s="292"/>
      <c r="SG74" s="292"/>
      <c r="SH74" s="292"/>
      <c r="SI74" s="292"/>
      <c r="SJ74" s="292"/>
      <c r="SK74" s="292"/>
      <c r="SL74" s="292"/>
      <c r="SM74" s="292"/>
      <c r="SN74" s="292"/>
      <c r="SO74" s="292"/>
      <c r="SP74" s="292"/>
      <c r="SQ74" s="292"/>
      <c r="SR74" s="292"/>
      <c r="SS74" s="292"/>
      <c r="ST74" s="292"/>
      <c r="SU74" s="292"/>
    </row>
    <row r="75" spans="1:515" ht="15" customHeight="1" x14ac:dyDescent="0.25">
      <c r="A75" s="1349" t="s">
        <v>378</v>
      </c>
      <c r="B75" s="1350"/>
      <c r="C75" s="1350"/>
      <c r="D75" s="957"/>
      <c r="E75" s="622">
        <v>0</v>
      </c>
      <c r="F75" s="626">
        <v>0</v>
      </c>
      <c r="G75" s="1003">
        <f>E75*F75</f>
        <v>0</v>
      </c>
      <c r="H75" s="957"/>
      <c r="I75" s="622">
        <v>0</v>
      </c>
      <c r="J75" s="626">
        <v>0</v>
      </c>
      <c r="K75" s="1003">
        <f>I75*J75</f>
        <v>0</v>
      </c>
      <c r="L75" s="957"/>
      <c r="M75" s="622">
        <v>0</v>
      </c>
      <c r="N75" s="626">
        <v>0</v>
      </c>
      <c r="O75" s="1003">
        <f>M75*N75</f>
        <v>0</v>
      </c>
      <c r="P75" s="957"/>
      <c r="Q75" s="622">
        <v>0</v>
      </c>
      <c r="R75" s="626">
        <v>0.01</v>
      </c>
      <c r="S75" s="1003">
        <f>Q75*R75</f>
        <v>0</v>
      </c>
      <c r="T75" s="957"/>
      <c r="U75" s="622">
        <v>0</v>
      </c>
      <c r="V75" s="626">
        <v>0</v>
      </c>
      <c r="W75" s="1003">
        <f>U75*V75</f>
        <v>0</v>
      </c>
      <c r="X75" s="960"/>
      <c r="Y75" s="622">
        <v>0</v>
      </c>
      <c r="Z75" s="626">
        <v>0</v>
      </c>
      <c r="AA75" s="1003">
        <f>Y75*Z75</f>
        <v>0</v>
      </c>
      <c r="AB75" s="975"/>
      <c r="AC75" s="957"/>
      <c r="AD75" s="1003">
        <f>G75+K75+O75+S75+W75+AA75</f>
        <v>0</v>
      </c>
      <c r="AE75" s="971"/>
    </row>
    <row r="76" spans="1:515" ht="15" customHeight="1" x14ac:dyDescent="0.25">
      <c r="A76" s="1351" t="s">
        <v>379</v>
      </c>
      <c r="B76" s="1352"/>
      <c r="C76" s="1352"/>
      <c r="D76" s="957"/>
      <c r="E76" s="622">
        <v>0</v>
      </c>
      <c r="F76" s="626">
        <v>0</v>
      </c>
      <c r="G76" s="1003">
        <f>E76*F76</f>
        <v>0</v>
      </c>
      <c r="H76" s="957"/>
      <c r="I76" s="622">
        <v>0</v>
      </c>
      <c r="J76" s="626">
        <v>0</v>
      </c>
      <c r="K76" s="1003">
        <f>I76*J76</f>
        <v>0</v>
      </c>
      <c r="L76" s="957"/>
      <c r="M76" s="622">
        <v>0</v>
      </c>
      <c r="N76" s="626">
        <v>0</v>
      </c>
      <c r="O76" s="1003">
        <f>M76*N76</f>
        <v>0</v>
      </c>
      <c r="P76" s="957"/>
      <c r="Q76" s="622">
        <v>0</v>
      </c>
      <c r="R76" s="626">
        <v>0.01</v>
      </c>
      <c r="S76" s="1003">
        <f>Q76*R76</f>
        <v>0</v>
      </c>
      <c r="T76" s="957"/>
      <c r="U76" s="622">
        <v>0</v>
      </c>
      <c r="V76" s="626">
        <v>0</v>
      </c>
      <c r="W76" s="1003">
        <f>U76*V76</f>
        <v>0</v>
      </c>
      <c r="X76" s="960"/>
      <c r="Y76" s="622">
        <v>0</v>
      </c>
      <c r="Z76" s="626">
        <v>0</v>
      </c>
      <c r="AA76" s="1003">
        <f>Y76*Z76</f>
        <v>0</v>
      </c>
      <c r="AB76" s="975"/>
      <c r="AC76" s="957"/>
      <c r="AD76" s="1003">
        <f>G76+K76+O76+S76+W76+AA76</f>
        <v>0</v>
      </c>
      <c r="AE76" s="971"/>
    </row>
    <row r="77" spans="1:515" s="627" customFormat="1" ht="23.15" customHeight="1" x14ac:dyDescent="0.25">
      <c r="A77" s="1325" t="s">
        <v>380</v>
      </c>
      <c r="B77" s="1326"/>
      <c r="C77" s="1326"/>
      <c r="D77" s="957"/>
      <c r="E77" s="957"/>
      <c r="F77" s="992"/>
      <c r="G77" s="793">
        <f>SUM(G74:G76)</f>
        <v>0</v>
      </c>
      <c r="H77" s="957"/>
      <c r="I77" s="990"/>
      <c r="J77" s="991"/>
      <c r="K77" s="793">
        <f>SUM(K75:K76)</f>
        <v>0</v>
      </c>
      <c r="L77" s="957"/>
      <c r="M77" s="960"/>
      <c r="N77" s="993"/>
      <c r="O77" s="793">
        <f>SUM(O75:O76)</f>
        <v>0</v>
      </c>
      <c r="P77" s="957"/>
      <c r="Q77" s="957"/>
      <c r="R77" s="957"/>
      <c r="S77" s="793">
        <f>SUM(S75:S76)</f>
        <v>0</v>
      </c>
      <c r="T77" s="957"/>
      <c r="U77" s="1295"/>
      <c r="V77" s="1295"/>
      <c r="W77" s="793">
        <f>SUM(W75:W76)</f>
        <v>0</v>
      </c>
      <c r="X77" s="960"/>
      <c r="Y77" s="1304"/>
      <c r="Z77" s="1304"/>
      <c r="AA77" s="793">
        <f>SUM(AA75:AA76)</f>
        <v>0</v>
      </c>
      <c r="AB77" s="976"/>
      <c r="AC77" s="957"/>
      <c r="AD77" s="793">
        <f>G77+K77+O77+S77+W77+AA77</f>
        <v>0</v>
      </c>
      <c r="AE77" s="971"/>
      <c r="AF77" s="292"/>
      <c r="AG77" s="292"/>
      <c r="AH77" s="292"/>
      <c r="AI77" s="292"/>
      <c r="AJ77" s="292"/>
      <c r="AK77" s="292"/>
      <c r="AL77" s="292"/>
      <c r="AM77" s="292"/>
      <c r="AN77" s="292"/>
      <c r="AO77" s="292"/>
      <c r="AP77" s="292"/>
      <c r="AQ77" s="292"/>
      <c r="AR77" s="292"/>
      <c r="AS77" s="292"/>
      <c r="AT77" s="292"/>
      <c r="AU77" s="292"/>
      <c r="AV77" s="292"/>
      <c r="AW77" s="292"/>
      <c r="AX77" s="292"/>
      <c r="AY77" s="292"/>
      <c r="AZ77" s="292"/>
      <c r="BA77" s="292"/>
      <c r="BB77" s="292"/>
      <c r="BC77" s="292"/>
      <c r="BD77" s="292"/>
      <c r="BE77" s="292"/>
      <c r="BF77" s="292"/>
      <c r="BG77" s="292"/>
      <c r="BH77" s="292"/>
      <c r="BI77" s="292"/>
      <c r="BJ77" s="292"/>
      <c r="BK77" s="292"/>
      <c r="BL77" s="292"/>
      <c r="BM77" s="292"/>
      <c r="BN77" s="292"/>
      <c r="BO77" s="292"/>
      <c r="BP77" s="292"/>
      <c r="BQ77" s="292"/>
      <c r="BR77" s="292"/>
      <c r="BS77" s="292"/>
      <c r="BT77" s="292"/>
      <c r="BU77" s="292"/>
      <c r="BV77" s="292"/>
      <c r="BW77" s="292"/>
      <c r="BX77" s="292"/>
      <c r="BY77" s="292"/>
      <c r="BZ77" s="292"/>
      <c r="CA77" s="292"/>
      <c r="CB77" s="292"/>
      <c r="CC77" s="292"/>
      <c r="CD77" s="292"/>
      <c r="CE77" s="292"/>
      <c r="CF77" s="292"/>
      <c r="CG77" s="292"/>
      <c r="CH77" s="292"/>
      <c r="CI77" s="292"/>
      <c r="CJ77" s="292"/>
      <c r="CK77" s="292"/>
      <c r="CL77" s="292"/>
      <c r="CM77" s="292"/>
      <c r="CN77" s="292"/>
      <c r="CO77" s="292"/>
      <c r="CP77" s="292"/>
      <c r="CQ77" s="292"/>
      <c r="CR77" s="292"/>
      <c r="CS77" s="292"/>
      <c r="CT77" s="292"/>
      <c r="CU77" s="292"/>
      <c r="CV77" s="292"/>
      <c r="CW77" s="292"/>
      <c r="CX77" s="292"/>
      <c r="CY77" s="292"/>
      <c r="CZ77" s="292"/>
      <c r="DA77" s="292"/>
      <c r="DB77" s="292"/>
      <c r="DC77" s="292"/>
      <c r="DD77" s="292"/>
      <c r="DE77" s="292"/>
      <c r="DF77" s="292"/>
      <c r="DG77" s="292"/>
      <c r="DH77" s="292"/>
      <c r="DI77" s="292"/>
      <c r="DJ77" s="292"/>
      <c r="DK77" s="292"/>
      <c r="DL77" s="292"/>
      <c r="DM77" s="292"/>
      <c r="DN77" s="292"/>
      <c r="DO77" s="292"/>
      <c r="DP77" s="292"/>
      <c r="DQ77" s="292"/>
      <c r="DR77" s="292"/>
      <c r="DS77" s="292"/>
      <c r="DT77" s="292"/>
      <c r="DU77" s="292"/>
      <c r="DV77" s="292"/>
      <c r="DW77" s="292"/>
      <c r="DX77" s="292"/>
      <c r="DY77" s="292"/>
      <c r="DZ77" s="292"/>
      <c r="EA77" s="292"/>
      <c r="EB77" s="292"/>
      <c r="EC77" s="292"/>
      <c r="ED77" s="292"/>
      <c r="EE77" s="292"/>
      <c r="EF77" s="292"/>
      <c r="EG77" s="292"/>
      <c r="EH77" s="292"/>
      <c r="EI77" s="292"/>
      <c r="EJ77" s="292"/>
      <c r="EK77" s="292"/>
      <c r="EL77" s="292"/>
      <c r="EM77" s="292"/>
      <c r="EN77" s="292"/>
      <c r="EO77" s="292"/>
      <c r="EP77" s="292"/>
      <c r="EQ77" s="292"/>
      <c r="ER77" s="292"/>
      <c r="ES77" s="292"/>
      <c r="ET77" s="292"/>
      <c r="EU77" s="292"/>
      <c r="EV77" s="292"/>
      <c r="EW77" s="292"/>
      <c r="EX77" s="292"/>
      <c r="EY77" s="292"/>
      <c r="EZ77" s="292"/>
      <c r="FA77" s="292"/>
      <c r="FB77" s="292"/>
      <c r="FC77" s="292"/>
      <c r="FD77" s="292"/>
      <c r="FE77" s="292"/>
      <c r="FF77" s="292"/>
      <c r="FG77" s="292"/>
      <c r="FH77" s="292"/>
      <c r="FI77" s="292"/>
      <c r="FJ77" s="292"/>
      <c r="FK77" s="292"/>
      <c r="FL77" s="292"/>
      <c r="FM77" s="292"/>
      <c r="FN77" s="292"/>
      <c r="FO77" s="292"/>
      <c r="FP77" s="292"/>
      <c r="FQ77" s="292"/>
      <c r="FR77" s="292"/>
      <c r="FS77" s="292"/>
      <c r="FT77" s="292"/>
      <c r="FU77" s="292"/>
      <c r="FV77" s="292"/>
      <c r="FW77" s="292"/>
      <c r="FX77" s="292"/>
      <c r="FY77" s="292"/>
      <c r="FZ77" s="292"/>
      <c r="GA77" s="292"/>
      <c r="GB77" s="292"/>
      <c r="GC77" s="292"/>
      <c r="GD77" s="292"/>
      <c r="GE77" s="292"/>
      <c r="GF77" s="292"/>
      <c r="GG77" s="292"/>
      <c r="GH77" s="292"/>
      <c r="GI77" s="292"/>
      <c r="GJ77" s="292"/>
      <c r="GK77" s="292"/>
      <c r="GL77" s="292"/>
      <c r="GM77" s="292"/>
      <c r="GN77" s="292"/>
      <c r="GO77" s="292"/>
      <c r="GP77" s="292"/>
      <c r="GQ77" s="292"/>
      <c r="GR77" s="292"/>
      <c r="GS77" s="292"/>
      <c r="GT77" s="292"/>
      <c r="GU77" s="292"/>
      <c r="GV77" s="292"/>
      <c r="GW77" s="292"/>
      <c r="GX77" s="292"/>
      <c r="GY77" s="292"/>
      <c r="GZ77" s="292"/>
      <c r="HA77" s="292"/>
      <c r="HB77" s="292"/>
      <c r="HC77" s="292"/>
      <c r="HD77" s="292"/>
      <c r="HE77" s="292"/>
      <c r="HF77" s="292"/>
      <c r="HG77" s="292"/>
      <c r="HH77" s="292"/>
      <c r="HI77" s="292"/>
      <c r="HJ77" s="292"/>
      <c r="HK77" s="292"/>
      <c r="HL77" s="292"/>
      <c r="HM77" s="292"/>
      <c r="HN77" s="292"/>
      <c r="HO77" s="292"/>
      <c r="HP77" s="292"/>
      <c r="HQ77" s="292"/>
      <c r="HR77" s="292"/>
      <c r="HS77" s="292"/>
      <c r="HT77" s="292"/>
      <c r="HU77" s="292"/>
      <c r="HV77" s="292"/>
      <c r="HW77" s="292"/>
      <c r="HX77" s="292"/>
      <c r="HY77" s="292"/>
      <c r="HZ77" s="292"/>
      <c r="IA77" s="292"/>
      <c r="IB77" s="292"/>
      <c r="IC77" s="292"/>
      <c r="ID77" s="292"/>
      <c r="IE77" s="292"/>
      <c r="IF77" s="292"/>
      <c r="IG77" s="292"/>
      <c r="IH77" s="292"/>
      <c r="II77" s="292"/>
      <c r="IJ77" s="292"/>
      <c r="IK77" s="292"/>
      <c r="IL77" s="292"/>
      <c r="IM77" s="292"/>
      <c r="IN77" s="292"/>
      <c r="IO77" s="292"/>
      <c r="IP77" s="292"/>
      <c r="IQ77" s="292"/>
      <c r="IR77" s="292"/>
      <c r="IS77" s="292"/>
      <c r="IT77" s="292"/>
      <c r="IU77" s="292"/>
      <c r="IV77" s="292"/>
      <c r="IW77" s="292"/>
      <c r="IX77" s="292"/>
      <c r="IY77" s="292"/>
      <c r="IZ77" s="292"/>
      <c r="JA77" s="292"/>
      <c r="JB77" s="292"/>
      <c r="JC77" s="292"/>
      <c r="JD77" s="292"/>
      <c r="JE77" s="292"/>
      <c r="JF77" s="292"/>
      <c r="JG77" s="292"/>
      <c r="JH77" s="292"/>
      <c r="JI77" s="292"/>
      <c r="JJ77" s="292"/>
      <c r="JK77" s="292"/>
      <c r="JL77" s="292"/>
      <c r="JM77" s="292"/>
      <c r="JN77" s="292"/>
      <c r="JO77" s="292"/>
      <c r="JP77" s="292"/>
      <c r="JQ77" s="292"/>
      <c r="JR77" s="292"/>
      <c r="JS77" s="292"/>
      <c r="JT77" s="292"/>
      <c r="JU77" s="292"/>
      <c r="JV77" s="292"/>
      <c r="JW77" s="292"/>
      <c r="JX77" s="292"/>
      <c r="JY77" s="292"/>
      <c r="JZ77" s="292"/>
      <c r="KA77" s="292"/>
      <c r="KB77" s="292"/>
      <c r="KC77" s="292"/>
      <c r="KD77" s="292"/>
      <c r="KE77" s="292"/>
      <c r="KF77" s="292"/>
      <c r="KG77" s="292"/>
      <c r="KH77" s="292"/>
      <c r="KI77" s="292"/>
      <c r="KJ77" s="292"/>
      <c r="KK77" s="292"/>
      <c r="KL77" s="292"/>
      <c r="KM77" s="292"/>
      <c r="KN77" s="292"/>
      <c r="KO77" s="292"/>
      <c r="KP77" s="292"/>
      <c r="KQ77" s="292"/>
      <c r="KR77" s="292"/>
      <c r="KS77" s="292"/>
      <c r="KT77" s="292"/>
      <c r="KU77" s="292"/>
      <c r="KV77" s="292"/>
      <c r="KW77" s="292"/>
      <c r="KX77" s="292"/>
      <c r="KY77" s="292"/>
      <c r="KZ77" s="292"/>
      <c r="LA77" s="292"/>
      <c r="LB77" s="292"/>
      <c r="LC77" s="292"/>
      <c r="LD77" s="292"/>
      <c r="LE77" s="292"/>
      <c r="LF77" s="292"/>
      <c r="LG77" s="292"/>
      <c r="LH77" s="292"/>
      <c r="LI77" s="292"/>
      <c r="LJ77" s="292"/>
      <c r="LK77" s="292"/>
      <c r="LL77" s="292"/>
      <c r="LM77" s="292"/>
      <c r="LN77" s="292"/>
      <c r="LO77" s="292"/>
      <c r="LP77" s="292"/>
      <c r="LQ77" s="292"/>
      <c r="LR77" s="292"/>
      <c r="LS77" s="292"/>
      <c r="LT77" s="292"/>
      <c r="LU77" s="292"/>
      <c r="LV77" s="292"/>
      <c r="LW77" s="292"/>
      <c r="LX77" s="292"/>
      <c r="LY77" s="292"/>
      <c r="LZ77" s="292"/>
      <c r="MA77" s="292"/>
      <c r="MB77" s="292"/>
      <c r="MC77" s="292"/>
      <c r="MD77" s="292"/>
      <c r="ME77" s="292"/>
      <c r="MF77" s="292"/>
      <c r="MG77" s="292"/>
      <c r="MH77" s="292"/>
      <c r="MI77" s="292"/>
      <c r="MJ77" s="292"/>
      <c r="MK77" s="292"/>
      <c r="ML77" s="292"/>
      <c r="MM77" s="292"/>
      <c r="MN77" s="292"/>
      <c r="MO77" s="292"/>
      <c r="MP77" s="292"/>
      <c r="MQ77" s="292"/>
      <c r="MR77" s="292"/>
      <c r="MS77" s="292"/>
      <c r="MT77" s="292"/>
      <c r="MU77" s="292"/>
      <c r="MV77" s="292"/>
      <c r="MW77" s="292"/>
      <c r="MX77" s="292"/>
      <c r="MY77" s="292"/>
      <c r="MZ77" s="292"/>
      <c r="NA77" s="292"/>
      <c r="NB77" s="292"/>
      <c r="NC77" s="292"/>
      <c r="ND77" s="292"/>
      <c r="NE77" s="292"/>
      <c r="NF77" s="292"/>
      <c r="NG77" s="292"/>
      <c r="NH77" s="292"/>
      <c r="NI77" s="292"/>
      <c r="NJ77" s="292"/>
      <c r="NK77" s="292"/>
      <c r="NL77" s="292"/>
      <c r="NM77" s="292"/>
      <c r="NN77" s="292"/>
      <c r="NO77" s="292"/>
      <c r="NP77" s="292"/>
      <c r="NQ77" s="292"/>
      <c r="NR77" s="292"/>
      <c r="NS77" s="292"/>
      <c r="NT77" s="292"/>
      <c r="NU77" s="292"/>
      <c r="NV77" s="292"/>
      <c r="NW77" s="292"/>
      <c r="NX77" s="292"/>
      <c r="NY77" s="292"/>
      <c r="NZ77" s="292"/>
      <c r="OA77" s="292"/>
      <c r="OB77" s="292"/>
      <c r="OC77" s="292"/>
      <c r="OD77" s="292"/>
      <c r="OE77" s="292"/>
      <c r="OF77" s="292"/>
      <c r="OG77" s="292"/>
      <c r="OH77" s="292"/>
      <c r="OI77" s="292"/>
      <c r="OJ77" s="292"/>
      <c r="OK77" s="292"/>
      <c r="OL77" s="292"/>
      <c r="OM77" s="292"/>
      <c r="ON77" s="292"/>
      <c r="OO77" s="292"/>
      <c r="OP77" s="292"/>
      <c r="OQ77" s="292"/>
      <c r="OR77" s="292"/>
      <c r="OS77" s="292"/>
      <c r="OT77" s="292"/>
      <c r="OU77" s="292"/>
      <c r="OV77" s="292"/>
      <c r="OW77" s="292"/>
      <c r="OX77" s="292"/>
      <c r="OY77" s="292"/>
      <c r="OZ77" s="292"/>
      <c r="PA77" s="292"/>
      <c r="PB77" s="292"/>
      <c r="PC77" s="292"/>
      <c r="PD77" s="292"/>
      <c r="PE77" s="292"/>
      <c r="PF77" s="292"/>
      <c r="PG77" s="292"/>
      <c r="PH77" s="292"/>
      <c r="PI77" s="292"/>
      <c r="PJ77" s="292"/>
      <c r="PK77" s="292"/>
      <c r="PL77" s="292"/>
      <c r="PM77" s="292"/>
      <c r="PN77" s="292"/>
      <c r="PO77" s="292"/>
      <c r="PP77" s="292"/>
      <c r="PQ77" s="292"/>
      <c r="PR77" s="292"/>
      <c r="PS77" s="292"/>
      <c r="PT77" s="292"/>
      <c r="PU77" s="292"/>
      <c r="PV77" s="292"/>
      <c r="PW77" s="292"/>
      <c r="PX77" s="292"/>
      <c r="PY77" s="292"/>
      <c r="PZ77" s="292"/>
      <c r="QA77" s="292"/>
      <c r="QB77" s="292"/>
      <c r="QC77" s="292"/>
      <c r="QD77" s="292"/>
      <c r="QE77" s="292"/>
      <c r="QF77" s="292"/>
      <c r="QG77" s="292"/>
      <c r="QH77" s="292"/>
      <c r="QI77" s="292"/>
      <c r="QJ77" s="292"/>
      <c r="QK77" s="292"/>
      <c r="QL77" s="292"/>
      <c r="QM77" s="292"/>
      <c r="QN77" s="292"/>
      <c r="QO77" s="292"/>
      <c r="QP77" s="292"/>
      <c r="QQ77" s="292"/>
      <c r="QR77" s="292"/>
      <c r="QS77" s="292"/>
      <c r="QT77" s="292"/>
      <c r="QU77" s="292"/>
      <c r="QV77" s="292"/>
      <c r="QW77" s="292"/>
      <c r="QX77" s="292"/>
      <c r="QY77" s="292"/>
      <c r="QZ77" s="292"/>
      <c r="RA77" s="292"/>
      <c r="RB77" s="292"/>
      <c r="RC77" s="292"/>
      <c r="RD77" s="292"/>
      <c r="RE77" s="292"/>
      <c r="RF77" s="292"/>
      <c r="RG77" s="292"/>
      <c r="RH77" s="292"/>
      <c r="RI77" s="292"/>
      <c r="RJ77" s="292"/>
      <c r="RK77" s="292"/>
      <c r="RL77" s="292"/>
      <c r="RM77" s="292"/>
      <c r="RN77" s="292"/>
      <c r="RO77" s="292"/>
      <c r="RP77" s="292"/>
      <c r="RQ77" s="292"/>
      <c r="RR77" s="292"/>
      <c r="RS77" s="292"/>
      <c r="RT77" s="292"/>
      <c r="RU77" s="292"/>
      <c r="RV77" s="292"/>
      <c r="RW77" s="292"/>
      <c r="RX77" s="292"/>
      <c r="RY77" s="292"/>
      <c r="RZ77" s="292"/>
      <c r="SA77" s="292"/>
      <c r="SB77" s="292"/>
      <c r="SC77" s="292"/>
      <c r="SD77" s="292"/>
      <c r="SE77" s="292"/>
      <c r="SF77" s="292"/>
      <c r="SG77" s="292"/>
      <c r="SH77" s="292"/>
      <c r="SI77" s="292"/>
      <c r="SJ77" s="292"/>
      <c r="SK77" s="292"/>
      <c r="SL77" s="292"/>
      <c r="SM77" s="292"/>
      <c r="SN77" s="292"/>
      <c r="SO77" s="292"/>
      <c r="SP77" s="292"/>
      <c r="SQ77" s="292"/>
      <c r="SR77" s="292"/>
      <c r="SS77" s="292"/>
      <c r="ST77" s="292"/>
      <c r="SU77" s="292"/>
    </row>
    <row r="78" spans="1:515" s="960" customFormat="1" ht="23.15" customHeight="1" x14ac:dyDescent="0.25">
      <c r="A78" s="986"/>
      <c r="B78" s="984"/>
      <c r="C78" s="984"/>
      <c r="D78" s="957"/>
      <c r="E78" s="981"/>
      <c r="F78" s="981"/>
      <c r="G78" s="981"/>
      <c r="H78" s="957"/>
      <c r="I78" s="981"/>
      <c r="J78" s="981"/>
      <c r="K78" s="981"/>
      <c r="L78" s="957"/>
      <c r="M78" s="981"/>
      <c r="N78" s="981"/>
      <c r="O78" s="981"/>
      <c r="P78" s="957"/>
      <c r="Q78" s="981"/>
      <c r="R78" s="981"/>
      <c r="S78" s="981"/>
      <c r="T78" s="957"/>
      <c r="U78" s="981"/>
      <c r="V78" s="981"/>
      <c r="W78" s="981"/>
      <c r="X78" s="957"/>
      <c r="Y78" s="981"/>
      <c r="Z78" s="981"/>
      <c r="AA78" s="981"/>
      <c r="AB78" s="976"/>
      <c r="AC78" s="1144"/>
      <c r="AD78" s="981"/>
      <c r="AE78" s="971"/>
    </row>
    <row r="79" spans="1:515" s="628" customFormat="1" ht="22.5" customHeight="1" x14ac:dyDescent="0.25">
      <c r="A79" s="1339" t="s">
        <v>381</v>
      </c>
      <c r="B79" s="1340"/>
      <c r="C79" s="1340"/>
      <c r="D79" s="964"/>
      <c r="E79" s="1306" t="s">
        <v>382</v>
      </c>
      <c r="F79" s="1306"/>
      <c r="G79" s="1306"/>
      <c r="H79" s="964"/>
      <c r="I79" s="1306" t="s">
        <v>383</v>
      </c>
      <c r="J79" s="1306"/>
      <c r="K79" s="1306"/>
      <c r="L79" s="964"/>
      <c r="M79" s="1306" t="s">
        <v>384</v>
      </c>
      <c r="N79" s="1306"/>
      <c r="O79" s="1306"/>
      <c r="P79" s="964"/>
      <c r="Q79" s="1306" t="s">
        <v>385</v>
      </c>
      <c r="R79" s="1306"/>
      <c r="S79" s="1306"/>
      <c r="T79" s="964"/>
      <c r="U79" s="1306" t="s">
        <v>386</v>
      </c>
      <c r="V79" s="1306"/>
      <c r="W79" s="1306"/>
      <c r="X79" s="978"/>
      <c r="Y79" s="1306" t="s">
        <v>387</v>
      </c>
      <c r="Z79" s="1306"/>
      <c r="AA79" s="1306"/>
      <c r="AB79" s="976"/>
      <c r="AC79" s="1145" t="s">
        <v>388</v>
      </c>
      <c r="AD79" s="1145" t="s">
        <v>389</v>
      </c>
      <c r="AE79" s="971"/>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292"/>
      <c r="BI79" s="292"/>
      <c r="BJ79" s="292"/>
      <c r="BK79" s="292"/>
      <c r="BL79" s="292"/>
      <c r="BM79" s="292"/>
      <c r="BN79" s="292"/>
      <c r="BO79" s="292"/>
      <c r="BP79" s="292"/>
      <c r="BQ79" s="292"/>
      <c r="BR79" s="292"/>
      <c r="BS79" s="292"/>
      <c r="BT79" s="292"/>
      <c r="BU79" s="292"/>
      <c r="BV79" s="292"/>
      <c r="BW79" s="292"/>
      <c r="BX79" s="292"/>
      <c r="BY79" s="292"/>
      <c r="BZ79" s="292"/>
      <c r="CA79" s="292"/>
      <c r="CB79" s="292"/>
      <c r="CC79" s="292"/>
      <c r="CD79" s="292"/>
      <c r="CE79" s="292"/>
      <c r="CF79" s="292"/>
      <c r="CG79" s="292"/>
      <c r="CH79" s="292"/>
      <c r="CI79" s="292"/>
      <c r="CJ79" s="292"/>
      <c r="CK79" s="292"/>
      <c r="CL79" s="292"/>
      <c r="CM79" s="292"/>
      <c r="CN79" s="292"/>
      <c r="CO79" s="292"/>
      <c r="CP79" s="292"/>
      <c r="CQ79" s="292"/>
      <c r="CR79" s="292"/>
      <c r="CS79" s="292"/>
      <c r="CT79" s="292"/>
      <c r="CU79" s="292"/>
      <c r="CV79" s="292"/>
      <c r="CW79" s="292"/>
      <c r="CX79" s="292"/>
      <c r="CY79" s="292"/>
      <c r="CZ79" s="292"/>
      <c r="DA79" s="292"/>
      <c r="DB79" s="292"/>
      <c r="DC79" s="292"/>
      <c r="DD79" s="292"/>
      <c r="DE79" s="292"/>
      <c r="DF79" s="292"/>
      <c r="DG79" s="292"/>
      <c r="DH79" s="292"/>
      <c r="DI79" s="292"/>
      <c r="DJ79" s="292"/>
      <c r="DK79" s="292"/>
      <c r="DL79" s="292"/>
      <c r="DM79" s="292"/>
      <c r="DN79" s="292"/>
      <c r="DO79" s="292"/>
      <c r="DP79" s="292"/>
      <c r="DQ79" s="292"/>
      <c r="DR79" s="292"/>
      <c r="DS79" s="292"/>
      <c r="DT79" s="292"/>
      <c r="DU79" s="292"/>
      <c r="DV79" s="292"/>
      <c r="DW79" s="292"/>
      <c r="DX79" s="292"/>
      <c r="DY79" s="292"/>
      <c r="DZ79" s="292"/>
      <c r="EA79" s="292"/>
      <c r="EB79" s="292"/>
      <c r="EC79" s="292"/>
      <c r="ED79" s="292"/>
      <c r="EE79" s="292"/>
      <c r="EF79" s="292"/>
      <c r="EG79" s="292"/>
      <c r="EH79" s="292"/>
      <c r="EI79" s="292"/>
      <c r="EJ79" s="292"/>
      <c r="EK79" s="292"/>
      <c r="EL79" s="292"/>
      <c r="EM79" s="292"/>
      <c r="EN79" s="292"/>
      <c r="EO79" s="292"/>
      <c r="EP79" s="292"/>
      <c r="EQ79" s="292"/>
      <c r="ER79" s="292"/>
      <c r="ES79" s="292"/>
      <c r="ET79" s="292"/>
      <c r="EU79" s="292"/>
      <c r="EV79" s="292"/>
      <c r="EW79" s="292"/>
      <c r="EX79" s="292"/>
      <c r="EY79" s="292"/>
      <c r="EZ79" s="292"/>
      <c r="FA79" s="292"/>
      <c r="FB79" s="292"/>
      <c r="FC79" s="292"/>
      <c r="FD79" s="292"/>
      <c r="FE79" s="292"/>
      <c r="FF79" s="292"/>
      <c r="FG79" s="292"/>
      <c r="FH79" s="292"/>
      <c r="FI79" s="292"/>
      <c r="FJ79" s="292"/>
      <c r="FK79" s="292"/>
      <c r="FL79" s="292"/>
      <c r="FM79" s="292"/>
      <c r="FN79" s="292"/>
      <c r="FO79" s="292"/>
      <c r="FP79" s="292"/>
      <c r="FQ79" s="292"/>
      <c r="FR79" s="292"/>
      <c r="FS79" s="292"/>
      <c r="FT79" s="292"/>
      <c r="FU79" s="292"/>
      <c r="FV79" s="292"/>
      <c r="FW79" s="292"/>
      <c r="FX79" s="292"/>
      <c r="FY79" s="292"/>
      <c r="FZ79" s="292"/>
      <c r="GA79" s="292"/>
      <c r="GB79" s="292"/>
      <c r="GC79" s="292"/>
      <c r="GD79" s="292"/>
      <c r="GE79" s="292"/>
      <c r="GF79" s="292"/>
      <c r="GG79" s="292"/>
      <c r="GH79" s="292"/>
      <c r="GI79" s="292"/>
      <c r="GJ79" s="292"/>
      <c r="GK79" s="292"/>
      <c r="GL79" s="292"/>
      <c r="GM79" s="292"/>
      <c r="GN79" s="292"/>
      <c r="GO79" s="292"/>
      <c r="GP79" s="292"/>
      <c r="GQ79" s="292"/>
      <c r="GR79" s="292"/>
      <c r="GS79" s="292"/>
      <c r="GT79" s="292"/>
      <c r="GU79" s="292"/>
      <c r="GV79" s="292"/>
      <c r="GW79" s="292"/>
      <c r="GX79" s="292"/>
      <c r="GY79" s="292"/>
      <c r="GZ79" s="292"/>
      <c r="HA79" s="292"/>
      <c r="HB79" s="292"/>
      <c r="HC79" s="292"/>
      <c r="HD79" s="292"/>
      <c r="HE79" s="292"/>
      <c r="HF79" s="292"/>
      <c r="HG79" s="292"/>
      <c r="HH79" s="292"/>
      <c r="HI79" s="292"/>
      <c r="HJ79" s="292"/>
      <c r="HK79" s="292"/>
      <c r="HL79" s="292"/>
      <c r="HM79" s="292"/>
      <c r="HN79" s="292"/>
      <c r="HO79" s="292"/>
      <c r="HP79" s="292"/>
      <c r="HQ79" s="292"/>
      <c r="HR79" s="292"/>
      <c r="HS79" s="292"/>
      <c r="HT79" s="292"/>
      <c r="HU79" s="292"/>
      <c r="HV79" s="292"/>
      <c r="HW79" s="292"/>
      <c r="HX79" s="292"/>
      <c r="HY79" s="292"/>
      <c r="HZ79" s="292"/>
      <c r="IA79" s="292"/>
      <c r="IB79" s="292"/>
      <c r="IC79" s="292"/>
      <c r="ID79" s="292"/>
      <c r="IE79" s="292"/>
      <c r="IF79" s="292"/>
      <c r="IG79" s="292"/>
      <c r="IH79" s="292"/>
      <c r="II79" s="292"/>
      <c r="IJ79" s="292"/>
      <c r="IK79" s="292"/>
      <c r="IL79" s="292"/>
      <c r="IM79" s="292"/>
      <c r="IN79" s="292"/>
      <c r="IO79" s="292"/>
      <c r="IP79" s="292"/>
      <c r="IQ79" s="292"/>
      <c r="IR79" s="292"/>
      <c r="IS79" s="292"/>
      <c r="IT79" s="292"/>
      <c r="IU79" s="292"/>
      <c r="IV79" s="292"/>
      <c r="IW79" s="292"/>
      <c r="IX79" s="292"/>
      <c r="IY79" s="292"/>
      <c r="IZ79" s="292"/>
      <c r="JA79" s="292"/>
      <c r="JB79" s="292"/>
      <c r="JC79" s="292"/>
      <c r="JD79" s="292"/>
      <c r="JE79" s="292"/>
      <c r="JF79" s="292"/>
      <c r="JG79" s="292"/>
      <c r="JH79" s="292"/>
      <c r="JI79" s="292"/>
      <c r="JJ79" s="292"/>
      <c r="JK79" s="292"/>
      <c r="JL79" s="292"/>
      <c r="JM79" s="292"/>
      <c r="JN79" s="292"/>
      <c r="JO79" s="292"/>
      <c r="JP79" s="292"/>
      <c r="JQ79" s="292"/>
      <c r="JR79" s="292"/>
      <c r="JS79" s="292"/>
      <c r="JT79" s="292"/>
      <c r="JU79" s="292"/>
      <c r="JV79" s="292"/>
      <c r="JW79" s="292"/>
      <c r="JX79" s="292"/>
      <c r="JY79" s="292"/>
      <c r="JZ79" s="292"/>
      <c r="KA79" s="292"/>
      <c r="KB79" s="292"/>
      <c r="KC79" s="292"/>
      <c r="KD79" s="292"/>
      <c r="KE79" s="292"/>
      <c r="KF79" s="292"/>
      <c r="KG79" s="292"/>
      <c r="KH79" s="292"/>
      <c r="KI79" s="292"/>
      <c r="KJ79" s="292"/>
      <c r="KK79" s="292"/>
      <c r="KL79" s="292"/>
      <c r="KM79" s="292"/>
      <c r="KN79" s="292"/>
      <c r="KO79" s="292"/>
      <c r="KP79" s="292"/>
      <c r="KQ79" s="292"/>
      <c r="KR79" s="292"/>
      <c r="KS79" s="292"/>
      <c r="KT79" s="292"/>
      <c r="KU79" s="292"/>
      <c r="KV79" s="292"/>
      <c r="KW79" s="292"/>
      <c r="KX79" s="292"/>
      <c r="KY79" s="292"/>
      <c r="KZ79" s="292"/>
      <c r="LA79" s="292"/>
      <c r="LB79" s="292"/>
      <c r="LC79" s="292"/>
      <c r="LD79" s="292"/>
      <c r="LE79" s="292"/>
      <c r="LF79" s="292"/>
      <c r="LG79" s="292"/>
      <c r="LH79" s="292"/>
      <c r="LI79" s="292"/>
      <c r="LJ79" s="292"/>
      <c r="LK79" s="292"/>
      <c r="LL79" s="292"/>
      <c r="LM79" s="292"/>
      <c r="LN79" s="292"/>
      <c r="LO79" s="292"/>
      <c r="LP79" s="292"/>
      <c r="LQ79" s="292"/>
      <c r="LR79" s="292"/>
      <c r="LS79" s="292"/>
      <c r="LT79" s="292"/>
      <c r="LU79" s="292"/>
      <c r="LV79" s="292"/>
      <c r="LW79" s="292"/>
      <c r="LX79" s="292"/>
      <c r="LY79" s="292"/>
      <c r="LZ79" s="292"/>
      <c r="MA79" s="292"/>
      <c r="MB79" s="292"/>
      <c r="MC79" s="292"/>
      <c r="MD79" s="292"/>
      <c r="ME79" s="292"/>
      <c r="MF79" s="292"/>
      <c r="MG79" s="292"/>
      <c r="MH79" s="292"/>
      <c r="MI79" s="292"/>
      <c r="MJ79" s="292"/>
      <c r="MK79" s="292"/>
      <c r="ML79" s="292"/>
      <c r="MM79" s="292"/>
      <c r="MN79" s="292"/>
      <c r="MO79" s="292"/>
      <c r="MP79" s="292"/>
      <c r="MQ79" s="292"/>
      <c r="MR79" s="292"/>
      <c r="MS79" s="292"/>
      <c r="MT79" s="292"/>
      <c r="MU79" s="292"/>
      <c r="MV79" s="292"/>
      <c r="MW79" s="292"/>
      <c r="MX79" s="292"/>
      <c r="MY79" s="292"/>
      <c r="MZ79" s="292"/>
      <c r="NA79" s="292"/>
      <c r="NB79" s="292"/>
      <c r="NC79" s="292"/>
      <c r="ND79" s="292"/>
      <c r="NE79" s="292"/>
      <c r="NF79" s="292"/>
      <c r="NG79" s="292"/>
      <c r="NH79" s="292"/>
      <c r="NI79" s="292"/>
      <c r="NJ79" s="292"/>
      <c r="NK79" s="292"/>
      <c r="NL79" s="292"/>
      <c r="NM79" s="292"/>
      <c r="NN79" s="292"/>
      <c r="NO79" s="292"/>
      <c r="NP79" s="292"/>
      <c r="NQ79" s="292"/>
      <c r="NR79" s="292"/>
      <c r="NS79" s="292"/>
      <c r="NT79" s="292"/>
      <c r="NU79" s="292"/>
      <c r="NV79" s="292"/>
      <c r="NW79" s="292"/>
      <c r="NX79" s="292"/>
      <c r="NY79" s="292"/>
      <c r="NZ79" s="292"/>
      <c r="OA79" s="292"/>
      <c r="OB79" s="292"/>
      <c r="OC79" s="292"/>
      <c r="OD79" s="292"/>
      <c r="OE79" s="292"/>
      <c r="OF79" s="292"/>
      <c r="OG79" s="292"/>
      <c r="OH79" s="292"/>
      <c r="OI79" s="292"/>
      <c r="OJ79" s="292"/>
      <c r="OK79" s="292"/>
      <c r="OL79" s="292"/>
      <c r="OM79" s="292"/>
      <c r="ON79" s="292"/>
      <c r="OO79" s="292"/>
      <c r="OP79" s="292"/>
      <c r="OQ79" s="292"/>
      <c r="OR79" s="292"/>
      <c r="OS79" s="292"/>
      <c r="OT79" s="292"/>
      <c r="OU79" s="292"/>
      <c r="OV79" s="292"/>
      <c r="OW79" s="292"/>
      <c r="OX79" s="292"/>
      <c r="OY79" s="292"/>
      <c r="OZ79" s="292"/>
      <c r="PA79" s="292"/>
      <c r="PB79" s="292"/>
      <c r="PC79" s="292"/>
      <c r="PD79" s="292"/>
      <c r="PE79" s="292"/>
      <c r="PF79" s="292"/>
      <c r="PG79" s="292"/>
      <c r="PH79" s="292"/>
      <c r="PI79" s="292"/>
      <c r="PJ79" s="292"/>
      <c r="PK79" s="292"/>
      <c r="PL79" s="292"/>
      <c r="PM79" s="292"/>
      <c r="PN79" s="292"/>
      <c r="PO79" s="292"/>
      <c r="PP79" s="292"/>
      <c r="PQ79" s="292"/>
      <c r="PR79" s="292"/>
      <c r="PS79" s="292"/>
      <c r="PT79" s="292"/>
      <c r="PU79" s="292"/>
      <c r="PV79" s="292"/>
      <c r="PW79" s="292"/>
      <c r="PX79" s="292"/>
      <c r="PY79" s="292"/>
      <c r="PZ79" s="292"/>
      <c r="QA79" s="292"/>
      <c r="QB79" s="292"/>
      <c r="QC79" s="292"/>
      <c r="QD79" s="292"/>
      <c r="QE79" s="292"/>
      <c r="QF79" s="292"/>
      <c r="QG79" s="292"/>
      <c r="QH79" s="292"/>
      <c r="QI79" s="292"/>
      <c r="QJ79" s="292"/>
      <c r="QK79" s="292"/>
      <c r="QL79" s="292"/>
      <c r="QM79" s="292"/>
      <c r="QN79" s="292"/>
      <c r="QO79" s="292"/>
      <c r="QP79" s="292"/>
      <c r="QQ79" s="292"/>
      <c r="QR79" s="292"/>
      <c r="QS79" s="292"/>
      <c r="QT79" s="292"/>
      <c r="QU79" s="292"/>
      <c r="QV79" s="292"/>
      <c r="QW79" s="292"/>
      <c r="QX79" s="292"/>
      <c r="QY79" s="292"/>
      <c r="QZ79" s="292"/>
      <c r="RA79" s="292"/>
      <c r="RB79" s="292"/>
      <c r="RC79" s="292"/>
      <c r="RD79" s="292"/>
      <c r="RE79" s="292"/>
      <c r="RF79" s="292"/>
      <c r="RG79" s="292"/>
      <c r="RH79" s="292"/>
      <c r="RI79" s="292"/>
      <c r="RJ79" s="292"/>
      <c r="RK79" s="292"/>
      <c r="RL79" s="292"/>
      <c r="RM79" s="292"/>
      <c r="RN79" s="292"/>
      <c r="RO79" s="292"/>
      <c r="RP79" s="292"/>
      <c r="RQ79" s="292"/>
      <c r="RR79" s="292"/>
      <c r="RS79" s="292"/>
      <c r="RT79" s="292"/>
      <c r="RU79" s="292"/>
      <c r="RV79" s="292"/>
      <c r="RW79" s="292"/>
      <c r="RX79" s="292"/>
      <c r="RY79" s="292"/>
      <c r="RZ79" s="292"/>
      <c r="SA79" s="292"/>
      <c r="SB79" s="292"/>
      <c r="SC79" s="292"/>
      <c r="SD79" s="292"/>
      <c r="SE79" s="292"/>
      <c r="SF79" s="292"/>
      <c r="SG79" s="292"/>
      <c r="SH79" s="292"/>
      <c r="SI79" s="292"/>
      <c r="SJ79" s="292"/>
      <c r="SK79" s="292"/>
      <c r="SL79" s="292"/>
      <c r="SM79" s="292"/>
      <c r="SN79" s="292"/>
      <c r="SO79" s="292"/>
      <c r="SP79" s="292"/>
      <c r="SQ79" s="292"/>
      <c r="SR79" s="292"/>
      <c r="SS79" s="292"/>
      <c r="ST79" s="292"/>
      <c r="SU79" s="292"/>
    </row>
    <row r="80" spans="1:515" s="629" customFormat="1" ht="23.15" customHeight="1" x14ac:dyDescent="0.25">
      <c r="A80" s="1341"/>
      <c r="B80" s="1342"/>
      <c r="C80" s="1342"/>
      <c r="D80" s="962"/>
      <c r="E80" s="1305">
        <f>E72+G77</f>
        <v>0</v>
      </c>
      <c r="F80" s="1305"/>
      <c r="G80" s="1305"/>
      <c r="H80" s="962"/>
      <c r="I80" s="1305">
        <f>I72+K77</f>
        <v>0</v>
      </c>
      <c r="J80" s="1305"/>
      <c r="K80" s="1305"/>
      <c r="L80" s="962"/>
      <c r="M80" s="1305">
        <f>M72+O77</f>
        <v>0</v>
      </c>
      <c r="N80" s="1305"/>
      <c r="O80" s="1305"/>
      <c r="P80" s="962"/>
      <c r="Q80" s="1305">
        <f>Q72+S77</f>
        <v>0</v>
      </c>
      <c r="R80" s="1305"/>
      <c r="S80" s="1305"/>
      <c r="T80" s="962"/>
      <c r="U80" s="1305">
        <f>U72+W77</f>
        <v>0</v>
      </c>
      <c r="V80" s="1305"/>
      <c r="W80" s="1305"/>
      <c r="X80" s="962"/>
      <c r="Y80" s="1305">
        <f>Y72+AA77</f>
        <v>0</v>
      </c>
      <c r="Z80" s="1305"/>
      <c r="AA80" s="1305"/>
      <c r="AB80" s="976"/>
      <c r="AC80" s="799">
        <f>AC47+AC33</f>
        <v>0</v>
      </c>
      <c r="AD80" s="790">
        <f>E80+I80+M80+Q80+U80+Y80</f>
        <v>0</v>
      </c>
      <c r="AE80" s="971"/>
      <c r="AF80" s="292"/>
      <c r="AG80" s="292"/>
      <c r="AH80" s="292"/>
      <c r="AI80" s="292"/>
      <c r="AJ80" s="292"/>
      <c r="AK80" s="292"/>
      <c r="AL80" s="292"/>
      <c r="AM80" s="292"/>
      <c r="AN80" s="292"/>
      <c r="AO80" s="292"/>
      <c r="AP80" s="292"/>
      <c r="AQ80" s="292"/>
      <c r="AR80" s="292"/>
      <c r="AS80" s="292"/>
      <c r="AT80" s="292"/>
      <c r="AU80" s="292"/>
      <c r="AV80" s="292"/>
      <c r="AW80" s="292"/>
      <c r="AX80" s="292"/>
      <c r="AY80" s="292"/>
      <c r="AZ80" s="292"/>
      <c r="BA80" s="292"/>
      <c r="BB80" s="292"/>
      <c r="BC80" s="292"/>
      <c r="BD80" s="292"/>
      <c r="BE80" s="292"/>
      <c r="BF80" s="292"/>
      <c r="BG80" s="292"/>
      <c r="BH80" s="292"/>
      <c r="BI80" s="292"/>
      <c r="BJ80" s="292"/>
      <c r="BK80" s="292"/>
      <c r="BL80" s="292"/>
      <c r="BM80" s="292"/>
      <c r="BN80" s="292"/>
      <c r="BO80" s="292"/>
      <c r="BP80" s="292"/>
      <c r="BQ80" s="292"/>
      <c r="BR80" s="292"/>
      <c r="BS80" s="292"/>
      <c r="BT80" s="292"/>
      <c r="BU80" s="292"/>
      <c r="BV80" s="292"/>
      <c r="BW80" s="292"/>
      <c r="BX80" s="292"/>
      <c r="BY80" s="292"/>
      <c r="BZ80" s="292"/>
      <c r="CA80" s="292"/>
      <c r="CB80" s="292"/>
      <c r="CC80" s="292"/>
      <c r="CD80" s="292"/>
      <c r="CE80" s="292"/>
      <c r="CF80" s="292"/>
      <c r="CG80" s="292"/>
      <c r="CH80" s="292"/>
      <c r="CI80" s="292"/>
      <c r="CJ80" s="292"/>
      <c r="CK80" s="292"/>
      <c r="CL80" s="292"/>
      <c r="CM80" s="292"/>
      <c r="CN80" s="292"/>
      <c r="CO80" s="292"/>
      <c r="CP80" s="292"/>
      <c r="CQ80" s="292"/>
      <c r="CR80" s="292"/>
      <c r="CS80" s="292"/>
      <c r="CT80" s="292"/>
      <c r="CU80" s="292"/>
      <c r="CV80" s="292"/>
      <c r="CW80" s="292"/>
      <c r="CX80" s="292"/>
      <c r="CY80" s="292"/>
      <c r="CZ80" s="292"/>
      <c r="DA80" s="292"/>
      <c r="DB80" s="292"/>
      <c r="DC80" s="292"/>
      <c r="DD80" s="292"/>
      <c r="DE80" s="292"/>
      <c r="DF80" s="292"/>
      <c r="DG80" s="292"/>
      <c r="DH80" s="292"/>
      <c r="DI80" s="292"/>
      <c r="DJ80" s="292"/>
      <c r="DK80" s="292"/>
      <c r="DL80" s="292"/>
      <c r="DM80" s="292"/>
      <c r="DN80" s="292"/>
      <c r="DO80" s="292"/>
      <c r="DP80" s="292"/>
      <c r="DQ80" s="292"/>
      <c r="DR80" s="292"/>
      <c r="DS80" s="292"/>
      <c r="DT80" s="292"/>
      <c r="DU80" s="292"/>
      <c r="DV80" s="292"/>
      <c r="DW80" s="292"/>
      <c r="DX80" s="292"/>
      <c r="DY80" s="292"/>
      <c r="DZ80" s="292"/>
      <c r="EA80" s="292"/>
      <c r="EB80" s="292"/>
      <c r="EC80" s="292"/>
      <c r="ED80" s="292"/>
      <c r="EE80" s="292"/>
      <c r="EF80" s="292"/>
      <c r="EG80" s="292"/>
      <c r="EH80" s="292"/>
      <c r="EI80" s="292"/>
      <c r="EJ80" s="292"/>
      <c r="EK80" s="292"/>
      <c r="EL80" s="292"/>
      <c r="EM80" s="292"/>
      <c r="EN80" s="292"/>
      <c r="EO80" s="292"/>
      <c r="EP80" s="292"/>
      <c r="EQ80" s="292"/>
      <c r="ER80" s="292"/>
      <c r="ES80" s="292"/>
      <c r="ET80" s="292"/>
      <c r="EU80" s="292"/>
      <c r="EV80" s="292"/>
      <c r="EW80" s="292"/>
      <c r="EX80" s="292"/>
      <c r="EY80" s="292"/>
      <c r="EZ80" s="292"/>
      <c r="FA80" s="292"/>
      <c r="FB80" s="292"/>
      <c r="FC80" s="292"/>
      <c r="FD80" s="292"/>
      <c r="FE80" s="292"/>
      <c r="FF80" s="292"/>
      <c r="FG80" s="292"/>
      <c r="FH80" s="292"/>
      <c r="FI80" s="292"/>
      <c r="FJ80" s="292"/>
      <c r="FK80" s="292"/>
      <c r="FL80" s="292"/>
      <c r="FM80" s="292"/>
      <c r="FN80" s="292"/>
      <c r="FO80" s="292"/>
      <c r="FP80" s="292"/>
      <c r="FQ80" s="292"/>
      <c r="FR80" s="292"/>
      <c r="FS80" s="292"/>
      <c r="FT80" s="292"/>
      <c r="FU80" s="292"/>
      <c r="FV80" s="292"/>
      <c r="FW80" s="292"/>
      <c r="FX80" s="292"/>
      <c r="FY80" s="292"/>
      <c r="FZ80" s="292"/>
      <c r="GA80" s="292"/>
      <c r="GB80" s="292"/>
      <c r="GC80" s="292"/>
      <c r="GD80" s="292"/>
      <c r="GE80" s="292"/>
      <c r="GF80" s="292"/>
      <c r="GG80" s="292"/>
      <c r="GH80" s="292"/>
      <c r="GI80" s="292"/>
      <c r="GJ80" s="292"/>
      <c r="GK80" s="292"/>
      <c r="GL80" s="292"/>
      <c r="GM80" s="292"/>
      <c r="GN80" s="292"/>
      <c r="GO80" s="292"/>
      <c r="GP80" s="292"/>
      <c r="GQ80" s="292"/>
      <c r="GR80" s="292"/>
      <c r="GS80" s="292"/>
      <c r="GT80" s="292"/>
      <c r="GU80" s="292"/>
      <c r="GV80" s="292"/>
      <c r="GW80" s="292"/>
      <c r="GX80" s="292"/>
      <c r="GY80" s="292"/>
      <c r="GZ80" s="292"/>
      <c r="HA80" s="292"/>
      <c r="HB80" s="292"/>
      <c r="HC80" s="292"/>
      <c r="HD80" s="292"/>
      <c r="HE80" s="292"/>
      <c r="HF80" s="292"/>
      <c r="HG80" s="292"/>
      <c r="HH80" s="292"/>
      <c r="HI80" s="292"/>
      <c r="HJ80" s="292"/>
      <c r="HK80" s="292"/>
      <c r="HL80" s="292"/>
      <c r="HM80" s="292"/>
      <c r="HN80" s="292"/>
      <c r="HO80" s="292"/>
      <c r="HP80" s="292"/>
      <c r="HQ80" s="292"/>
      <c r="HR80" s="292"/>
      <c r="HS80" s="292"/>
      <c r="HT80" s="292"/>
      <c r="HU80" s="292"/>
      <c r="HV80" s="292"/>
      <c r="HW80" s="292"/>
      <c r="HX80" s="292"/>
      <c r="HY80" s="292"/>
      <c r="HZ80" s="292"/>
      <c r="IA80" s="292"/>
      <c r="IB80" s="292"/>
      <c r="IC80" s="292"/>
      <c r="ID80" s="292"/>
      <c r="IE80" s="292"/>
      <c r="IF80" s="292"/>
      <c r="IG80" s="292"/>
      <c r="IH80" s="292"/>
      <c r="II80" s="292"/>
      <c r="IJ80" s="292"/>
      <c r="IK80" s="292"/>
      <c r="IL80" s="292"/>
      <c r="IM80" s="292"/>
      <c r="IN80" s="292"/>
      <c r="IO80" s="292"/>
      <c r="IP80" s="292"/>
      <c r="IQ80" s="292"/>
      <c r="IR80" s="292"/>
      <c r="IS80" s="292"/>
      <c r="IT80" s="292"/>
      <c r="IU80" s="292"/>
      <c r="IV80" s="292"/>
      <c r="IW80" s="292"/>
      <c r="IX80" s="292"/>
      <c r="IY80" s="292"/>
      <c r="IZ80" s="292"/>
      <c r="JA80" s="292"/>
      <c r="JB80" s="292"/>
      <c r="JC80" s="292"/>
      <c r="JD80" s="292"/>
      <c r="JE80" s="292"/>
      <c r="JF80" s="292"/>
      <c r="JG80" s="292"/>
      <c r="JH80" s="292"/>
      <c r="JI80" s="292"/>
      <c r="JJ80" s="292"/>
      <c r="JK80" s="292"/>
      <c r="JL80" s="292"/>
      <c r="JM80" s="292"/>
      <c r="JN80" s="292"/>
      <c r="JO80" s="292"/>
      <c r="JP80" s="292"/>
      <c r="JQ80" s="292"/>
      <c r="JR80" s="292"/>
      <c r="JS80" s="292"/>
      <c r="JT80" s="292"/>
      <c r="JU80" s="292"/>
      <c r="JV80" s="292"/>
      <c r="JW80" s="292"/>
      <c r="JX80" s="292"/>
      <c r="JY80" s="292"/>
      <c r="JZ80" s="292"/>
      <c r="KA80" s="292"/>
      <c r="KB80" s="292"/>
      <c r="KC80" s="292"/>
      <c r="KD80" s="292"/>
      <c r="KE80" s="292"/>
      <c r="KF80" s="292"/>
      <c r="KG80" s="292"/>
      <c r="KH80" s="292"/>
      <c r="KI80" s="292"/>
      <c r="KJ80" s="292"/>
      <c r="KK80" s="292"/>
      <c r="KL80" s="292"/>
      <c r="KM80" s="292"/>
      <c r="KN80" s="292"/>
      <c r="KO80" s="292"/>
      <c r="KP80" s="292"/>
      <c r="KQ80" s="292"/>
      <c r="KR80" s="292"/>
      <c r="KS80" s="292"/>
      <c r="KT80" s="292"/>
      <c r="KU80" s="292"/>
      <c r="KV80" s="292"/>
      <c r="KW80" s="292"/>
      <c r="KX80" s="292"/>
      <c r="KY80" s="292"/>
      <c r="KZ80" s="292"/>
      <c r="LA80" s="292"/>
      <c r="LB80" s="292"/>
      <c r="LC80" s="292"/>
      <c r="LD80" s="292"/>
      <c r="LE80" s="292"/>
      <c r="LF80" s="292"/>
      <c r="LG80" s="292"/>
      <c r="LH80" s="292"/>
      <c r="LI80" s="292"/>
      <c r="LJ80" s="292"/>
      <c r="LK80" s="292"/>
      <c r="LL80" s="292"/>
      <c r="LM80" s="292"/>
      <c r="LN80" s="292"/>
      <c r="LO80" s="292"/>
      <c r="LP80" s="292"/>
      <c r="LQ80" s="292"/>
      <c r="LR80" s="292"/>
      <c r="LS80" s="292"/>
      <c r="LT80" s="292"/>
      <c r="LU80" s="292"/>
      <c r="LV80" s="292"/>
      <c r="LW80" s="292"/>
      <c r="LX80" s="292"/>
      <c r="LY80" s="292"/>
      <c r="LZ80" s="292"/>
      <c r="MA80" s="292"/>
      <c r="MB80" s="292"/>
      <c r="MC80" s="292"/>
      <c r="MD80" s="292"/>
      <c r="ME80" s="292"/>
      <c r="MF80" s="292"/>
      <c r="MG80" s="292"/>
      <c r="MH80" s="292"/>
      <c r="MI80" s="292"/>
      <c r="MJ80" s="292"/>
      <c r="MK80" s="292"/>
      <c r="ML80" s="292"/>
      <c r="MM80" s="292"/>
      <c r="MN80" s="292"/>
      <c r="MO80" s="292"/>
      <c r="MP80" s="292"/>
      <c r="MQ80" s="292"/>
      <c r="MR80" s="292"/>
      <c r="MS80" s="292"/>
      <c r="MT80" s="292"/>
      <c r="MU80" s="292"/>
      <c r="MV80" s="292"/>
      <c r="MW80" s="292"/>
      <c r="MX80" s="292"/>
      <c r="MY80" s="292"/>
      <c r="MZ80" s="292"/>
      <c r="NA80" s="292"/>
      <c r="NB80" s="292"/>
      <c r="NC80" s="292"/>
      <c r="ND80" s="292"/>
      <c r="NE80" s="292"/>
      <c r="NF80" s="292"/>
      <c r="NG80" s="292"/>
      <c r="NH80" s="292"/>
      <c r="NI80" s="292"/>
      <c r="NJ80" s="292"/>
      <c r="NK80" s="292"/>
      <c r="NL80" s="292"/>
      <c r="NM80" s="292"/>
      <c r="NN80" s="292"/>
      <c r="NO80" s="292"/>
      <c r="NP80" s="292"/>
      <c r="NQ80" s="292"/>
      <c r="NR80" s="292"/>
      <c r="NS80" s="292"/>
      <c r="NT80" s="292"/>
      <c r="NU80" s="292"/>
      <c r="NV80" s="292"/>
      <c r="NW80" s="292"/>
      <c r="NX80" s="292"/>
      <c r="NY80" s="292"/>
      <c r="NZ80" s="292"/>
      <c r="OA80" s="292"/>
      <c r="OB80" s="292"/>
      <c r="OC80" s="292"/>
      <c r="OD80" s="292"/>
      <c r="OE80" s="292"/>
      <c r="OF80" s="292"/>
      <c r="OG80" s="292"/>
      <c r="OH80" s="292"/>
      <c r="OI80" s="292"/>
      <c r="OJ80" s="292"/>
      <c r="OK80" s="292"/>
      <c r="OL80" s="292"/>
      <c r="OM80" s="292"/>
      <c r="ON80" s="292"/>
      <c r="OO80" s="292"/>
      <c r="OP80" s="292"/>
      <c r="OQ80" s="292"/>
      <c r="OR80" s="292"/>
      <c r="OS80" s="292"/>
      <c r="OT80" s="292"/>
      <c r="OU80" s="292"/>
      <c r="OV80" s="292"/>
      <c r="OW80" s="292"/>
      <c r="OX80" s="292"/>
      <c r="OY80" s="292"/>
      <c r="OZ80" s="292"/>
      <c r="PA80" s="292"/>
      <c r="PB80" s="292"/>
      <c r="PC80" s="292"/>
      <c r="PD80" s="292"/>
      <c r="PE80" s="292"/>
      <c r="PF80" s="292"/>
      <c r="PG80" s="292"/>
      <c r="PH80" s="292"/>
      <c r="PI80" s="292"/>
      <c r="PJ80" s="292"/>
      <c r="PK80" s="292"/>
      <c r="PL80" s="292"/>
      <c r="PM80" s="292"/>
      <c r="PN80" s="292"/>
      <c r="PO80" s="292"/>
      <c r="PP80" s="292"/>
      <c r="PQ80" s="292"/>
      <c r="PR80" s="292"/>
      <c r="PS80" s="292"/>
      <c r="PT80" s="292"/>
      <c r="PU80" s="292"/>
      <c r="PV80" s="292"/>
      <c r="PW80" s="292"/>
      <c r="PX80" s="292"/>
      <c r="PY80" s="292"/>
      <c r="PZ80" s="292"/>
      <c r="QA80" s="292"/>
      <c r="QB80" s="292"/>
      <c r="QC80" s="292"/>
      <c r="QD80" s="292"/>
      <c r="QE80" s="292"/>
      <c r="QF80" s="292"/>
      <c r="QG80" s="292"/>
      <c r="QH80" s="292"/>
      <c r="QI80" s="292"/>
      <c r="QJ80" s="292"/>
      <c r="QK80" s="292"/>
      <c r="QL80" s="292"/>
      <c r="QM80" s="292"/>
      <c r="QN80" s="292"/>
      <c r="QO80" s="292"/>
      <c r="QP80" s="292"/>
      <c r="QQ80" s="292"/>
      <c r="QR80" s="292"/>
      <c r="QS80" s="292"/>
      <c r="QT80" s="292"/>
      <c r="QU80" s="292"/>
      <c r="QV80" s="292"/>
      <c r="QW80" s="292"/>
      <c r="QX80" s="292"/>
      <c r="QY80" s="292"/>
      <c r="QZ80" s="292"/>
      <c r="RA80" s="292"/>
      <c r="RB80" s="292"/>
      <c r="RC80" s="292"/>
      <c r="RD80" s="292"/>
      <c r="RE80" s="292"/>
      <c r="RF80" s="292"/>
      <c r="RG80" s="292"/>
      <c r="RH80" s="292"/>
      <c r="RI80" s="292"/>
      <c r="RJ80" s="292"/>
      <c r="RK80" s="292"/>
      <c r="RL80" s="292"/>
      <c r="RM80" s="292"/>
      <c r="RN80" s="292"/>
      <c r="RO80" s="292"/>
      <c r="RP80" s="292"/>
      <c r="RQ80" s="292"/>
      <c r="RR80" s="292"/>
      <c r="RS80" s="292"/>
      <c r="RT80" s="292"/>
      <c r="RU80" s="292"/>
      <c r="RV80" s="292"/>
      <c r="RW80" s="292"/>
      <c r="RX80" s="292"/>
      <c r="RY80" s="292"/>
      <c r="RZ80" s="292"/>
      <c r="SA80" s="292"/>
      <c r="SB80" s="292"/>
      <c r="SC80" s="292"/>
      <c r="SD80" s="292"/>
      <c r="SE80" s="292"/>
      <c r="SF80" s="292"/>
      <c r="SG80" s="292"/>
      <c r="SH80" s="292"/>
      <c r="SI80" s="292"/>
      <c r="SJ80" s="292"/>
      <c r="SK80" s="292"/>
      <c r="SL80" s="292"/>
      <c r="SM80" s="292"/>
      <c r="SN80" s="292"/>
      <c r="SO80" s="292"/>
      <c r="SP80" s="292"/>
      <c r="SQ80" s="292"/>
      <c r="SR80" s="292"/>
      <c r="SS80" s="292"/>
      <c r="ST80" s="292"/>
      <c r="SU80" s="292"/>
    </row>
    <row r="81" spans="1:31" ht="15" customHeight="1" x14ac:dyDescent="0.25">
      <c r="A81" s="959"/>
      <c r="B81" s="960"/>
      <c r="C81" s="960"/>
      <c r="D81" s="960"/>
      <c r="E81" s="960"/>
      <c r="F81" s="960"/>
      <c r="G81" s="960"/>
      <c r="H81" s="960"/>
      <c r="I81" s="960"/>
      <c r="J81" s="960"/>
      <c r="K81" s="960"/>
      <c r="L81" s="960"/>
      <c r="M81" s="960"/>
      <c r="N81" s="960"/>
      <c r="O81" s="960"/>
      <c r="P81" s="960"/>
      <c r="Q81" s="960"/>
      <c r="R81" s="960"/>
      <c r="S81" s="960"/>
      <c r="T81" s="960"/>
      <c r="U81" s="960"/>
      <c r="V81" s="960"/>
      <c r="W81" s="960"/>
      <c r="X81" s="960"/>
      <c r="Y81" s="960"/>
      <c r="Z81" s="960"/>
      <c r="AA81" s="960"/>
      <c r="AB81" s="960"/>
      <c r="AC81" s="960"/>
      <c r="AD81" s="960"/>
      <c r="AE81" s="967"/>
    </row>
    <row r="82" spans="1:31" ht="15" customHeight="1" x14ac:dyDescent="0.25">
      <c r="A82" s="960"/>
      <c r="B82" s="960"/>
      <c r="C82" s="960"/>
      <c r="D82" s="960"/>
      <c r="E82" s="960"/>
      <c r="F82" s="960"/>
      <c r="G82" s="960"/>
      <c r="H82" s="960"/>
      <c r="I82" s="960"/>
      <c r="J82" s="960"/>
      <c r="K82" s="960"/>
      <c r="L82" s="960"/>
      <c r="M82" s="960"/>
      <c r="N82" s="960"/>
      <c r="O82" s="960"/>
      <c r="P82" s="960"/>
      <c r="Q82" s="960"/>
      <c r="R82" s="960"/>
      <c r="S82" s="960"/>
      <c r="T82" s="960"/>
      <c r="U82" s="960"/>
      <c r="V82" s="960"/>
      <c r="W82" s="960"/>
      <c r="X82" s="960"/>
      <c r="Y82" s="960"/>
      <c r="Z82" s="960"/>
      <c r="AA82" s="960"/>
      <c r="AB82" s="960"/>
      <c r="AC82" s="960"/>
      <c r="AD82" s="960"/>
      <c r="AE82" s="967"/>
    </row>
    <row r="83" spans="1:31" ht="15" customHeight="1" x14ac:dyDescent="0.25">
      <c r="A83" s="960"/>
      <c r="B83" s="960"/>
      <c r="C83" s="960"/>
      <c r="D83" s="960"/>
      <c r="E83" s="1192" t="s">
        <v>15</v>
      </c>
      <c r="F83" s="1192" t="s">
        <v>390</v>
      </c>
      <c r="G83" s="1192" t="s">
        <v>345</v>
      </c>
      <c r="H83" s="960"/>
      <c r="I83" s="1192" t="s">
        <v>15</v>
      </c>
      <c r="J83" s="1192" t="s">
        <v>390</v>
      </c>
      <c r="K83" s="1192" t="s">
        <v>345</v>
      </c>
      <c r="L83" s="960"/>
      <c r="M83" s="1192" t="s">
        <v>15</v>
      </c>
      <c r="N83" s="1192" t="s">
        <v>390</v>
      </c>
      <c r="O83" s="1192" t="s">
        <v>345</v>
      </c>
      <c r="P83" s="960"/>
      <c r="Q83" s="1192" t="s">
        <v>15</v>
      </c>
      <c r="R83" s="1192" t="s">
        <v>390</v>
      </c>
      <c r="S83" s="1192" t="s">
        <v>345</v>
      </c>
      <c r="T83" s="960"/>
      <c r="U83" s="1192" t="s">
        <v>15</v>
      </c>
      <c r="V83" s="1192" t="s">
        <v>390</v>
      </c>
      <c r="W83" s="1192" t="s">
        <v>345</v>
      </c>
      <c r="X83" s="960"/>
      <c r="Y83" s="1192" t="s">
        <v>15</v>
      </c>
      <c r="Z83" s="1192" t="s">
        <v>390</v>
      </c>
      <c r="AA83" s="1192" t="s">
        <v>345</v>
      </c>
      <c r="AB83" s="960"/>
      <c r="AC83" s="1192" t="s">
        <v>390</v>
      </c>
      <c r="AD83" s="1192" t="s">
        <v>391</v>
      </c>
      <c r="AE83" s="967"/>
    </row>
    <row r="84" spans="1:31" ht="23.5" customHeight="1" x14ac:dyDescent="0.25">
      <c r="A84" s="1368" t="s">
        <v>392</v>
      </c>
      <c r="B84" s="1369"/>
      <c r="C84" s="1178" t="s">
        <v>393</v>
      </c>
      <c r="D84" s="960"/>
      <c r="E84" s="1302">
        <f>E80</f>
        <v>0</v>
      </c>
      <c r="F84" s="1161">
        <v>0</v>
      </c>
      <c r="G84" s="1160">
        <f>E84*F84</f>
        <v>0</v>
      </c>
      <c r="H84" s="960"/>
      <c r="I84" s="1302">
        <f>I80</f>
        <v>0</v>
      </c>
      <c r="J84" s="1161">
        <v>0</v>
      </c>
      <c r="K84" s="1160">
        <f>I84*J84</f>
        <v>0</v>
      </c>
      <c r="L84" s="960"/>
      <c r="M84" s="1302">
        <f>M80</f>
        <v>0</v>
      </c>
      <c r="N84" s="1161">
        <v>0</v>
      </c>
      <c r="O84" s="1160">
        <f>M84*N84</f>
        <v>0</v>
      </c>
      <c r="P84" s="960"/>
      <c r="Q84" s="1302">
        <f>Q80</f>
        <v>0</v>
      </c>
      <c r="R84" s="1161">
        <v>0</v>
      </c>
      <c r="S84" s="1160">
        <f>Q84*R84</f>
        <v>0</v>
      </c>
      <c r="T84" s="960"/>
      <c r="U84" s="1302">
        <f>U80</f>
        <v>0</v>
      </c>
      <c r="V84" s="1161">
        <v>0</v>
      </c>
      <c r="W84" s="1160">
        <f>U84*V84</f>
        <v>0</v>
      </c>
      <c r="X84" s="960"/>
      <c r="Y84" s="1302">
        <f>Y80</f>
        <v>0</v>
      </c>
      <c r="Z84" s="1161">
        <v>0</v>
      </c>
      <c r="AA84" s="1160">
        <f>Y84*Z84</f>
        <v>0</v>
      </c>
      <c r="AB84" s="960"/>
      <c r="AC84" s="1162">
        <f>AVERAGE(Z84,V84,R84,N84,J84,F84)</f>
        <v>0</v>
      </c>
      <c r="AD84" s="1200">
        <f>AA84+W84+S84+O84+K84+G84</f>
        <v>0</v>
      </c>
      <c r="AE84" s="967"/>
    </row>
    <row r="85" spans="1:31" ht="25.5" customHeight="1" x14ac:dyDescent="0.25">
      <c r="A85" s="1370"/>
      <c r="B85" s="1371"/>
      <c r="C85" s="1178" t="s">
        <v>394</v>
      </c>
      <c r="D85" s="960"/>
      <c r="E85" s="1303"/>
      <c r="F85" s="1161">
        <v>0</v>
      </c>
      <c r="G85" s="1160">
        <f>E85*F85</f>
        <v>0</v>
      </c>
      <c r="H85" s="960"/>
      <c r="I85" s="1303"/>
      <c r="J85" s="1161">
        <v>0</v>
      </c>
      <c r="K85" s="1160">
        <f>I85*J85</f>
        <v>0</v>
      </c>
      <c r="L85" s="960"/>
      <c r="M85" s="1303"/>
      <c r="N85" s="1161">
        <v>0</v>
      </c>
      <c r="O85" s="1160">
        <f>M85*N85</f>
        <v>0</v>
      </c>
      <c r="P85" s="960"/>
      <c r="Q85" s="1303"/>
      <c r="R85" s="1161">
        <v>0</v>
      </c>
      <c r="S85" s="1160">
        <f>Q85*R85</f>
        <v>0</v>
      </c>
      <c r="T85" s="960"/>
      <c r="U85" s="1303"/>
      <c r="V85" s="1161">
        <v>0</v>
      </c>
      <c r="W85" s="1160">
        <f>U85*V85</f>
        <v>0</v>
      </c>
      <c r="X85" s="960"/>
      <c r="Y85" s="1303"/>
      <c r="Z85" s="1161">
        <v>0</v>
      </c>
      <c r="AA85" s="1160">
        <f>Y85*Z85</f>
        <v>0</v>
      </c>
      <c r="AB85" s="960"/>
      <c r="AC85" s="1162">
        <f>AVERAGE(Z85,V85,R85,N85,J85,F85)</f>
        <v>0</v>
      </c>
      <c r="AD85" s="1200">
        <f>AA85+W85+S85+O85+K85+G85</f>
        <v>0</v>
      </c>
      <c r="AE85" s="967"/>
    </row>
    <row r="86" spans="1:31" ht="15" customHeight="1" x14ac:dyDescent="0.25">
      <c r="A86" s="960"/>
      <c r="B86" s="960"/>
      <c r="C86" s="960"/>
      <c r="D86" s="960"/>
      <c r="E86" s="960"/>
      <c r="F86" s="960"/>
      <c r="G86" s="960"/>
      <c r="H86" s="960"/>
      <c r="I86" s="960"/>
      <c r="J86" s="960"/>
      <c r="K86" s="960"/>
      <c r="L86" s="960"/>
      <c r="M86" s="960"/>
      <c r="N86" s="960"/>
      <c r="O86" s="960"/>
      <c r="P86" s="960"/>
      <c r="Q86" s="960"/>
      <c r="R86" s="960"/>
      <c r="S86" s="960"/>
      <c r="T86" s="960"/>
      <c r="U86" s="960"/>
      <c r="V86" s="960"/>
      <c r="W86" s="960"/>
      <c r="X86" s="960"/>
      <c r="Y86" s="960"/>
      <c r="Z86" s="960"/>
      <c r="AA86" s="960"/>
      <c r="AB86" s="960"/>
      <c r="AC86" s="960"/>
      <c r="AD86" s="960"/>
      <c r="AE86" s="967"/>
    </row>
    <row r="87" spans="1:31" ht="15" customHeight="1" thickBot="1" x14ac:dyDescent="0.3">
      <c r="A87" s="959"/>
      <c r="B87" s="960"/>
      <c r="C87" s="960"/>
      <c r="D87" s="960"/>
      <c r="E87" s="960"/>
      <c r="F87" s="960"/>
      <c r="G87" s="960"/>
      <c r="H87" s="960"/>
      <c r="I87" s="960"/>
      <c r="J87" s="960"/>
      <c r="K87" s="960"/>
      <c r="L87" s="960"/>
      <c r="M87" s="960"/>
      <c r="N87" s="960"/>
      <c r="O87" s="960"/>
      <c r="P87" s="960"/>
      <c r="Q87" s="960"/>
      <c r="R87" s="960"/>
      <c r="S87" s="960"/>
      <c r="T87" s="960"/>
      <c r="U87" s="960"/>
      <c r="V87" s="960"/>
      <c r="W87" s="960"/>
      <c r="X87" s="960"/>
      <c r="Y87" s="960"/>
      <c r="Z87" s="960"/>
      <c r="AA87" s="960"/>
      <c r="AB87" s="960"/>
      <c r="AC87" s="960"/>
      <c r="AD87" s="960"/>
      <c r="AE87" s="967"/>
    </row>
    <row r="88" spans="1:31" ht="25.5" customHeight="1" thickBot="1" x14ac:dyDescent="0.3">
      <c r="A88" s="1355" t="s">
        <v>395</v>
      </c>
      <c r="B88" s="1356"/>
      <c r="C88" s="1357"/>
      <c r="D88" s="960"/>
      <c r="E88" s="960"/>
      <c r="F88" s="960"/>
      <c r="G88" s="960"/>
      <c r="H88" s="960"/>
      <c r="I88" s="960"/>
      <c r="J88" s="960"/>
      <c r="K88" s="960"/>
      <c r="L88" s="960"/>
      <c r="M88" s="960"/>
      <c r="N88" s="960"/>
      <c r="O88" s="960"/>
      <c r="P88" s="960"/>
      <c r="Q88" s="960"/>
      <c r="R88" s="960"/>
      <c r="S88" s="960"/>
      <c r="T88" s="960"/>
      <c r="U88" s="960"/>
      <c r="V88" s="960"/>
      <c r="W88" s="960"/>
      <c r="X88" s="960"/>
      <c r="Y88" s="960"/>
      <c r="Z88" s="960"/>
      <c r="AA88" s="960"/>
      <c r="AB88" s="960"/>
      <c r="AC88" s="960"/>
      <c r="AD88" s="960"/>
      <c r="AE88" s="967"/>
    </row>
    <row r="89" spans="1:31" ht="38.5" customHeight="1" x14ac:dyDescent="0.25">
      <c r="A89" s="1372" t="s">
        <v>396</v>
      </c>
      <c r="B89" s="1373"/>
      <c r="C89" s="1374"/>
      <c r="D89" s="960"/>
      <c r="E89" s="960"/>
      <c r="F89" s="960"/>
      <c r="G89" s="960"/>
      <c r="H89" s="960"/>
      <c r="I89" s="960"/>
      <c r="J89" s="960"/>
      <c r="K89" s="960"/>
      <c r="L89" s="960"/>
      <c r="M89" s="960"/>
      <c r="N89" s="960"/>
      <c r="O89" s="960"/>
      <c r="P89" s="960"/>
      <c r="Q89" s="960"/>
      <c r="R89" s="960"/>
      <c r="S89" s="960"/>
      <c r="T89" s="960"/>
      <c r="U89" s="960"/>
      <c r="V89" s="960"/>
      <c r="W89" s="960"/>
      <c r="X89" s="960"/>
      <c r="Y89" s="960"/>
      <c r="Z89" s="960"/>
      <c r="AA89" s="960"/>
      <c r="AB89" s="960"/>
      <c r="AC89" s="960"/>
      <c r="AD89" s="960"/>
      <c r="AE89" s="967"/>
    </row>
    <row r="90" spans="1:31" ht="30" customHeight="1" x14ac:dyDescent="0.25">
      <c r="A90" s="1299" t="s">
        <v>397</v>
      </c>
      <c r="B90" s="1300"/>
      <c r="C90" s="1301"/>
      <c r="D90" s="965"/>
      <c r="E90" s="965"/>
      <c r="F90" s="965"/>
      <c r="G90" s="965"/>
      <c r="H90" s="965"/>
      <c r="I90" s="965"/>
      <c r="J90" s="965"/>
      <c r="K90" s="965"/>
      <c r="L90" s="960"/>
      <c r="M90" s="960"/>
      <c r="N90" s="960"/>
      <c r="O90" s="960"/>
      <c r="P90" s="960"/>
      <c r="Q90" s="960"/>
      <c r="R90" s="960"/>
      <c r="S90" s="960"/>
      <c r="T90" s="960"/>
      <c r="U90" s="960"/>
      <c r="V90" s="960"/>
      <c r="W90" s="960"/>
      <c r="X90" s="960"/>
      <c r="Y90" s="960"/>
      <c r="Z90" s="960"/>
      <c r="AA90" s="960"/>
      <c r="AB90" s="960"/>
      <c r="AC90" s="960"/>
      <c r="AD90" s="960"/>
      <c r="AE90" s="967"/>
    </row>
    <row r="91" spans="1:31" ht="63" customHeight="1" x14ac:dyDescent="0.25">
      <c r="A91" s="1343" t="s">
        <v>398</v>
      </c>
      <c r="B91" s="1343"/>
      <c r="C91" s="1343"/>
      <c r="D91" s="960"/>
      <c r="E91" s="960"/>
      <c r="F91" s="960"/>
      <c r="G91" s="960"/>
      <c r="H91" s="960"/>
      <c r="I91" s="960"/>
      <c r="J91" s="960"/>
      <c r="K91" s="960"/>
      <c r="L91" s="960"/>
      <c r="M91" s="960"/>
      <c r="N91" s="960"/>
      <c r="O91" s="960"/>
      <c r="P91" s="960"/>
      <c r="Q91" s="960"/>
      <c r="R91" s="960"/>
      <c r="S91" s="960"/>
      <c r="T91" s="960"/>
      <c r="U91" s="960"/>
      <c r="V91" s="960"/>
      <c r="W91" s="960"/>
      <c r="X91" s="960"/>
      <c r="Y91" s="960"/>
      <c r="Z91" s="960"/>
      <c r="AA91" s="960"/>
      <c r="AB91" s="960"/>
      <c r="AC91" s="960"/>
      <c r="AD91" s="960"/>
      <c r="AE91" s="967"/>
    </row>
    <row r="92" spans="1:31" ht="29.5" customHeight="1" x14ac:dyDescent="0.25">
      <c r="A92" s="1299" t="s">
        <v>399</v>
      </c>
      <c r="B92" s="1300"/>
      <c r="C92" s="1301"/>
      <c r="D92" s="960"/>
      <c r="E92" s="960"/>
      <c r="F92" s="960"/>
      <c r="G92" s="960"/>
      <c r="H92" s="960"/>
      <c r="I92" s="960"/>
      <c r="J92" s="960"/>
      <c r="K92" s="960"/>
      <c r="L92" s="960"/>
      <c r="M92" s="960"/>
      <c r="N92" s="960"/>
      <c r="O92" s="960"/>
      <c r="P92" s="960"/>
      <c r="Q92" s="960"/>
      <c r="R92" s="960"/>
      <c r="S92" s="960"/>
      <c r="T92" s="960"/>
      <c r="U92" s="960"/>
      <c r="V92" s="960"/>
      <c r="W92" s="960"/>
      <c r="X92" s="960"/>
      <c r="Y92" s="960"/>
      <c r="Z92" s="960"/>
      <c r="AA92" s="960"/>
      <c r="AB92" s="960"/>
      <c r="AC92" s="960"/>
      <c r="AD92" s="960"/>
      <c r="AE92" s="967"/>
    </row>
    <row r="93" spans="1:31" ht="13" customHeight="1" thickBot="1" x14ac:dyDescent="0.3">
      <c r="A93" s="968"/>
      <c r="B93" s="969"/>
      <c r="C93" s="969"/>
      <c r="D93" s="966"/>
      <c r="E93" s="966"/>
      <c r="F93" s="966"/>
      <c r="G93" s="966"/>
      <c r="H93" s="966"/>
      <c r="I93" s="966"/>
      <c r="J93" s="966"/>
      <c r="K93" s="966"/>
      <c r="L93" s="966"/>
      <c r="M93" s="966"/>
      <c r="N93" s="966"/>
      <c r="O93" s="966"/>
      <c r="P93" s="966"/>
      <c r="Q93" s="966"/>
      <c r="R93" s="966"/>
      <c r="S93" s="966"/>
      <c r="T93" s="966"/>
      <c r="U93" s="966"/>
      <c r="V93" s="966"/>
      <c r="W93" s="966"/>
      <c r="X93" s="966"/>
      <c r="Y93" s="966"/>
      <c r="Z93" s="966"/>
      <c r="AA93" s="966"/>
      <c r="AB93" s="966"/>
      <c r="AC93" s="966"/>
      <c r="AD93" s="966"/>
      <c r="AE93" s="970"/>
    </row>
    <row r="94" spans="1:31" x14ac:dyDescent="0.25">
      <c r="A94" s="796"/>
      <c r="B94" s="796"/>
      <c r="C94" s="796"/>
    </row>
    <row r="95" spans="1:31" x14ac:dyDescent="0.25">
      <c r="A95" s="796"/>
      <c r="B95" s="796"/>
      <c r="C95" s="796"/>
    </row>
    <row r="96" spans="1:31" x14ac:dyDescent="0.25">
      <c r="A96" s="796"/>
      <c r="B96" s="796"/>
      <c r="C96" s="796"/>
    </row>
    <row r="97" spans="1:3" x14ac:dyDescent="0.25">
      <c r="A97" s="796"/>
      <c r="B97" s="796"/>
      <c r="C97" s="796"/>
    </row>
    <row r="98" spans="1:3" x14ac:dyDescent="0.25">
      <c r="A98" s="796"/>
      <c r="B98" s="796"/>
      <c r="C98" s="796"/>
    </row>
    <row r="99" spans="1:3" ht="13" customHeight="1" x14ac:dyDescent="0.25">
      <c r="B99" s="577"/>
      <c r="C99" s="577"/>
    </row>
    <row r="100" spans="1:3" x14ac:dyDescent="0.25">
      <c r="A100" s="577"/>
      <c r="B100" s="577"/>
      <c r="C100" s="577"/>
    </row>
    <row r="101" spans="1:3" x14ac:dyDescent="0.25">
      <c r="A101" s="577"/>
      <c r="B101" s="577"/>
      <c r="C101" s="577"/>
    </row>
    <row r="102" spans="1:3" x14ac:dyDescent="0.25">
      <c r="A102" s="577"/>
      <c r="B102" s="577"/>
      <c r="C102" s="577"/>
    </row>
  </sheetData>
  <mergeCells count="140">
    <mergeCell ref="A79:C80"/>
    <mergeCell ref="A90:C90"/>
    <mergeCell ref="A91:C91"/>
    <mergeCell ref="A35:C35"/>
    <mergeCell ref="A56:C56"/>
    <mergeCell ref="A65:C65"/>
    <mergeCell ref="A57:C57"/>
    <mergeCell ref="A58:C58"/>
    <mergeCell ref="A76:C76"/>
    <mergeCell ref="A75:C75"/>
    <mergeCell ref="A74:C74"/>
    <mergeCell ref="A88:C88"/>
    <mergeCell ref="A40:C40"/>
    <mergeCell ref="A47:C47"/>
    <mergeCell ref="A54:C54"/>
    <mergeCell ref="A49:C49"/>
    <mergeCell ref="A59:C59"/>
    <mergeCell ref="A50:B50"/>
    <mergeCell ref="A51:B51"/>
    <mergeCell ref="A52:B52"/>
    <mergeCell ref="A84:B85"/>
    <mergeCell ref="A89:C89"/>
    <mergeCell ref="A53:B53"/>
    <mergeCell ref="C66:C67"/>
    <mergeCell ref="A14:B14"/>
    <mergeCell ref="A15:B15"/>
    <mergeCell ref="A16:B16"/>
    <mergeCell ref="A17:B17"/>
    <mergeCell ref="A23:B23"/>
    <mergeCell ref="A24:B24"/>
    <mergeCell ref="A25:B25"/>
    <mergeCell ref="A26:B26"/>
    <mergeCell ref="A27:B27"/>
    <mergeCell ref="Q63:S63"/>
    <mergeCell ref="I72:K72"/>
    <mergeCell ref="U63:W63"/>
    <mergeCell ref="U72:W72"/>
    <mergeCell ref="I80:K80"/>
    <mergeCell ref="M80:O80"/>
    <mergeCell ref="A32:B32"/>
    <mergeCell ref="A7:C7"/>
    <mergeCell ref="Q6:S6"/>
    <mergeCell ref="M6:O6"/>
    <mergeCell ref="I6:K6"/>
    <mergeCell ref="E6:G6"/>
    <mergeCell ref="E80:G80"/>
    <mergeCell ref="A36:B36"/>
    <mergeCell ref="A37:B37"/>
    <mergeCell ref="A38:B38"/>
    <mergeCell ref="A39:B39"/>
    <mergeCell ref="A43:B43"/>
    <mergeCell ref="A44:B44"/>
    <mergeCell ref="A45:B45"/>
    <mergeCell ref="A46:B46"/>
    <mergeCell ref="E79:G79"/>
    <mergeCell ref="E63:G63"/>
    <mergeCell ref="E72:G72"/>
    <mergeCell ref="Q80:S80"/>
    <mergeCell ref="M72:O72"/>
    <mergeCell ref="Q72:S72"/>
    <mergeCell ref="A13:B13"/>
    <mergeCell ref="I4:K4"/>
    <mergeCell ref="M4:O4"/>
    <mergeCell ref="Q4:S4"/>
    <mergeCell ref="U4:W4"/>
    <mergeCell ref="A9:B9"/>
    <mergeCell ref="A10:B10"/>
    <mergeCell ref="A11:B11"/>
    <mergeCell ref="A12:B12"/>
    <mergeCell ref="I7:K7"/>
    <mergeCell ref="E7:G7"/>
    <mergeCell ref="M7:O7"/>
    <mergeCell ref="Q7:S7"/>
    <mergeCell ref="Q62:S62"/>
    <mergeCell ref="M62:O62"/>
    <mergeCell ref="I62:K62"/>
    <mergeCell ref="E62:G62"/>
    <mergeCell ref="E71:G71"/>
    <mergeCell ref="I71:K71"/>
    <mergeCell ref="M71:O71"/>
    <mergeCell ref="U71:W71"/>
    <mergeCell ref="Y4:AA4"/>
    <mergeCell ref="A2:B2"/>
    <mergeCell ref="A68:C68"/>
    <mergeCell ref="A28:B28"/>
    <mergeCell ref="A72:C72"/>
    <mergeCell ref="A63:C63"/>
    <mergeCell ref="A77:C77"/>
    <mergeCell ref="A66:B66"/>
    <mergeCell ref="A67:B67"/>
    <mergeCell ref="A29:B29"/>
    <mergeCell ref="A30:B30"/>
    <mergeCell ref="A31:B31"/>
    <mergeCell ref="A18:B18"/>
    <mergeCell ref="A19:B19"/>
    <mergeCell ref="A20:B20"/>
    <mergeCell ref="A21:B21"/>
    <mergeCell ref="A22:B22"/>
    <mergeCell ref="B4:C4"/>
    <mergeCell ref="A8:B8"/>
    <mergeCell ref="E4:G4"/>
    <mergeCell ref="B5:C5"/>
    <mergeCell ref="A42:C42"/>
    <mergeCell ref="Y62:AA62"/>
    <mergeCell ref="U62:W62"/>
    <mergeCell ref="BG5:BI5"/>
    <mergeCell ref="Y7:AA7"/>
    <mergeCell ref="U7:W7"/>
    <mergeCell ref="Y54:Z54"/>
    <mergeCell ref="Y40:Z40"/>
    <mergeCell ref="U40:V40"/>
    <mergeCell ref="U54:V54"/>
    <mergeCell ref="AC7:AD7"/>
    <mergeCell ref="AC6:AD6"/>
    <mergeCell ref="Y6:AA6"/>
    <mergeCell ref="U6:W6"/>
    <mergeCell ref="Y71:AA71"/>
    <mergeCell ref="U68:V68"/>
    <mergeCell ref="I63:K63"/>
    <mergeCell ref="M63:O63"/>
    <mergeCell ref="Y68:Z68"/>
    <mergeCell ref="Y63:AA63"/>
    <mergeCell ref="A92:C92"/>
    <mergeCell ref="E84:E85"/>
    <mergeCell ref="I84:I85"/>
    <mergeCell ref="M84:M85"/>
    <mergeCell ref="Q84:Q85"/>
    <mergeCell ref="U84:U85"/>
    <mergeCell ref="Y84:Y85"/>
    <mergeCell ref="Q71:S71"/>
    <mergeCell ref="U77:V77"/>
    <mergeCell ref="Y77:Z77"/>
    <mergeCell ref="Y80:AA80"/>
    <mergeCell ref="U80:W80"/>
    <mergeCell ref="Y72:AA72"/>
    <mergeCell ref="I79:K79"/>
    <mergeCell ref="M79:O79"/>
    <mergeCell ref="Q79:S79"/>
    <mergeCell ref="U79:W79"/>
    <mergeCell ref="Y79:AA79"/>
  </mergeCells>
  <phoneticPr fontId="4" type="noConversion"/>
  <printOptions horizontalCentered="1" gridLines="1"/>
  <pageMargins left="0.5" right="0.5" top="0.5" bottom="0.5" header="0.25" footer="0.25"/>
  <pageSetup scale="31" fitToHeight="3" orientation="landscape" r:id="rId1"/>
  <headerFooter alignWithMargins="0">
    <oddHeader>&amp;C&amp;"Arial,Bold"&amp;12&amp;A</oddHeader>
    <oddFooter>&amp;LOfferor: &amp;CPage &amp;P of &amp;N Pages&amp;R&amp;F</oddFooter>
  </headerFooter>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31E24-2938-46EF-B427-97F66A329E43}">
  <sheetPr codeName="Sheet22"/>
  <dimension ref="A1:O91"/>
  <sheetViews>
    <sheetView workbookViewId="0">
      <pane xSplit="7" ySplit="7" topLeftCell="H8" activePane="bottomRight" state="frozen"/>
      <selection pane="topRight" activeCell="H1" sqref="H1"/>
      <selection pane="bottomLeft" activeCell="A9" sqref="A9"/>
      <selection pane="bottomRight" activeCell="O24" sqref="O24"/>
    </sheetView>
  </sheetViews>
  <sheetFormatPr defaultColWidth="8.7265625" defaultRowHeight="13" x14ac:dyDescent="0.25"/>
  <cols>
    <col min="1" max="1" width="5.1796875" style="857" customWidth="1"/>
    <col min="2" max="2" width="13.26953125" style="857" customWidth="1"/>
    <col min="3" max="3" width="25.453125" style="857" customWidth="1"/>
    <col min="4" max="4" width="8.7265625" style="857"/>
    <col min="5" max="5" width="10.453125" style="857" customWidth="1"/>
    <col min="6" max="6" width="8.1796875" style="857" customWidth="1"/>
    <col min="7" max="7" width="11.1796875" style="857" customWidth="1"/>
    <col min="8" max="8" width="15.54296875" style="857" customWidth="1"/>
    <col min="9" max="9" width="16.453125" style="857" customWidth="1"/>
    <col min="10" max="11" width="14.7265625" style="857" customWidth="1"/>
    <col min="12" max="12" width="16.81640625" style="857" customWidth="1"/>
    <col min="13" max="13" width="14.54296875" style="857" customWidth="1"/>
    <col min="14" max="14" width="11.453125" style="857" customWidth="1"/>
    <col min="15" max="15" width="20.81640625" style="857" customWidth="1"/>
    <col min="16" max="16384" width="8.7265625" style="857"/>
  </cols>
  <sheetData>
    <row r="1" spans="1:15" ht="13.5" thickBot="1" x14ac:dyDescent="0.3">
      <c r="A1" s="1008"/>
      <c r="B1" s="1018"/>
      <c r="C1" s="1018"/>
      <c r="D1" s="1018"/>
      <c r="E1" s="1018"/>
      <c r="F1" s="1018"/>
      <c r="G1" s="1018"/>
      <c r="H1" s="1018"/>
      <c r="I1" s="1018"/>
      <c r="J1" s="1018"/>
      <c r="K1" s="1018"/>
      <c r="L1" s="1018"/>
      <c r="M1" s="1018"/>
      <c r="N1" s="1018"/>
      <c r="O1" s="1017"/>
    </row>
    <row r="2" spans="1:15" ht="36" customHeight="1" thickBot="1" x14ac:dyDescent="0.3">
      <c r="A2" s="1009"/>
      <c r="B2" s="1380" t="s">
        <v>400</v>
      </c>
      <c r="C2" s="1381"/>
      <c r="D2" s="1013"/>
      <c r="E2" s="1013"/>
      <c r="F2" s="1013"/>
      <c r="G2" s="1013"/>
      <c r="H2" s="1027" t="s">
        <v>292</v>
      </c>
      <c r="I2" s="1384" t="s">
        <v>401</v>
      </c>
      <c r="J2" s="1385"/>
      <c r="K2" s="1385"/>
      <c r="L2" s="1385"/>
      <c r="M2" s="1386"/>
      <c r="N2" s="1013"/>
      <c r="O2" s="1016"/>
    </row>
    <row r="3" spans="1:15" ht="32.15" customHeight="1" x14ac:dyDescent="0.25">
      <c r="A3" s="1009"/>
      <c r="B3" s="1013"/>
      <c r="C3" s="1019"/>
      <c r="D3" s="1013"/>
      <c r="E3" s="1013"/>
      <c r="F3" s="1013"/>
      <c r="G3" s="1020"/>
      <c r="H3" s="1020"/>
      <c r="I3" s="1387"/>
      <c r="J3" s="1388"/>
      <c r="K3" s="1388"/>
      <c r="L3" s="1388"/>
      <c r="M3" s="1389"/>
      <c r="N3" s="1013"/>
      <c r="O3" s="1016"/>
    </row>
    <row r="4" spans="1:15" x14ac:dyDescent="0.25">
      <c r="A4" s="1009"/>
      <c r="B4" s="1013"/>
      <c r="C4" s="1013"/>
      <c r="D4" s="1013"/>
      <c r="E4" s="1020"/>
      <c r="F4" s="1020"/>
      <c r="G4" s="1020"/>
      <c r="H4" s="1020"/>
      <c r="I4" s="1390"/>
      <c r="J4" s="1391"/>
      <c r="K4" s="1391"/>
      <c r="L4" s="1391"/>
      <c r="M4" s="1392"/>
      <c r="N4" s="1013"/>
      <c r="O4" s="1016"/>
    </row>
    <row r="5" spans="1:15" ht="13.5" thickBot="1" x14ac:dyDescent="0.3">
      <c r="A5" s="1009"/>
      <c r="B5" s="1013"/>
      <c r="C5" s="1013"/>
      <c r="D5" s="1013"/>
      <c r="E5" s="1013"/>
      <c r="F5" s="1013"/>
      <c r="G5" s="1013"/>
      <c r="H5" s="1013"/>
      <c r="I5" s="1013"/>
      <c r="J5" s="1013"/>
      <c r="K5" s="1013"/>
      <c r="L5" s="1022"/>
      <c r="M5" s="1022"/>
      <c r="N5" s="1013"/>
      <c r="O5" s="1016"/>
    </row>
    <row r="6" spans="1:15" ht="31" customHeight="1" thickBot="1" x14ac:dyDescent="0.3">
      <c r="A6" s="1009"/>
      <c r="B6" s="1382" t="str">
        <f>General!D4</f>
        <v>Name</v>
      </c>
      <c r="C6" s="1383"/>
      <c r="D6" s="1021"/>
      <c r="E6" s="1021"/>
      <c r="F6" s="1013"/>
      <c r="G6" s="1013"/>
      <c r="H6" s="1379"/>
      <c r="I6" s="1379"/>
      <c r="J6" s="1379"/>
      <c r="K6" s="1379"/>
      <c r="L6" s="1013"/>
      <c r="M6" s="1013"/>
      <c r="N6" s="1013"/>
      <c r="O6" s="1016"/>
    </row>
    <row r="7" spans="1:15" ht="39.5" thickBot="1" x14ac:dyDescent="0.3">
      <c r="A7" s="1009"/>
      <c r="B7" s="882" t="s">
        <v>402</v>
      </c>
      <c r="C7" s="883" t="s">
        <v>403</v>
      </c>
      <c r="D7" s="884" t="s">
        <v>404</v>
      </c>
      <c r="E7" s="884" t="s">
        <v>405</v>
      </c>
      <c r="F7" s="884" t="s">
        <v>406</v>
      </c>
      <c r="G7" s="884" t="s">
        <v>405</v>
      </c>
      <c r="H7" s="885" t="s">
        <v>407</v>
      </c>
      <c r="I7" s="885" t="s">
        <v>408</v>
      </c>
      <c r="J7" s="885" t="s">
        <v>409</v>
      </c>
      <c r="K7" s="885" t="s">
        <v>410</v>
      </c>
      <c r="L7" s="886" t="s">
        <v>411</v>
      </c>
      <c r="M7" s="887" t="s">
        <v>412</v>
      </c>
      <c r="N7" s="1013"/>
      <c r="O7" s="1016"/>
    </row>
    <row r="8" spans="1:15" x14ac:dyDescent="0.25">
      <c r="A8" s="1009"/>
      <c r="B8" s="888" t="s">
        <v>413</v>
      </c>
      <c r="C8" s="889"/>
      <c r="D8" s="889"/>
      <c r="E8" s="889"/>
      <c r="F8" s="889"/>
      <c r="G8" s="889"/>
      <c r="H8" s="890">
        <v>0</v>
      </c>
      <c r="I8" s="890">
        <v>0</v>
      </c>
      <c r="J8" s="890">
        <v>0</v>
      </c>
      <c r="K8" s="890">
        <v>0</v>
      </c>
      <c r="L8" s="891">
        <f t="shared" ref="L8:L14" si="0">SUM(H8:K8)</f>
        <v>0</v>
      </c>
      <c r="M8" s="1378"/>
      <c r="N8" s="1013"/>
      <c r="O8" s="1016"/>
    </row>
    <row r="9" spans="1:15" x14ac:dyDescent="0.25">
      <c r="A9" s="1009"/>
      <c r="B9" s="888" t="s">
        <v>413</v>
      </c>
      <c r="C9" s="1169"/>
      <c r="D9" s="1169"/>
      <c r="E9" s="1169"/>
      <c r="F9" s="1169"/>
      <c r="G9" s="1169"/>
      <c r="H9" s="892">
        <v>0</v>
      </c>
      <c r="I9" s="892">
        <v>0</v>
      </c>
      <c r="J9" s="892">
        <v>0</v>
      </c>
      <c r="K9" s="892">
        <v>0</v>
      </c>
      <c r="L9" s="893">
        <f t="shared" si="0"/>
        <v>0</v>
      </c>
      <c r="M9" s="1378"/>
      <c r="N9" s="1013"/>
      <c r="O9" s="1016"/>
    </row>
    <row r="10" spans="1:15" x14ac:dyDescent="0.25">
      <c r="A10" s="1009"/>
      <c r="B10" s="888" t="s">
        <v>413</v>
      </c>
      <c r="C10" s="1169"/>
      <c r="D10" s="1169"/>
      <c r="E10" s="1169"/>
      <c r="F10" s="1169"/>
      <c r="G10" s="1169"/>
      <c r="H10" s="892">
        <v>0</v>
      </c>
      <c r="I10" s="892">
        <v>0</v>
      </c>
      <c r="J10" s="892">
        <v>0</v>
      </c>
      <c r="K10" s="892">
        <v>0</v>
      </c>
      <c r="L10" s="893">
        <f t="shared" si="0"/>
        <v>0</v>
      </c>
      <c r="M10" s="1378"/>
      <c r="N10" s="1013"/>
      <c r="O10" s="1016"/>
    </row>
    <row r="11" spans="1:15" x14ac:dyDescent="0.25">
      <c r="A11" s="1009"/>
      <c r="B11" s="888" t="s">
        <v>413</v>
      </c>
      <c r="C11" s="1169"/>
      <c r="D11" s="1169"/>
      <c r="E11" s="1169"/>
      <c r="F11" s="1169"/>
      <c r="G11" s="1169"/>
      <c r="H11" s="892">
        <v>0</v>
      </c>
      <c r="I11" s="892">
        <v>0</v>
      </c>
      <c r="J11" s="892">
        <v>0</v>
      </c>
      <c r="K11" s="892">
        <v>0</v>
      </c>
      <c r="L11" s="893">
        <f t="shared" si="0"/>
        <v>0</v>
      </c>
      <c r="M11" s="1378"/>
      <c r="N11" s="1013"/>
      <c r="O11" s="1016"/>
    </row>
    <row r="12" spans="1:15" x14ac:dyDescent="0.25">
      <c r="A12" s="1009"/>
      <c r="B12" s="888" t="s">
        <v>413</v>
      </c>
      <c r="C12" s="1169"/>
      <c r="D12" s="1169"/>
      <c r="E12" s="1169"/>
      <c r="F12" s="1169"/>
      <c r="G12" s="1169"/>
      <c r="H12" s="892">
        <v>0</v>
      </c>
      <c r="I12" s="892">
        <v>0</v>
      </c>
      <c r="J12" s="892">
        <v>0</v>
      </c>
      <c r="K12" s="892">
        <v>0</v>
      </c>
      <c r="L12" s="893">
        <f t="shared" si="0"/>
        <v>0</v>
      </c>
      <c r="M12" s="1378"/>
      <c r="N12" s="1013"/>
      <c r="O12" s="1016"/>
    </row>
    <row r="13" spans="1:15" x14ac:dyDescent="0.25">
      <c r="A13" s="1009"/>
      <c r="B13" s="888" t="s">
        <v>413</v>
      </c>
      <c r="C13" s="1169"/>
      <c r="D13" s="1169"/>
      <c r="E13" s="1169"/>
      <c r="F13" s="1169"/>
      <c r="G13" s="1169"/>
      <c r="H13" s="892">
        <v>0</v>
      </c>
      <c r="I13" s="892">
        <v>0</v>
      </c>
      <c r="J13" s="892">
        <v>0</v>
      </c>
      <c r="K13" s="892">
        <v>0</v>
      </c>
      <c r="L13" s="893">
        <f t="shared" si="0"/>
        <v>0</v>
      </c>
      <c r="M13" s="1378"/>
      <c r="N13" s="1013"/>
      <c r="O13" s="1016"/>
    </row>
    <row r="14" spans="1:15" ht="13.5" thickBot="1" x14ac:dyDescent="0.3">
      <c r="A14" s="1009"/>
      <c r="B14" s="888" t="s">
        <v>413</v>
      </c>
      <c r="C14" s="894"/>
      <c r="D14" s="894"/>
      <c r="E14" s="894"/>
      <c r="F14" s="894"/>
      <c r="G14" s="894"/>
      <c r="H14" s="895">
        <v>0</v>
      </c>
      <c r="I14" s="895">
        <v>0</v>
      </c>
      <c r="J14" s="895">
        <v>0</v>
      </c>
      <c r="K14" s="895">
        <v>0</v>
      </c>
      <c r="L14" s="896">
        <f t="shared" si="0"/>
        <v>0</v>
      </c>
      <c r="M14" s="1378"/>
      <c r="N14" s="1013"/>
      <c r="O14" s="1016"/>
    </row>
    <row r="15" spans="1:15" ht="19" customHeight="1" thickBot="1" x14ac:dyDescent="0.3">
      <c r="A15" s="1009"/>
      <c r="B15" s="1375" t="s">
        <v>414</v>
      </c>
      <c r="C15" s="1376"/>
      <c r="D15" s="1376"/>
      <c r="E15" s="1376"/>
      <c r="F15" s="1376"/>
      <c r="G15" s="1377"/>
      <c r="H15" s="897">
        <f>SUM(H8:H14)</f>
        <v>0</v>
      </c>
      <c r="I15" s="897">
        <f>SUM(I8:I14)</f>
        <v>0</v>
      </c>
      <c r="J15" s="897">
        <f>SUM(J8:J14)</f>
        <v>0</v>
      </c>
      <c r="K15" s="897">
        <f>SUM(K8:K14)</f>
        <v>0</v>
      </c>
      <c r="L15" s="1013"/>
      <c r="M15" s="898">
        <f>SUM(H15:K15)</f>
        <v>0</v>
      </c>
      <c r="N15" s="1013"/>
      <c r="O15" s="1016"/>
    </row>
    <row r="16" spans="1:15" x14ac:dyDescent="0.25">
      <c r="A16" s="1009"/>
      <c r="B16" s="1378"/>
      <c r="C16" s="1378"/>
      <c r="D16" s="1378"/>
      <c r="E16" s="1378"/>
      <c r="F16" s="1378"/>
      <c r="G16" s="1378"/>
      <c r="H16" s="1378"/>
      <c r="I16" s="1378"/>
      <c r="J16" s="1378"/>
      <c r="K16" s="1378"/>
      <c r="L16" s="1378"/>
      <c r="M16" s="1378"/>
      <c r="N16" s="1013"/>
      <c r="O16" s="1016"/>
    </row>
    <row r="17" spans="1:15" ht="13.5" thickBot="1" x14ac:dyDescent="0.3">
      <c r="A17" s="1009"/>
      <c r="B17" s="1378"/>
      <c r="C17" s="1378"/>
      <c r="D17" s="1378"/>
      <c r="E17" s="1378"/>
      <c r="F17" s="1378"/>
      <c r="G17" s="1378"/>
      <c r="H17" s="1378"/>
      <c r="I17" s="1378"/>
      <c r="J17" s="1378"/>
      <c r="K17" s="1378"/>
      <c r="L17" s="1378"/>
      <c r="M17" s="1378"/>
      <c r="N17" s="1013"/>
      <c r="O17" s="1016"/>
    </row>
    <row r="18" spans="1:15" x14ac:dyDescent="0.25">
      <c r="A18" s="1009"/>
      <c r="B18" s="899" t="s">
        <v>415</v>
      </c>
      <c r="C18" s="900"/>
      <c r="D18" s="900"/>
      <c r="E18" s="900"/>
      <c r="F18" s="900"/>
      <c r="G18" s="900"/>
      <c r="H18" s="901">
        <v>0</v>
      </c>
      <c r="I18" s="901">
        <v>0</v>
      </c>
      <c r="J18" s="901">
        <v>0</v>
      </c>
      <c r="K18" s="902">
        <v>0</v>
      </c>
      <c r="L18" s="903">
        <f t="shared" ref="L18:L24" si="1">SUM(H18:K18)</f>
        <v>0</v>
      </c>
      <c r="M18" s="1378"/>
      <c r="N18" s="1013"/>
      <c r="O18" s="1016"/>
    </row>
    <row r="19" spans="1:15" x14ac:dyDescent="0.25">
      <c r="A19" s="1009"/>
      <c r="B19" s="904" t="s">
        <v>415</v>
      </c>
      <c r="C19" s="1169"/>
      <c r="D19" s="1169"/>
      <c r="E19" s="1169"/>
      <c r="F19" s="1169"/>
      <c r="G19" s="1169"/>
      <c r="H19" s="892">
        <v>0</v>
      </c>
      <c r="I19" s="892">
        <v>0</v>
      </c>
      <c r="J19" s="892">
        <v>0</v>
      </c>
      <c r="K19" s="905">
        <v>0</v>
      </c>
      <c r="L19" s="906">
        <f t="shared" si="1"/>
        <v>0</v>
      </c>
      <c r="M19" s="1378"/>
      <c r="N19" s="1013"/>
      <c r="O19" s="1016"/>
    </row>
    <row r="20" spans="1:15" x14ac:dyDescent="0.25">
      <c r="A20" s="1009"/>
      <c r="B20" s="904" t="s">
        <v>415</v>
      </c>
      <c r="C20" s="1169"/>
      <c r="D20" s="1169"/>
      <c r="E20" s="1169"/>
      <c r="F20" s="1169"/>
      <c r="G20" s="1169"/>
      <c r="H20" s="892">
        <v>0</v>
      </c>
      <c r="I20" s="892">
        <v>0</v>
      </c>
      <c r="J20" s="892">
        <v>0</v>
      </c>
      <c r="K20" s="905">
        <v>0</v>
      </c>
      <c r="L20" s="906">
        <f t="shared" si="1"/>
        <v>0</v>
      </c>
      <c r="M20" s="1378"/>
      <c r="N20" s="1013"/>
      <c r="O20" s="1016"/>
    </row>
    <row r="21" spans="1:15" x14ac:dyDescent="0.25">
      <c r="A21" s="1009"/>
      <c r="B21" s="904" t="s">
        <v>415</v>
      </c>
      <c r="C21" s="1169"/>
      <c r="D21" s="1169"/>
      <c r="E21" s="1169"/>
      <c r="F21" s="1169"/>
      <c r="G21" s="1169"/>
      <c r="H21" s="892">
        <v>0</v>
      </c>
      <c r="I21" s="892">
        <v>0</v>
      </c>
      <c r="J21" s="892">
        <v>0</v>
      </c>
      <c r="K21" s="905">
        <v>0</v>
      </c>
      <c r="L21" s="906">
        <f t="shared" si="1"/>
        <v>0</v>
      </c>
      <c r="M21" s="1378"/>
      <c r="N21" s="1013"/>
      <c r="O21" s="1016"/>
    </row>
    <row r="22" spans="1:15" x14ac:dyDescent="0.25">
      <c r="A22" s="1009"/>
      <c r="B22" s="904" t="s">
        <v>415</v>
      </c>
      <c r="C22" s="1169"/>
      <c r="D22" s="1169"/>
      <c r="E22" s="1169"/>
      <c r="F22" s="1169"/>
      <c r="G22" s="1169"/>
      <c r="H22" s="892">
        <v>0</v>
      </c>
      <c r="I22" s="892">
        <v>0</v>
      </c>
      <c r="J22" s="892">
        <v>0</v>
      </c>
      <c r="K22" s="905">
        <v>0</v>
      </c>
      <c r="L22" s="906">
        <f t="shared" si="1"/>
        <v>0</v>
      </c>
      <c r="M22" s="1378"/>
      <c r="N22" s="1013"/>
      <c r="O22" s="1016"/>
    </row>
    <row r="23" spans="1:15" x14ac:dyDescent="0.25">
      <c r="A23" s="1009"/>
      <c r="B23" s="904" t="s">
        <v>415</v>
      </c>
      <c r="C23" s="1169"/>
      <c r="D23" s="1169"/>
      <c r="E23" s="1169"/>
      <c r="F23" s="1169"/>
      <c r="G23" s="1169"/>
      <c r="H23" s="892">
        <v>0</v>
      </c>
      <c r="I23" s="892">
        <v>0</v>
      </c>
      <c r="J23" s="892">
        <v>0</v>
      </c>
      <c r="K23" s="905">
        <v>0</v>
      </c>
      <c r="L23" s="906">
        <f t="shared" si="1"/>
        <v>0</v>
      </c>
      <c r="M23" s="1378"/>
      <c r="N23" s="1013"/>
      <c r="O23" s="1016"/>
    </row>
    <row r="24" spans="1:15" ht="13.5" thickBot="1" x14ac:dyDescent="0.3">
      <c r="A24" s="1009"/>
      <c r="B24" s="904" t="s">
        <v>415</v>
      </c>
      <c r="C24" s="907"/>
      <c r="D24" s="907"/>
      <c r="E24" s="907"/>
      <c r="F24" s="907"/>
      <c r="G24" s="907"/>
      <c r="H24" s="895">
        <v>0</v>
      </c>
      <c r="I24" s="895">
        <v>0</v>
      </c>
      <c r="J24" s="895">
        <v>0</v>
      </c>
      <c r="K24" s="908">
        <v>0</v>
      </c>
      <c r="L24" s="909">
        <f t="shared" si="1"/>
        <v>0</v>
      </c>
      <c r="M24" s="1378"/>
      <c r="N24" s="1013"/>
      <c r="O24" s="1016"/>
    </row>
    <row r="25" spans="1:15" ht="17.5" customHeight="1" thickBot="1" x14ac:dyDescent="0.3">
      <c r="A25" s="1009"/>
      <c r="B25" s="1375" t="s">
        <v>416</v>
      </c>
      <c r="C25" s="1376"/>
      <c r="D25" s="1376"/>
      <c r="E25" s="1376"/>
      <c r="F25" s="1376"/>
      <c r="G25" s="1377"/>
      <c r="H25" s="910">
        <f>SUM(H18:H24)</f>
        <v>0</v>
      </c>
      <c r="I25" s="911">
        <f>SUM(I18:I24)</f>
        <v>0</v>
      </c>
      <c r="J25" s="911">
        <f>SUM(J18:J24)</f>
        <v>0</v>
      </c>
      <c r="K25" s="912">
        <f>SUM(K18:K24)</f>
        <v>0</v>
      </c>
      <c r="L25" s="1013"/>
      <c r="M25" s="898">
        <f>SUM(H25:K25)</f>
        <v>0</v>
      </c>
      <c r="N25" s="1013"/>
      <c r="O25" s="1016"/>
    </row>
    <row r="26" spans="1:15" x14ac:dyDescent="0.25">
      <c r="A26" s="1009"/>
      <c r="B26" s="1378"/>
      <c r="C26" s="1378"/>
      <c r="D26" s="1378"/>
      <c r="E26" s="1378"/>
      <c r="F26" s="1378"/>
      <c r="G26" s="1378"/>
      <c r="H26" s="1378"/>
      <c r="I26" s="1378"/>
      <c r="J26" s="1378"/>
      <c r="K26" s="1378"/>
      <c r="L26" s="1378"/>
      <c r="M26" s="1378"/>
      <c r="N26" s="1013"/>
      <c r="O26" s="1016"/>
    </row>
    <row r="27" spans="1:15" ht="13.5" thickBot="1" x14ac:dyDescent="0.3">
      <c r="A27" s="1009"/>
      <c r="B27" s="1378"/>
      <c r="C27" s="1378"/>
      <c r="D27" s="1378"/>
      <c r="E27" s="1378"/>
      <c r="F27" s="1378"/>
      <c r="G27" s="1378"/>
      <c r="H27" s="1378"/>
      <c r="I27" s="1378"/>
      <c r="J27" s="1378"/>
      <c r="K27" s="1378"/>
      <c r="L27" s="1378"/>
      <c r="M27" s="1378"/>
      <c r="N27" s="1013"/>
      <c r="O27" s="1016"/>
    </row>
    <row r="28" spans="1:15" x14ac:dyDescent="0.25">
      <c r="A28" s="1009"/>
      <c r="B28" s="899" t="s">
        <v>417</v>
      </c>
      <c r="C28" s="900"/>
      <c r="D28" s="900"/>
      <c r="E28" s="900"/>
      <c r="F28" s="900"/>
      <c r="G28" s="900"/>
      <c r="H28" s="902">
        <v>0</v>
      </c>
      <c r="I28" s="902">
        <v>0</v>
      </c>
      <c r="J28" s="902">
        <v>0</v>
      </c>
      <c r="K28" s="902">
        <v>0</v>
      </c>
      <c r="L28" s="903">
        <f t="shared" ref="L28:L34" si="2">SUM(H28:K28)</f>
        <v>0</v>
      </c>
      <c r="M28" s="1378"/>
      <c r="N28" s="1013"/>
      <c r="O28" s="1016"/>
    </row>
    <row r="29" spans="1:15" x14ac:dyDescent="0.25">
      <c r="A29" s="1009"/>
      <c r="B29" s="904" t="s">
        <v>417</v>
      </c>
      <c r="C29" s="1169"/>
      <c r="D29" s="1169"/>
      <c r="E29" s="1169"/>
      <c r="F29" s="1169"/>
      <c r="G29" s="1169"/>
      <c r="H29" s="913">
        <v>0</v>
      </c>
      <c r="I29" s="913">
        <v>0</v>
      </c>
      <c r="J29" s="913">
        <v>0</v>
      </c>
      <c r="K29" s="913">
        <v>0</v>
      </c>
      <c r="L29" s="906">
        <f t="shared" si="2"/>
        <v>0</v>
      </c>
      <c r="M29" s="1378"/>
      <c r="N29" s="1013"/>
      <c r="O29" s="1016"/>
    </row>
    <row r="30" spans="1:15" x14ac:dyDescent="0.25">
      <c r="A30" s="1009"/>
      <c r="B30" s="904" t="s">
        <v>417</v>
      </c>
      <c r="C30" s="1169"/>
      <c r="D30" s="1169"/>
      <c r="E30" s="1169"/>
      <c r="F30" s="1169"/>
      <c r="G30" s="1169"/>
      <c r="H30" s="913">
        <v>0</v>
      </c>
      <c r="I30" s="913">
        <v>0</v>
      </c>
      <c r="J30" s="913">
        <v>0</v>
      </c>
      <c r="K30" s="913">
        <v>0</v>
      </c>
      <c r="L30" s="906">
        <f t="shared" si="2"/>
        <v>0</v>
      </c>
      <c r="M30" s="1378"/>
      <c r="N30" s="1013"/>
      <c r="O30" s="1016"/>
    </row>
    <row r="31" spans="1:15" x14ac:dyDescent="0.25">
      <c r="A31" s="1009"/>
      <c r="B31" s="904" t="s">
        <v>417</v>
      </c>
      <c r="C31" s="1169"/>
      <c r="D31" s="1169"/>
      <c r="E31" s="1169"/>
      <c r="F31" s="1169"/>
      <c r="G31" s="1169"/>
      <c r="H31" s="913">
        <v>0</v>
      </c>
      <c r="I31" s="913">
        <v>0</v>
      </c>
      <c r="J31" s="913">
        <v>0</v>
      </c>
      <c r="K31" s="913">
        <v>0</v>
      </c>
      <c r="L31" s="906">
        <f t="shared" si="2"/>
        <v>0</v>
      </c>
      <c r="M31" s="1378"/>
      <c r="N31" s="1013"/>
      <c r="O31" s="1016"/>
    </row>
    <row r="32" spans="1:15" x14ac:dyDescent="0.25">
      <c r="A32" s="1009"/>
      <c r="B32" s="904" t="s">
        <v>417</v>
      </c>
      <c r="C32" s="1169"/>
      <c r="D32" s="1169"/>
      <c r="E32" s="1169"/>
      <c r="F32" s="1169"/>
      <c r="G32" s="1169"/>
      <c r="H32" s="913">
        <v>0</v>
      </c>
      <c r="I32" s="913">
        <v>0</v>
      </c>
      <c r="J32" s="913">
        <v>0</v>
      </c>
      <c r="K32" s="913">
        <v>0</v>
      </c>
      <c r="L32" s="906">
        <f t="shared" si="2"/>
        <v>0</v>
      </c>
      <c r="M32" s="1378"/>
      <c r="N32" s="1013"/>
      <c r="O32" s="1016"/>
    </row>
    <row r="33" spans="1:15" x14ac:dyDescent="0.25">
      <c r="A33" s="1009"/>
      <c r="B33" s="904" t="s">
        <v>417</v>
      </c>
      <c r="C33" s="1169"/>
      <c r="D33" s="1169"/>
      <c r="E33" s="1169"/>
      <c r="F33" s="1169"/>
      <c r="G33" s="1169"/>
      <c r="H33" s="913">
        <v>0</v>
      </c>
      <c r="I33" s="913">
        <v>0</v>
      </c>
      <c r="J33" s="913">
        <v>0</v>
      </c>
      <c r="K33" s="913">
        <v>0</v>
      </c>
      <c r="L33" s="906">
        <f t="shared" si="2"/>
        <v>0</v>
      </c>
      <c r="M33" s="1378"/>
      <c r="N33" s="1013"/>
      <c r="O33" s="1016"/>
    </row>
    <row r="34" spans="1:15" ht="13.5" thickBot="1" x14ac:dyDescent="0.3">
      <c r="A34" s="1009"/>
      <c r="B34" s="904" t="s">
        <v>417</v>
      </c>
      <c r="C34" s="894"/>
      <c r="D34" s="894"/>
      <c r="E34" s="894"/>
      <c r="F34" s="894"/>
      <c r="G34" s="894"/>
      <c r="H34" s="895">
        <v>0</v>
      </c>
      <c r="I34" s="890">
        <v>0</v>
      </c>
      <c r="J34" s="890">
        <v>0</v>
      </c>
      <c r="K34" s="913">
        <v>0</v>
      </c>
      <c r="L34" s="909">
        <f t="shared" si="2"/>
        <v>0</v>
      </c>
      <c r="M34" s="1378"/>
      <c r="N34" s="1013"/>
      <c r="O34" s="1016"/>
    </row>
    <row r="35" spans="1:15" ht="18" customHeight="1" thickBot="1" x14ac:dyDescent="0.3">
      <c r="A35" s="1009"/>
      <c r="B35" s="1375" t="s">
        <v>418</v>
      </c>
      <c r="C35" s="1376"/>
      <c r="D35" s="1376"/>
      <c r="E35" s="1376"/>
      <c r="F35" s="1376"/>
      <c r="G35" s="1377"/>
      <c r="H35" s="897">
        <f>SUM(H28:H34)</f>
        <v>0</v>
      </c>
      <c r="I35" s="897">
        <f>SUM(I28:I34)</f>
        <v>0</v>
      </c>
      <c r="J35" s="897">
        <f>SUM(J28:J34)</f>
        <v>0</v>
      </c>
      <c r="K35" s="898">
        <f>SUM(K28:K34)</f>
        <v>0</v>
      </c>
      <c r="L35" s="1013"/>
      <c r="M35" s="898">
        <f>SUM(H35:K35)</f>
        <v>0</v>
      </c>
      <c r="N35" s="1013"/>
      <c r="O35" s="1016"/>
    </row>
    <row r="36" spans="1:15" x14ac:dyDescent="0.25">
      <c r="A36" s="1009"/>
      <c r="B36" s="1378"/>
      <c r="C36" s="1378"/>
      <c r="D36" s="1378"/>
      <c r="E36" s="1378"/>
      <c r="F36" s="1378"/>
      <c r="G36" s="1378"/>
      <c r="H36" s="1378"/>
      <c r="I36" s="1378"/>
      <c r="J36" s="1378"/>
      <c r="K36" s="1378"/>
      <c r="L36" s="1378"/>
      <c r="M36" s="1378"/>
      <c r="N36" s="1013"/>
      <c r="O36" s="1016"/>
    </row>
    <row r="37" spans="1:15" ht="13.5" thickBot="1" x14ac:dyDescent="0.3">
      <c r="A37" s="1009"/>
      <c r="B37" s="1378"/>
      <c r="C37" s="1378"/>
      <c r="D37" s="1378"/>
      <c r="E37" s="1378"/>
      <c r="F37" s="1378"/>
      <c r="G37" s="1378"/>
      <c r="H37" s="1378"/>
      <c r="I37" s="1378"/>
      <c r="J37" s="1378"/>
      <c r="K37" s="1378"/>
      <c r="L37" s="1378"/>
      <c r="M37" s="1378"/>
      <c r="N37" s="1013"/>
      <c r="O37" s="1016"/>
    </row>
    <row r="38" spans="1:15" x14ac:dyDescent="0.25">
      <c r="A38" s="1009"/>
      <c r="B38" s="899" t="s">
        <v>419</v>
      </c>
      <c r="C38" s="900"/>
      <c r="D38" s="900"/>
      <c r="E38" s="900"/>
      <c r="F38" s="900"/>
      <c r="G38" s="900"/>
      <c r="H38" s="902">
        <v>0</v>
      </c>
      <c r="I38" s="902">
        <v>0</v>
      </c>
      <c r="J38" s="902">
        <v>0</v>
      </c>
      <c r="K38" s="902">
        <v>0</v>
      </c>
      <c r="L38" s="903">
        <f t="shared" ref="L38:L43" si="3">SUM(H38:K38)</f>
        <v>0</v>
      </c>
      <c r="M38" s="1378"/>
      <c r="N38" s="1013"/>
      <c r="O38" s="1016"/>
    </row>
    <row r="39" spans="1:15" x14ac:dyDescent="0.25">
      <c r="A39" s="1009"/>
      <c r="B39" s="904" t="s">
        <v>419</v>
      </c>
      <c r="C39" s="1169"/>
      <c r="D39" s="1169"/>
      <c r="E39" s="1169"/>
      <c r="F39" s="1169"/>
      <c r="G39" s="1169"/>
      <c r="H39" s="913">
        <v>0</v>
      </c>
      <c r="I39" s="913">
        <v>0</v>
      </c>
      <c r="J39" s="913">
        <v>0</v>
      </c>
      <c r="K39" s="913">
        <v>0</v>
      </c>
      <c r="L39" s="906">
        <f t="shared" si="3"/>
        <v>0</v>
      </c>
      <c r="M39" s="1378"/>
      <c r="N39" s="1013"/>
      <c r="O39" s="1016"/>
    </row>
    <row r="40" spans="1:15" x14ac:dyDescent="0.25">
      <c r="A40" s="1009"/>
      <c r="B40" s="904" t="s">
        <v>419</v>
      </c>
      <c r="C40" s="1169"/>
      <c r="D40" s="1169"/>
      <c r="E40" s="1169"/>
      <c r="F40" s="1169"/>
      <c r="G40" s="1169"/>
      <c r="H40" s="913">
        <v>0</v>
      </c>
      <c r="I40" s="913">
        <v>0</v>
      </c>
      <c r="J40" s="913">
        <v>0</v>
      </c>
      <c r="K40" s="913">
        <v>0</v>
      </c>
      <c r="L40" s="906">
        <f t="shared" si="3"/>
        <v>0</v>
      </c>
      <c r="M40" s="1378"/>
      <c r="N40" s="1013"/>
      <c r="O40" s="1016"/>
    </row>
    <row r="41" spans="1:15" x14ac:dyDescent="0.25">
      <c r="A41" s="1009"/>
      <c r="B41" s="904" t="s">
        <v>419</v>
      </c>
      <c r="C41" s="1169"/>
      <c r="D41" s="1169"/>
      <c r="E41" s="1169"/>
      <c r="F41" s="1169"/>
      <c r="G41" s="1169"/>
      <c r="H41" s="913">
        <v>0</v>
      </c>
      <c r="I41" s="913">
        <v>0</v>
      </c>
      <c r="J41" s="913">
        <v>0</v>
      </c>
      <c r="K41" s="913">
        <v>0</v>
      </c>
      <c r="L41" s="906">
        <f t="shared" si="3"/>
        <v>0</v>
      </c>
      <c r="M41" s="1378"/>
      <c r="N41" s="1013"/>
      <c r="O41" s="1016"/>
    </row>
    <row r="42" spans="1:15" x14ac:dyDescent="0.25">
      <c r="A42" s="1009"/>
      <c r="B42" s="904" t="s">
        <v>419</v>
      </c>
      <c r="C42" s="1169"/>
      <c r="D42" s="1169"/>
      <c r="E42" s="1169"/>
      <c r="F42" s="1169"/>
      <c r="G42" s="1169"/>
      <c r="H42" s="913">
        <v>0</v>
      </c>
      <c r="I42" s="913">
        <v>0</v>
      </c>
      <c r="J42" s="913">
        <v>0</v>
      </c>
      <c r="K42" s="913">
        <v>0</v>
      </c>
      <c r="L42" s="906">
        <f t="shared" si="3"/>
        <v>0</v>
      </c>
      <c r="M42" s="1378"/>
      <c r="N42" s="1013"/>
      <c r="O42" s="1016"/>
    </row>
    <row r="43" spans="1:15" ht="13.5" thickBot="1" x14ac:dyDescent="0.3">
      <c r="A43" s="1009"/>
      <c r="B43" s="904" t="s">
        <v>419</v>
      </c>
      <c r="C43" s="894"/>
      <c r="D43" s="894"/>
      <c r="E43" s="894"/>
      <c r="F43" s="894"/>
      <c r="G43" s="894"/>
      <c r="H43" s="913">
        <v>0</v>
      </c>
      <c r="I43" s="913">
        <v>0</v>
      </c>
      <c r="J43" s="913">
        <v>0</v>
      </c>
      <c r="K43" s="913">
        <v>0</v>
      </c>
      <c r="L43" s="909">
        <f t="shared" si="3"/>
        <v>0</v>
      </c>
      <c r="M43" s="1378"/>
      <c r="N43" s="1013"/>
      <c r="O43" s="1016"/>
    </row>
    <row r="44" spans="1:15" ht="18" customHeight="1" thickBot="1" x14ac:dyDescent="0.3">
      <c r="A44" s="1009"/>
      <c r="B44" s="1375" t="s">
        <v>420</v>
      </c>
      <c r="C44" s="1376"/>
      <c r="D44" s="1376"/>
      <c r="E44" s="1376"/>
      <c r="F44" s="1376"/>
      <c r="G44" s="1377"/>
      <c r="H44" s="897">
        <f>SUM(H38:H43)</f>
        <v>0</v>
      </c>
      <c r="I44" s="914">
        <f>SUM(I38:I43)</f>
        <v>0</v>
      </c>
      <c r="J44" s="914">
        <f>SUM(J38:J43)</f>
        <v>0</v>
      </c>
      <c r="K44" s="915">
        <f>SUM(K38:K43)</f>
        <v>0</v>
      </c>
      <c r="L44" s="1013"/>
      <c r="M44" s="898">
        <f>SUM(H44:K44)</f>
        <v>0</v>
      </c>
      <c r="N44" s="1013"/>
      <c r="O44" s="1016"/>
    </row>
    <row r="45" spans="1:15" x14ac:dyDescent="0.25">
      <c r="A45" s="1009"/>
      <c r="B45" s="1378"/>
      <c r="C45" s="1378"/>
      <c r="D45" s="1378"/>
      <c r="E45" s="1378"/>
      <c r="F45" s="1378"/>
      <c r="G45" s="1378"/>
      <c r="H45" s="1378"/>
      <c r="I45" s="1378"/>
      <c r="J45" s="1378"/>
      <c r="K45" s="1378"/>
      <c r="L45" s="1378"/>
      <c r="M45" s="1378"/>
      <c r="N45" s="1013"/>
      <c r="O45" s="1016"/>
    </row>
    <row r="46" spans="1:15" ht="13.5" thickBot="1" x14ac:dyDescent="0.3">
      <c r="A46" s="1009"/>
      <c r="B46" s="1378"/>
      <c r="C46" s="1378"/>
      <c r="D46" s="1378"/>
      <c r="E46" s="1378"/>
      <c r="F46" s="1378"/>
      <c r="G46" s="1378"/>
      <c r="H46" s="1378"/>
      <c r="I46" s="1378"/>
      <c r="J46" s="1378"/>
      <c r="K46" s="1378"/>
      <c r="L46" s="1378"/>
      <c r="M46" s="1378"/>
      <c r="N46" s="1013"/>
      <c r="O46" s="1016"/>
    </row>
    <row r="47" spans="1:15" x14ac:dyDescent="0.25">
      <c r="A47" s="1009"/>
      <c r="B47" s="899" t="s">
        <v>421</v>
      </c>
      <c r="C47" s="900"/>
      <c r="D47" s="900"/>
      <c r="E47" s="900"/>
      <c r="F47" s="900"/>
      <c r="G47" s="900"/>
      <c r="H47" s="902">
        <v>0</v>
      </c>
      <c r="I47" s="902">
        <v>0</v>
      </c>
      <c r="J47" s="902">
        <v>0</v>
      </c>
      <c r="K47" s="902">
        <v>0</v>
      </c>
      <c r="L47" s="903">
        <f t="shared" ref="L47:L55" si="4">SUM(H47:K47)</f>
        <v>0</v>
      </c>
      <c r="M47" s="1378"/>
      <c r="N47" s="1013"/>
      <c r="O47" s="1016"/>
    </row>
    <row r="48" spans="1:15" x14ac:dyDescent="0.25">
      <c r="A48" s="1009"/>
      <c r="B48" s="904" t="s">
        <v>421</v>
      </c>
      <c r="C48" s="1169"/>
      <c r="D48" s="1169"/>
      <c r="E48" s="1169"/>
      <c r="F48" s="1169"/>
      <c r="G48" s="1169"/>
      <c r="H48" s="913">
        <v>0</v>
      </c>
      <c r="I48" s="913">
        <v>0</v>
      </c>
      <c r="J48" s="913">
        <v>0</v>
      </c>
      <c r="K48" s="913">
        <v>0</v>
      </c>
      <c r="L48" s="906">
        <f t="shared" si="4"/>
        <v>0</v>
      </c>
      <c r="M48" s="1378"/>
      <c r="N48" s="1013"/>
      <c r="O48" s="1016"/>
    </row>
    <row r="49" spans="1:15" x14ac:dyDescent="0.25">
      <c r="A49" s="1009"/>
      <c r="B49" s="904" t="s">
        <v>421</v>
      </c>
      <c r="C49" s="1169"/>
      <c r="D49" s="1169"/>
      <c r="E49" s="1169"/>
      <c r="F49" s="1169"/>
      <c r="G49" s="1169"/>
      <c r="H49" s="913">
        <v>0</v>
      </c>
      <c r="I49" s="913">
        <v>0</v>
      </c>
      <c r="J49" s="913">
        <v>0</v>
      </c>
      <c r="K49" s="913">
        <v>0</v>
      </c>
      <c r="L49" s="906">
        <f t="shared" si="4"/>
        <v>0</v>
      </c>
      <c r="M49" s="1378"/>
      <c r="N49" s="1013"/>
      <c r="O49" s="1016"/>
    </row>
    <row r="50" spans="1:15" x14ac:dyDescent="0.25">
      <c r="A50" s="1009"/>
      <c r="B50" s="904" t="s">
        <v>421</v>
      </c>
      <c r="C50" s="1169"/>
      <c r="D50" s="1169"/>
      <c r="E50" s="1169"/>
      <c r="F50" s="1169"/>
      <c r="G50" s="1169"/>
      <c r="H50" s="913">
        <v>0</v>
      </c>
      <c r="I50" s="913">
        <v>0</v>
      </c>
      <c r="J50" s="913">
        <v>0</v>
      </c>
      <c r="K50" s="913">
        <v>0</v>
      </c>
      <c r="L50" s="906">
        <f t="shared" si="4"/>
        <v>0</v>
      </c>
      <c r="M50" s="1378"/>
      <c r="N50" s="1013"/>
      <c r="O50" s="1016"/>
    </row>
    <row r="51" spans="1:15" x14ac:dyDescent="0.25">
      <c r="A51" s="1009"/>
      <c r="B51" s="904" t="s">
        <v>421</v>
      </c>
      <c r="C51" s="1169"/>
      <c r="D51" s="1169"/>
      <c r="E51" s="1169"/>
      <c r="F51" s="1169"/>
      <c r="G51" s="1169"/>
      <c r="H51" s="913">
        <v>0</v>
      </c>
      <c r="I51" s="913">
        <v>0</v>
      </c>
      <c r="J51" s="913">
        <v>0</v>
      </c>
      <c r="K51" s="913">
        <v>0</v>
      </c>
      <c r="L51" s="906">
        <f t="shared" si="4"/>
        <v>0</v>
      </c>
      <c r="M51" s="1378"/>
      <c r="N51" s="1013"/>
      <c r="O51" s="1016"/>
    </row>
    <row r="52" spans="1:15" x14ac:dyDescent="0.25">
      <c r="A52" s="1009"/>
      <c r="B52" s="904" t="s">
        <v>421</v>
      </c>
      <c r="C52" s="1169"/>
      <c r="D52" s="1169"/>
      <c r="E52" s="1169"/>
      <c r="F52" s="1169"/>
      <c r="G52" s="1169"/>
      <c r="H52" s="913">
        <v>0</v>
      </c>
      <c r="I52" s="913">
        <v>0</v>
      </c>
      <c r="J52" s="913">
        <v>0</v>
      </c>
      <c r="K52" s="913">
        <v>0</v>
      </c>
      <c r="L52" s="906">
        <f t="shared" si="4"/>
        <v>0</v>
      </c>
      <c r="M52" s="1378"/>
      <c r="N52" s="1013"/>
      <c r="O52" s="1016"/>
    </row>
    <row r="53" spans="1:15" x14ac:dyDescent="0.25">
      <c r="A53" s="1009"/>
      <c r="B53" s="904" t="s">
        <v>421</v>
      </c>
      <c r="C53" s="1169"/>
      <c r="D53" s="1169"/>
      <c r="E53" s="1169"/>
      <c r="F53" s="1169"/>
      <c r="G53" s="1169"/>
      <c r="H53" s="895">
        <v>0</v>
      </c>
      <c r="I53" s="890">
        <v>0</v>
      </c>
      <c r="J53" s="890">
        <v>0</v>
      </c>
      <c r="K53" s="913">
        <v>0</v>
      </c>
      <c r="L53" s="906">
        <f t="shared" si="4"/>
        <v>0</v>
      </c>
      <c r="M53" s="1378"/>
      <c r="N53" s="1013"/>
      <c r="O53" s="1016"/>
    </row>
    <row r="54" spans="1:15" x14ac:dyDescent="0.25">
      <c r="A54" s="1009"/>
      <c r="B54" s="904" t="s">
        <v>421</v>
      </c>
      <c r="C54" s="1169"/>
      <c r="D54" s="1169"/>
      <c r="E54" s="1169"/>
      <c r="F54" s="1169"/>
      <c r="G54" s="1169"/>
      <c r="H54" s="892">
        <v>0</v>
      </c>
      <c r="I54" s="892">
        <v>0</v>
      </c>
      <c r="J54" s="892">
        <v>0</v>
      </c>
      <c r="K54" s="905">
        <v>0</v>
      </c>
      <c r="L54" s="906">
        <f t="shared" si="4"/>
        <v>0</v>
      </c>
      <c r="M54" s="1378"/>
      <c r="N54" s="1013"/>
      <c r="O54" s="1016"/>
    </row>
    <row r="55" spans="1:15" ht="13.5" thickBot="1" x14ac:dyDescent="0.3">
      <c r="A55" s="1009"/>
      <c r="B55" s="916" t="s">
        <v>421</v>
      </c>
      <c r="C55" s="907"/>
      <c r="D55" s="907"/>
      <c r="E55" s="907"/>
      <c r="F55" s="907"/>
      <c r="G55" s="907"/>
      <c r="H55" s="917">
        <v>0</v>
      </c>
      <c r="I55" s="917">
        <v>0</v>
      </c>
      <c r="J55" s="917">
        <v>0</v>
      </c>
      <c r="K55" s="918">
        <v>0</v>
      </c>
      <c r="L55" s="909">
        <f t="shared" si="4"/>
        <v>0</v>
      </c>
      <c r="M55" s="1378"/>
      <c r="N55" s="1013"/>
      <c r="O55" s="1016"/>
    </row>
    <row r="56" spans="1:15" ht="20.5" customHeight="1" thickBot="1" x14ac:dyDescent="0.3">
      <c r="A56" s="1009"/>
      <c r="B56" s="1375" t="s">
        <v>422</v>
      </c>
      <c r="C56" s="1376"/>
      <c r="D56" s="1376"/>
      <c r="E56" s="1376"/>
      <c r="F56" s="1376"/>
      <c r="G56" s="1377"/>
      <c r="H56" s="911">
        <f>SUM(H47:H55)</f>
        <v>0</v>
      </c>
      <c r="I56" s="919">
        <f>SUM(I47:I55)</f>
        <v>0</v>
      </c>
      <c r="J56" s="920">
        <f>SUM(J47:J55)</f>
        <v>0</v>
      </c>
      <c r="K56" s="921">
        <f>SUM(K47:K55)</f>
        <v>0</v>
      </c>
      <c r="L56" s="1378"/>
      <c r="M56" s="898">
        <f>SUM(H56:K56)</f>
        <v>0</v>
      </c>
      <c r="N56" s="1013"/>
      <c r="O56" s="1016"/>
    </row>
    <row r="57" spans="1:15" ht="20.5" customHeight="1" thickBot="1" x14ac:dyDescent="0.3">
      <c r="A57" s="1009"/>
      <c r="B57" s="1024"/>
      <c r="C57" s="1024"/>
      <c r="D57" s="1024"/>
      <c r="E57" s="1024"/>
      <c r="F57" s="1024"/>
      <c r="G57" s="1024"/>
      <c r="H57" s="1025"/>
      <c r="I57" s="1026"/>
      <c r="J57" s="1025"/>
      <c r="K57" s="1025"/>
      <c r="L57" s="1378"/>
      <c r="M57" s="1023"/>
      <c r="N57" s="1013"/>
      <c r="O57" s="1016"/>
    </row>
    <row r="58" spans="1:15" ht="20.5" customHeight="1" thickBot="1" x14ac:dyDescent="0.3">
      <c r="A58" s="1009"/>
      <c r="B58" s="1375" t="s">
        <v>423</v>
      </c>
      <c r="C58" s="1376"/>
      <c r="D58" s="1376"/>
      <c r="E58" s="1376"/>
      <c r="F58" s="1376"/>
      <c r="G58" s="1376"/>
      <c r="H58" s="914">
        <f>H56+H44+H35+H25+H15</f>
        <v>0</v>
      </c>
      <c r="I58" s="914">
        <f>I56+I44+I35+I25+I15</f>
        <v>0</v>
      </c>
      <c r="J58" s="914">
        <f>J56+J44+J35+J25+J15</f>
        <v>0</v>
      </c>
      <c r="K58" s="915">
        <f>K56+K44+K35+K25+K15</f>
        <v>0</v>
      </c>
      <c r="L58" s="1379"/>
      <c r="M58" s="1023"/>
      <c r="N58" s="922">
        <f>SUM(H58:K58)</f>
        <v>0</v>
      </c>
      <c r="O58" s="1016"/>
    </row>
    <row r="59" spans="1:15" s="923" customFormat="1" ht="23.5" customHeight="1" thickBot="1" x14ac:dyDescent="0.3">
      <c r="A59" s="1010"/>
      <c r="B59" s="1012"/>
      <c r="C59" s="1012"/>
      <c r="D59" s="1012"/>
      <c r="E59" s="1012"/>
      <c r="F59" s="1012"/>
      <c r="G59" s="1012"/>
      <c r="H59" s="1012"/>
      <c r="I59" s="1012"/>
      <c r="J59" s="1012"/>
      <c r="K59" s="1012"/>
      <c r="L59" s="922">
        <f>SUM(L8:L56)</f>
        <v>0</v>
      </c>
      <c r="M59" s="922">
        <f>SUM(M15:M56)</f>
        <v>0</v>
      </c>
      <c r="N59" s="1012"/>
      <c r="O59" s="1016"/>
    </row>
    <row r="60" spans="1:15" ht="26.5" thickBot="1" x14ac:dyDescent="0.3">
      <c r="A60" s="1009"/>
      <c r="B60" s="1013"/>
      <c r="C60" s="1013"/>
      <c r="D60" s="1013"/>
      <c r="E60" s="1013"/>
      <c r="F60" s="1013"/>
      <c r="G60" s="1013"/>
      <c r="H60" s="1013"/>
      <c r="I60" s="1013"/>
      <c r="J60" s="1013"/>
      <c r="K60" s="1013"/>
      <c r="L60" s="1013"/>
      <c r="M60" s="1013"/>
      <c r="N60" s="1013"/>
      <c r="O60" s="924" t="s">
        <v>424</v>
      </c>
    </row>
    <row r="61" spans="1:15" ht="25.5" customHeight="1" thickBot="1" x14ac:dyDescent="0.3">
      <c r="A61" s="1011"/>
      <c r="B61" s="1014"/>
      <c r="C61" s="1014"/>
      <c r="D61" s="1014"/>
      <c r="E61" s="1014"/>
      <c r="F61" s="1014"/>
      <c r="G61" s="1014"/>
      <c r="H61" s="1014"/>
      <c r="I61" s="1014"/>
      <c r="J61" s="1014"/>
      <c r="K61" s="1015"/>
      <c r="L61" s="1014"/>
      <c r="M61" s="1014"/>
      <c r="N61" s="1014"/>
      <c r="O61" s="925">
        <f>'Phase 1 Costs'!AD80</f>
        <v>0</v>
      </c>
    </row>
    <row r="62" spans="1:15" x14ac:dyDescent="0.25">
      <c r="K62" s="926"/>
    </row>
    <row r="63" spans="1:15" x14ac:dyDescent="0.25">
      <c r="K63" s="926"/>
    </row>
    <row r="64" spans="1:15" x14ac:dyDescent="0.25">
      <c r="K64" s="926"/>
    </row>
    <row r="65" spans="8:11" x14ac:dyDescent="0.25">
      <c r="K65" s="926"/>
    </row>
    <row r="66" spans="8:11" x14ac:dyDescent="0.25">
      <c r="K66" s="926"/>
    </row>
    <row r="67" spans="8:11" x14ac:dyDescent="0.25">
      <c r="H67" s="927"/>
      <c r="I67" s="927"/>
      <c r="J67" s="927"/>
      <c r="K67" s="926"/>
    </row>
    <row r="81" s="857" customFormat="1" x14ac:dyDescent="0.25"/>
    <row r="82" s="857" customFormat="1" x14ac:dyDescent="0.25"/>
    <row r="83" s="857" customFormat="1" x14ac:dyDescent="0.25"/>
    <row r="84" s="857" customFormat="1" x14ac:dyDescent="0.25"/>
    <row r="85" s="857" customFormat="1" x14ac:dyDescent="0.25"/>
    <row r="86" s="857" customFormat="1" x14ac:dyDescent="0.25"/>
    <row r="87" s="857" customFormat="1" x14ac:dyDescent="0.25"/>
    <row r="88" s="857" customFormat="1" x14ac:dyDescent="0.25"/>
    <row r="89" s="857" customFormat="1" x14ac:dyDescent="0.25"/>
    <row r="90" s="857" customFormat="1" x14ac:dyDescent="0.25"/>
    <row r="91" s="857" customFormat="1" x14ac:dyDescent="0.25"/>
  </sheetData>
  <mergeCells count="20">
    <mergeCell ref="B2:C2"/>
    <mergeCell ref="B6:C6"/>
    <mergeCell ref="H6:K6"/>
    <mergeCell ref="B16:M17"/>
    <mergeCell ref="M18:M24"/>
    <mergeCell ref="I2:M4"/>
    <mergeCell ref="B56:G56"/>
    <mergeCell ref="L56:L58"/>
    <mergeCell ref="B58:G58"/>
    <mergeCell ref="M8:M14"/>
    <mergeCell ref="B15:G15"/>
    <mergeCell ref="B35:G35"/>
    <mergeCell ref="B25:G25"/>
    <mergeCell ref="B26:M27"/>
    <mergeCell ref="M28:M34"/>
    <mergeCell ref="B36:M37"/>
    <mergeCell ref="M38:M43"/>
    <mergeCell ref="B44:G44"/>
    <mergeCell ref="B45:M46"/>
    <mergeCell ref="M47:M5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6">
    <tabColor theme="9"/>
    <pageSetUpPr fitToPage="1"/>
  </sheetPr>
  <dimension ref="A1:TR91"/>
  <sheetViews>
    <sheetView workbookViewId="0">
      <pane xSplit="2" topLeftCell="C1" activePane="topRight" state="frozen"/>
      <selection pane="topRight" activeCell="BB11" sqref="BB11"/>
    </sheetView>
  </sheetViews>
  <sheetFormatPr defaultColWidth="8.453125" defaultRowHeight="12.5" x14ac:dyDescent="0.25"/>
  <cols>
    <col min="1" max="1" width="18.81640625" style="291" customWidth="1"/>
    <col min="2" max="2" width="42.453125" style="291" customWidth="1"/>
    <col min="3" max="3" width="32.7265625" style="291" bestFit="1" customWidth="1"/>
    <col min="4" max="4" width="13.453125" style="291" customWidth="1"/>
    <col min="5" max="5" width="14.453125" style="291" bestFit="1" customWidth="1"/>
    <col min="6" max="6" width="12.81640625" style="291" bestFit="1" customWidth="1"/>
    <col min="7" max="7" width="12.453125" style="291" customWidth="1"/>
    <col min="8" max="8" width="12.81640625" style="291" bestFit="1" customWidth="1"/>
    <col min="9" max="9" width="12.453125" style="291" customWidth="1"/>
    <col min="10" max="10" width="12.81640625" style="291" bestFit="1" customWidth="1"/>
    <col min="11" max="11" width="12.453125" style="291" customWidth="1"/>
    <col min="12" max="12" width="14" style="291" customWidth="1"/>
    <col min="13" max="13" width="12.453125" style="291" customWidth="1"/>
    <col min="14" max="14" width="12.81640625" style="291" bestFit="1" customWidth="1"/>
    <col min="15" max="15" width="12.453125" style="291" customWidth="1"/>
    <col min="16" max="16" width="12.81640625" style="291" bestFit="1" customWidth="1"/>
    <col min="17" max="17" width="12.453125" style="291" customWidth="1"/>
    <col min="18" max="18" width="12.81640625" style="291" bestFit="1" customWidth="1"/>
    <col min="19" max="19" width="11.453125" style="291" customWidth="1"/>
    <col min="20" max="20" width="16.54296875" style="291" customWidth="1"/>
    <col min="21" max="21" width="12.453125" style="291" customWidth="1"/>
    <col min="22" max="22" width="12.81640625" style="291" bestFit="1" customWidth="1"/>
    <col min="23" max="23" width="12.453125" style="291" customWidth="1"/>
    <col min="24" max="24" width="12.81640625" style="291" bestFit="1" customWidth="1"/>
    <col min="25" max="25" width="12.453125" style="291" customWidth="1"/>
    <col min="26" max="26" width="12.81640625" style="291" bestFit="1" customWidth="1"/>
    <col min="27" max="27" width="11.453125" style="291" customWidth="1"/>
    <col min="28" max="28" width="14.54296875" style="291" customWidth="1"/>
    <col min="29" max="29" width="12.453125" style="291" customWidth="1"/>
    <col min="30" max="30" width="12.81640625" style="291" bestFit="1" customWidth="1"/>
    <col min="31" max="31" width="12.453125" style="291" customWidth="1"/>
    <col min="32" max="32" width="12.81640625" style="291" bestFit="1" customWidth="1"/>
    <col min="33" max="33" width="12.453125" style="291" customWidth="1"/>
    <col min="34" max="34" width="12.81640625" style="291" bestFit="1" customWidth="1"/>
    <col min="35" max="35" width="11.453125" style="291" customWidth="1"/>
    <col min="36" max="36" width="14.7265625" style="291" customWidth="1"/>
    <col min="37" max="37" width="12.453125" style="291" customWidth="1"/>
    <col min="38" max="38" width="12.81640625" style="291" bestFit="1" customWidth="1"/>
    <col min="39" max="39" width="12.453125" style="291" customWidth="1"/>
    <col min="40" max="40" width="12.81640625" style="291" bestFit="1" customWidth="1"/>
    <col min="41" max="41" width="12.453125" style="291" customWidth="1"/>
    <col min="42" max="42" width="12.81640625" style="291" bestFit="1" customWidth="1"/>
    <col min="43" max="43" width="11.453125" style="291" customWidth="1"/>
    <col min="44" max="44" width="14.54296875" style="291" customWidth="1"/>
    <col min="45" max="45" width="12.453125" style="291" customWidth="1"/>
    <col min="46" max="46" width="12.81640625" style="291" bestFit="1" customWidth="1"/>
    <col min="47" max="47" width="12.453125" style="291" customWidth="1"/>
    <col min="48" max="48" width="16.54296875" style="291" bestFit="1" customWidth="1"/>
    <col min="49" max="49" width="12.453125" style="291" customWidth="1"/>
    <col min="50" max="50" width="12.81640625" style="291" bestFit="1" customWidth="1"/>
    <col min="51" max="51" width="11.453125" style="291" customWidth="1"/>
    <col min="52" max="52" width="11.1796875" style="291" customWidth="1"/>
    <col min="53" max="53" width="13" style="291" customWidth="1"/>
    <col min="54" max="54" width="12.453125" style="291" customWidth="1"/>
    <col min="55" max="16384" width="8.453125" style="291"/>
  </cols>
  <sheetData>
    <row r="1" spans="1:54" ht="27.65" customHeight="1" x14ac:dyDescent="0.25">
      <c r="A1" s="1586" t="s">
        <v>425</v>
      </c>
      <c r="B1" s="1587"/>
      <c r="C1" s="312" t="s">
        <v>426</v>
      </c>
      <c r="D1" s="1588"/>
      <c r="E1" s="1589"/>
      <c r="F1" s="1589"/>
      <c r="G1" s="1589"/>
      <c r="H1" s="1589"/>
      <c r="I1" s="1589"/>
      <c r="J1" s="1589"/>
      <c r="K1" s="1589"/>
      <c r="L1" s="1589"/>
      <c r="M1" s="1589"/>
      <c r="N1" s="1589"/>
      <c r="O1" s="1589"/>
      <c r="P1" s="1589"/>
      <c r="Q1" s="1589"/>
      <c r="R1" s="1589"/>
      <c r="S1" s="1589"/>
      <c r="T1" s="1589"/>
      <c r="U1" s="1589"/>
      <c r="V1" s="1589"/>
      <c r="W1" s="1589"/>
      <c r="X1" s="1589"/>
      <c r="Y1" s="1589"/>
      <c r="Z1" s="1589"/>
      <c r="AA1" s="1589"/>
      <c r="AB1" s="1589"/>
      <c r="AC1" s="1589"/>
      <c r="AD1" s="1589"/>
      <c r="AE1" s="1589"/>
      <c r="AF1" s="1589"/>
      <c r="AG1" s="1589"/>
      <c r="AH1" s="1589"/>
      <c r="AI1" s="1589"/>
      <c r="AJ1" s="1589"/>
      <c r="AK1" s="1589"/>
      <c r="AL1" s="1589"/>
      <c r="AM1" s="1589"/>
      <c r="AN1" s="1589"/>
      <c r="AO1" s="1589"/>
      <c r="AP1" s="1589"/>
      <c r="AQ1" s="1589"/>
      <c r="AR1" s="1589"/>
      <c r="AS1" s="1589"/>
      <c r="AT1" s="1589"/>
      <c r="AU1" s="1589"/>
      <c r="AV1" s="1589"/>
      <c r="AW1" s="1589"/>
      <c r="AX1" s="1589"/>
      <c r="AY1" s="1589"/>
      <c r="AZ1" s="1589"/>
      <c r="BA1" s="1589"/>
      <c r="BB1" s="1589"/>
    </row>
    <row r="2" spans="1:54" ht="13" x14ac:dyDescent="0.25">
      <c r="A2" s="311" t="s">
        <v>320</v>
      </c>
      <c r="B2" s="1590" t="str">
        <f>General!D4</f>
        <v>Name</v>
      </c>
      <c r="C2" s="1591"/>
      <c r="D2" s="1588"/>
      <c r="E2" s="1589"/>
      <c r="F2" s="1589"/>
      <c r="G2" s="1589"/>
      <c r="H2" s="1589"/>
      <c r="I2" s="1589"/>
      <c r="J2" s="1589"/>
      <c r="K2" s="1589"/>
      <c r="L2" s="1589"/>
      <c r="M2" s="1589"/>
      <c r="N2" s="1589"/>
      <c r="O2" s="1589"/>
      <c r="P2" s="1589"/>
      <c r="Q2" s="1589"/>
      <c r="R2" s="1589"/>
      <c r="S2" s="1589"/>
      <c r="T2" s="1589"/>
      <c r="U2" s="1589"/>
      <c r="V2" s="1589"/>
      <c r="W2" s="1589"/>
      <c r="X2" s="1589"/>
      <c r="Y2" s="1589"/>
      <c r="Z2" s="1589"/>
      <c r="AA2" s="1589"/>
      <c r="AB2" s="1589"/>
      <c r="AC2" s="1589"/>
      <c r="AD2" s="1589"/>
      <c r="AE2" s="1589"/>
      <c r="AF2" s="1589"/>
      <c r="AG2" s="1589"/>
      <c r="AH2" s="1589"/>
      <c r="AI2" s="1589"/>
      <c r="AJ2" s="1589"/>
      <c r="AK2" s="1589"/>
      <c r="AL2" s="1589"/>
      <c r="AM2" s="1589"/>
      <c r="AN2" s="1589"/>
      <c r="AO2" s="1589"/>
      <c r="AP2" s="1589"/>
      <c r="AQ2" s="1589"/>
      <c r="AR2" s="1589"/>
      <c r="AS2" s="1589"/>
      <c r="AT2" s="1589"/>
      <c r="AU2" s="1589"/>
      <c r="AV2" s="1589"/>
      <c r="AW2" s="1589"/>
      <c r="AX2" s="1589"/>
      <c r="AY2" s="1589"/>
      <c r="AZ2" s="1589"/>
      <c r="BA2" s="1589"/>
      <c r="BB2" s="1589"/>
    </row>
    <row r="3" spans="1:54" ht="13" x14ac:dyDescent="0.25">
      <c r="A3" s="311" t="s">
        <v>321</v>
      </c>
      <c r="B3" s="1590" t="str">
        <f>General!D5</f>
        <v>Name</v>
      </c>
      <c r="C3" s="1591"/>
      <c r="D3" s="1588"/>
      <c r="E3" s="1589"/>
      <c r="F3" s="1589"/>
      <c r="G3" s="1589"/>
      <c r="H3" s="1589"/>
      <c r="I3" s="1589"/>
      <c r="J3" s="1589"/>
      <c r="K3" s="1589"/>
      <c r="L3" s="1589"/>
      <c r="M3" s="1589"/>
      <c r="N3" s="1589"/>
      <c r="O3" s="1589"/>
      <c r="P3" s="1589"/>
      <c r="Q3" s="1589"/>
      <c r="R3" s="1589"/>
      <c r="S3" s="1589"/>
      <c r="T3" s="1589"/>
      <c r="U3" s="1589"/>
      <c r="V3" s="1589"/>
      <c r="W3" s="1589"/>
      <c r="X3" s="1589"/>
      <c r="Y3" s="1589"/>
      <c r="Z3" s="1589"/>
      <c r="AA3" s="1589"/>
      <c r="AB3" s="1589"/>
      <c r="AC3" s="1589"/>
      <c r="AD3" s="1589"/>
      <c r="AE3" s="1589"/>
      <c r="AF3" s="1589"/>
      <c r="AG3" s="1589"/>
      <c r="AH3" s="1589"/>
      <c r="AI3" s="1589"/>
      <c r="AJ3" s="1589"/>
      <c r="AK3" s="1589"/>
      <c r="AL3" s="1589"/>
      <c r="AM3" s="1589"/>
      <c r="AN3" s="1589"/>
      <c r="AO3" s="1589"/>
      <c r="AP3" s="1589"/>
      <c r="AQ3" s="1589"/>
      <c r="AR3" s="1589"/>
      <c r="AS3" s="1589"/>
      <c r="AT3" s="1589"/>
      <c r="AU3" s="1589"/>
      <c r="AV3" s="1589"/>
      <c r="AW3" s="1589"/>
      <c r="AX3" s="1589"/>
      <c r="AY3" s="1589"/>
      <c r="AZ3" s="1589"/>
      <c r="BA3" s="1589"/>
      <c r="BB3" s="1589"/>
    </row>
    <row r="4" spans="1:54" ht="13.5" customHeight="1" thickBot="1" x14ac:dyDescent="0.3">
      <c r="A4" s="1592"/>
      <c r="B4" s="1592"/>
      <c r="C4" s="1592"/>
      <c r="D4" s="1593" t="s">
        <v>427</v>
      </c>
      <c r="E4" s="1593"/>
      <c r="F4" s="1593"/>
      <c r="G4" s="1593"/>
      <c r="H4" s="1593"/>
      <c r="I4" s="1593"/>
      <c r="J4" s="1593"/>
      <c r="K4" s="1594"/>
      <c r="L4" s="1595" t="s">
        <v>427</v>
      </c>
      <c r="M4" s="1596"/>
      <c r="N4" s="1596"/>
      <c r="O4" s="1596"/>
      <c r="P4" s="1596"/>
      <c r="Q4" s="1596"/>
      <c r="R4" s="1596"/>
      <c r="S4" s="1597"/>
      <c r="T4" s="1598" t="s">
        <v>427</v>
      </c>
      <c r="U4" s="1599"/>
      <c r="V4" s="1599"/>
      <c r="W4" s="1599"/>
      <c r="X4" s="1599"/>
      <c r="Y4" s="1599"/>
      <c r="Z4" s="1599"/>
      <c r="AA4" s="1600"/>
      <c r="AB4" s="1601" t="s">
        <v>427</v>
      </c>
      <c r="AC4" s="1602"/>
      <c r="AD4" s="1602"/>
      <c r="AE4" s="1602"/>
      <c r="AF4" s="1602"/>
      <c r="AG4" s="1602"/>
      <c r="AH4" s="1602"/>
      <c r="AI4" s="1603"/>
      <c r="AJ4" s="1595" t="s">
        <v>427</v>
      </c>
      <c r="AK4" s="1596"/>
      <c r="AL4" s="1596"/>
      <c r="AM4" s="1596"/>
      <c r="AN4" s="1596"/>
      <c r="AO4" s="1596"/>
      <c r="AP4" s="1596"/>
      <c r="AQ4" s="1597"/>
      <c r="AR4" s="1604" t="s">
        <v>427</v>
      </c>
      <c r="AS4" s="1593"/>
      <c r="AT4" s="1593"/>
      <c r="AU4" s="1593"/>
      <c r="AV4" s="1593"/>
      <c r="AW4" s="1593"/>
      <c r="AX4" s="1593"/>
      <c r="AY4" s="1605"/>
      <c r="AZ4" s="1606"/>
      <c r="BA4" s="1607"/>
      <c r="BB4" s="1607"/>
    </row>
    <row r="5" spans="1:54" x14ac:dyDescent="0.25">
      <c r="A5" s="1592"/>
      <c r="B5" s="1592"/>
      <c r="C5" s="1592"/>
      <c r="D5" s="1608" t="str">
        <f>Period1_Label</f>
        <v>FY 1</v>
      </c>
      <c r="E5" s="1609"/>
      <c r="F5" s="1609"/>
      <c r="G5" s="1609"/>
      <c r="H5" s="1609"/>
      <c r="I5" s="1609"/>
      <c r="J5" s="1609"/>
      <c r="K5" s="1610"/>
      <c r="L5" s="1611" t="str">
        <f>Period2_Label</f>
        <v>FY 2</v>
      </c>
      <c r="M5" s="1576"/>
      <c r="N5" s="1576"/>
      <c r="O5" s="1576"/>
      <c r="P5" s="1576"/>
      <c r="Q5" s="1576"/>
      <c r="R5" s="1576"/>
      <c r="S5" s="1612"/>
      <c r="T5" s="1613" t="str">
        <f>Period3_Label</f>
        <v>FY 3</v>
      </c>
      <c r="U5" s="1614"/>
      <c r="V5" s="1614"/>
      <c r="W5" s="1614"/>
      <c r="X5" s="1614"/>
      <c r="Y5" s="1614"/>
      <c r="Z5" s="1614"/>
      <c r="AA5" s="1615"/>
      <c r="AB5" s="1611" t="str">
        <f>Period4_Label</f>
        <v>FY 4</v>
      </c>
      <c r="AC5" s="1576"/>
      <c r="AD5" s="1576"/>
      <c r="AE5" s="1576"/>
      <c r="AF5" s="1576"/>
      <c r="AG5" s="1576"/>
      <c r="AH5" s="1576"/>
      <c r="AI5" s="1612"/>
      <c r="AJ5" s="1613" t="str">
        <f>Period5_Label</f>
        <v>FY 5</v>
      </c>
      <c r="AK5" s="1614"/>
      <c r="AL5" s="1614"/>
      <c r="AM5" s="1614"/>
      <c r="AN5" s="1614"/>
      <c r="AO5" s="1614"/>
      <c r="AP5" s="1614"/>
      <c r="AQ5" s="1616"/>
      <c r="AR5" s="1575" t="str">
        <f>Period6_Label</f>
        <v>FY 6</v>
      </c>
      <c r="AS5" s="1576"/>
      <c r="AT5" s="1576"/>
      <c r="AU5" s="1576"/>
      <c r="AV5" s="1576"/>
      <c r="AW5" s="1576"/>
      <c r="AX5" s="1576"/>
      <c r="AY5" s="1577"/>
      <c r="AZ5" s="1578" t="s">
        <v>345</v>
      </c>
      <c r="BA5" s="1579"/>
      <c r="BB5" s="1580"/>
    </row>
    <row r="6" spans="1:54" x14ac:dyDescent="0.25">
      <c r="A6" s="1409" t="s">
        <v>428</v>
      </c>
      <c r="B6" s="1409"/>
      <c r="C6" s="1409"/>
      <c r="D6" s="1482"/>
      <c r="E6" s="1482"/>
      <c r="F6" s="1483"/>
      <c r="G6" s="1581" t="str">
        <f>CONCATENATE(TEXT('Proposer Constants'!C14,"MM/DD/YY")," to ",TEXT('Proposer Constants'!C15,"MM/DD/YY"))</f>
        <v>06/01/25 to 05/31/26</v>
      </c>
      <c r="H6" s="1622"/>
      <c r="I6" s="1581"/>
      <c r="J6" s="1582"/>
      <c r="K6" s="1583"/>
      <c r="L6" s="322"/>
      <c r="M6" s="323"/>
      <c r="N6" s="324"/>
      <c r="O6" s="1584" t="str">
        <f>CONCATENATE(TEXT('Proposer Constants'!D14,"MM/DD/YY")," to ",TEXT('Proposer Constants'!D15,"MM/DD/YY"))</f>
        <v>06/01/26 to 05/31/27</v>
      </c>
      <c r="P6" s="1585"/>
      <c r="Q6" s="324"/>
      <c r="R6" s="324"/>
      <c r="S6" s="325"/>
      <c r="T6" s="319"/>
      <c r="U6" s="320"/>
      <c r="V6" s="316"/>
      <c r="W6" s="320" t="str">
        <f>CONCATENATE(TEXT('Proposer Constants'!E14,"MM/DD/YY")," to ",TEXT('Proposer Constants'!E15,"MM/DD/YY"))</f>
        <v>06/01/27 to 05/31/28</v>
      </c>
      <c r="X6" s="316"/>
      <c r="Y6" s="316"/>
      <c r="Z6" s="316"/>
      <c r="AA6" s="317"/>
      <c r="AB6" s="322"/>
      <c r="AC6" s="322"/>
      <c r="AD6" s="322"/>
      <c r="AE6" s="1584" t="str">
        <f>CONCATENATE(TEXT('Proposer Constants'!F14,"MM/DD/YY")," to ",TEXT('Proposer Constants'!F15,"MM/DD/YY"))</f>
        <v>06/01/28 to 05/31/29</v>
      </c>
      <c r="AF6" s="1585"/>
      <c r="AG6" s="322"/>
      <c r="AH6" s="324"/>
      <c r="AI6" s="325"/>
      <c r="AJ6" s="319"/>
      <c r="AK6" s="319"/>
      <c r="AL6" s="319"/>
      <c r="AM6" s="1617" t="str">
        <f>CONCATENATE(TEXT('Proposer Constants'!G14,"MM/DD/YY")," to ",TEXT('Proposer Constants'!G15,"MM/DD/YY"))</f>
        <v>06/01/29 to 05/31/30</v>
      </c>
      <c r="AN6" s="1618"/>
      <c r="AO6" s="319"/>
      <c r="AP6" s="316"/>
      <c r="AQ6" s="321"/>
      <c r="AR6" s="326"/>
      <c r="AS6" s="322"/>
      <c r="AT6" s="322"/>
      <c r="AU6" s="1584" t="str">
        <f>CONCATENATE(TEXT('Proposer Constants'!H14,"MM/DD/YY")," to ",TEXT('Proposer Constants'!H15,"MM/DD/YY"))</f>
        <v>06/01/30 to 05/31/31</v>
      </c>
      <c r="AV6" s="1585"/>
      <c r="AW6" s="322"/>
      <c r="AX6" s="324"/>
      <c r="AY6" s="327"/>
      <c r="AZ6" s="515" t="s">
        <v>429</v>
      </c>
      <c r="BA6" s="1619" t="s">
        <v>430</v>
      </c>
      <c r="BB6" s="1620"/>
    </row>
    <row r="7" spans="1:54" s="299" customFormat="1" ht="34.5" x14ac:dyDescent="0.25">
      <c r="A7" s="489"/>
      <c r="B7" s="376" t="s">
        <v>431</v>
      </c>
      <c r="C7" s="376" t="s">
        <v>432</v>
      </c>
      <c r="D7" s="373" t="s">
        <v>327</v>
      </c>
      <c r="E7" s="376" t="s">
        <v>328</v>
      </c>
      <c r="F7" s="377" t="s">
        <v>433</v>
      </c>
      <c r="G7" s="378" t="s">
        <v>434</v>
      </c>
      <c r="H7" s="378" t="s">
        <v>435</v>
      </c>
      <c r="I7" s="379" t="s">
        <v>436</v>
      </c>
      <c r="J7" s="379" t="s">
        <v>437</v>
      </c>
      <c r="K7" s="376" t="s">
        <v>329</v>
      </c>
      <c r="L7" s="373" t="s">
        <v>327</v>
      </c>
      <c r="M7" s="376" t="s">
        <v>328</v>
      </c>
      <c r="N7" s="377" t="s">
        <v>433</v>
      </c>
      <c r="O7" s="378" t="s">
        <v>434</v>
      </c>
      <c r="P7" s="378" t="s">
        <v>435</v>
      </c>
      <c r="Q7" s="379" t="s">
        <v>436</v>
      </c>
      <c r="R7" s="379" t="s">
        <v>437</v>
      </c>
      <c r="S7" s="372" t="s">
        <v>329</v>
      </c>
      <c r="T7" s="373" t="s">
        <v>327</v>
      </c>
      <c r="U7" s="376" t="s">
        <v>328</v>
      </c>
      <c r="V7" s="377" t="s">
        <v>433</v>
      </c>
      <c r="W7" s="378" t="s">
        <v>434</v>
      </c>
      <c r="X7" s="378" t="s">
        <v>435</v>
      </c>
      <c r="Y7" s="379" t="s">
        <v>436</v>
      </c>
      <c r="Z7" s="379" t="s">
        <v>437</v>
      </c>
      <c r="AA7" s="372" t="s">
        <v>329</v>
      </c>
      <c r="AB7" s="373" t="s">
        <v>327</v>
      </c>
      <c r="AC7" s="376" t="s">
        <v>328</v>
      </c>
      <c r="AD7" s="377" t="s">
        <v>433</v>
      </c>
      <c r="AE7" s="378" t="s">
        <v>434</v>
      </c>
      <c r="AF7" s="378" t="s">
        <v>435</v>
      </c>
      <c r="AG7" s="379" t="s">
        <v>436</v>
      </c>
      <c r="AH7" s="379" t="s">
        <v>437</v>
      </c>
      <c r="AI7" s="372" t="s">
        <v>329</v>
      </c>
      <c r="AJ7" s="373" t="s">
        <v>327</v>
      </c>
      <c r="AK7" s="376" t="s">
        <v>328</v>
      </c>
      <c r="AL7" s="377" t="s">
        <v>433</v>
      </c>
      <c r="AM7" s="378" t="s">
        <v>434</v>
      </c>
      <c r="AN7" s="378" t="s">
        <v>435</v>
      </c>
      <c r="AO7" s="379" t="s">
        <v>436</v>
      </c>
      <c r="AP7" s="379" t="s">
        <v>437</v>
      </c>
      <c r="AQ7" s="372" t="s">
        <v>329</v>
      </c>
      <c r="AR7" s="374" t="s">
        <v>327</v>
      </c>
      <c r="AS7" s="376" t="s">
        <v>328</v>
      </c>
      <c r="AT7" s="377" t="s">
        <v>433</v>
      </c>
      <c r="AU7" s="378" t="s">
        <v>434</v>
      </c>
      <c r="AV7" s="378" t="s">
        <v>435</v>
      </c>
      <c r="AW7" s="379" t="s">
        <v>436</v>
      </c>
      <c r="AX7" s="379" t="s">
        <v>437</v>
      </c>
      <c r="AY7" s="372" t="s">
        <v>329</v>
      </c>
      <c r="AZ7" s="516" t="s">
        <v>327</v>
      </c>
      <c r="BA7" s="517" t="s">
        <v>329</v>
      </c>
      <c r="BB7" s="518" t="s">
        <v>438</v>
      </c>
    </row>
    <row r="8" spans="1:54" x14ac:dyDescent="0.25">
      <c r="A8" s="490" t="s">
        <v>439</v>
      </c>
      <c r="B8" s="375" t="str">
        <f>IF(ISBLANK('Labor Rates'!D8),"",'Labor Rates'!D8)</f>
        <v/>
      </c>
      <c r="C8" s="375" t="str">
        <f>IF(ISBLANK('Labor Rates'!E8),"",'Labor Rates'!E8)</f>
        <v/>
      </c>
      <c r="D8" s="432">
        <v>1920</v>
      </c>
      <c r="E8" s="385" t="e">
        <f>'Labor Rates'!#REF!</f>
        <v>#REF!</v>
      </c>
      <c r="F8" s="385" t="e">
        <f>D8*E8</f>
        <v>#REF!</v>
      </c>
      <c r="G8" s="414" t="e">
        <f>'Labor Rates'!#REF!</f>
        <v>#REF!</v>
      </c>
      <c r="H8" s="381" t="e">
        <f>F8*G8</f>
        <v>#REF!</v>
      </c>
      <c r="I8" s="415" t="e">
        <f>'Labor Rates'!#REF!</f>
        <v>#REF!</v>
      </c>
      <c r="J8" s="380" t="e">
        <f>(F8+H8)*I8</f>
        <v>#REF!</v>
      </c>
      <c r="K8" s="475" t="e">
        <f>F8+H8+J8</f>
        <v>#REF!</v>
      </c>
      <c r="L8" s="432">
        <v>1920</v>
      </c>
      <c r="M8" s="480" t="e">
        <f>'Labor Rates'!#REF!</f>
        <v>#REF!</v>
      </c>
      <c r="N8" s="385" t="e">
        <f>L8*M8</f>
        <v>#REF!</v>
      </c>
      <c r="O8" s="414" t="e">
        <f>'Labor Rates'!#REF!</f>
        <v>#REF!</v>
      </c>
      <c r="P8" s="381" t="e">
        <f>N8*O8</f>
        <v>#REF!</v>
      </c>
      <c r="Q8" s="415" t="e">
        <f>'Labor Rates'!#REF!</f>
        <v>#REF!</v>
      </c>
      <c r="R8" s="380" t="e">
        <f>(N8+P8)*Q8</f>
        <v>#REF!</v>
      </c>
      <c r="S8" s="366" t="e">
        <f t="shared" ref="S8:S38" si="0">ROUND(L8*M8*(1+O8)*(1+Q8),0)</f>
        <v>#REF!</v>
      </c>
      <c r="T8" s="357">
        <v>0</v>
      </c>
      <c r="U8" s="480" t="e">
        <f>'Labor Rates'!#REF!</f>
        <v>#REF!</v>
      </c>
      <c r="V8" s="385" t="e">
        <f>T8*U8</f>
        <v>#REF!</v>
      </c>
      <c r="W8" s="414" t="e">
        <f>'Labor Rates'!#REF!</f>
        <v>#REF!</v>
      </c>
      <c r="X8" s="381" t="e">
        <f>V8*W8</f>
        <v>#REF!</v>
      </c>
      <c r="Y8" s="415" t="e">
        <f>'Labor Rates'!#REF!</f>
        <v>#REF!</v>
      </c>
      <c r="Z8" s="380" t="e">
        <f>(V8+X8)*Y8</f>
        <v>#REF!</v>
      </c>
      <c r="AA8" s="366" t="e">
        <f t="shared" ref="AA8:AA38" si="1">ROUND(T8*U8*(1+W8)*(1+Y8),0)</f>
        <v>#REF!</v>
      </c>
      <c r="AB8" s="357"/>
      <c r="AC8" s="480" t="e">
        <f>'Labor Rates'!#REF!</f>
        <v>#REF!</v>
      </c>
      <c r="AD8" s="385" t="e">
        <f>AB8*AC8</f>
        <v>#REF!</v>
      </c>
      <c r="AE8" s="414" t="e">
        <f>'Labor Rates'!#REF!</f>
        <v>#REF!</v>
      </c>
      <c r="AF8" s="381" t="e">
        <f>AD8*AE8</f>
        <v>#REF!</v>
      </c>
      <c r="AG8" s="415" t="e">
        <f>'Labor Rates'!#REF!</f>
        <v>#REF!</v>
      </c>
      <c r="AH8" s="380" t="e">
        <f>(AD8+AF8)*AG8</f>
        <v>#REF!</v>
      </c>
      <c r="AI8" s="366" t="e">
        <f t="shared" ref="AI8:AI38" si="2">ROUND(AB8*AC8*(1+AE8)*(1+AG8),0)</f>
        <v>#REF!</v>
      </c>
      <c r="AJ8" s="357"/>
      <c r="AK8" s="480" t="e">
        <f>'Labor Rates'!#REF!</f>
        <v>#REF!</v>
      </c>
      <c r="AL8" s="385" t="e">
        <f>AJ8*AK8</f>
        <v>#REF!</v>
      </c>
      <c r="AM8" s="309" t="e">
        <f>'Labor Rates'!#REF!</f>
        <v>#REF!</v>
      </c>
      <c r="AN8" s="381" t="e">
        <f>AL8*AM8</f>
        <v>#REF!</v>
      </c>
      <c r="AO8" s="309" t="e">
        <f>'Labor Rates'!#REF!</f>
        <v>#REF!</v>
      </c>
      <c r="AP8" s="380" t="e">
        <f>(AL8+AN8)*AO8</f>
        <v>#REF!</v>
      </c>
      <c r="AQ8" s="366" t="e">
        <f t="shared" ref="AQ8:AQ38" si="3">ROUND(AJ8*AK8*(1+AM8)*(1+AO8),0)</f>
        <v>#REF!</v>
      </c>
      <c r="AR8" s="357"/>
      <c r="AS8" s="480" t="e">
        <f>'Labor Rates'!#REF!</f>
        <v>#REF!</v>
      </c>
      <c r="AT8" s="385" t="e">
        <f>AR8*AS8</f>
        <v>#REF!</v>
      </c>
      <c r="AU8" s="414" t="e">
        <f>'Labor Rates'!#REF!</f>
        <v>#REF!</v>
      </c>
      <c r="AV8" s="381" t="e">
        <f>AT8*AU8</f>
        <v>#REF!</v>
      </c>
      <c r="AW8" s="415" t="e">
        <f>'Labor Rates'!#REF!</f>
        <v>#REF!</v>
      </c>
      <c r="AX8" s="380" t="e">
        <f>(AT8+AV8)*AW8</f>
        <v>#REF!</v>
      </c>
      <c r="AY8" s="366" t="e">
        <f t="shared" ref="AY8:AY38" si="4">ROUND(AR8*AS8*(1+AU8)*(1+AW8),0)</f>
        <v>#REF!</v>
      </c>
      <c r="AZ8" s="476">
        <f t="shared" ref="AZ8:AZ38" si="5">D8+L8+T8+AB8+AJ8+AR8</f>
        <v>3840</v>
      </c>
      <c r="BA8" s="477" t="e">
        <f t="shared" ref="BA8:BA38" si="6">F8+N8+V8+AD8+AL8+AT8</f>
        <v>#REF!</v>
      </c>
      <c r="BB8" s="431" t="e">
        <f t="shared" ref="BB8:BB38" si="7">K8+S8+AA8+AI8+AQ8+AY8</f>
        <v>#REF!</v>
      </c>
    </row>
    <row r="9" spans="1:54" x14ac:dyDescent="0.25">
      <c r="A9" s="490"/>
      <c r="B9" s="375" t="str">
        <f>IF(ISBLANK('Labor Rates'!D9),"",'Labor Rates'!D9)</f>
        <v/>
      </c>
      <c r="C9" s="375" t="str">
        <f>IF(ISBLANK('Labor Rates'!E9),"",'Labor Rates'!E9)</f>
        <v/>
      </c>
      <c r="D9" s="432">
        <v>1920</v>
      </c>
      <c r="E9" s="385" t="e">
        <f>'Labor Rates'!#REF!</f>
        <v>#REF!</v>
      </c>
      <c r="F9" s="385" t="e">
        <f t="shared" ref="F9:F38" si="8">D9*E9</f>
        <v>#REF!</v>
      </c>
      <c r="G9" s="414" t="e">
        <f>'Labor Rates'!#REF!</f>
        <v>#REF!</v>
      </c>
      <c r="H9" s="381" t="e">
        <f t="shared" ref="H9:H38" si="9">F9*G9</f>
        <v>#REF!</v>
      </c>
      <c r="I9" s="415" t="e">
        <f>'Labor Rates'!#REF!</f>
        <v>#REF!</v>
      </c>
      <c r="J9" s="380" t="e">
        <f t="shared" ref="J9:J38" si="10">(F9+H9)*I9</f>
        <v>#REF!</v>
      </c>
      <c r="K9" s="475" t="e">
        <f t="shared" ref="K9:K38" si="11">F9+H9+J9</f>
        <v>#REF!</v>
      </c>
      <c r="L9" s="432">
        <v>1920</v>
      </c>
      <c r="M9" s="480" t="e">
        <f>'Labor Rates'!#REF!</f>
        <v>#REF!</v>
      </c>
      <c r="N9" s="385" t="e">
        <f t="shared" ref="N9:N38" si="12">L9*M9</f>
        <v>#REF!</v>
      </c>
      <c r="O9" s="414" t="e">
        <f>'Labor Rates'!#REF!</f>
        <v>#REF!</v>
      </c>
      <c r="P9" s="381" t="e">
        <f t="shared" ref="P9:P38" si="13">N9*O9</f>
        <v>#REF!</v>
      </c>
      <c r="Q9" s="415" t="e">
        <f>'Labor Rates'!#REF!</f>
        <v>#REF!</v>
      </c>
      <c r="R9" s="380" t="e">
        <f t="shared" ref="R9:R38" si="14">(N9+P9)*Q9</f>
        <v>#REF!</v>
      </c>
      <c r="S9" s="366" t="e">
        <f t="shared" si="0"/>
        <v>#REF!</v>
      </c>
      <c r="T9" s="357"/>
      <c r="U9" s="480" t="e">
        <f>'Labor Rates'!#REF!</f>
        <v>#REF!</v>
      </c>
      <c r="V9" s="385" t="e">
        <f t="shared" ref="V9:V38" si="15">T9*U9</f>
        <v>#REF!</v>
      </c>
      <c r="W9" s="414" t="e">
        <f>'Labor Rates'!#REF!</f>
        <v>#REF!</v>
      </c>
      <c r="X9" s="381" t="e">
        <f t="shared" ref="X9:X38" si="16">V9*W9</f>
        <v>#REF!</v>
      </c>
      <c r="Y9" s="415" t="e">
        <f>'Labor Rates'!#REF!</f>
        <v>#REF!</v>
      </c>
      <c r="Z9" s="380" t="e">
        <f t="shared" ref="Z9:Z38" si="17">(V9+X9)*Y9</f>
        <v>#REF!</v>
      </c>
      <c r="AA9" s="366" t="e">
        <f t="shared" si="1"/>
        <v>#REF!</v>
      </c>
      <c r="AB9" s="357"/>
      <c r="AC9" s="480" t="e">
        <f>'Labor Rates'!#REF!</f>
        <v>#REF!</v>
      </c>
      <c r="AD9" s="385" t="e">
        <f t="shared" ref="AD9:AD38" si="18">AB9*AC9</f>
        <v>#REF!</v>
      </c>
      <c r="AE9" s="414" t="e">
        <f>'Labor Rates'!#REF!</f>
        <v>#REF!</v>
      </c>
      <c r="AF9" s="381" t="e">
        <f t="shared" ref="AF9:AF38" si="19">AD9*AE9</f>
        <v>#REF!</v>
      </c>
      <c r="AG9" s="415" t="e">
        <f>'Labor Rates'!#REF!</f>
        <v>#REF!</v>
      </c>
      <c r="AH9" s="380" t="e">
        <f t="shared" ref="AH9:AH38" si="20">(AD9+AF9)*AG9</f>
        <v>#REF!</v>
      </c>
      <c r="AI9" s="366" t="e">
        <f t="shared" si="2"/>
        <v>#REF!</v>
      </c>
      <c r="AJ9" s="357"/>
      <c r="AK9" s="480" t="e">
        <f>'Labor Rates'!#REF!</f>
        <v>#REF!</v>
      </c>
      <c r="AL9" s="385" t="e">
        <f t="shared" ref="AL9:AL38" si="21">AJ9*AK9</f>
        <v>#REF!</v>
      </c>
      <c r="AM9" s="309" t="e">
        <f>'Labor Rates'!#REF!</f>
        <v>#REF!</v>
      </c>
      <c r="AN9" s="381" t="e">
        <f t="shared" ref="AN9:AN38" si="22">AL9*AM9</f>
        <v>#REF!</v>
      </c>
      <c r="AO9" s="309" t="e">
        <f>'Labor Rates'!#REF!</f>
        <v>#REF!</v>
      </c>
      <c r="AP9" s="380" t="e">
        <f t="shared" ref="AP9:AP38" si="23">(AL9+AN9)*AO9</f>
        <v>#REF!</v>
      </c>
      <c r="AQ9" s="366" t="e">
        <f t="shared" si="3"/>
        <v>#REF!</v>
      </c>
      <c r="AR9" s="357"/>
      <c r="AS9" s="480" t="e">
        <f>'Labor Rates'!#REF!</f>
        <v>#REF!</v>
      </c>
      <c r="AT9" s="385" t="e">
        <f t="shared" ref="AT9:AT38" si="24">AR9*AS9</f>
        <v>#REF!</v>
      </c>
      <c r="AU9" s="414" t="e">
        <f>'Labor Rates'!#REF!</f>
        <v>#REF!</v>
      </c>
      <c r="AV9" s="381" t="e">
        <f t="shared" ref="AV9:AV38" si="25">AT9*AU9</f>
        <v>#REF!</v>
      </c>
      <c r="AW9" s="415" t="e">
        <f>'Labor Rates'!#REF!</f>
        <v>#REF!</v>
      </c>
      <c r="AX9" s="380" t="e">
        <f t="shared" ref="AX9:AX38" si="26">(AT9+AV9)*AW9</f>
        <v>#REF!</v>
      </c>
      <c r="AY9" s="366" t="e">
        <f t="shared" si="4"/>
        <v>#REF!</v>
      </c>
      <c r="AZ9" s="476">
        <f t="shared" si="5"/>
        <v>3840</v>
      </c>
      <c r="BA9" s="477" t="e">
        <f t="shared" si="6"/>
        <v>#REF!</v>
      </c>
      <c r="BB9" s="431" t="e">
        <f t="shared" si="7"/>
        <v>#REF!</v>
      </c>
    </row>
    <row r="10" spans="1:54" x14ac:dyDescent="0.25">
      <c r="A10" s="490"/>
      <c r="B10" s="375" t="str">
        <f>IF(ISBLANK('Labor Rates'!D10),"",'Labor Rates'!D10)</f>
        <v/>
      </c>
      <c r="C10" s="375" t="str">
        <f>IF(ISBLANK('Labor Rates'!E10),"",'Labor Rates'!E10)</f>
        <v/>
      </c>
      <c r="D10" s="432">
        <v>1920</v>
      </c>
      <c r="E10" s="385" t="e">
        <f>'Labor Rates'!#REF!</f>
        <v>#REF!</v>
      </c>
      <c r="F10" s="385" t="e">
        <f t="shared" si="8"/>
        <v>#REF!</v>
      </c>
      <c r="G10" s="414" t="e">
        <f>'Labor Rates'!#REF!</f>
        <v>#REF!</v>
      </c>
      <c r="H10" s="381" t="e">
        <f t="shared" si="9"/>
        <v>#REF!</v>
      </c>
      <c r="I10" s="415" t="e">
        <f>'Labor Rates'!#REF!</f>
        <v>#REF!</v>
      </c>
      <c r="J10" s="380" t="e">
        <f t="shared" si="10"/>
        <v>#REF!</v>
      </c>
      <c r="K10" s="475" t="e">
        <f t="shared" si="11"/>
        <v>#REF!</v>
      </c>
      <c r="L10" s="432">
        <v>1920</v>
      </c>
      <c r="M10" s="480" t="e">
        <f>'Labor Rates'!#REF!</f>
        <v>#REF!</v>
      </c>
      <c r="N10" s="385" t="e">
        <f t="shared" si="12"/>
        <v>#REF!</v>
      </c>
      <c r="O10" s="414" t="e">
        <f>'Labor Rates'!#REF!</f>
        <v>#REF!</v>
      </c>
      <c r="P10" s="381" t="e">
        <f t="shared" si="13"/>
        <v>#REF!</v>
      </c>
      <c r="Q10" s="415" t="e">
        <f>'Labor Rates'!#REF!</f>
        <v>#REF!</v>
      </c>
      <c r="R10" s="380" t="e">
        <f t="shared" si="14"/>
        <v>#REF!</v>
      </c>
      <c r="S10" s="366" t="e">
        <f t="shared" si="0"/>
        <v>#REF!</v>
      </c>
      <c r="T10" s="357"/>
      <c r="U10" s="480" t="e">
        <f>'Labor Rates'!#REF!</f>
        <v>#REF!</v>
      </c>
      <c r="V10" s="385" t="e">
        <f t="shared" si="15"/>
        <v>#REF!</v>
      </c>
      <c r="W10" s="414" t="e">
        <f>'Labor Rates'!#REF!</f>
        <v>#REF!</v>
      </c>
      <c r="X10" s="381" t="e">
        <f t="shared" si="16"/>
        <v>#REF!</v>
      </c>
      <c r="Y10" s="415" t="e">
        <f>'Labor Rates'!#REF!</f>
        <v>#REF!</v>
      </c>
      <c r="Z10" s="380" t="e">
        <f t="shared" si="17"/>
        <v>#REF!</v>
      </c>
      <c r="AA10" s="366" t="e">
        <f t="shared" si="1"/>
        <v>#REF!</v>
      </c>
      <c r="AB10" s="357"/>
      <c r="AC10" s="480" t="e">
        <f>'Labor Rates'!#REF!</f>
        <v>#REF!</v>
      </c>
      <c r="AD10" s="385" t="e">
        <f t="shared" si="18"/>
        <v>#REF!</v>
      </c>
      <c r="AE10" s="414" t="e">
        <f>'Labor Rates'!#REF!</f>
        <v>#REF!</v>
      </c>
      <c r="AF10" s="381" t="e">
        <f t="shared" si="19"/>
        <v>#REF!</v>
      </c>
      <c r="AG10" s="415" t="e">
        <f>'Labor Rates'!#REF!</f>
        <v>#REF!</v>
      </c>
      <c r="AH10" s="380" t="e">
        <f t="shared" si="20"/>
        <v>#REF!</v>
      </c>
      <c r="AI10" s="366" t="e">
        <f t="shared" si="2"/>
        <v>#REF!</v>
      </c>
      <c r="AJ10" s="357"/>
      <c r="AK10" s="480" t="e">
        <f>'Labor Rates'!#REF!</f>
        <v>#REF!</v>
      </c>
      <c r="AL10" s="385" t="e">
        <f t="shared" si="21"/>
        <v>#REF!</v>
      </c>
      <c r="AM10" s="309" t="e">
        <f>'Labor Rates'!#REF!</f>
        <v>#REF!</v>
      </c>
      <c r="AN10" s="381" t="e">
        <f t="shared" si="22"/>
        <v>#REF!</v>
      </c>
      <c r="AO10" s="309" t="e">
        <f>'Labor Rates'!#REF!</f>
        <v>#REF!</v>
      </c>
      <c r="AP10" s="380" t="e">
        <f t="shared" si="23"/>
        <v>#REF!</v>
      </c>
      <c r="AQ10" s="366" t="e">
        <f t="shared" si="3"/>
        <v>#REF!</v>
      </c>
      <c r="AR10" s="357"/>
      <c r="AS10" s="480" t="e">
        <f>'Labor Rates'!#REF!</f>
        <v>#REF!</v>
      </c>
      <c r="AT10" s="385" t="e">
        <f t="shared" si="24"/>
        <v>#REF!</v>
      </c>
      <c r="AU10" s="414" t="e">
        <f>'Labor Rates'!#REF!</f>
        <v>#REF!</v>
      </c>
      <c r="AV10" s="381" t="e">
        <f t="shared" si="25"/>
        <v>#REF!</v>
      </c>
      <c r="AW10" s="415" t="e">
        <f>'Labor Rates'!#REF!</f>
        <v>#REF!</v>
      </c>
      <c r="AX10" s="380" t="e">
        <f t="shared" si="26"/>
        <v>#REF!</v>
      </c>
      <c r="AY10" s="366" t="e">
        <f t="shared" si="4"/>
        <v>#REF!</v>
      </c>
      <c r="AZ10" s="476">
        <f t="shared" si="5"/>
        <v>3840</v>
      </c>
      <c r="BA10" s="477" t="e">
        <f t="shared" si="6"/>
        <v>#REF!</v>
      </c>
      <c r="BB10" s="431" t="e">
        <f t="shared" si="7"/>
        <v>#REF!</v>
      </c>
    </row>
    <row r="11" spans="1:54" x14ac:dyDescent="0.25">
      <c r="A11" s="490"/>
      <c r="B11" s="375" t="str">
        <f>IF(ISBLANK('Labor Rates'!D11),"",'Labor Rates'!D11)</f>
        <v/>
      </c>
      <c r="C11" s="375" t="str">
        <f>IF(ISBLANK('Labor Rates'!E11),"",'Labor Rates'!E11)</f>
        <v/>
      </c>
      <c r="D11" s="432">
        <v>1920</v>
      </c>
      <c r="E11" s="385" t="e">
        <f>'Labor Rates'!#REF!</f>
        <v>#REF!</v>
      </c>
      <c r="F11" s="385" t="e">
        <f t="shared" si="8"/>
        <v>#REF!</v>
      </c>
      <c r="G11" s="414" t="e">
        <f>'Labor Rates'!#REF!</f>
        <v>#REF!</v>
      </c>
      <c r="H11" s="381" t="e">
        <f t="shared" si="9"/>
        <v>#REF!</v>
      </c>
      <c r="I11" s="415" t="e">
        <f>'Labor Rates'!#REF!</f>
        <v>#REF!</v>
      </c>
      <c r="J11" s="380" t="e">
        <f t="shared" si="10"/>
        <v>#REF!</v>
      </c>
      <c r="K11" s="475" t="e">
        <f t="shared" si="11"/>
        <v>#REF!</v>
      </c>
      <c r="L11" s="432">
        <v>1920</v>
      </c>
      <c r="M11" s="480" t="e">
        <f>'Labor Rates'!#REF!</f>
        <v>#REF!</v>
      </c>
      <c r="N11" s="385" t="e">
        <f t="shared" si="12"/>
        <v>#REF!</v>
      </c>
      <c r="O11" s="414" t="e">
        <f>'Labor Rates'!#REF!</f>
        <v>#REF!</v>
      </c>
      <c r="P11" s="381" t="e">
        <f t="shared" si="13"/>
        <v>#REF!</v>
      </c>
      <c r="Q11" s="415" t="e">
        <f>'Labor Rates'!#REF!</f>
        <v>#REF!</v>
      </c>
      <c r="R11" s="380" t="e">
        <f t="shared" si="14"/>
        <v>#REF!</v>
      </c>
      <c r="S11" s="366" t="e">
        <f t="shared" si="0"/>
        <v>#REF!</v>
      </c>
      <c r="T11" s="357"/>
      <c r="U11" s="480" t="e">
        <f>'Labor Rates'!#REF!</f>
        <v>#REF!</v>
      </c>
      <c r="V11" s="385" t="e">
        <f t="shared" si="15"/>
        <v>#REF!</v>
      </c>
      <c r="W11" s="414" t="e">
        <f>'Labor Rates'!#REF!</f>
        <v>#REF!</v>
      </c>
      <c r="X11" s="381" t="e">
        <f t="shared" si="16"/>
        <v>#REF!</v>
      </c>
      <c r="Y11" s="415" t="e">
        <f>'Labor Rates'!#REF!</f>
        <v>#REF!</v>
      </c>
      <c r="Z11" s="380" t="e">
        <f t="shared" si="17"/>
        <v>#REF!</v>
      </c>
      <c r="AA11" s="366" t="e">
        <f t="shared" si="1"/>
        <v>#REF!</v>
      </c>
      <c r="AB11" s="357"/>
      <c r="AC11" s="480" t="e">
        <f>'Labor Rates'!#REF!</f>
        <v>#REF!</v>
      </c>
      <c r="AD11" s="385" t="e">
        <f t="shared" si="18"/>
        <v>#REF!</v>
      </c>
      <c r="AE11" s="414" t="e">
        <f>'Labor Rates'!#REF!</f>
        <v>#REF!</v>
      </c>
      <c r="AF11" s="381" t="e">
        <f t="shared" si="19"/>
        <v>#REF!</v>
      </c>
      <c r="AG11" s="415" t="e">
        <f>'Labor Rates'!#REF!</f>
        <v>#REF!</v>
      </c>
      <c r="AH11" s="380" t="e">
        <f t="shared" si="20"/>
        <v>#REF!</v>
      </c>
      <c r="AI11" s="366" t="e">
        <f t="shared" si="2"/>
        <v>#REF!</v>
      </c>
      <c r="AJ11" s="357"/>
      <c r="AK11" s="480" t="e">
        <f>'Labor Rates'!#REF!</f>
        <v>#REF!</v>
      </c>
      <c r="AL11" s="385" t="e">
        <f t="shared" si="21"/>
        <v>#REF!</v>
      </c>
      <c r="AM11" s="309" t="e">
        <f>'Labor Rates'!#REF!</f>
        <v>#REF!</v>
      </c>
      <c r="AN11" s="381" t="e">
        <f t="shared" si="22"/>
        <v>#REF!</v>
      </c>
      <c r="AO11" s="309" t="e">
        <f>'Labor Rates'!#REF!</f>
        <v>#REF!</v>
      </c>
      <c r="AP11" s="380" t="e">
        <f t="shared" si="23"/>
        <v>#REF!</v>
      </c>
      <c r="AQ11" s="366" t="e">
        <f t="shared" si="3"/>
        <v>#REF!</v>
      </c>
      <c r="AR11" s="357"/>
      <c r="AS11" s="480" t="e">
        <f>'Labor Rates'!#REF!</f>
        <v>#REF!</v>
      </c>
      <c r="AT11" s="385" t="e">
        <f t="shared" si="24"/>
        <v>#REF!</v>
      </c>
      <c r="AU11" s="414" t="e">
        <f>'Labor Rates'!#REF!</f>
        <v>#REF!</v>
      </c>
      <c r="AV11" s="381" t="e">
        <f t="shared" si="25"/>
        <v>#REF!</v>
      </c>
      <c r="AW11" s="415" t="e">
        <f>'Labor Rates'!#REF!</f>
        <v>#REF!</v>
      </c>
      <c r="AX11" s="380" t="e">
        <f t="shared" si="26"/>
        <v>#REF!</v>
      </c>
      <c r="AY11" s="366" t="e">
        <f t="shared" si="4"/>
        <v>#REF!</v>
      </c>
      <c r="AZ11" s="476">
        <f t="shared" si="5"/>
        <v>3840</v>
      </c>
      <c r="BA11" s="477" t="e">
        <f t="shared" si="6"/>
        <v>#REF!</v>
      </c>
      <c r="BB11" s="431" t="e">
        <f t="shared" si="7"/>
        <v>#REF!</v>
      </c>
    </row>
    <row r="12" spans="1:54" x14ac:dyDescent="0.25">
      <c r="A12" s="490"/>
      <c r="B12" s="375" t="str">
        <f>IF(ISBLANK('Labor Rates'!D12),"",'Labor Rates'!D12)</f>
        <v/>
      </c>
      <c r="C12" s="375" t="str">
        <f>IF(ISBLANK('Labor Rates'!E12),"",'Labor Rates'!E12)</f>
        <v/>
      </c>
      <c r="D12" s="432">
        <v>1920</v>
      </c>
      <c r="E12" s="385" t="e">
        <f>'Labor Rates'!#REF!</f>
        <v>#REF!</v>
      </c>
      <c r="F12" s="385" t="e">
        <f t="shared" si="8"/>
        <v>#REF!</v>
      </c>
      <c r="G12" s="414" t="e">
        <f>'Labor Rates'!#REF!</f>
        <v>#REF!</v>
      </c>
      <c r="H12" s="381" t="e">
        <f t="shared" si="9"/>
        <v>#REF!</v>
      </c>
      <c r="I12" s="415" t="e">
        <f>'Labor Rates'!#REF!</f>
        <v>#REF!</v>
      </c>
      <c r="J12" s="380" t="e">
        <f t="shared" si="10"/>
        <v>#REF!</v>
      </c>
      <c r="K12" s="475" t="e">
        <f t="shared" si="11"/>
        <v>#REF!</v>
      </c>
      <c r="L12" s="432">
        <v>1920</v>
      </c>
      <c r="M12" s="480" t="e">
        <f>'Labor Rates'!#REF!</f>
        <v>#REF!</v>
      </c>
      <c r="N12" s="385" t="e">
        <f t="shared" si="12"/>
        <v>#REF!</v>
      </c>
      <c r="O12" s="414" t="e">
        <f>'Labor Rates'!#REF!</f>
        <v>#REF!</v>
      </c>
      <c r="P12" s="381" t="e">
        <f t="shared" si="13"/>
        <v>#REF!</v>
      </c>
      <c r="Q12" s="415" t="e">
        <f>'Labor Rates'!#REF!</f>
        <v>#REF!</v>
      </c>
      <c r="R12" s="380" t="e">
        <f t="shared" si="14"/>
        <v>#REF!</v>
      </c>
      <c r="S12" s="366" t="e">
        <f t="shared" si="0"/>
        <v>#REF!</v>
      </c>
      <c r="T12" s="357"/>
      <c r="U12" s="480" t="e">
        <f>'Labor Rates'!#REF!</f>
        <v>#REF!</v>
      </c>
      <c r="V12" s="385" t="e">
        <f t="shared" si="15"/>
        <v>#REF!</v>
      </c>
      <c r="W12" s="414" t="e">
        <f>'Labor Rates'!#REF!</f>
        <v>#REF!</v>
      </c>
      <c r="X12" s="381" t="e">
        <f t="shared" si="16"/>
        <v>#REF!</v>
      </c>
      <c r="Y12" s="415" t="e">
        <f>'Labor Rates'!#REF!</f>
        <v>#REF!</v>
      </c>
      <c r="Z12" s="380" t="e">
        <f t="shared" si="17"/>
        <v>#REF!</v>
      </c>
      <c r="AA12" s="366" t="e">
        <f t="shared" si="1"/>
        <v>#REF!</v>
      </c>
      <c r="AB12" s="357"/>
      <c r="AC12" s="480" t="e">
        <f>'Labor Rates'!#REF!</f>
        <v>#REF!</v>
      </c>
      <c r="AD12" s="385" t="e">
        <f t="shared" si="18"/>
        <v>#REF!</v>
      </c>
      <c r="AE12" s="414" t="e">
        <f>'Labor Rates'!#REF!</f>
        <v>#REF!</v>
      </c>
      <c r="AF12" s="381" t="e">
        <f t="shared" si="19"/>
        <v>#REF!</v>
      </c>
      <c r="AG12" s="415" t="e">
        <f>'Labor Rates'!#REF!</f>
        <v>#REF!</v>
      </c>
      <c r="AH12" s="380" t="e">
        <f t="shared" si="20"/>
        <v>#REF!</v>
      </c>
      <c r="AI12" s="366" t="e">
        <f t="shared" si="2"/>
        <v>#REF!</v>
      </c>
      <c r="AJ12" s="357"/>
      <c r="AK12" s="480" t="e">
        <f>'Labor Rates'!#REF!</f>
        <v>#REF!</v>
      </c>
      <c r="AL12" s="385" t="e">
        <f t="shared" si="21"/>
        <v>#REF!</v>
      </c>
      <c r="AM12" s="309" t="e">
        <f>'Labor Rates'!#REF!</f>
        <v>#REF!</v>
      </c>
      <c r="AN12" s="381" t="e">
        <f t="shared" si="22"/>
        <v>#REF!</v>
      </c>
      <c r="AO12" s="309" t="e">
        <f>'Labor Rates'!#REF!</f>
        <v>#REF!</v>
      </c>
      <c r="AP12" s="380" t="e">
        <f t="shared" si="23"/>
        <v>#REF!</v>
      </c>
      <c r="AQ12" s="366" t="e">
        <f t="shared" si="3"/>
        <v>#REF!</v>
      </c>
      <c r="AR12" s="357"/>
      <c r="AS12" s="480" t="e">
        <f>'Labor Rates'!#REF!</f>
        <v>#REF!</v>
      </c>
      <c r="AT12" s="385" t="e">
        <f t="shared" si="24"/>
        <v>#REF!</v>
      </c>
      <c r="AU12" s="414" t="e">
        <f>'Labor Rates'!#REF!</f>
        <v>#REF!</v>
      </c>
      <c r="AV12" s="381" t="e">
        <f t="shared" si="25"/>
        <v>#REF!</v>
      </c>
      <c r="AW12" s="415" t="e">
        <f>'Labor Rates'!#REF!</f>
        <v>#REF!</v>
      </c>
      <c r="AX12" s="380" t="e">
        <f t="shared" si="26"/>
        <v>#REF!</v>
      </c>
      <c r="AY12" s="366" t="e">
        <f t="shared" si="4"/>
        <v>#REF!</v>
      </c>
      <c r="AZ12" s="476">
        <f t="shared" si="5"/>
        <v>3840</v>
      </c>
      <c r="BA12" s="477" t="e">
        <f t="shared" si="6"/>
        <v>#REF!</v>
      </c>
      <c r="BB12" s="431" t="e">
        <f t="shared" si="7"/>
        <v>#REF!</v>
      </c>
    </row>
    <row r="13" spans="1:54" x14ac:dyDescent="0.25">
      <c r="A13" s="490"/>
      <c r="B13" s="375"/>
      <c r="C13" s="375"/>
      <c r="D13" s="432"/>
      <c r="E13" s="385"/>
      <c r="F13" s="385"/>
      <c r="G13" s="414"/>
      <c r="H13" s="381"/>
      <c r="I13" s="415"/>
      <c r="J13" s="380"/>
      <c r="K13" s="475"/>
      <c r="L13" s="432"/>
      <c r="M13" s="480"/>
      <c r="N13" s="385"/>
      <c r="O13" s="414"/>
      <c r="P13" s="381"/>
      <c r="Q13" s="415"/>
      <c r="R13" s="380"/>
      <c r="S13" s="366"/>
      <c r="T13" s="357"/>
      <c r="U13" s="480"/>
      <c r="V13" s="385"/>
      <c r="W13" s="414"/>
      <c r="X13" s="381"/>
      <c r="Y13" s="415"/>
      <c r="Z13" s="380"/>
      <c r="AA13" s="366"/>
      <c r="AB13" s="357"/>
      <c r="AC13" s="480"/>
      <c r="AD13" s="385"/>
      <c r="AE13" s="414"/>
      <c r="AF13" s="381"/>
      <c r="AG13" s="415"/>
      <c r="AH13" s="380"/>
      <c r="AI13" s="366"/>
      <c r="AJ13" s="357"/>
      <c r="AK13" s="480"/>
      <c r="AL13" s="385"/>
      <c r="AM13" s="309"/>
      <c r="AN13" s="381"/>
      <c r="AO13" s="309"/>
      <c r="AP13" s="380"/>
      <c r="AQ13" s="366"/>
      <c r="AR13" s="357"/>
      <c r="AS13" s="480"/>
      <c r="AT13" s="385"/>
      <c r="AU13" s="414"/>
      <c r="AV13" s="381"/>
      <c r="AW13" s="415"/>
      <c r="AX13" s="380"/>
      <c r="AY13" s="366"/>
      <c r="AZ13" s="476"/>
      <c r="BA13" s="477"/>
      <c r="BB13" s="431"/>
    </row>
    <row r="14" spans="1:54" x14ac:dyDescent="0.25">
      <c r="A14" s="490"/>
      <c r="B14" s="375"/>
      <c r="C14" s="375"/>
      <c r="D14" s="432"/>
      <c r="E14" s="385"/>
      <c r="F14" s="385"/>
      <c r="G14" s="414"/>
      <c r="H14" s="381"/>
      <c r="I14" s="415"/>
      <c r="J14" s="380"/>
      <c r="K14" s="475"/>
      <c r="L14" s="432"/>
      <c r="M14" s="480"/>
      <c r="N14" s="385"/>
      <c r="O14" s="414"/>
      <c r="P14" s="381"/>
      <c r="Q14" s="415"/>
      <c r="R14" s="380"/>
      <c r="S14" s="366"/>
      <c r="T14" s="357"/>
      <c r="U14" s="480"/>
      <c r="V14" s="385"/>
      <c r="W14" s="414"/>
      <c r="X14" s="381"/>
      <c r="Y14" s="415"/>
      <c r="Z14" s="380"/>
      <c r="AA14" s="366"/>
      <c r="AB14" s="357"/>
      <c r="AC14" s="480"/>
      <c r="AD14" s="385"/>
      <c r="AE14" s="414"/>
      <c r="AF14" s="381"/>
      <c r="AG14" s="415"/>
      <c r="AH14" s="380"/>
      <c r="AI14" s="366"/>
      <c r="AJ14" s="357"/>
      <c r="AK14" s="480"/>
      <c r="AL14" s="385"/>
      <c r="AM14" s="309"/>
      <c r="AN14" s="381"/>
      <c r="AO14" s="309"/>
      <c r="AP14" s="380"/>
      <c r="AQ14" s="366"/>
      <c r="AR14" s="357"/>
      <c r="AS14" s="480"/>
      <c r="AT14" s="385"/>
      <c r="AU14" s="414"/>
      <c r="AV14" s="381"/>
      <c r="AW14" s="415"/>
      <c r="AX14" s="380"/>
      <c r="AY14" s="366"/>
      <c r="AZ14" s="476"/>
      <c r="BA14" s="477"/>
      <c r="BB14" s="431"/>
    </row>
    <row r="15" spans="1:54" x14ac:dyDescent="0.25">
      <c r="A15" s="490"/>
      <c r="B15" s="375"/>
      <c r="C15" s="375"/>
      <c r="D15" s="432"/>
      <c r="E15" s="385"/>
      <c r="F15" s="385"/>
      <c r="G15" s="414"/>
      <c r="H15" s="381"/>
      <c r="I15" s="415"/>
      <c r="J15" s="380"/>
      <c r="K15" s="475"/>
      <c r="L15" s="432"/>
      <c r="M15" s="480"/>
      <c r="N15" s="385"/>
      <c r="O15" s="414"/>
      <c r="P15" s="381"/>
      <c r="Q15" s="415"/>
      <c r="R15" s="380"/>
      <c r="S15" s="366"/>
      <c r="T15" s="357"/>
      <c r="U15" s="480"/>
      <c r="V15" s="385"/>
      <c r="W15" s="414"/>
      <c r="X15" s="381"/>
      <c r="Y15" s="415"/>
      <c r="Z15" s="380"/>
      <c r="AA15" s="366"/>
      <c r="AB15" s="357"/>
      <c r="AC15" s="480"/>
      <c r="AD15" s="385"/>
      <c r="AE15" s="414"/>
      <c r="AF15" s="381"/>
      <c r="AG15" s="415"/>
      <c r="AH15" s="380"/>
      <c r="AI15" s="366"/>
      <c r="AJ15" s="357"/>
      <c r="AK15" s="480"/>
      <c r="AL15" s="385"/>
      <c r="AM15" s="309"/>
      <c r="AN15" s="381"/>
      <c r="AO15" s="309"/>
      <c r="AP15" s="380"/>
      <c r="AQ15" s="366"/>
      <c r="AR15" s="357"/>
      <c r="AS15" s="480"/>
      <c r="AT15" s="385"/>
      <c r="AU15" s="414"/>
      <c r="AV15" s="381"/>
      <c r="AW15" s="415"/>
      <c r="AX15" s="380"/>
      <c r="AY15" s="366"/>
      <c r="AZ15" s="476"/>
      <c r="BA15" s="477"/>
      <c r="BB15" s="431"/>
    </row>
    <row r="16" spans="1:54" x14ac:dyDescent="0.25">
      <c r="A16" s="490" t="s">
        <v>440</v>
      </c>
      <c r="B16" s="375" t="str">
        <f>IF(ISBLANK('Labor Rates'!D13),"",'Labor Rates'!D13)</f>
        <v/>
      </c>
      <c r="C16" s="375" t="str">
        <f>IF(ISBLANK('Labor Rates'!E13),"",'Labor Rates'!E13)</f>
        <v/>
      </c>
      <c r="D16" s="432">
        <v>1920</v>
      </c>
      <c r="E16" s="385" t="e">
        <f>'Labor Rates'!#REF!</f>
        <v>#REF!</v>
      </c>
      <c r="F16" s="385" t="e">
        <f t="shared" si="8"/>
        <v>#REF!</v>
      </c>
      <c r="G16" s="414" t="e">
        <f>'Labor Rates'!#REF!</f>
        <v>#REF!</v>
      </c>
      <c r="H16" s="381" t="e">
        <f t="shared" si="9"/>
        <v>#REF!</v>
      </c>
      <c r="I16" s="415" t="e">
        <f>'Labor Rates'!#REF!</f>
        <v>#REF!</v>
      </c>
      <c r="J16" s="380" t="e">
        <f t="shared" si="10"/>
        <v>#REF!</v>
      </c>
      <c r="K16" s="475" t="e">
        <f t="shared" si="11"/>
        <v>#REF!</v>
      </c>
      <c r="L16" s="432">
        <v>1920</v>
      </c>
      <c r="M16" s="480" t="e">
        <f>'Labor Rates'!#REF!</f>
        <v>#REF!</v>
      </c>
      <c r="N16" s="385" t="e">
        <f t="shared" si="12"/>
        <v>#REF!</v>
      </c>
      <c r="O16" s="414" t="e">
        <f>'Labor Rates'!#REF!</f>
        <v>#REF!</v>
      </c>
      <c r="P16" s="381" t="e">
        <f t="shared" si="13"/>
        <v>#REF!</v>
      </c>
      <c r="Q16" s="415" t="e">
        <f>'Labor Rates'!#REF!</f>
        <v>#REF!</v>
      </c>
      <c r="R16" s="380" t="e">
        <f t="shared" si="14"/>
        <v>#REF!</v>
      </c>
      <c r="S16" s="366" t="e">
        <f t="shared" si="0"/>
        <v>#REF!</v>
      </c>
      <c r="T16" s="357">
        <v>1920</v>
      </c>
      <c r="U16" s="480" t="e">
        <f>'Labor Rates'!#REF!</f>
        <v>#REF!</v>
      </c>
      <c r="V16" s="385" t="e">
        <f t="shared" si="15"/>
        <v>#REF!</v>
      </c>
      <c r="W16" s="414" t="e">
        <f>'Labor Rates'!#REF!</f>
        <v>#REF!</v>
      </c>
      <c r="X16" s="381" t="e">
        <f t="shared" si="16"/>
        <v>#REF!</v>
      </c>
      <c r="Y16" s="415" t="e">
        <f>'Labor Rates'!#REF!</f>
        <v>#REF!</v>
      </c>
      <c r="Z16" s="380" t="e">
        <f t="shared" si="17"/>
        <v>#REF!</v>
      </c>
      <c r="AA16" s="366" t="e">
        <f t="shared" si="1"/>
        <v>#REF!</v>
      </c>
      <c r="AB16" s="357">
        <v>1920</v>
      </c>
      <c r="AC16" s="480" t="e">
        <f>'Labor Rates'!#REF!</f>
        <v>#REF!</v>
      </c>
      <c r="AD16" s="385" t="e">
        <f t="shared" si="18"/>
        <v>#REF!</v>
      </c>
      <c r="AE16" s="414" t="e">
        <f>'Labor Rates'!#REF!</f>
        <v>#REF!</v>
      </c>
      <c r="AF16" s="381" t="e">
        <f t="shared" si="19"/>
        <v>#REF!</v>
      </c>
      <c r="AG16" s="415" t="e">
        <f>'Labor Rates'!#REF!</f>
        <v>#REF!</v>
      </c>
      <c r="AH16" s="380" t="e">
        <f t="shared" si="20"/>
        <v>#REF!</v>
      </c>
      <c r="AI16" s="366" t="e">
        <f t="shared" si="2"/>
        <v>#REF!</v>
      </c>
      <c r="AJ16" s="357">
        <v>1920</v>
      </c>
      <c r="AK16" s="480" t="e">
        <f>'Labor Rates'!#REF!</f>
        <v>#REF!</v>
      </c>
      <c r="AL16" s="385" t="e">
        <f t="shared" si="21"/>
        <v>#REF!</v>
      </c>
      <c r="AM16" s="309" t="e">
        <f>'Labor Rates'!#REF!</f>
        <v>#REF!</v>
      </c>
      <c r="AN16" s="381" t="e">
        <f t="shared" si="22"/>
        <v>#REF!</v>
      </c>
      <c r="AO16" s="309" t="e">
        <f>'Labor Rates'!#REF!</f>
        <v>#REF!</v>
      </c>
      <c r="AP16" s="380" t="e">
        <f t="shared" si="23"/>
        <v>#REF!</v>
      </c>
      <c r="AQ16" s="366" t="e">
        <f t="shared" si="3"/>
        <v>#REF!</v>
      </c>
      <c r="AR16" s="357">
        <v>1920</v>
      </c>
      <c r="AS16" s="480" t="e">
        <f>'Labor Rates'!#REF!</f>
        <v>#REF!</v>
      </c>
      <c r="AT16" s="385" t="e">
        <f t="shared" si="24"/>
        <v>#REF!</v>
      </c>
      <c r="AU16" s="414" t="e">
        <f>'Labor Rates'!#REF!</f>
        <v>#REF!</v>
      </c>
      <c r="AV16" s="381" t="e">
        <f t="shared" si="25"/>
        <v>#REF!</v>
      </c>
      <c r="AW16" s="415" t="e">
        <f>'Labor Rates'!#REF!</f>
        <v>#REF!</v>
      </c>
      <c r="AX16" s="380" t="e">
        <f t="shared" si="26"/>
        <v>#REF!</v>
      </c>
      <c r="AY16" s="366" t="e">
        <f t="shared" si="4"/>
        <v>#REF!</v>
      </c>
      <c r="AZ16" s="476">
        <f t="shared" si="5"/>
        <v>11520</v>
      </c>
      <c r="BA16" s="477" t="e">
        <f t="shared" si="6"/>
        <v>#REF!</v>
      </c>
      <c r="BB16" s="431" t="e">
        <f t="shared" si="7"/>
        <v>#REF!</v>
      </c>
    </row>
    <row r="17" spans="1:54" x14ac:dyDescent="0.25">
      <c r="A17" s="490"/>
      <c r="B17" s="375" t="str">
        <f>IF(ISBLANK('Labor Rates'!D14),"",'Labor Rates'!D14)</f>
        <v/>
      </c>
      <c r="C17" s="375" t="str">
        <f>IF(ISBLANK('Labor Rates'!E14),"",'Labor Rates'!E14)</f>
        <v/>
      </c>
      <c r="D17" s="432">
        <v>1920</v>
      </c>
      <c r="E17" s="385" t="e">
        <f>'Labor Rates'!#REF!</f>
        <v>#REF!</v>
      </c>
      <c r="F17" s="385" t="e">
        <f t="shared" si="8"/>
        <v>#REF!</v>
      </c>
      <c r="G17" s="414" t="e">
        <f>'Labor Rates'!#REF!</f>
        <v>#REF!</v>
      </c>
      <c r="H17" s="381" t="e">
        <f t="shared" si="9"/>
        <v>#REF!</v>
      </c>
      <c r="I17" s="415" t="e">
        <f>'Labor Rates'!#REF!</f>
        <v>#REF!</v>
      </c>
      <c r="J17" s="380" t="e">
        <f t="shared" si="10"/>
        <v>#REF!</v>
      </c>
      <c r="K17" s="475" t="e">
        <f t="shared" si="11"/>
        <v>#REF!</v>
      </c>
      <c r="L17" s="432">
        <v>1920</v>
      </c>
      <c r="M17" s="480" t="e">
        <f>'Labor Rates'!#REF!</f>
        <v>#REF!</v>
      </c>
      <c r="N17" s="385" t="e">
        <f t="shared" si="12"/>
        <v>#REF!</v>
      </c>
      <c r="O17" s="414" t="e">
        <f>'Labor Rates'!#REF!</f>
        <v>#REF!</v>
      </c>
      <c r="P17" s="381" t="e">
        <f t="shared" si="13"/>
        <v>#REF!</v>
      </c>
      <c r="Q17" s="415" t="e">
        <f>'Labor Rates'!#REF!</f>
        <v>#REF!</v>
      </c>
      <c r="R17" s="380" t="e">
        <f t="shared" si="14"/>
        <v>#REF!</v>
      </c>
      <c r="S17" s="366" t="e">
        <f t="shared" si="0"/>
        <v>#REF!</v>
      </c>
      <c r="T17" s="357">
        <v>1920</v>
      </c>
      <c r="U17" s="480" t="e">
        <f>'Labor Rates'!#REF!</f>
        <v>#REF!</v>
      </c>
      <c r="V17" s="385" t="e">
        <f t="shared" si="15"/>
        <v>#REF!</v>
      </c>
      <c r="W17" s="414" t="e">
        <f>'Labor Rates'!#REF!</f>
        <v>#REF!</v>
      </c>
      <c r="X17" s="381" t="e">
        <f t="shared" si="16"/>
        <v>#REF!</v>
      </c>
      <c r="Y17" s="415" t="e">
        <f>'Labor Rates'!#REF!</f>
        <v>#REF!</v>
      </c>
      <c r="Z17" s="380" t="e">
        <f t="shared" si="17"/>
        <v>#REF!</v>
      </c>
      <c r="AA17" s="366" t="e">
        <f t="shared" si="1"/>
        <v>#REF!</v>
      </c>
      <c r="AB17" s="357">
        <v>1920</v>
      </c>
      <c r="AC17" s="480" t="e">
        <f>'Labor Rates'!#REF!</f>
        <v>#REF!</v>
      </c>
      <c r="AD17" s="385" t="e">
        <f t="shared" si="18"/>
        <v>#REF!</v>
      </c>
      <c r="AE17" s="414" t="e">
        <f>'Labor Rates'!#REF!</f>
        <v>#REF!</v>
      </c>
      <c r="AF17" s="381" t="e">
        <f t="shared" si="19"/>
        <v>#REF!</v>
      </c>
      <c r="AG17" s="415" t="e">
        <f>'Labor Rates'!#REF!</f>
        <v>#REF!</v>
      </c>
      <c r="AH17" s="380" t="e">
        <f t="shared" si="20"/>
        <v>#REF!</v>
      </c>
      <c r="AI17" s="366" t="e">
        <f t="shared" si="2"/>
        <v>#REF!</v>
      </c>
      <c r="AJ17" s="357">
        <v>1920</v>
      </c>
      <c r="AK17" s="480" t="e">
        <f>'Labor Rates'!#REF!</f>
        <v>#REF!</v>
      </c>
      <c r="AL17" s="385" t="e">
        <f t="shared" si="21"/>
        <v>#REF!</v>
      </c>
      <c r="AM17" s="309" t="e">
        <f>'Labor Rates'!#REF!</f>
        <v>#REF!</v>
      </c>
      <c r="AN17" s="381" t="e">
        <f t="shared" si="22"/>
        <v>#REF!</v>
      </c>
      <c r="AO17" s="309" t="e">
        <f>'Labor Rates'!#REF!</f>
        <v>#REF!</v>
      </c>
      <c r="AP17" s="380" t="e">
        <f t="shared" si="23"/>
        <v>#REF!</v>
      </c>
      <c r="AQ17" s="366" t="e">
        <f t="shared" si="3"/>
        <v>#REF!</v>
      </c>
      <c r="AR17" s="357">
        <v>1920</v>
      </c>
      <c r="AS17" s="480" t="e">
        <f>'Labor Rates'!#REF!</f>
        <v>#REF!</v>
      </c>
      <c r="AT17" s="385" t="e">
        <f t="shared" si="24"/>
        <v>#REF!</v>
      </c>
      <c r="AU17" s="414" t="e">
        <f>'Labor Rates'!#REF!</f>
        <v>#REF!</v>
      </c>
      <c r="AV17" s="381" t="e">
        <f t="shared" si="25"/>
        <v>#REF!</v>
      </c>
      <c r="AW17" s="415" t="e">
        <f>'Labor Rates'!#REF!</f>
        <v>#REF!</v>
      </c>
      <c r="AX17" s="380" t="e">
        <f t="shared" si="26"/>
        <v>#REF!</v>
      </c>
      <c r="AY17" s="366" t="e">
        <f t="shared" si="4"/>
        <v>#REF!</v>
      </c>
      <c r="AZ17" s="476">
        <f t="shared" si="5"/>
        <v>11520</v>
      </c>
      <c r="BA17" s="477" t="e">
        <f t="shared" si="6"/>
        <v>#REF!</v>
      </c>
      <c r="BB17" s="431" t="e">
        <f t="shared" si="7"/>
        <v>#REF!</v>
      </c>
    </row>
    <row r="18" spans="1:54" x14ac:dyDescent="0.25">
      <c r="A18" s="490"/>
      <c r="B18" s="375" t="str">
        <f>IF(ISBLANK('Labor Rates'!D15),"",'Labor Rates'!D15)</f>
        <v/>
      </c>
      <c r="C18" s="375" t="str">
        <f>IF(ISBLANK('Labor Rates'!E15),"",'Labor Rates'!E15)</f>
        <v/>
      </c>
      <c r="D18" s="432">
        <v>1920</v>
      </c>
      <c r="E18" s="385" t="e">
        <f>'Labor Rates'!#REF!</f>
        <v>#REF!</v>
      </c>
      <c r="F18" s="385" t="e">
        <f t="shared" si="8"/>
        <v>#REF!</v>
      </c>
      <c r="G18" s="414" t="e">
        <f>'Labor Rates'!#REF!</f>
        <v>#REF!</v>
      </c>
      <c r="H18" s="381" t="e">
        <f t="shared" si="9"/>
        <v>#REF!</v>
      </c>
      <c r="I18" s="415" t="e">
        <f>'Labor Rates'!#REF!</f>
        <v>#REF!</v>
      </c>
      <c r="J18" s="380" t="e">
        <f t="shared" si="10"/>
        <v>#REF!</v>
      </c>
      <c r="K18" s="475" t="e">
        <f t="shared" si="11"/>
        <v>#REF!</v>
      </c>
      <c r="L18" s="432">
        <v>1920</v>
      </c>
      <c r="M18" s="480" t="e">
        <f>'Labor Rates'!#REF!</f>
        <v>#REF!</v>
      </c>
      <c r="N18" s="385" t="e">
        <f t="shared" si="12"/>
        <v>#REF!</v>
      </c>
      <c r="O18" s="414" t="e">
        <f>'Labor Rates'!#REF!</f>
        <v>#REF!</v>
      </c>
      <c r="P18" s="381" t="e">
        <f t="shared" si="13"/>
        <v>#REF!</v>
      </c>
      <c r="Q18" s="415" t="e">
        <f>'Labor Rates'!#REF!</f>
        <v>#REF!</v>
      </c>
      <c r="R18" s="380" t="e">
        <f t="shared" si="14"/>
        <v>#REF!</v>
      </c>
      <c r="S18" s="366" t="e">
        <f t="shared" si="0"/>
        <v>#REF!</v>
      </c>
      <c r="T18" s="357">
        <v>1920</v>
      </c>
      <c r="U18" s="480" t="e">
        <f>'Labor Rates'!#REF!</f>
        <v>#REF!</v>
      </c>
      <c r="V18" s="385" t="e">
        <f t="shared" si="15"/>
        <v>#REF!</v>
      </c>
      <c r="W18" s="414" t="e">
        <f>'Labor Rates'!#REF!</f>
        <v>#REF!</v>
      </c>
      <c r="X18" s="381" t="e">
        <f t="shared" si="16"/>
        <v>#REF!</v>
      </c>
      <c r="Y18" s="415" t="e">
        <f>'Labor Rates'!#REF!</f>
        <v>#REF!</v>
      </c>
      <c r="Z18" s="380" t="e">
        <f t="shared" si="17"/>
        <v>#REF!</v>
      </c>
      <c r="AA18" s="366" t="e">
        <f t="shared" si="1"/>
        <v>#REF!</v>
      </c>
      <c r="AB18" s="357">
        <v>1920</v>
      </c>
      <c r="AC18" s="480" t="e">
        <f>'Labor Rates'!#REF!</f>
        <v>#REF!</v>
      </c>
      <c r="AD18" s="385" t="e">
        <f t="shared" si="18"/>
        <v>#REF!</v>
      </c>
      <c r="AE18" s="414" t="e">
        <f>'Labor Rates'!#REF!</f>
        <v>#REF!</v>
      </c>
      <c r="AF18" s="381" t="e">
        <f t="shared" si="19"/>
        <v>#REF!</v>
      </c>
      <c r="AG18" s="415" t="e">
        <f>'Labor Rates'!#REF!</f>
        <v>#REF!</v>
      </c>
      <c r="AH18" s="380" t="e">
        <f t="shared" si="20"/>
        <v>#REF!</v>
      </c>
      <c r="AI18" s="366" t="e">
        <f t="shared" si="2"/>
        <v>#REF!</v>
      </c>
      <c r="AJ18" s="357">
        <v>1920</v>
      </c>
      <c r="AK18" s="480" t="e">
        <f>'Labor Rates'!#REF!</f>
        <v>#REF!</v>
      </c>
      <c r="AL18" s="385" t="e">
        <f t="shared" si="21"/>
        <v>#REF!</v>
      </c>
      <c r="AM18" s="309" t="e">
        <f>'Labor Rates'!#REF!</f>
        <v>#REF!</v>
      </c>
      <c r="AN18" s="381" t="e">
        <f t="shared" si="22"/>
        <v>#REF!</v>
      </c>
      <c r="AO18" s="309" t="e">
        <f>'Labor Rates'!#REF!</f>
        <v>#REF!</v>
      </c>
      <c r="AP18" s="380" t="e">
        <f t="shared" si="23"/>
        <v>#REF!</v>
      </c>
      <c r="AQ18" s="366" t="e">
        <f t="shared" si="3"/>
        <v>#REF!</v>
      </c>
      <c r="AR18" s="357">
        <v>1920</v>
      </c>
      <c r="AS18" s="480" t="e">
        <f>'Labor Rates'!#REF!</f>
        <v>#REF!</v>
      </c>
      <c r="AT18" s="385" t="e">
        <f t="shared" si="24"/>
        <v>#REF!</v>
      </c>
      <c r="AU18" s="414" t="e">
        <f>'Labor Rates'!#REF!</f>
        <v>#REF!</v>
      </c>
      <c r="AV18" s="381" t="e">
        <f t="shared" si="25"/>
        <v>#REF!</v>
      </c>
      <c r="AW18" s="415" t="e">
        <f>'Labor Rates'!#REF!</f>
        <v>#REF!</v>
      </c>
      <c r="AX18" s="380" t="e">
        <f t="shared" si="26"/>
        <v>#REF!</v>
      </c>
      <c r="AY18" s="366" t="e">
        <f t="shared" si="4"/>
        <v>#REF!</v>
      </c>
      <c r="AZ18" s="476">
        <f t="shared" si="5"/>
        <v>11520</v>
      </c>
      <c r="BA18" s="477" t="e">
        <f t="shared" si="6"/>
        <v>#REF!</v>
      </c>
      <c r="BB18" s="431" t="e">
        <f t="shared" si="7"/>
        <v>#REF!</v>
      </c>
    </row>
    <row r="19" spans="1:54" x14ac:dyDescent="0.25">
      <c r="A19" s="490"/>
      <c r="B19" s="375" t="str">
        <f>IF(ISBLANK('Labor Rates'!D16),"",'Labor Rates'!D16)</f>
        <v/>
      </c>
      <c r="C19" s="375" t="str">
        <f>IF(ISBLANK('Labor Rates'!E16),"",'Labor Rates'!E16)</f>
        <v/>
      </c>
      <c r="D19" s="432">
        <v>1920</v>
      </c>
      <c r="E19" s="385" t="e">
        <f>'Labor Rates'!#REF!</f>
        <v>#REF!</v>
      </c>
      <c r="F19" s="385" t="e">
        <f t="shared" si="8"/>
        <v>#REF!</v>
      </c>
      <c r="G19" s="414" t="e">
        <f>'Labor Rates'!#REF!</f>
        <v>#REF!</v>
      </c>
      <c r="H19" s="381" t="e">
        <f t="shared" si="9"/>
        <v>#REF!</v>
      </c>
      <c r="I19" s="415" t="e">
        <f>'Labor Rates'!#REF!</f>
        <v>#REF!</v>
      </c>
      <c r="J19" s="380" t="e">
        <f t="shared" si="10"/>
        <v>#REF!</v>
      </c>
      <c r="K19" s="475" t="e">
        <f t="shared" si="11"/>
        <v>#REF!</v>
      </c>
      <c r="L19" s="432">
        <v>1920</v>
      </c>
      <c r="M19" s="480" t="e">
        <f>'Labor Rates'!#REF!</f>
        <v>#REF!</v>
      </c>
      <c r="N19" s="385" t="e">
        <f t="shared" si="12"/>
        <v>#REF!</v>
      </c>
      <c r="O19" s="414" t="e">
        <f>'Labor Rates'!#REF!</f>
        <v>#REF!</v>
      </c>
      <c r="P19" s="381" t="e">
        <f t="shared" si="13"/>
        <v>#REF!</v>
      </c>
      <c r="Q19" s="415" t="e">
        <f>'Labor Rates'!#REF!</f>
        <v>#REF!</v>
      </c>
      <c r="R19" s="380" t="e">
        <f t="shared" si="14"/>
        <v>#REF!</v>
      </c>
      <c r="S19" s="366" t="e">
        <f t="shared" si="0"/>
        <v>#REF!</v>
      </c>
      <c r="T19" s="357">
        <v>1920</v>
      </c>
      <c r="U19" s="480" t="e">
        <f>'Labor Rates'!#REF!</f>
        <v>#REF!</v>
      </c>
      <c r="V19" s="385" t="e">
        <f t="shared" si="15"/>
        <v>#REF!</v>
      </c>
      <c r="W19" s="414" t="e">
        <f>'Labor Rates'!#REF!</f>
        <v>#REF!</v>
      </c>
      <c r="X19" s="381" t="e">
        <f t="shared" si="16"/>
        <v>#REF!</v>
      </c>
      <c r="Y19" s="415" t="e">
        <f>'Labor Rates'!#REF!</f>
        <v>#REF!</v>
      </c>
      <c r="Z19" s="380" t="e">
        <f t="shared" si="17"/>
        <v>#REF!</v>
      </c>
      <c r="AA19" s="366" t="e">
        <f t="shared" si="1"/>
        <v>#REF!</v>
      </c>
      <c r="AB19" s="357">
        <v>1920</v>
      </c>
      <c r="AC19" s="480" t="e">
        <f>'Labor Rates'!#REF!</f>
        <v>#REF!</v>
      </c>
      <c r="AD19" s="385" t="e">
        <f t="shared" si="18"/>
        <v>#REF!</v>
      </c>
      <c r="AE19" s="414" t="e">
        <f>'Labor Rates'!#REF!</f>
        <v>#REF!</v>
      </c>
      <c r="AF19" s="381" t="e">
        <f t="shared" si="19"/>
        <v>#REF!</v>
      </c>
      <c r="AG19" s="415" t="e">
        <f>'Labor Rates'!#REF!</f>
        <v>#REF!</v>
      </c>
      <c r="AH19" s="380" t="e">
        <f t="shared" si="20"/>
        <v>#REF!</v>
      </c>
      <c r="AI19" s="366" t="e">
        <f t="shared" si="2"/>
        <v>#REF!</v>
      </c>
      <c r="AJ19" s="357">
        <v>1920</v>
      </c>
      <c r="AK19" s="480" t="e">
        <f>'Labor Rates'!#REF!</f>
        <v>#REF!</v>
      </c>
      <c r="AL19" s="385" t="e">
        <f t="shared" si="21"/>
        <v>#REF!</v>
      </c>
      <c r="AM19" s="309" t="e">
        <f>'Labor Rates'!#REF!</f>
        <v>#REF!</v>
      </c>
      <c r="AN19" s="381" t="e">
        <f t="shared" si="22"/>
        <v>#REF!</v>
      </c>
      <c r="AO19" s="309" t="e">
        <f>'Labor Rates'!#REF!</f>
        <v>#REF!</v>
      </c>
      <c r="AP19" s="380" t="e">
        <f t="shared" si="23"/>
        <v>#REF!</v>
      </c>
      <c r="AQ19" s="366" t="e">
        <f t="shared" si="3"/>
        <v>#REF!</v>
      </c>
      <c r="AR19" s="357">
        <v>1920</v>
      </c>
      <c r="AS19" s="480" t="e">
        <f>'Labor Rates'!#REF!</f>
        <v>#REF!</v>
      </c>
      <c r="AT19" s="385" t="e">
        <f t="shared" si="24"/>
        <v>#REF!</v>
      </c>
      <c r="AU19" s="414" t="e">
        <f>'Labor Rates'!#REF!</f>
        <v>#REF!</v>
      </c>
      <c r="AV19" s="381" t="e">
        <f t="shared" si="25"/>
        <v>#REF!</v>
      </c>
      <c r="AW19" s="415" t="e">
        <f>'Labor Rates'!#REF!</f>
        <v>#REF!</v>
      </c>
      <c r="AX19" s="380" t="e">
        <f t="shared" si="26"/>
        <v>#REF!</v>
      </c>
      <c r="AY19" s="366" t="e">
        <f t="shared" si="4"/>
        <v>#REF!</v>
      </c>
      <c r="AZ19" s="476">
        <f t="shared" si="5"/>
        <v>11520</v>
      </c>
      <c r="BA19" s="477" t="e">
        <f t="shared" si="6"/>
        <v>#REF!</v>
      </c>
      <c r="BB19" s="431" t="e">
        <f t="shared" si="7"/>
        <v>#REF!</v>
      </c>
    </row>
    <row r="20" spans="1:54" x14ac:dyDescent="0.25">
      <c r="A20" s="490"/>
      <c r="B20" s="375" t="str">
        <f>IF(ISBLANK('Labor Rates'!D17),"",'Labor Rates'!D17)</f>
        <v/>
      </c>
      <c r="C20" s="375" t="str">
        <f>IF(ISBLANK('Labor Rates'!E17),"",'Labor Rates'!E17)</f>
        <v/>
      </c>
      <c r="D20" s="432">
        <v>1920</v>
      </c>
      <c r="E20" s="385" t="e">
        <f>'Labor Rates'!#REF!</f>
        <v>#REF!</v>
      </c>
      <c r="F20" s="385" t="e">
        <f t="shared" si="8"/>
        <v>#REF!</v>
      </c>
      <c r="G20" s="414" t="e">
        <f>'Labor Rates'!#REF!</f>
        <v>#REF!</v>
      </c>
      <c r="H20" s="381" t="e">
        <f t="shared" si="9"/>
        <v>#REF!</v>
      </c>
      <c r="I20" s="415" t="e">
        <f>'Labor Rates'!#REF!</f>
        <v>#REF!</v>
      </c>
      <c r="J20" s="380" t="e">
        <f t="shared" si="10"/>
        <v>#REF!</v>
      </c>
      <c r="K20" s="475" t="e">
        <f t="shared" si="11"/>
        <v>#REF!</v>
      </c>
      <c r="L20" s="432">
        <v>1920</v>
      </c>
      <c r="M20" s="480" t="e">
        <f>'Labor Rates'!#REF!</f>
        <v>#REF!</v>
      </c>
      <c r="N20" s="385" t="e">
        <f t="shared" si="12"/>
        <v>#REF!</v>
      </c>
      <c r="O20" s="414" t="e">
        <f>'Labor Rates'!#REF!</f>
        <v>#REF!</v>
      </c>
      <c r="P20" s="381" t="e">
        <f t="shared" si="13"/>
        <v>#REF!</v>
      </c>
      <c r="Q20" s="415" t="e">
        <f>'Labor Rates'!#REF!</f>
        <v>#REF!</v>
      </c>
      <c r="R20" s="380" t="e">
        <f t="shared" si="14"/>
        <v>#REF!</v>
      </c>
      <c r="S20" s="366" t="e">
        <f t="shared" si="0"/>
        <v>#REF!</v>
      </c>
      <c r="T20" s="357">
        <v>1920</v>
      </c>
      <c r="U20" s="480" t="e">
        <f>'Labor Rates'!#REF!</f>
        <v>#REF!</v>
      </c>
      <c r="V20" s="385" t="e">
        <f t="shared" si="15"/>
        <v>#REF!</v>
      </c>
      <c r="W20" s="414" t="e">
        <f>'Labor Rates'!#REF!</f>
        <v>#REF!</v>
      </c>
      <c r="X20" s="381" t="e">
        <f t="shared" si="16"/>
        <v>#REF!</v>
      </c>
      <c r="Y20" s="415" t="e">
        <f>'Labor Rates'!#REF!</f>
        <v>#REF!</v>
      </c>
      <c r="Z20" s="380" t="e">
        <f t="shared" si="17"/>
        <v>#REF!</v>
      </c>
      <c r="AA20" s="366" t="e">
        <f t="shared" si="1"/>
        <v>#REF!</v>
      </c>
      <c r="AB20" s="357">
        <v>1920</v>
      </c>
      <c r="AC20" s="480" t="e">
        <f>'Labor Rates'!#REF!</f>
        <v>#REF!</v>
      </c>
      <c r="AD20" s="385" t="e">
        <f t="shared" si="18"/>
        <v>#REF!</v>
      </c>
      <c r="AE20" s="414" t="e">
        <f>'Labor Rates'!#REF!</f>
        <v>#REF!</v>
      </c>
      <c r="AF20" s="381" t="e">
        <f t="shared" si="19"/>
        <v>#REF!</v>
      </c>
      <c r="AG20" s="415" t="e">
        <f>'Labor Rates'!#REF!</f>
        <v>#REF!</v>
      </c>
      <c r="AH20" s="380" t="e">
        <f t="shared" si="20"/>
        <v>#REF!</v>
      </c>
      <c r="AI20" s="366" t="e">
        <f t="shared" si="2"/>
        <v>#REF!</v>
      </c>
      <c r="AJ20" s="357">
        <v>1920</v>
      </c>
      <c r="AK20" s="480" t="e">
        <f>'Labor Rates'!#REF!</f>
        <v>#REF!</v>
      </c>
      <c r="AL20" s="385" t="e">
        <f t="shared" si="21"/>
        <v>#REF!</v>
      </c>
      <c r="AM20" s="309" t="e">
        <f>'Labor Rates'!#REF!</f>
        <v>#REF!</v>
      </c>
      <c r="AN20" s="381" t="e">
        <f t="shared" si="22"/>
        <v>#REF!</v>
      </c>
      <c r="AO20" s="309" t="e">
        <f>'Labor Rates'!#REF!</f>
        <v>#REF!</v>
      </c>
      <c r="AP20" s="380" t="e">
        <f t="shared" si="23"/>
        <v>#REF!</v>
      </c>
      <c r="AQ20" s="366" t="e">
        <f t="shared" si="3"/>
        <v>#REF!</v>
      </c>
      <c r="AR20" s="357">
        <v>1920</v>
      </c>
      <c r="AS20" s="480" t="e">
        <f>'Labor Rates'!#REF!</f>
        <v>#REF!</v>
      </c>
      <c r="AT20" s="385" t="e">
        <f t="shared" si="24"/>
        <v>#REF!</v>
      </c>
      <c r="AU20" s="414" t="e">
        <f>'Labor Rates'!#REF!</f>
        <v>#REF!</v>
      </c>
      <c r="AV20" s="381" t="e">
        <f t="shared" si="25"/>
        <v>#REF!</v>
      </c>
      <c r="AW20" s="415" t="e">
        <f>'Labor Rates'!#REF!</f>
        <v>#REF!</v>
      </c>
      <c r="AX20" s="380" t="e">
        <f t="shared" si="26"/>
        <v>#REF!</v>
      </c>
      <c r="AY20" s="366" t="e">
        <f t="shared" si="4"/>
        <v>#REF!</v>
      </c>
      <c r="AZ20" s="476">
        <f t="shared" si="5"/>
        <v>11520</v>
      </c>
      <c r="BA20" s="477" t="e">
        <f t="shared" si="6"/>
        <v>#REF!</v>
      </c>
      <c r="BB20" s="431" t="e">
        <f t="shared" si="7"/>
        <v>#REF!</v>
      </c>
    </row>
    <row r="21" spans="1:54" x14ac:dyDescent="0.25">
      <c r="A21" s="490"/>
      <c r="B21" s="375" t="str">
        <f>IF(ISBLANK('Labor Rates'!D18),"",'Labor Rates'!D18)</f>
        <v/>
      </c>
      <c r="C21" s="375" t="str">
        <f>IF(ISBLANK('Labor Rates'!E18),"",'Labor Rates'!E18)</f>
        <v/>
      </c>
      <c r="D21" s="432">
        <v>1920</v>
      </c>
      <c r="E21" s="385" t="e">
        <f>'Labor Rates'!#REF!</f>
        <v>#REF!</v>
      </c>
      <c r="F21" s="385" t="e">
        <f t="shared" si="8"/>
        <v>#REF!</v>
      </c>
      <c r="G21" s="414" t="e">
        <f>'Labor Rates'!#REF!</f>
        <v>#REF!</v>
      </c>
      <c r="H21" s="381" t="e">
        <f t="shared" si="9"/>
        <v>#REF!</v>
      </c>
      <c r="I21" s="415" t="e">
        <f>'Labor Rates'!#REF!</f>
        <v>#REF!</v>
      </c>
      <c r="J21" s="380" t="e">
        <f t="shared" si="10"/>
        <v>#REF!</v>
      </c>
      <c r="K21" s="475" t="e">
        <f t="shared" si="11"/>
        <v>#REF!</v>
      </c>
      <c r="L21" s="432">
        <v>1920</v>
      </c>
      <c r="M21" s="480" t="e">
        <f>'Labor Rates'!#REF!</f>
        <v>#REF!</v>
      </c>
      <c r="N21" s="385" t="e">
        <f t="shared" si="12"/>
        <v>#REF!</v>
      </c>
      <c r="O21" s="414" t="e">
        <f>'Labor Rates'!#REF!</f>
        <v>#REF!</v>
      </c>
      <c r="P21" s="381" t="e">
        <f t="shared" si="13"/>
        <v>#REF!</v>
      </c>
      <c r="Q21" s="415" t="e">
        <f>'Labor Rates'!#REF!</f>
        <v>#REF!</v>
      </c>
      <c r="R21" s="380" t="e">
        <f t="shared" si="14"/>
        <v>#REF!</v>
      </c>
      <c r="S21" s="366" t="e">
        <f t="shared" si="0"/>
        <v>#REF!</v>
      </c>
      <c r="T21" s="357">
        <v>1920</v>
      </c>
      <c r="U21" s="480" t="e">
        <f>'Labor Rates'!#REF!</f>
        <v>#REF!</v>
      </c>
      <c r="V21" s="385" t="e">
        <f t="shared" si="15"/>
        <v>#REF!</v>
      </c>
      <c r="W21" s="414" t="e">
        <f>'Labor Rates'!#REF!</f>
        <v>#REF!</v>
      </c>
      <c r="X21" s="381" t="e">
        <f t="shared" si="16"/>
        <v>#REF!</v>
      </c>
      <c r="Y21" s="415" t="e">
        <f>'Labor Rates'!#REF!</f>
        <v>#REF!</v>
      </c>
      <c r="Z21" s="380" t="e">
        <f t="shared" si="17"/>
        <v>#REF!</v>
      </c>
      <c r="AA21" s="366" t="e">
        <f t="shared" si="1"/>
        <v>#REF!</v>
      </c>
      <c r="AB21" s="357">
        <v>1920</v>
      </c>
      <c r="AC21" s="480" t="e">
        <f>'Labor Rates'!#REF!</f>
        <v>#REF!</v>
      </c>
      <c r="AD21" s="385" t="e">
        <f t="shared" si="18"/>
        <v>#REF!</v>
      </c>
      <c r="AE21" s="414" t="e">
        <f>'Labor Rates'!#REF!</f>
        <v>#REF!</v>
      </c>
      <c r="AF21" s="381" t="e">
        <f t="shared" si="19"/>
        <v>#REF!</v>
      </c>
      <c r="AG21" s="415" t="e">
        <f>'Labor Rates'!#REF!</f>
        <v>#REF!</v>
      </c>
      <c r="AH21" s="380" t="e">
        <f t="shared" si="20"/>
        <v>#REF!</v>
      </c>
      <c r="AI21" s="366" t="e">
        <f t="shared" si="2"/>
        <v>#REF!</v>
      </c>
      <c r="AJ21" s="357">
        <v>1920</v>
      </c>
      <c r="AK21" s="480" t="e">
        <f>'Labor Rates'!#REF!</f>
        <v>#REF!</v>
      </c>
      <c r="AL21" s="385" t="e">
        <f t="shared" si="21"/>
        <v>#REF!</v>
      </c>
      <c r="AM21" s="309" t="e">
        <f>'Labor Rates'!#REF!</f>
        <v>#REF!</v>
      </c>
      <c r="AN21" s="381" t="e">
        <f t="shared" si="22"/>
        <v>#REF!</v>
      </c>
      <c r="AO21" s="309" t="e">
        <f>'Labor Rates'!#REF!</f>
        <v>#REF!</v>
      </c>
      <c r="AP21" s="380" t="e">
        <f t="shared" si="23"/>
        <v>#REF!</v>
      </c>
      <c r="AQ21" s="366" t="e">
        <f t="shared" si="3"/>
        <v>#REF!</v>
      </c>
      <c r="AR21" s="357">
        <v>1920</v>
      </c>
      <c r="AS21" s="480" t="e">
        <f>'Labor Rates'!#REF!</f>
        <v>#REF!</v>
      </c>
      <c r="AT21" s="385" t="e">
        <f t="shared" si="24"/>
        <v>#REF!</v>
      </c>
      <c r="AU21" s="414" t="e">
        <f>'Labor Rates'!#REF!</f>
        <v>#REF!</v>
      </c>
      <c r="AV21" s="381" t="e">
        <f t="shared" si="25"/>
        <v>#REF!</v>
      </c>
      <c r="AW21" s="415" t="e">
        <f>'Labor Rates'!#REF!</f>
        <v>#REF!</v>
      </c>
      <c r="AX21" s="380" t="e">
        <f t="shared" si="26"/>
        <v>#REF!</v>
      </c>
      <c r="AY21" s="366" t="e">
        <f t="shared" si="4"/>
        <v>#REF!</v>
      </c>
      <c r="AZ21" s="476">
        <f t="shared" si="5"/>
        <v>11520</v>
      </c>
      <c r="BA21" s="477" t="e">
        <f t="shared" si="6"/>
        <v>#REF!</v>
      </c>
      <c r="BB21" s="431" t="e">
        <f t="shared" si="7"/>
        <v>#REF!</v>
      </c>
    </row>
    <row r="22" spans="1:54" x14ac:dyDescent="0.25">
      <c r="A22" s="490"/>
      <c r="B22" s="375" t="str">
        <f>IF(ISBLANK('Labor Rates'!D19),"",'Labor Rates'!D19)</f>
        <v/>
      </c>
      <c r="C22" s="375" t="str">
        <f>IF(ISBLANK('Labor Rates'!E19),"",'Labor Rates'!E19)</f>
        <v/>
      </c>
      <c r="D22" s="432">
        <v>1920</v>
      </c>
      <c r="E22" s="385" t="e">
        <f>'Labor Rates'!#REF!</f>
        <v>#REF!</v>
      </c>
      <c r="F22" s="385" t="e">
        <f t="shared" si="8"/>
        <v>#REF!</v>
      </c>
      <c r="G22" s="414" t="e">
        <f>'Labor Rates'!#REF!</f>
        <v>#REF!</v>
      </c>
      <c r="H22" s="381" t="e">
        <f t="shared" si="9"/>
        <v>#REF!</v>
      </c>
      <c r="I22" s="415" t="e">
        <f>'Labor Rates'!#REF!</f>
        <v>#REF!</v>
      </c>
      <c r="J22" s="380" t="e">
        <f t="shared" si="10"/>
        <v>#REF!</v>
      </c>
      <c r="K22" s="475" t="e">
        <f t="shared" si="11"/>
        <v>#REF!</v>
      </c>
      <c r="L22" s="432">
        <v>1920</v>
      </c>
      <c r="M22" s="480" t="e">
        <f>'Labor Rates'!#REF!</f>
        <v>#REF!</v>
      </c>
      <c r="N22" s="385" t="e">
        <f t="shared" si="12"/>
        <v>#REF!</v>
      </c>
      <c r="O22" s="414" t="e">
        <f>'Labor Rates'!#REF!</f>
        <v>#REF!</v>
      </c>
      <c r="P22" s="381" t="e">
        <f t="shared" si="13"/>
        <v>#REF!</v>
      </c>
      <c r="Q22" s="415" t="e">
        <f>'Labor Rates'!#REF!</f>
        <v>#REF!</v>
      </c>
      <c r="R22" s="380" t="e">
        <f t="shared" si="14"/>
        <v>#REF!</v>
      </c>
      <c r="S22" s="366" t="e">
        <f t="shared" si="0"/>
        <v>#REF!</v>
      </c>
      <c r="T22" s="357">
        <v>1920</v>
      </c>
      <c r="U22" s="480" t="e">
        <f>'Labor Rates'!#REF!</f>
        <v>#REF!</v>
      </c>
      <c r="V22" s="385" t="e">
        <f t="shared" si="15"/>
        <v>#REF!</v>
      </c>
      <c r="W22" s="414" t="e">
        <f>'Labor Rates'!#REF!</f>
        <v>#REF!</v>
      </c>
      <c r="X22" s="381" t="e">
        <f t="shared" si="16"/>
        <v>#REF!</v>
      </c>
      <c r="Y22" s="415" t="e">
        <f>'Labor Rates'!#REF!</f>
        <v>#REF!</v>
      </c>
      <c r="Z22" s="380" t="e">
        <f t="shared" si="17"/>
        <v>#REF!</v>
      </c>
      <c r="AA22" s="366" t="e">
        <f t="shared" si="1"/>
        <v>#REF!</v>
      </c>
      <c r="AB22" s="357">
        <v>1920</v>
      </c>
      <c r="AC22" s="480" t="e">
        <f>'Labor Rates'!#REF!</f>
        <v>#REF!</v>
      </c>
      <c r="AD22" s="385" t="e">
        <f t="shared" si="18"/>
        <v>#REF!</v>
      </c>
      <c r="AE22" s="414" t="e">
        <f>'Labor Rates'!#REF!</f>
        <v>#REF!</v>
      </c>
      <c r="AF22" s="381" t="e">
        <f t="shared" si="19"/>
        <v>#REF!</v>
      </c>
      <c r="AG22" s="415" t="e">
        <f>'Labor Rates'!#REF!</f>
        <v>#REF!</v>
      </c>
      <c r="AH22" s="380" t="e">
        <f t="shared" si="20"/>
        <v>#REF!</v>
      </c>
      <c r="AI22" s="366" t="e">
        <f t="shared" si="2"/>
        <v>#REF!</v>
      </c>
      <c r="AJ22" s="357">
        <v>1920</v>
      </c>
      <c r="AK22" s="480" t="e">
        <f>'Labor Rates'!#REF!</f>
        <v>#REF!</v>
      </c>
      <c r="AL22" s="385" t="e">
        <f t="shared" si="21"/>
        <v>#REF!</v>
      </c>
      <c r="AM22" s="309" t="e">
        <f>'Labor Rates'!#REF!</f>
        <v>#REF!</v>
      </c>
      <c r="AN22" s="381" t="e">
        <f t="shared" si="22"/>
        <v>#REF!</v>
      </c>
      <c r="AO22" s="309" t="e">
        <f>'Labor Rates'!#REF!</f>
        <v>#REF!</v>
      </c>
      <c r="AP22" s="380" t="e">
        <f t="shared" si="23"/>
        <v>#REF!</v>
      </c>
      <c r="AQ22" s="366" t="e">
        <f t="shared" si="3"/>
        <v>#REF!</v>
      </c>
      <c r="AR22" s="357">
        <v>1920</v>
      </c>
      <c r="AS22" s="480" t="e">
        <f>'Labor Rates'!#REF!</f>
        <v>#REF!</v>
      </c>
      <c r="AT22" s="385" t="e">
        <f t="shared" si="24"/>
        <v>#REF!</v>
      </c>
      <c r="AU22" s="414" t="e">
        <f>'Labor Rates'!#REF!</f>
        <v>#REF!</v>
      </c>
      <c r="AV22" s="381" t="e">
        <f t="shared" si="25"/>
        <v>#REF!</v>
      </c>
      <c r="AW22" s="415" t="e">
        <f>'Labor Rates'!#REF!</f>
        <v>#REF!</v>
      </c>
      <c r="AX22" s="380" t="e">
        <f t="shared" si="26"/>
        <v>#REF!</v>
      </c>
      <c r="AY22" s="366" t="e">
        <f t="shared" si="4"/>
        <v>#REF!</v>
      </c>
      <c r="AZ22" s="476">
        <f t="shared" si="5"/>
        <v>11520</v>
      </c>
      <c r="BA22" s="477" t="e">
        <f t="shared" si="6"/>
        <v>#REF!</v>
      </c>
      <c r="BB22" s="431" t="e">
        <f t="shared" si="7"/>
        <v>#REF!</v>
      </c>
    </row>
    <row r="23" spans="1:54" x14ac:dyDescent="0.25">
      <c r="A23" s="490"/>
      <c r="B23" s="375" t="str">
        <f>IF(ISBLANK('Labor Rates'!D20),"",'Labor Rates'!D20)</f>
        <v/>
      </c>
      <c r="C23" s="375" t="str">
        <f>IF(ISBLANK('Labor Rates'!E20),"",'Labor Rates'!E20)</f>
        <v/>
      </c>
      <c r="D23" s="432">
        <v>1920</v>
      </c>
      <c r="E23" s="385" t="e">
        <f>'Labor Rates'!#REF!</f>
        <v>#REF!</v>
      </c>
      <c r="F23" s="385" t="e">
        <f t="shared" si="8"/>
        <v>#REF!</v>
      </c>
      <c r="G23" s="414" t="e">
        <f>'Labor Rates'!#REF!</f>
        <v>#REF!</v>
      </c>
      <c r="H23" s="381" t="e">
        <f t="shared" si="9"/>
        <v>#REF!</v>
      </c>
      <c r="I23" s="415" t="e">
        <f>'Labor Rates'!#REF!</f>
        <v>#REF!</v>
      </c>
      <c r="J23" s="380" t="e">
        <f t="shared" si="10"/>
        <v>#REF!</v>
      </c>
      <c r="K23" s="475" t="e">
        <f t="shared" si="11"/>
        <v>#REF!</v>
      </c>
      <c r="L23" s="432">
        <v>1920</v>
      </c>
      <c r="M23" s="480" t="e">
        <f>'Labor Rates'!#REF!</f>
        <v>#REF!</v>
      </c>
      <c r="N23" s="385" t="e">
        <f t="shared" si="12"/>
        <v>#REF!</v>
      </c>
      <c r="O23" s="414" t="e">
        <f>'Labor Rates'!#REF!</f>
        <v>#REF!</v>
      </c>
      <c r="P23" s="381" t="e">
        <f t="shared" si="13"/>
        <v>#REF!</v>
      </c>
      <c r="Q23" s="415" t="e">
        <f>'Labor Rates'!#REF!</f>
        <v>#REF!</v>
      </c>
      <c r="R23" s="380" t="e">
        <f t="shared" si="14"/>
        <v>#REF!</v>
      </c>
      <c r="S23" s="366" t="e">
        <f t="shared" si="0"/>
        <v>#REF!</v>
      </c>
      <c r="T23" s="357">
        <v>1920</v>
      </c>
      <c r="U23" s="480" t="e">
        <f>'Labor Rates'!#REF!</f>
        <v>#REF!</v>
      </c>
      <c r="V23" s="385" t="e">
        <f t="shared" si="15"/>
        <v>#REF!</v>
      </c>
      <c r="W23" s="414" t="e">
        <f>'Labor Rates'!#REF!</f>
        <v>#REF!</v>
      </c>
      <c r="X23" s="381" t="e">
        <f t="shared" si="16"/>
        <v>#REF!</v>
      </c>
      <c r="Y23" s="415" t="e">
        <f>'Labor Rates'!#REF!</f>
        <v>#REF!</v>
      </c>
      <c r="Z23" s="380" t="e">
        <f t="shared" si="17"/>
        <v>#REF!</v>
      </c>
      <c r="AA23" s="366" t="e">
        <f t="shared" si="1"/>
        <v>#REF!</v>
      </c>
      <c r="AB23" s="357">
        <v>1920</v>
      </c>
      <c r="AC23" s="480" t="e">
        <f>'Labor Rates'!#REF!</f>
        <v>#REF!</v>
      </c>
      <c r="AD23" s="385" t="e">
        <f t="shared" si="18"/>
        <v>#REF!</v>
      </c>
      <c r="AE23" s="414" t="e">
        <f>'Labor Rates'!#REF!</f>
        <v>#REF!</v>
      </c>
      <c r="AF23" s="381" t="e">
        <f t="shared" si="19"/>
        <v>#REF!</v>
      </c>
      <c r="AG23" s="415" t="e">
        <f>'Labor Rates'!#REF!</f>
        <v>#REF!</v>
      </c>
      <c r="AH23" s="380" t="e">
        <f t="shared" si="20"/>
        <v>#REF!</v>
      </c>
      <c r="AI23" s="366" t="e">
        <f t="shared" si="2"/>
        <v>#REF!</v>
      </c>
      <c r="AJ23" s="357">
        <v>1920</v>
      </c>
      <c r="AK23" s="480" t="e">
        <f>'Labor Rates'!#REF!</f>
        <v>#REF!</v>
      </c>
      <c r="AL23" s="385" t="e">
        <f t="shared" si="21"/>
        <v>#REF!</v>
      </c>
      <c r="AM23" s="309" t="e">
        <f>'Labor Rates'!#REF!</f>
        <v>#REF!</v>
      </c>
      <c r="AN23" s="381" t="e">
        <f t="shared" si="22"/>
        <v>#REF!</v>
      </c>
      <c r="AO23" s="309" t="e">
        <f>'Labor Rates'!#REF!</f>
        <v>#REF!</v>
      </c>
      <c r="AP23" s="380" t="e">
        <f t="shared" si="23"/>
        <v>#REF!</v>
      </c>
      <c r="AQ23" s="366" t="e">
        <f t="shared" si="3"/>
        <v>#REF!</v>
      </c>
      <c r="AR23" s="357">
        <v>1920</v>
      </c>
      <c r="AS23" s="480" t="e">
        <f>'Labor Rates'!#REF!</f>
        <v>#REF!</v>
      </c>
      <c r="AT23" s="385" t="e">
        <f t="shared" si="24"/>
        <v>#REF!</v>
      </c>
      <c r="AU23" s="414" t="e">
        <f>'Labor Rates'!#REF!</f>
        <v>#REF!</v>
      </c>
      <c r="AV23" s="381" t="e">
        <f t="shared" si="25"/>
        <v>#REF!</v>
      </c>
      <c r="AW23" s="415" t="e">
        <f>'Labor Rates'!#REF!</f>
        <v>#REF!</v>
      </c>
      <c r="AX23" s="380" t="e">
        <f t="shared" si="26"/>
        <v>#REF!</v>
      </c>
      <c r="AY23" s="366" t="e">
        <f t="shared" si="4"/>
        <v>#REF!</v>
      </c>
      <c r="AZ23" s="476">
        <f t="shared" si="5"/>
        <v>11520</v>
      </c>
      <c r="BA23" s="477" t="e">
        <f t="shared" si="6"/>
        <v>#REF!</v>
      </c>
      <c r="BB23" s="431" t="e">
        <f t="shared" si="7"/>
        <v>#REF!</v>
      </c>
    </row>
    <row r="24" spans="1:54" x14ac:dyDescent="0.25">
      <c r="A24" s="490"/>
      <c r="B24" s="375"/>
      <c r="C24" s="375"/>
      <c r="D24" s="432"/>
      <c r="E24" s="385"/>
      <c r="F24" s="385"/>
      <c r="G24" s="414"/>
      <c r="H24" s="381"/>
      <c r="I24" s="415"/>
      <c r="J24" s="380"/>
      <c r="K24" s="475"/>
      <c r="L24" s="432"/>
      <c r="M24" s="480"/>
      <c r="N24" s="385"/>
      <c r="O24" s="414"/>
      <c r="P24" s="381"/>
      <c r="Q24" s="415"/>
      <c r="R24" s="380"/>
      <c r="S24" s="366"/>
      <c r="T24" s="357"/>
      <c r="U24" s="480"/>
      <c r="V24" s="385"/>
      <c r="W24" s="414"/>
      <c r="X24" s="381"/>
      <c r="Y24" s="415"/>
      <c r="Z24" s="380"/>
      <c r="AA24" s="366"/>
      <c r="AB24" s="357"/>
      <c r="AC24" s="480"/>
      <c r="AD24" s="385"/>
      <c r="AE24" s="414"/>
      <c r="AF24" s="381"/>
      <c r="AG24" s="415"/>
      <c r="AH24" s="380"/>
      <c r="AI24" s="366"/>
      <c r="AJ24" s="357"/>
      <c r="AK24" s="480"/>
      <c r="AL24" s="385"/>
      <c r="AM24" s="309"/>
      <c r="AN24" s="381"/>
      <c r="AO24" s="309"/>
      <c r="AP24" s="380"/>
      <c r="AQ24" s="366"/>
      <c r="AR24" s="357"/>
      <c r="AS24" s="480"/>
      <c r="AT24" s="385"/>
      <c r="AU24" s="414"/>
      <c r="AV24" s="381"/>
      <c r="AW24" s="415"/>
      <c r="AX24" s="380"/>
      <c r="AY24" s="366"/>
      <c r="AZ24" s="476"/>
      <c r="BA24" s="477"/>
      <c r="BB24" s="431"/>
    </row>
    <row r="25" spans="1:54" x14ac:dyDescent="0.25">
      <c r="A25" s="490"/>
      <c r="B25" s="375"/>
      <c r="C25" s="375"/>
      <c r="D25" s="432"/>
      <c r="E25" s="385"/>
      <c r="F25" s="385"/>
      <c r="G25" s="414"/>
      <c r="H25" s="381"/>
      <c r="I25" s="415"/>
      <c r="J25" s="380"/>
      <c r="K25" s="475"/>
      <c r="L25" s="432"/>
      <c r="M25" s="480"/>
      <c r="N25" s="385"/>
      <c r="O25" s="414"/>
      <c r="P25" s="381"/>
      <c r="Q25" s="415"/>
      <c r="R25" s="380"/>
      <c r="S25" s="366"/>
      <c r="T25" s="357"/>
      <c r="U25" s="480"/>
      <c r="V25" s="385"/>
      <c r="W25" s="414"/>
      <c r="X25" s="381"/>
      <c r="Y25" s="415"/>
      <c r="Z25" s="380"/>
      <c r="AA25" s="366"/>
      <c r="AB25" s="357"/>
      <c r="AC25" s="480"/>
      <c r="AD25" s="385"/>
      <c r="AE25" s="414"/>
      <c r="AF25" s="381"/>
      <c r="AG25" s="415"/>
      <c r="AH25" s="380"/>
      <c r="AI25" s="366"/>
      <c r="AJ25" s="357"/>
      <c r="AK25" s="480"/>
      <c r="AL25" s="385"/>
      <c r="AM25" s="309"/>
      <c r="AN25" s="381"/>
      <c r="AO25" s="309"/>
      <c r="AP25" s="380"/>
      <c r="AQ25" s="366"/>
      <c r="AR25" s="357"/>
      <c r="AS25" s="480"/>
      <c r="AT25" s="385"/>
      <c r="AU25" s="414"/>
      <c r="AV25" s="381"/>
      <c r="AW25" s="415"/>
      <c r="AX25" s="380"/>
      <c r="AY25" s="366"/>
      <c r="AZ25" s="476"/>
      <c r="BA25" s="477"/>
      <c r="BB25" s="431"/>
    </row>
    <row r="26" spans="1:54" x14ac:dyDescent="0.25">
      <c r="A26" s="490"/>
      <c r="B26" s="375"/>
      <c r="C26" s="375"/>
      <c r="D26" s="432"/>
      <c r="E26" s="385"/>
      <c r="F26" s="385"/>
      <c r="G26" s="414"/>
      <c r="H26" s="381"/>
      <c r="I26" s="415"/>
      <c r="J26" s="380"/>
      <c r="K26" s="475"/>
      <c r="L26" s="432"/>
      <c r="M26" s="480"/>
      <c r="N26" s="385"/>
      <c r="O26" s="414"/>
      <c r="P26" s="381"/>
      <c r="Q26" s="415"/>
      <c r="R26" s="380"/>
      <c r="S26" s="366"/>
      <c r="T26" s="357"/>
      <c r="U26" s="480"/>
      <c r="V26" s="385"/>
      <c r="W26" s="414"/>
      <c r="X26" s="381"/>
      <c r="Y26" s="415"/>
      <c r="Z26" s="380"/>
      <c r="AA26" s="366"/>
      <c r="AB26" s="357"/>
      <c r="AC26" s="480"/>
      <c r="AD26" s="385"/>
      <c r="AE26" s="414"/>
      <c r="AF26" s="381"/>
      <c r="AG26" s="415"/>
      <c r="AH26" s="380"/>
      <c r="AI26" s="366"/>
      <c r="AJ26" s="357"/>
      <c r="AK26" s="480"/>
      <c r="AL26" s="385"/>
      <c r="AM26" s="309"/>
      <c r="AN26" s="381"/>
      <c r="AO26" s="309"/>
      <c r="AP26" s="380"/>
      <c r="AQ26" s="366"/>
      <c r="AR26" s="357"/>
      <c r="AS26" s="480"/>
      <c r="AT26" s="385"/>
      <c r="AU26" s="414"/>
      <c r="AV26" s="381"/>
      <c r="AW26" s="415"/>
      <c r="AX26" s="380"/>
      <c r="AY26" s="366"/>
      <c r="AZ26" s="476"/>
      <c r="BA26" s="477"/>
      <c r="BB26" s="431"/>
    </row>
    <row r="27" spans="1:54" x14ac:dyDescent="0.25">
      <c r="A27" s="490"/>
      <c r="B27" s="375"/>
      <c r="C27" s="375"/>
      <c r="D27" s="432"/>
      <c r="E27" s="385"/>
      <c r="F27" s="385"/>
      <c r="G27" s="414"/>
      <c r="H27" s="381"/>
      <c r="I27" s="415"/>
      <c r="J27" s="380"/>
      <c r="K27" s="475"/>
      <c r="L27" s="432"/>
      <c r="M27" s="480"/>
      <c r="N27" s="385"/>
      <c r="O27" s="414"/>
      <c r="P27" s="381"/>
      <c r="Q27" s="415"/>
      <c r="R27" s="380"/>
      <c r="S27" s="366"/>
      <c r="T27" s="357"/>
      <c r="U27" s="480"/>
      <c r="V27" s="385"/>
      <c r="W27" s="414"/>
      <c r="X27" s="381"/>
      <c r="Y27" s="415"/>
      <c r="Z27" s="380"/>
      <c r="AA27" s="366"/>
      <c r="AB27" s="357"/>
      <c r="AC27" s="480"/>
      <c r="AD27" s="385"/>
      <c r="AE27" s="414"/>
      <c r="AF27" s="381"/>
      <c r="AG27" s="415"/>
      <c r="AH27" s="380"/>
      <c r="AI27" s="366"/>
      <c r="AJ27" s="357"/>
      <c r="AK27" s="480"/>
      <c r="AL27" s="385"/>
      <c r="AM27" s="309"/>
      <c r="AN27" s="381"/>
      <c r="AO27" s="309"/>
      <c r="AP27" s="380"/>
      <c r="AQ27" s="366"/>
      <c r="AR27" s="357"/>
      <c r="AS27" s="480"/>
      <c r="AT27" s="385"/>
      <c r="AU27" s="414"/>
      <c r="AV27" s="381"/>
      <c r="AW27" s="415"/>
      <c r="AX27" s="380"/>
      <c r="AY27" s="366"/>
      <c r="AZ27" s="476"/>
      <c r="BA27" s="477"/>
      <c r="BB27" s="431"/>
    </row>
    <row r="28" spans="1:54" x14ac:dyDescent="0.25">
      <c r="A28" s="490" t="s">
        <v>441</v>
      </c>
      <c r="B28" s="375" t="str">
        <f>IF(ISBLANK('Labor Rates'!D21),"",'Labor Rates'!D21)</f>
        <v/>
      </c>
      <c r="C28" s="375" t="str">
        <f>IF(ISBLANK('Labor Rates'!E21),"",'Labor Rates'!E21)</f>
        <v/>
      </c>
      <c r="D28" s="432">
        <v>1920</v>
      </c>
      <c r="E28" s="385" t="e">
        <f>'Labor Rates'!#REF!</f>
        <v>#REF!</v>
      </c>
      <c r="F28" s="385" t="e">
        <f t="shared" si="8"/>
        <v>#REF!</v>
      </c>
      <c r="G28" s="414" t="e">
        <f>'Labor Rates'!#REF!</f>
        <v>#REF!</v>
      </c>
      <c r="H28" s="381" t="e">
        <f t="shared" si="9"/>
        <v>#REF!</v>
      </c>
      <c r="I28" s="415" t="e">
        <f>'Labor Rates'!#REF!</f>
        <v>#REF!</v>
      </c>
      <c r="J28" s="380" t="e">
        <f t="shared" si="10"/>
        <v>#REF!</v>
      </c>
      <c r="K28" s="475" t="e">
        <f t="shared" si="11"/>
        <v>#REF!</v>
      </c>
      <c r="L28" s="432">
        <v>1920</v>
      </c>
      <c r="M28" s="480" t="e">
        <f>'Labor Rates'!#REF!</f>
        <v>#REF!</v>
      </c>
      <c r="N28" s="385" t="e">
        <f t="shared" si="12"/>
        <v>#REF!</v>
      </c>
      <c r="O28" s="414" t="e">
        <f>'Labor Rates'!#REF!</f>
        <v>#REF!</v>
      </c>
      <c r="P28" s="381" t="e">
        <f t="shared" si="13"/>
        <v>#REF!</v>
      </c>
      <c r="Q28" s="415" t="e">
        <f>'Labor Rates'!#REF!</f>
        <v>#REF!</v>
      </c>
      <c r="R28" s="380" t="e">
        <f t="shared" si="14"/>
        <v>#REF!</v>
      </c>
      <c r="S28" s="366" t="e">
        <f t="shared" si="0"/>
        <v>#REF!</v>
      </c>
      <c r="T28" s="357">
        <v>1920</v>
      </c>
      <c r="U28" s="480" t="e">
        <f>'Labor Rates'!#REF!</f>
        <v>#REF!</v>
      </c>
      <c r="V28" s="385" t="e">
        <f t="shared" si="15"/>
        <v>#REF!</v>
      </c>
      <c r="W28" s="414" t="e">
        <f>'Labor Rates'!#REF!</f>
        <v>#REF!</v>
      </c>
      <c r="X28" s="381" t="e">
        <f t="shared" si="16"/>
        <v>#REF!</v>
      </c>
      <c r="Y28" s="415" t="e">
        <f>'Labor Rates'!#REF!</f>
        <v>#REF!</v>
      </c>
      <c r="Z28" s="380" t="e">
        <f t="shared" si="17"/>
        <v>#REF!</v>
      </c>
      <c r="AA28" s="366" t="e">
        <f t="shared" si="1"/>
        <v>#REF!</v>
      </c>
      <c r="AB28" s="357">
        <v>1920</v>
      </c>
      <c r="AC28" s="480" t="e">
        <f>'Labor Rates'!#REF!</f>
        <v>#REF!</v>
      </c>
      <c r="AD28" s="385" t="e">
        <f t="shared" si="18"/>
        <v>#REF!</v>
      </c>
      <c r="AE28" s="414" t="e">
        <f>'Labor Rates'!#REF!</f>
        <v>#REF!</v>
      </c>
      <c r="AF28" s="381" t="e">
        <f t="shared" si="19"/>
        <v>#REF!</v>
      </c>
      <c r="AG28" s="415" t="e">
        <f>'Labor Rates'!#REF!</f>
        <v>#REF!</v>
      </c>
      <c r="AH28" s="380" t="e">
        <f t="shared" si="20"/>
        <v>#REF!</v>
      </c>
      <c r="AI28" s="366" t="e">
        <f t="shared" si="2"/>
        <v>#REF!</v>
      </c>
      <c r="AJ28" s="357">
        <v>1920</v>
      </c>
      <c r="AK28" s="480" t="e">
        <f>'Labor Rates'!#REF!</f>
        <v>#REF!</v>
      </c>
      <c r="AL28" s="385" t="e">
        <f t="shared" si="21"/>
        <v>#REF!</v>
      </c>
      <c r="AM28" s="309" t="e">
        <f>'Labor Rates'!#REF!</f>
        <v>#REF!</v>
      </c>
      <c r="AN28" s="381" t="e">
        <f t="shared" si="22"/>
        <v>#REF!</v>
      </c>
      <c r="AO28" s="309" t="e">
        <f>'Labor Rates'!#REF!</f>
        <v>#REF!</v>
      </c>
      <c r="AP28" s="380" t="e">
        <f t="shared" si="23"/>
        <v>#REF!</v>
      </c>
      <c r="AQ28" s="366" t="e">
        <f t="shared" si="3"/>
        <v>#REF!</v>
      </c>
      <c r="AR28" s="357">
        <v>1920</v>
      </c>
      <c r="AS28" s="480" t="e">
        <f>'Labor Rates'!#REF!</f>
        <v>#REF!</v>
      </c>
      <c r="AT28" s="385" t="e">
        <f t="shared" si="24"/>
        <v>#REF!</v>
      </c>
      <c r="AU28" s="414" t="e">
        <f>'Labor Rates'!#REF!</f>
        <v>#REF!</v>
      </c>
      <c r="AV28" s="381" t="e">
        <f t="shared" si="25"/>
        <v>#REF!</v>
      </c>
      <c r="AW28" s="415" t="e">
        <f>'Labor Rates'!#REF!</f>
        <v>#REF!</v>
      </c>
      <c r="AX28" s="380" t="e">
        <f t="shared" si="26"/>
        <v>#REF!</v>
      </c>
      <c r="AY28" s="366" t="e">
        <f t="shared" si="4"/>
        <v>#REF!</v>
      </c>
      <c r="AZ28" s="476">
        <f t="shared" si="5"/>
        <v>11520</v>
      </c>
      <c r="BA28" s="477" t="e">
        <f t="shared" si="6"/>
        <v>#REF!</v>
      </c>
      <c r="BB28" s="431" t="e">
        <f t="shared" si="7"/>
        <v>#REF!</v>
      </c>
    </row>
    <row r="29" spans="1:54" x14ac:dyDescent="0.25">
      <c r="A29" s="490"/>
      <c r="B29" s="375" t="str">
        <f>IF(ISBLANK('Labor Rates'!D22),"",'Labor Rates'!D22)</f>
        <v/>
      </c>
      <c r="C29" s="375" t="str">
        <f>IF(ISBLANK('Labor Rates'!E22),"",'Labor Rates'!E22)</f>
        <v/>
      </c>
      <c r="D29" s="432">
        <v>1920</v>
      </c>
      <c r="E29" s="385" t="e">
        <f>'Labor Rates'!#REF!</f>
        <v>#REF!</v>
      </c>
      <c r="F29" s="385" t="e">
        <f t="shared" si="8"/>
        <v>#REF!</v>
      </c>
      <c r="G29" s="414" t="e">
        <f>'Labor Rates'!#REF!</f>
        <v>#REF!</v>
      </c>
      <c r="H29" s="381" t="e">
        <f t="shared" si="9"/>
        <v>#REF!</v>
      </c>
      <c r="I29" s="415" t="e">
        <f>'Labor Rates'!#REF!</f>
        <v>#REF!</v>
      </c>
      <c r="J29" s="380" t="e">
        <f t="shared" si="10"/>
        <v>#REF!</v>
      </c>
      <c r="K29" s="475" t="e">
        <f t="shared" si="11"/>
        <v>#REF!</v>
      </c>
      <c r="L29" s="432">
        <v>1920</v>
      </c>
      <c r="M29" s="480" t="e">
        <f>'Labor Rates'!#REF!</f>
        <v>#REF!</v>
      </c>
      <c r="N29" s="385" t="e">
        <f t="shared" si="12"/>
        <v>#REF!</v>
      </c>
      <c r="O29" s="414" t="e">
        <f>'Labor Rates'!#REF!</f>
        <v>#REF!</v>
      </c>
      <c r="P29" s="381" t="e">
        <f t="shared" si="13"/>
        <v>#REF!</v>
      </c>
      <c r="Q29" s="415" t="e">
        <f>'Labor Rates'!#REF!</f>
        <v>#REF!</v>
      </c>
      <c r="R29" s="380" t="e">
        <f t="shared" si="14"/>
        <v>#REF!</v>
      </c>
      <c r="S29" s="366" t="e">
        <f t="shared" si="0"/>
        <v>#REF!</v>
      </c>
      <c r="T29" s="357">
        <v>1920</v>
      </c>
      <c r="U29" s="480" t="e">
        <f>'Labor Rates'!#REF!</f>
        <v>#REF!</v>
      </c>
      <c r="V29" s="385" t="e">
        <f t="shared" si="15"/>
        <v>#REF!</v>
      </c>
      <c r="W29" s="414" t="e">
        <f>'Labor Rates'!#REF!</f>
        <v>#REF!</v>
      </c>
      <c r="X29" s="381" t="e">
        <f t="shared" si="16"/>
        <v>#REF!</v>
      </c>
      <c r="Y29" s="415" t="e">
        <f>'Labor Rates'!#REF!</f>
        <v>#REF!</v>
      </c>
      <c r="Z29" s="380" t="e">
        <f t="shared" si="17"/>
        <v>#REF!</v>
      </c>
      <c r="AA29" s="366" t="e">
        <f t="shared" si="1"/>
        <v>#REF!</v>
      </c>
      <c r="AB29" s="357">
        <v>1920</v>
      </c>
      <c r="AC29" s="480" t="e">
        <f>'Labor Rates'!#REF!</f>
        <v>#REF!</v>
      </c>
      <c r="AD29" s="385" t="e">
        <f t="shared" si="18"/>
        <v>#REF!</v>
      </c>
      <c r="AE29" s="414" t="e">
        <f>'Labor Rates'!#REF!</f>
        <v>#REF!</v>
      </c>
      <c r="AF29" s="381" t="e">
        <f t="shared" si="19"/>
        <v>#REF!</v>
      </c>
      <c r="AG29" s="415" t="e">
        <f>'Labor Rates'!#REF!</f>
        <v>#REF!</v>
      </c>
      <c r="AH29" s="380" t="e">
        <f t="shared" si="20"/>
        <v>#REF!</v>
      </c>
      <c r="AI29" s="366" t="e">
        <f t="shared" si="2"/>
        <v>#REF!</v>
      </c>
      <c r="AJ29" s="357">
        <v>1920</v>
      </c>
      <c r="AK29" s="480" t="e">
        <f>'Labor Rates'!#REF!</f>
        <v>#REF!</v>
      </c>
      <c r="AL29" s="385" t="e">
        <f t="shared" si="21"/>
        <v>#REF!</v>
      </c>
      <c r="AM29" s="309" t="e">
        <f>'Labor Rates'!#REF!</f>
        <v>#REF!</v>
      </c>
      <c r="AN29" s="381" t="e">
        <f t="shared" si="22"/>
        <v>#REF!</v>
      </c>
      <c r="AO29" s="309" t="e">
        <f>'Labor Rates'!#REF!</f>
        <v>#REF!</v>
      </c>
      <c r="AP29" s="380" t="e">
        <f t="shared" si="23"/>
        <v>#REF!</v>
      </c>
      <c r="AQ29" s="366" t="e">
        <f t="shared" si="3"/>
        <v>#REF!</v>
      </c>
      <c r="AR29" s="357">
        <v>1920</v>
      </c>
      <c r="AS29" s="480" t="e">
        <f>'Labor Rates'!#REF!</f>
        <v>#REF!</v>
      </c>
      <c r="AT29" s="385" t="e">
        <f t="shared" si="24"/>
        <v>#REF!</v>
      </c>
      <c r="AU29" s="414" t="e">
        <f>'Labor Rates'!#REF!</f>
        <v>#REF!</v>
      </c>
      <c r="AV29" s="381" t="e">
        <f t="shared" si="25"/>
        <v>#REF!</v>
      </c>
      <c r="AW29" s="415" t="e">
        <f>'Labor Rates'!#REF!</f>
        <v>#REF!</v>
      </c>
      <c r="AX29" s="380" t="e">
        <f t="shared" si="26"/>
        <v>#REF!</v>
      </c>
      <c r="AY29" s="366" t="e">
        <f t="shared" si="4"/>
        <v>#REF!</v>
      </c>
      <c r="AZ29" s="476">
        <f t="shared" si="5"/>
        <v>11520</v>
      </c>
      <c r="BA29" s="477" t="e">
        <f t="shared" si="6"/>
        <v>#REF!</v>
      </c>
      <c r="BB29" s="431" t="e">
        <f t="shared" si="7"/>
        <v>#REF!</v>
      </c>
    </row>
    <row r="30" spans="1:54" x14ac:dyDescent="0.25">
      <c r="A30" s="490"/>
      <c r="B30" s="375" t="str">
        <f>IF(ISBLANK('Labor Rates'!D23),"",'Labor Rates'!D23)</f>
        <v/>
      </c>
      <c r="C30" s="375" t="str">
        <f>IF(ISBLANK('Labor Rates'!E23),"",'Labor Rates'!E23)</f>
        <v/>
      </c>
      <c r="D30" s="432">
        <v>1920</v>
      </c>
      <c r="E30" s="385" t="e">
        <f>'Labor Rates'!#REF!</f>
        <v>#REF!</v>
      </c>
      <c r="F30" s="385" t="e">
        <f t="shared" si="8"/>
        <v>#REF!</v>
      </c>
      <c r="G30" s="414" t="e">
        <f>'Labor Rates'!#REF!</f>
        <v>#REF!</v>
      </c>
      <c r="H30" s="381" t="e">
        <f t="shared" si="9"/>
        <v>#REF!</v>
      </c>
      <c r="I30" s="415" t="e">
        <f>'Labor Rates'!#REF!</f>
        <v>#REF!</v>
      </c>
      <c r="J30" s="380" t="e">
        <f t="shared" si="10"/>
        <v>#REF!</v>
      </c>
      <c r="K30" s="475" t="e">
        <f t="shared" si="11"/>
        <v>#REF!</v>
      </c>
      <c r="L30" s="432">
        <v>1920</v>
      </c>
      <c r="M30" s="480" t="e">
        <f>'Labor Rates'!#REF!</f>
        <v>#REF!</v>
      </c>
      <c r="N30" s="385" t="e">
        <f t="shared" si="12"/>
        <v>#REF!</v>
      </c>
      <c r="O30" s="414" t="e">
        <f>'Labor Rates'!#REF!</f>
        <v>#REF!</v>
      </c>
      <c r="P30" s="381" t="e">
        <f t="shared" si="13"/>
        <v>#REF!</v>
      </c>
      <c r="Q30" s="415" t="e">
        <f>'Labor Rates'!#REF!</f>
        <v>#REF!</v>
      </c>
      <c r="R30" s="380" t="e">
        <f t="shared" si="14"/>
        <v>#REF!</v>
      </c>
      <c r="S30" s="366" t="e">
        <f t="shared" si="0"/>
        <v>#REF!</v>
      </c>
      <c r="T30" s="357">
        <v>1920</v>
      </c>
      <c r="U30" s="480" t="e">
        <f>'Labor Rates'!#REF!</f>
        <v>#REF!</v>
      </c>
      <c r="V30" s="385" t="e">
        <f t="shared" si="15"/>
        <v>#REF!</v>
      </c>
      <c r="W30" s="414" t="e">
        <f>'Labor Rates'!#REF!</f>
        <v>#REF!</v>
      </c>
      <c r="X30" s="381" t="e">
        <f t="shared" si="16"/>
        <v>#REF!</v>
      </c>
      <c r="Y30" s="415" t="e">
        <f>'Labor Rates'!#REF!</f>
        <v>#REF!</v>
      </c>
      <c r="Z30" s="380" t="e">
        <f t="shared" si="17"/>
        <v>#REF!</v>
      </c>
      <c r="AA30" s="366" t="e">
        <f t="shared" si="1"/>
        <v>#REF!</v>
      </c>
      <c r="AB30" s="357">
        <v>1920</v>
      </c>
      <c r="AC30" s="480" t="e">
        <f>'Labor Rates'!#REF!</f>
        <v>#REF!</v>
      </c>
      <c r="AD30" s="385" t="e">
        <f t="shared" si="18"/>
        <v>#REF!</v>
      </c>
      <c r="AE30" s="414" t="e">
        <f>'Labor Rates'!#REF!</f>
        <v>#REF!</v>
      </c>
      <c r="AF30" s="381" t="e">
        <f t="shared" si="19"/>
        <v>#REF!</v>
      </c>
      <c r="AG30" s="415" t="e">
        <f>'Labor Rates'!#REF!</f>
        <v>#REF!</v>
      </c>
      <c r="AH30" s="380" t="e">
        <f t="shared" si="20"/>
        <v>#REF!</v>
      </c>
      <c r="AI30" s="366" t="e">
        <f t="shared" si="2"/>
        <v>#REF!</v>
      </c>
      <c r="AJ30" s="357">
        <v>1920</v>
      </c>
      <c r="AK30" s="480" t="e">
        <f>'Labor Rates'!#REF!</f>
        <v>#REF!</v>
      </c>
      <c r="AL30" s="385" t="e">
        <f t="shared" si="21"/>
        <v>#REF!</v>
      </c>
      <c r="AM30" s="309" t="e">
        <f>'Labor Rates'!#REF!</f>
        <v>#REF!</v>
      </c>
      <c r="AN30" s="381" t="e">
        <f t="shared" si="22"/>
        <v>#REF!</v>
      </c>
      <c r="AO30" s="309" t="e">
        <f>'Labor Rates'!#REF!</f>
        <v>#REF!</v>
      </c>
      <c r="AP30" s="380" t="e">
        <f t="shared" si="23"/>
        <v>#REF!</v>
      </c>
      <c r="AQ30" s="366" t="e">
        <f t="shared" si="3"/>
        <v>#REF!</v>
      </c>
      <c r="AR30" s="357">
        <v>1920</v>
      </c>
      <c r="AS30" s="480" t="e">
        <f>'Labor Rates'!#REF!</f>
        <v>#REF!</v>
      </c>
      <c r="AT30" s="385" t="e">
        <f t="shared" si="24"/>
        <v>#REF!</v>
      </c>
      <c r="AU30" s="414" t="e">
        <f>'Labor Rates'!#REF!</f>
        <v>#REF!</v>
      </c>
      <c r="AV30" s="381" t="e">
        <f t="shared" si="25"/>
        <v>#REF!</v>
      </c>
      <c r="AW30" s="415" t="e">
        <f>'Labor Rates'!#REF!</f>
        <v>#REF!</v>
      </c>
      <c r="AX30" s="380" t="e">
        <f t="shared" si="26"/>
        <v>#REF!</v>
      </c>
      <c r="AY30" s="366" t="e">
        <f t="shared" si="4"/>
        <v>#REF!</v>
      </c>
      <c r="AZ30" s="476">
        <f t="shared" si="5"/>
        <v>11520</v>
      </c>
      <c r="BA30" s="477" t="e">
        <f t="shared" si="6"/>
        <v>#REF!</v>
      </c>
      <c r="BB30" s="431" t="e">
        <f t="shared" si="7"/>
        <v>#REF!</v>
      </c>
    </row>
    <row r="31" spans="1:54" x14ac:dyDescent="0.25">
      <c r="A31" s="490"/>
      <c r="B31" s="375" t="str">
        <f>IF(ISBLANK('Labor Rates'!D24),"",'Labor Rates'!D24)</f>
        <v/>
      </c>
      <c r="C31" s="375" t="str">
        <f>IF(ISBLANK('Labor Rates'!E24),"",'Labor Rates'!E24)</f>
        <v/>
      </c>
      <c r="D31" s="432">
        <v>1920</v>
      </c>
      <c r="E31" s="385" t="e">
        <f>'Labor Rates'!#REF!</f>
        <v>#REF!</v>
      </c>
      <c r="F31" s="385" t="e">
        <f t="shared" si="8"/>
        <v>#REF!</v>
      </c>
      <c r="G31" s="414" t="e">
        <f>'Labor Rates'!#REF!</f>
        <v>#REF!</v>
      </c>
      <c r="H31" s="381" t="e">
        <f t="shared" si="9"/>
        <v>#REF!</v>
      </c>
      <c r="I31" s="415" t="e">
        <f>'Labor Rates'!#REF!</f>
        <v>#REF!</v>
      </c>
      <c r="J31" s="380" t="e">
        <f t="shared" si="10"/>
        <v>#REF!</v>
      </c>
      <c r="K31" s="475" t="e">
        <f t="shared" si="11"/>
        <v>#REF!</v>
      </c>
      <c r="L31" s="432">
        <v>1920</v>
      </c>
      <c r="M31" s="480" t="e">
        <f>'Labor Rates'!#REF!</f>
        <v>#REF!</v>
      </c>
      <c r="N31" s="385" t="e">
        <f t="shared" si="12"/>
        <v>#REF!</v>
      </c>
      <c r="O31" s="414" t="e">
        <f>'Labor Rates'!#REF!</f>
        <v>#REF!</v>
      </c>
      <c r="P31" s="381" t="e">
        <f t="shared" si="13"/>
        <v>#REF!</v>
      </c>
      <c r="Q31" s="415" t="e">
        <f>'Labor Rates'!#REF!</f>
        <v>#REF!</v>
      </c>
      <c r="R31" s="380" t="e">
        <f t="shared" si="14"/>
        <v>#REF!</v>
      </c>
      <c r="S31" s="366" t="e">
        <f t="shared" si="0"/>
        <v>#REF!</v>
      </c>
      <c r="T31" s="357">
        <v>1920</v>
      </c>
      <c r="U31" s="480" t="e">
        <f>'Labor Rates'!#REF!</f>
        <v>#REF!</v>
      </c>
      <c r="V31" s="385" t="e">
        <f t="shared" si="15"/>
        <v>#REF!</v>
      </c>
      <c r="W31" s="414" t="e">
        <f>'Labor Rates'!#REF!</f>
        <v>#REF!</v>
      </c>
      <c r="X31" s="381" t="e">
        <f t="shared" si="16"/>
        <v>#REF!</v>
      </c>
      <c r="Y31" s="415" t="e">
        <f>'Labor Rates'!#REF!</f>
        <v>#REF!</v>
      </c>
      <c r="Z31" s="380" t="e">
        <f t="shared" si="17"/>
        <v>#REF!</v>
      </c>
      <c r="AA31" s="366" t="e">
        <f t="shared" si="1"/>
        <v>#REF!</v>
      </c>
      <c r="AB31" s="357">
        <v>1920</v>
      </c>
      <c r="AC31" s="480" t="e">
        <f>'Labor Rates'!#REF!</f>
        <v>#REF!</v>
      </c>
      <c r="AD31" s="385" t="e">
        <f t="shared" si="18"/>
        <v>#REF!</v>
      </c>
      <c r="AE31" s="414" t="e">
        <f>'Labor Rates'!#REF!</f>
        <v>#REF!</v>
      </c>
      <c r="AF31" s="381" t="e">
        <f t="shared" si="19"/>
        <v>#REF!</v>
      </c>
      <c r="AG31" s="415" t="e">
        <f>'Labor Rates'!#REF!</f>
        <v>#REF!</v>
      </c>
      <c r="AH31" s="380" t="e">
        <f t="shared" si="20"/>
        <v>#REF!</v>
      </c>
      <c r="AI31" s="366" t="e">
        <f t="shared" si="2"/>
        <v>#REF!</v>
      </c>
      <c r="AJ31" s="357">
        <v>1920</v>
      </c>
      <c r="AK31" s="480" t="e">
        <f>'Labor Rates'!#REF!</f>
        <v>#REF!</v>
      </c>
      <c r="AL31" s="385" t="e">
        <f t="shared" si="21"/>
        <v>#REF!</v>
      </c>
      <c r="AM31" s="309" t="e">
        <f>'Labor Rates'!#REF!</f>
        <v>#REF!</v>
      </c>
      <c r="AN31" s="381" t="e">
        <f t="shared" si="22"/>
        <v>#REF!</v>
      </c>
      <c r="AO31" s="309" t="e">
        <f>'Labor Rates'!#REF!</f>
        <v>#REF!</v>
      </c>
      <c r="AP31" s="380" t="e">
        <f t="shared" si="23"/>
        <v>#REF!</v>
      </c>
      <c r="AQ31" s="366" t="e">
        <f t="shared" si="3"/>
        <v>#REF!</v>
      </c>
      <c r="AR31" s="357">
        <v>1920</v>
      </c>
      <c r="AS31" s="480" t="e">
        <f>'Labor Rates'!#REF!</f>
        <v>#REF!</v>
      </c>
      <c r="AT31" s="385" t="e">
        <f t="shared" si="24"/>
        <v>#REF!</v>
      </c>
      <c r="AU31" s="414" t="e">
        <f>'Labor Rates'!#REF!</f>
        <v>#REF!</v>
      </c>
      <c r="AV31" s="381" t="e">
        <f t="shared" si="25"/>
        <v>#REF!</v>
      </c>
      <c r="AW31" s="415" t="e">
        <f>'Labor Rates'!#REF!</f>
        <v>#REF!</v>
      </c>
      <c r="AX31" s="380" t="e">
        <f t="shared" si="26"/>
        <v>#REF!</v>
      </c>
      <c r="AY31" s="366" t="e">
        <f t="shared" si="4"/>
        <v>#REF!</v>
      </c>
      <c r="AZ31" s="476">
        <f t="shared" si="5"/>
        <v>11520</v>
      </c>
      <c r="BA31" s="477" t="e">
        <f t="shared" si="6"/>
        <v>#REF!</v>
      </c>
      <c r="BB31" s="431" t="e">
        <f t="shared" si="7"/>
        <v>#REF!</v>
      </c>
    </row>
    <row r="32" spans="1:54" x14ac:dyDescent="0.25">
      <c r="A32" s="490"/>
      <c r="B32" s="375" t="str">
        <f>IF(ISBLANK('Labor Rates'!D25),"",'Labor Rates'!D25)</f>
        <v/>
      </c>
      <c r="C32" s="375" t="str">
        <f>IF(ISBLANK('Labor Rates'!E25),"",'Labor Rates'!E25)</f>
        <v/>
      </c>
      <c r="D32" s="432">
        <v>1920</v>
      </c>
      <c r="E32" s="385" t="e">
        <f>'Labor Rates'!#REF!</f>
        <v>#REF!</v>
      </c>
      <c r="F32" s="385" t="e">
        <f t="shared" si="8"/>
        <v>#REF!</v>
      </c>
      <c r="G32" s="414" t="e">
        <f>'Labor Rates'!#REF!</f>
        <v>#REF!</v>
      </c>
      <c r="H32" s="381" t="e">
        <f t="shared" si="9"/>
        <v>#REF!</v>
      </c>
      <c r="I32" s="415" t="e">
        <f>'Labor Rates'!#REF!</f>
        <v>#REF!</v>
      </c>
      <c r="J32" s="380" t="e">
        <f t="shared" si="10"/>
        <v>#REF!</v>
      </c>
      <c r="K32" s="475" t="e">
        <f t="shared" si="11"/>
        <v>#REF!</v>
      </c>
      <c r="L32" s="432">
        <v>1920</v>
      </c>
      <c r="M32" s="480" t="e">
        <f>'Labor Rates'!#REF!</f>
        <v>#REF!</v>
      </c>
      <c r="N32" s="385" t="e">
        <f t="shared" si="12"/>
        <v>#REF!</v>
      </c>
      <c r="O32" s="414" t="e">
        <f>'Labor Rates'!#REF!</f>
        <v>#REF!</v>
      </c>
      <c r="P32" s="381" t="e">
        <f t="shared" si="13"/>
        <v>#REF!</v>
      </c>
      <c r="Q32" s="415" t="e">
        <f>'Labor Rates'!#REF!</f>
        <v>#REF!</v>
      </c>
      <c r="R32" s="380" t="e">
        <f t="shared" si="14"/>
        <v>#REF!</v>
      </c>
      <c r="S32" s="366" t="e">
        <f t="shared" si="0"/>
        <v>#REF!</v>
      </c>
      <c r="T32" s="357">
        <v>1920</v>
      </c>
      <c r="U32" s="480" t="e">
        <f>'Labor Rates'!#REF!</f>
        <v>#REF!</v>
      </c>
      <c r="V32" s="385" t="e">
        <f t="shared" si="15"/>
        <v>#REF!</v>
      </c>
      <c r="W32" s="414" t="e">
        <f>'Labor Rates'!#REF!</f>
        <v>#REF!</v>
      </c>
      <c r="X32" s="381" t="e">
        <f t="shared" si="16"/>
        <v>#REF!</v>
      </c>
      <c r="Y32" s="415" t="e">
        <f>'Labor Rates'!#REF!</f>
        <v>#REF!</v>
      </c>
      <c r="Z32" s="380" t="e">
        <f t="shared" si="17"/>
        <v>#REF!</v>
      </c>
      <c r="AA32" s="366" t="e">
        <f t="shared" si="1"/>
        <v>#REF!</v>
      </c>
      <c r="AB32" s="357">
        <v>1920</v>
      </c>
      <c r="AC32" s="480" t="e">
        <f>'Labor Rates'!#REF!</f>
        <v>#REF!</v>
      </c>
      <c r="AD32" s="385" t="e">
        <f t="shared" si="18"/>
        <v>#REF!</v>
      </c>
      <c r="AE32" s="414" t="e">
        <f>'Labor Rates'!#REF!</f>
        <v>#REF!</v>
      </c>
      <c r="AF32" s="381" t="e">
        <f t="shared" si="19"/>
        <v>#REF!</v>
      </c>
      <c r="AG32" s="415" t="e">
        <f>'Labor Rates'!#REF!</f>
        <v>#REF!</v>
      </c>
      <c r="AH32" s="380" t="e">
        <f t="shared" si="20"/>
        <v>#REF!</v>
      </c>
      <c r="AI32" s="366" t="e">
        <f t="shared" si="2"/>
        <v>#REF!</v>
      </c>
      <c r="AJ32" s="357">
        <v>1920</v>
      </c>
      <c r="AK32" s="480" t="e">
        <f>'Labor Rates'!#REF!</f>
        <v>#REF!</v>
      </c>
      <c r="AL32" s="385" t="e">
        <f t="shared" si="21"/>
        <v>#REF!</v>
      </c>
      <c r="AM32" s="309" t="e">
        <f>'Labor Rates'!#REF!</f>
        <v>#REF!</v>
      </c>
      <c r="AN32" s="381" t="e">
        <f t="shared" si="22"/>
        <v>#REF!</v>
      </c>
      <c r="AO32" s="309" t="e">
        <f>'Labor Rates'!#REF!</f>
        <v>#REF!</v>
      </c>
      <c r="AP32" s="380" t="e">
        <f t="shared" si="23"/>
        <v>#REF!</v>
      </c>
      <c r="AQ32" s="366" t="e">
        <f t="shared" si="3"/>
        <v>#REF!</v>
      </c>
      <c r="AR32" s="357">
        <v>1920</v>
      </c>
      <c r="AS32" s="480" t="e">
        <f>'Labor Rates'!#REF!</f>
        <v>#REF!</v>
      </c>
      <c r="AT32" s="385" t="e">
        <f t="shared" si="24"/>
        <v>#REF!</v>
      </c>
      <c r="AU32" s="414" t="e">
        <f>'Labor Rates'!#REF!</f>
        <v>#REF!</v>
      </c>
      <c r="AV32" s="381" t="e">
        <f t="shared" si="25"/>
        <v>#REF!</v>
      </c>
      <c r="AW32" s="415" t="e">
        <f>'Labor Rates'!#REF!</f>
        <v>#REF!</v>
      </c>
      <c r="AX32" s="380" t="e">
        <f t="shared" si="26"/>
        <v>#REF!</v>
      </c>
      <c r="AY32" s="366" t="e">
        <f t="shared" si="4"/>
        <v>#REF!</v>
      </c>
      <c r="AZ32" s="476">
        <f t="shared" si="5"/>
        <v>11520</v>
      </c>
      <c r="BA32" s="477" t="e">
        <f t="shared" si="6"/>
        <v>#REF!</v>
      </c>
      <c r="BB32" s="431" t="e">
        <f t="shared" si="7"/>
        <v>#REF!</v>
      </c>
    </row>
    <row r="33" spans="1:538" x14ac:dyDescent="0.25">
      <c r="A33" s="490"/>
      <c r="B33" s="375" t="str">
        <f>IF(ISBLANK('Labor Rates'!D26),"",'Labor Rates'!D26)</f>
        <v/>
      </c>
      <c r="C33" s="375" t="str">
        <f>IF(ISBLANK('Labor Rates'!E26),"",'Labor Rates'!E26)</f>
        <v/>
      </c>
      <c r="D33" s="432">
        <v>1920</v>
      </c>
      <c r="E33" s="385" t="e">
        <f>'Labor Rates'!#REF!</f>
        <v>#REF!</v>
      </c>
      <c r="F33" s="385" t="e">
        <f t="shared" si="8"/>
        <v>#REF!</v>
      </c>
      <c r="G33" s="414" t="e">
        <f>'Labor Rates'!#REF!</f>
        <v>#REF!</v>
      </c>
      <c r="H33" s="381" t="e">
        <f t="shared" si="9"/>
        <v>#REF!</v>
      </c>
      <c r="I33" s="415" t="e">
        <f>'Labor Rates'!#REF!</f>
        <v>#REF!</v>
      </c>
      <c r="J33" s="380" t="e">
        <f t="shared" si="10"/>
        <v>#REF!</v>
      </c>
      <c r="K33" s="475" t="e">
        <f t="shared" si="11"/>
        <v>#REF!</v>
      </c>
      <c r="L33" s="432">
        <v>1920</v>
      </c>
      <c r="M33" s="480" t="e">
        <f>'Labor Rates'!#REF!</f>
        <v>#REF!</v>
      </c>
      <c r="N33" s="385" t="e">
        <f t="shared" si="12"/>
        <v>#REF!</v>
      </c>
      <c r="O33" s="414" t="e">
        <f>'Labor Rates'!#REF!</f>
        <v>#REF!</v>
      </c>
      <c r="P33" s="381" t="e">
        <f t="shared" si="13"/>
        <v>#REF!</v>
      </c>
      <c r="Q33" s="415" t="e">
        <f>'Labor Rates'!#REF!</f>
        <v>#REF!</v>
      </c>
      <c r="R33" s="380" t="e">
        <f t="shared" si="14"/>
        <v>#REF!</v>
      </c>
      <c r="S33" s="366" t="e">
        <f t="shared" si="0"/>
        <v>#REF!</v>
      </c>
      <c r="T33" s="357">
        <v>1920</v>
      </c>
      <c r="U33" s="480" t="e">
        <f>'Labor Rates'!#REF!</f>
        <v>#REF!</v>
      </c>
      <c r="V33" s="385" t="e">
        <f t="shared" si="15"/>
        <v>#REF!</v>
      </c>
      <c r="W33" s="414" t="e">
        <f>'Labor Rates'!#REF!</f>
        <v>#REF!</v>
      </c>
      <c r="X33" s="381" t="e">
        <f t="shared" si="16"/>
        <v>#REF!</v>
      </c>
      <c r="Y33" s="415" t="e">
        <f>'Labor Rates'!#REF!</f>
        <v>#REF!</v>
      </c>
      <c r="Z33" s="380" t="e">
        <f t="shared" si="17"/>
        <v>#REF!</v>
      </c>
      <c r="AA33" s="366" t="e">
        <f t="shared" si="1"/>
        <v>#REF!</v>
      </c>
      <c r="AB33" s="357">
        <v>1920</v>
      </c>
      <c r="AC33" s="480" t="e">
        <f>'Labor Rates'!#REF!</f>
        <v>#REF!</v>
      </c>
      <c r="AD33" s="385" t="e">
        <f t="shared" si="18"/>
        <v>#REF!</v>
      </c>
      <c r="AE33" s="414" t="e">
        <f>'Labor Rates'!#REF!</f>
        <v>#REF!</v>
      </c>
      <c r="AF33" s="381" t="e">
        <f t="shared" si="19"/>
        <v>#REF!</v>
      </c>
      <c r="AG33" s="415" t="e">
        <f>'Labor Rates'!#REF!</f>
        <v>#REF!</v>
      </c>
      <c r="AH33" s="380" t="e">
        <f t="shared" si="20"/>
        <v>#REF!</v>
      </c>
      <c r="AI33" s="366" t="e">
        <f t="shared" si="2"/>
        <v>#REF!</v>
      </c>
      <c r="AJ33" s="357">
        <v>1920</v>
      </c>
      <c r="AK33" s="480" t="e">
        <f>'Labor Rates'!#REF!</f>
        <v>#REF!</v>
      </c>
      <c r="AL33" s="385" t="e">
        <f t="shared" si="21"/>
        <v>#REF!</v>
      </c>
      <c r="AM33" s="309" t="e">
        <f>'Labor Rates'!#REF!</f>
        <v>#REF!</v>
      </c>
      <c r="AN33" s="381" t="e">
        <f t="shared" si="22"/>
        <v>#REF!</v>
      </c>
      <c r="AO33" s="309" t="e">
        <f>'Labor Rates'!#REF!</f>
        <v>#REF!</v>
      </c>
      <c r="AP33" s="380" t="e">
        <f t="shared" si="23"/>
        <v>#REF!</v>
      </c>
      <c r="AQ33" s="366" t="e">
        <f t="shared" si="3"/>
        <v>#REF!</v>
      </c>
      <c r="AR33" s="357">
        <v>1920</v>
      </c>
      <c r="AS33" s="480" t="e">
        <f>'Labor Rates'!#REF!</f>
        <v>#REF!</v>
      </c>
      <c r="AT33" s="385" t="e">
        <f t="shared" si="24"/>
        <v>#REF!</v>
      </c>
      <c r="AU33" s="414" t="e">
        <f>'Labor Rates'!#REF!</f>
        <v>#REF!</v>
      </c>
      <c r="AV33" s="381" t="e">
        <f t="shared" si="25"/>
        <v>#REF!</v>
      </c>
      <c r="AW33" s="415" t="e">
        <f>'Labor Rates'!#REF!</f>
        <v>#REF!</v>
      </c>
      <c r="AX33" s="380" t="e">
        <f t="shared" si="26"/>
        <v>#REF!</v>
      </c>
      <c r="AY33" s="366" t="e">
        <f t="shared" si="4"/>
        <v>#REF!</v>
      </c>
      <c r="AZ33" s="476">
        <f t="shared" si="5"/>
        <v>11520</v>
      </c>
      <c r="BA33" s="477" t="e">
        <f t="shared" si="6"/>
        <v>#REF!</v>
      </c>
      <c r="BB33" s="431" t="e">
        <f t="shared" si="7"/>
        <v>#REF!</v>
      </c>
    </row>
    <row r="34" spans="1:538" x14ac:dyDescent="0.25">
      <c r="A34" s="490"/>
      <c r="B34" s="375" t="str">
        <f>IF(ISBLANK('Labor Rates'!D27),"",'Labor Rates'!D27)</f>
        <v/>
      </c>
      <c r="C34" s="375" t="str">
        <f>IF(ISBLANK('Labor Rates'!E27),"",'Labor Rates'!E27)</f>
        <v/>
      </c>
      <c r="D34" s="432">
        <v>1920</v>
      </c>
      <c r="E34" s="385" t="e">
        <f>'Labor Rates'!#REF!</f>
        <v>#REF!</v>
      </c>
      <c r="F34" s="385" t="e">
        <f t="shared" si="8"/>
        <v>#REF!</v>
      </c>
      <c r="G34" s="414" t="e">
        <f>'Labor Rates'!#REF!</f>
        <v>#REF!</v>
      </c>
      <c r="H34" s="381" t="e">
        <f t="shared" si="9"/>
        <v>#REF!</v>
      </c>
      <c r="I34" s="415" t="e">
        <f>'Labor Rates'!#REF!</f>
        <v>#REF!</v>
      </c>
      <c r="J34" s="380" t="e">
        <f t="shared" si="10"/>
        <v>#REF!</v>
      </c>
      <c r="K34" s="475" t="e">
        <f t="shared" si="11"/>
        <v>#REF!</v>
      </c>
      <c r="L34" s="432">
        <v>1920</v>
      </c>
      <c r="M34" s="480" t="e">
        <f>'Labor Rates'!#REF!</f>
        <v>#REF!</v>
      </c>
      <c r="N34" s="385" t="e">
        <f t="shared" si="12"/>
        <v>#REF!</v>
      </c>
      <c r="O34" s="414" t="e">
        <f>'Labor Rates'!#REF!</f>
        <v>#REF!</v>
      </c>
      <c r="P34" s="381" t="e">
        <f t="shared" si="13"/>
        <v>#REF!</v>
      </c>
      <c r="Q34" s="415" t="e">
        <f>'Labor Rates'!#REF!</f>
        <v>#REF!</v>
      </c>
      <c r="R34" s="380" t="e">
        <f t="shared" si="14"/>
        <v>#REF!</v>
      </c>
      <c r="S34" s="366" t="e">
        <f t="shared" si="0"/>
        <v>#REF!</v>
      </c>
      <c r="T34" s="357">
        <v>1920</v>
      </c>
      <c r="U34" s="480" t="e">
        <f>'Labor Rates'!#REF!</f>
        <v>#REF!</v>
      </c>
      <c r="V34" s="385" t="e">
        <f t="shared" si="15"/>
        <v>#REF!</v>
      </c>
      <c r="W34" s="414" t="e">
        <f>'Labor Rates'!#REF!</f>
        <v>#REF!</v>
      </c>
      <c r="X34" s="381" t="e">
        <f t="shared" si="16"/>
        <v>#REF!</v>
      </c>
      <c r="Y34" s="415" t="e">
        <f>'Labor Rates'!#REF!</f>
        <v>#REF!</v>
      </c>
      <c r="Z34" s="380" t="e">
        <f t="shared" si="17"/>
        <v>#REF!</v>
      </c>
      <c r="AA34" s="366" t="e">
        <f t="shared" si="1"/>
        <v>#REF!</v>
      </c>
      <c r="AB34" s="357">
        <v>1920</v>
      </c>
      <c r="AC34" s="480" t="e">
        <f>'Labor Rates'!#REF!</f>
        <v>#REF!</v>
      </c>
      <c r="AD34" s="385" t="e">
        <f t="shared" si="18"/>
        <v>#REF!</v>
      </c>
      <c r="AE34" s="414" t="e">
        <f>'Labor Rates'!#REF!</f>
        <v>#REF!</v>
      </c>
      <c r="AF34" s="381" t="e">
        <f t="shared" si="19"/>
        <v>#REF!</v>
      </c>
      <c r="AG34" s="415" t="e">
        <f>'Labor Rates'!#REF!</f>
        <v>#REF!</v>
      </c>
      <c r="AH34" s="380" t="e">
        <f t="shared" si="20"/>
        <v>#REF!</v>
      </c>
      <c r="AI34" s="366" t="e">
        <f t="shared" si="2"/>
        <v>#REF!</v>
      </c>
      <c r="AJ34" s="357">
        <v>1920</v>
      </c>
      <c r="AK34" s="480" t="e">
        <f>'Labor Rates'!#REF!</f>
        <v>#REF!</v>
      </c>
      <c r="AL34" s="385" t="e">
        <f t="shared" si="21"/>
        <v>#REF!</v>
      </c>
      <c r="AM34" s="309" t="e">
        <f>'Labor Rates'!#REF!</f>
        <v>#REF!</v>
      </c>
      <c r="AN34" s="381" t="e">
        <f t="shared" si="22"/>
        <v>#REF!</v>
      </c>
      <c r="AO34" s="309" t="e">
        <f>'Labor Rates'!#REF!</f>
        <v>#REF!</v>
      </c>
      <c r="AP34" s="380" t="e">
        <f t="shared" si="23"/>
        <v>#REF!</v>
      </c>
      <c r="AQ34" s="366" t="e">
        <f t="shared" si="3"/>
        <v>#REF!</v>
      </c>
      <c r="AR34" s="357">
        <v>1920</v>
      </c>
      <c r="AS34" s="480" t="e">
        <f>'Labor Rates'!#REF!</f>
        <v>#REF!</v>
      </c>
      <c r="AT34" s="385" t="e">
        <f t="shared" si="24"/>
        <v>#REF!</v>
      </c>
      <c r="AU34" s="414" t="e">
        <f>'Labor Rates'!#REF!</f>
        <v>#REF!</v>
      </c>
      <c r="AV34" s="381" t="e">
        <f t="shared" si="25"/>
        <v>#REF!</v>
      </c>
      <c r="AW34" s="415" t="e">
        <f>'Labor Rates'!#REF!</f>
        <v>#REF!</v>
      </c>
      <c r="AX34" s="380" t="e">
        <f t="shared" si="26"/>
        <v>#REF!</v>
      </c>
      <c r="AY34" s="366" t="e">
        <f t="shared" si="4"/>
        <v>#REF!</v>
      </c>
      <c r="AZ34" s="476">
        <f t="shared" si="5"/>
        <v>11520</v>
      </c>
      <c r="BA34" s="477" t="e">
        <f t="shared" si="6"/>
        <v>#REF!</v>
      </c>
      <c r="BB34" s="431" t="e">
        <f t="shared" si="7"/>
        <v>#REF!</v>
      </c>
    </row>
    <row r="35" spans="1:538" x14ac:dyDescent="0.25">
      <c r="A35" s="490"/>
      <c r="B35" s="375" t="str">
        <f>IF(ISBLANK('Labor Rates'!D28),"",'Labor Rates'!D28)</f>
        <v/>
      </c>
      <c r="C35" s="375" t="str">
        <f>IF(ISBLANK('Labor Rates'!E28),"",'Labor Rates'!E28)</f>
        <v/>
      </c>
      <c r="D35" s="432">
        <v>1920</v>
      </c>
      <c r="E35" s="385" t="e">
        <f>'Labor Rates'!#REF!</f>
        <v>#REF!</v>
      </c>
      <c r="F35" s="385" t="e">
        <f t="shared" si="8"/>
        <v>#REF!</v>
      </c>
      <c r="G35" s="414" t="e">
        <f>'Labor Rates'!#REF!</f>
        <v>#REF!</v>
      </c>
      <c r="H35" s="381" t="e">
        <f t="shared" si="9"/>
        <v>#REF!</v>
      </c>
      <c r="I35" s="415" t="e">
        <f>'Labor Rates'!#REF!</f>
        <v>#REF!</v>
      </c>
      <c r="J35" s="380" t="e">
        <f t="shared" si="10"/>
        <v>#REF!</v>
      </c>
      <c r="K35" s="475" t="e">
        <f t="shared" si="11"/>
        <v>#REF!</v>
      </c>
      <c r="L35" s="432">
        <v>1920</v>
      </c>
      <c r="M35" s="480" t="e">
        <f>'Labor Rates'!#REF!</f>
        <v>#REF!</v>
      </c>
      <c r="N35" s="385" t="e">
        <f t="shared" si="12"/>
        <v>#REF!</v>
      </c>
      <c r="O35" s="414" t="e">
        <f>'Labor Rates'!#REF!</f>
        <v>#REF!</v>
      </c>
      <c r="P35" s="381" t="e">
        <f t="shared" si="13"/>
        <v>#REF!</v>
      </c>
      <c r="Q35" s="415" t="e">
        <f>'Labor Rates'!#REF!</f>
        <v>#REF!</v>
      </c>
      <c r="R35" s="380" t="e">
        <f t="shared" si="14"/>
        <v>#REF!</v>
      </c>
      <c r="S35" s="366" t="e">
        <f t="shared" si="0"/>
        <v>#REF!</v>
      </c>
      <c r="T35" s="357">
        <v>1920</v>
      </c>
      <c r="U35" s="480" t="e">
        <f>'Labor Rates'!#REF!</f>
        <v>#REF!</v>
      </c>
      <c r="V35" s="385" t="e">
        <f t="shared" si="15"/>
        <v>#REF!</v>
      </c>
      <c r="W35" s="414" t="e">
        <f>'Labor Rates'!#REF!</f>
        <v>#REF!</v>
      </c>
      <c r="X35" s="381" t="e">
        <f t="shared" si="16"/>
        <v>#REF!</v>
      </c>
      <c r="Y35" s="415" t="e">
        <f>'Labor Rates'!#REF!</f>
        <v>#REF!</v>
      </c>
      <c r="Z35" s="380" t="e">
        <f t="shared" si="17"/>
        <v>#REF!</v>
      </c>
      <c r="AA35" s="366" t="e">
        <f t="shared" si="1"/>
        <v>#REF!</v>
      </c>
      <c r="AB35" s="357">
        <v>1920</v>
      </c>
      <c r="AC35" s="480" t="e">
        <f>'Labor Rates'!#REF!</f>
        <v>#REF!</v>
      </c>
      <c r="AD35" s="385" t="e">
        <f t="shared" si="18"/>
        <v>#REF!</v>
      </c>
      <c r="AE35" s="414" t="e">
        <f>'Labor Rates'!#REF!</f>
        <v>#REF!</v>
      </c>
      <c r="AF35" s="381" t="e">
        <f t="shared" si="19"/>
        <v>#REF!</v>
      </c>
      <c r="AG35" s="415" t="e">
        <f>'Labor Rates'!#REF!</f>
        <v>#REF!</v>
      </c>
      <c r="AH35" s="380" t="e">
        <f t="shared" si="20"/>
        <v>#REF!</v>
      </c>
      <c r="AI35" s="366" t="e">
        <f t="shared" si="2"/>
        <v>#REF!</v>
      </c>
      <c r="AJ35" s="357">
        <v>1920</v>
      </c>
      <c r="AK35" s="480" t="e">
        <f>'Labor Rates'!#REF!</f>
        <v>#REF!</v>
      </c>
      <c r="AL35" s="385" t="e">
        <f t="shared" si="21"/>
        <v>#REF!</v>
      </c>
      <c r="AM35" s="309" t="e">
        <f>'Labor Rates'!#REF!</f>
        <v>#REF!</v>
      </c>
      <c r="AN35" s="381" t="e">
        <f t="shared" si="22"/>
        <v>#REF!</v>
      </c>
      <c r="AO35" s="309" t="e">
        <f>'Labor Rates'!#REF!</f>
        <v>#REF!</v>
      </c>
      <c r="AP35" s="380" t="e">
        <f t="shared" si="23"/>
        <v>#REF!</v>
      </c>
      <c r="AQ35" s="366" t="e">
        <f t="shared" si="3"/>
        <v>#REF!</v>
      </c>
      <c r="AR35" s="357">
        <v>1920</v>
      </c>
      <c r="AS35" s="480" t="e">
        <f>'Labor Rates'!#REF!</f>
        <v>#REF!</v>
      </c>
      <c r="AT35" s="385" t="e">
        <f t="shared" si="24"/>
        <v>#REF!</v>
      </c>
      <c r="AU35" s="414" t="e">
        <f>'Labor Rates'!#REF!</f>
        <v>#REF!</v>
      </c>
      <c r="AV35" s="381" t="e">
        <f t="shared" si="25"/>
        <v>#REF!</v>
      </c>
      <c r="AW35" s="415" t="e">
        <f>'Labor Rates'!#REF!</f>
        <v>#REF!</v>
      </c>
      <c r="AX35" s="380" t="e">
        <f t="shared" si="26"/>
        <v>#REF!</v>
      </c>
      <c r="AY35" s="366" t="e">
        <f t="shared" si="4"/>
        <v>#REF!</v>
      </c>
      <c r="AZ35" s="476">
        <f t="shared" si="5"/>
        <v>11520</v>
      </c>
      <c r="BA35" s="477" t="e">
        <f t="shared" si="6"/>
        <v>#REF!</v>
      </c>
      <c r="BB35" s="431" t="e">
        <f t="shared" si="7"/>
        <v>#REF!</v>
      </c>
    </row>
    <row r="36" spans="1:538" x14ac:dyDescent="0.25">
      <c r="A36" s="490"/>
      <c r="B36" s="375" t="str">
        <f>IF(ISBLANK('Labor Rates'!D29),"",'Labor Rates'!D29)</f>
        <v/>
      </c>
      <c r="C36" s="375" t="str">
        <f>IF(ISBLANK('Labor Rates'!E29),"",'Labor Rates'!E29)</f>
        <v/>
      </c>
      <c r="D36" s="432">
        <v>1920</v>
      </c>
      <c r="E36" s="385" t="e">
        <f>'Labor Rates'!#REF!</f>
        <v>#REF!</v>
      </c>
      <c r="F36" s="385" t="e">
        <f t="shared" si="8"/>
        <v>#REF!</v>
      </c>
      <c r="G36" s="414" t="e">
        <f>'Labor Rates'!#REF!</f>
        <v>#REF!</v>
      </c>
      <c r="H36" s="381" t="e">
        <f t="shared" si="9"/>
        <v>#REF!</v>
      </c>
      <c r="I36" s="415" t="e">
        <f>'Labor Rates'!#REF!</f>
        <v>#REF!</v>
      </c>
      <c r="J36" s="380" t="e">
        <f t="shared" si="10"/>
        <v>#REF!</v>
      </c>
      <c r="K36" s="475" t="e">
        <f t="shared" si="11"/>
        <v>#REF!</v>
      </c>
      <c r="L36" s="432">
        <v>1920</v>
      </c>
      <c r="M36" s="480" t="e">
        <f>'Labor Rates'!#REF!</f>
        <v>#REF!</v>
      </c>
      <c r="N36" s="385" t="e">
        <f t="shared" si="12"/>
        <v>#REF!</v>
      </c>
      <c r="O36" s="414" t="e">
        <f>'Labor Rates'!#REF!</f>
        <v>#REF!</v>
      </c>
      <c r="P36" s="381" t="e">
        <f t="shared" si="13"/>
        <v>#REF!</v>
      </c>
      <c r="Q36" s="415" t="e">
        <f>'Labor Rates'!#REF!</f>
        <v>#REF!</v>
      </c>
      <c r="R36" s="380" t="e">
        <f t="shared" si="14"/>
        <v>#REF!</v>
      </c>
      <c r="S36" s="366" t="e">
        <f t="shared" si="0"/>
        <v>#REF!</v>
      </c>
      <c r="T36" s="357">
        <v>1920</v>
      </c>
      <c r="U36" s="480" t="e">
        <f>'Labor Rates'!#REF!</f>
        <v>#REF!</v>
      </c>
      <c r="V36" s="385" t="e">
        <f t="shared" si="15"/>
        <v>#REF!</v>
      </c>
      <c r="W36" s="414" t="e">
        <f>'Labor Rates'!#REF!</f>
        <v>#REF!</v>
      </c>
      <c r="X36" s="381" t="e">
        <f t="shared" si="16"/>
        <v>#REF!</v>
      </c>
      <c r="Y36" s="415" t="e">
        <f>'Labor Rates'!#REF!</f>
        <v>#REF!</v>
      </c>
      <c r="Z36" s="380" t="e">
        <f t="shared" si="17"/>
        <v>#REF!</v>
      </c>
      <c r="AA36" s="366" t="e">
        <f t="shared" si="1"/>
        <v>#REF!</v>
      </c>
      <c r="AB36" s="357">
        <v>1920</v>
      </c>
      <c r="AC36" s="480" t="e">
        <f>'Labor Rates'!#REF!</f>
        <v>#REF!</v>
      </c>
      <c r="AD36" s="385" t="e">
        <f t="shared" si="18"/>
        <v>#REF!</v>
      </c>
      <c r="AE36" s="414" t="e">
        <f>'Labor Rates'!#REF!</f>
        <v>#REF!</v>
      </c>
      <c r="AF36" s="381" t="e">
        <f t="shared" si="19"/>
        <v>#REF!</v>
      </c>
      <c r="AG36" s="415" t="e">
        <f>'Labor Rates'!#REF!</f>
        <v>#REF!</v>
      </c>
      <c r="AH36" s="380" t="e">
        <f t="shared" si="20"/>
        <v>#REF!</v>
      </c>
      <c r="AI36" s="366" t="e">
        <f t="shared" si="2"/>
        <v>#REF!</v>
      </c>
      <c r="AJ36" s="357">
        <v>1920</v>
      </c>
      <c r="AK36" s="480" t="e">
        <f>'Labor Rates'!#REF!</f>
        <v>#REF!</v>
      </c>
      <c r="AL36" s="385" t="e">
        <f t="shared" si="21"/>
        <v>#REF!</v>
      </c>
      <c r="AM36" s="309" t="e">
        <f>'Labor Rates'!#REF!</f>
        <v>#REF!</v>
      </c>
      <c r="AN36" s="381" t="e">
        <f t="shared" si="22"/>
        <v>#REF!</v>
      </c>
      <c r="AO36" s="309" t="e">
        <f>'Labor Rates'!#REF!</f>
        <v>#REF!</v>
      </c>
      <c r="AP36" s="380" t="e">
        <f t="shared" si="23"/>
        <v>#REF!</v>
      </c>
      <c r="AQ36" s="366" t="e">
        <f t="shared" si="3"/>
        <v>#REF!</v>
      </c>
      <c r="AR36" s="357">
        <v>1920</v>
      </c>
      <c r="AS36" s="480" t="e">
        <f>'Labor Rates'!#REF!</f>
        <v>#REF!</v>
      </c>
      <c r="AT36" s="385" t="e">
        <f t="shared" si="24"/>
        <v>#REF!</v>
      </c>
      <c r="AU36" s="414" t="e">
        <f>'Labor Rates'!#REF!</f>
        <v>#REF!</v>
      </c>
      <c r="AV36" s="381" t="e">
        <f t="shared" si="25"/>
        <v>#REF!</v>
      </c>
      <c r="AW36" s="415" t="e">
        <f>'Labor Rates'!#REF!</f>
        <v>#REF!</v>
      </c>
      <c r="AX36" s="380" t="e">
        <f t="shared" si="26"/>
        <v>#REF!</v>
      </c>
      <c r="AY36" s="366" t="e">
        <f t="shared" si="4"/>
        <v>#REF!</v>
      </c>
      <c r="AZ36" s="476">
        <f t="shared" si="5"/>
        <v>11520</v>
      </c>
      <c r="BA36" s="477" t="e">
        <f t="shared" si="6"/>
        <v>#REF!</v>
      </c>
      <c r="BB36" s="431" t="e">
        <f t="shared" si="7"/>
        <v>#REF!</v>
      </c>
    </row>
    <row r="37" spans="1:538" x14ac:dyDescent="0.25">
      <c r="A37" s="490"/>
      <c r="B37" s="375" t="str">
        <f>IF(ISBLANK('Labor Rates'!D30),"",'Labor Rates'!D30)</f>
        <v/>
      </c>
      <c r="C37" s="375" t="str">
        <f>IF(ISBLANK('Labor Rates'!E30),"",'Labor Rates'!E30)</f>
        <v/>
      </c>
      <c r="D37" s="432">
        <v>1920</v>
      </c>
      <c r="E37" s="385" t="e">
        <f>'Labor Rates'!#REF!</f>
        <v>#REF!</v>
      </c>
      <c r="F37" s="385" t="e">
        <f t="shared" si="8"/>
        <v>#REF!</v>
      </c>
      <c r="G37" s="414" t="e">
        <f>'Labor Rates'!#REF!</f>
        <v>#REF!</v>
      </c>
      <c r="H37" s="381" t="e">
        <f t="shared" si="9"/>
        <v>#REF!</v>
      </c>
      <c r="I37" s="415" t="e">
        <f>'Labor Rates'!#REF!</f>
        <v>#REF!</v>
      </c>
      <c r="J37" s="380" t="e">
        <f t="shared" si="10"/>
        <v>#REF!</v>
      </c>
      <c r="K37" s="475" t="e">
        <f t="shared" si="11"/>
        <v>#REF!</v>
      </c>
      <c r="L37" s="432">
        <v>1920</v>
      </c>
      <c r="M37" s="480" t="e">
        <f>'Labor Rates'!#REF!</f>
        <v>#REF!</v>
      </c>
      <c r="N37" s="385" t="e">
        <f t="shared" si="12"/>
        <v>#REF!</v>
      </c>
      <c r="O37" s="414" t="e">
        <f>'Labor Rates'!#REF!</f>
        <v>#REF!</v>
      </c>
      <c r="P37" s="381" t="e">
        <f t="shared" si="13"/>
        <v>#REF!</v>
      </c>
      <c r="Q37" s="415" t="e">
        <f>'Labor Rates'!#REF!</f>
        <v>#REF!</v>
      </c>
      <c r="R37" s="380" t="e">
        <f t="shared" si="14"/>
        <v>#REF!</v>
      </c>
      <c r="S37" s="366" t="e">
        <f t="shared" si="0"/>
        <v>#REF!</v>
      </c>
      <c r="T37" s="357">
        <v>1920</v>
      </c>
      <c r="U37" s="480" t="e">
        <f>'Labor Rates'!#REF!</f>
        <v>#REF!</v>
      </c>
      <c r="V37" s="385" t="e">
        <f t="shared" si="15"/>
        <v>#REF!</v>
      </c>
      <c r="W37" s="414" t="e">
        <f>'Labor Rates'!#REF!</f>
        <v>#REF!</v>
      </c>
      <c r="X37" s="381" t="e">
        <f t="shared" si="16"/>
        <v>#REF!</v>
      </c>
      <c r="Y37" s="415" t="e">
        <f>'Labor Rates'!#REF!</f>
        <v>#REF!</v>
      </c>
      <c r="Z37" s="380" t="e">
        <f t="shared" si="17"/>
        <v>#REF!</v>
      </c>
      <c r="AA37" s="366" t="e">
        <f t="shared" si="1"/>
        <v>#REF!</v>
      </c>
      <c r="AB37" s="357">
        <v>1920</v>
      </c>
      <c r="AC37" s="480" t="e">
        <f>'Labor Rates'!#REF!</f>
        <v>#REF!</v>
      </c>
      <c r="AD37" s="385" t="e">
        <f t="shared" si="18"/>
        <v>#REF!</v>
      </c>
      <c r="AE37" s="414" t="e">
        <f>'Labor Rates'!#REF!</f>
        <v>#REF!</v>
      </c>
      <c r="AF37" s="381" t="e">
        <f t="shared" si="19"/>
        <v>#REF!</v>
      </c>
      <c r="AG37" s="415" t="e">
        <f>'Labor Rates'!#REF!</f>
        <v>#REF!</v>
      </c>
      <c r="AH37" s="380" t="e">
        <f t="shared" si="20"/>
        <v>#REF!</v>
      </c>
      <c r="AI37" s="366" t="e">
        <f t="shared" si="2"/>
        <v>#REF!</v>
      </c>
      <c r="AJ37" s="357">
        <v>1920</v>
      </c>
      <c r="AK37" s="480" t="e">
        <f>'Labor Rates'!#REF!</f>
        <v>#REF!</v>
      </c>
      <c r="AL37" s="385" t="e">
        <f t="shared" si="21"/>
        <v>#REF!</v>
      </c>
      <c r="AM37" s="309" t="e">
        <f>'Labor Rates'!#REF!</f>
        <v>#REF!</v>
      </c>
      <c r="AN37" s="381" t="e">
        <f t="shared" si="22"/>
        <v>#REF!</v>
      </c>
      <c r="AO37" s="309" t="e">
        <f>'Labor Rates'!#REF!</f>
        <v>#REF!</v>
      </c>
      <c r="AP37" s="380" t="e">
        <f t="shared" si="23"/>
        <v>#REF!</v>
      </c>
      <c r="AQ37" s="366" t="e">
        <f t="shared" si="3"/>
        <v>#REF!</v>
      </c>
      <c r="AR37" s="357">
        <v>1920</v>
      </c>
      <c r="AS37" s="480" t="e">
        <f>'Labor Rates'!#REF!</f>
        <v>#REF!</v>
      </c>
      <c r="AT37" s="385" t="e">
        <f t="shared" si="24"/>
        <v>#REF!</v>
      </c>
      <c r="AU37" s="414" t="e">
        <f>'Labor Rates'!#REF!</f>
        <v>#REF!</v>
      </c>
      <c r="AV37" s="381" t="e">
        <f t="shared" si="25"/>
        <v>#REF!</v>
      </c>
      <c r="AW37" s="415" t="e">
        <f>'Labor Rates'!#REF!</f>
        <v>#REF!</v>
      </c>
      <c r="AX37" s="380" t="e">
        <f t="shared" si="26"/>
        <v>#REF!</v>
      </c>
      <c r="AY37" s="366" t="e">
        <f t="shared" si="4"/>
        <v>#REF!</v>
      </c>
      <c r="AZ37" s="476">
        <f t="shared" si="5"/>
        <v>11520</v>
      </c>
      <c r="BA37" s="477" t="e">
        <f t="shared" si="6"/>
        <v>#REF!</v>
      </c>
      <c r="BB37" s="431" t="e">
        <f t="shared" si="7"/>
        <v>#REF!</v>
      </c>
    </row>
    <row r="38" spans="1:538" x14ac:dyDescent="0.25">
      <c r="A38" s="490"/>
      <c r="B38" s="375" t="str">
        <f>IF(ISBLANK('Labor Rates'!D31),"",'Labor Rates'!D31)</f>
        <v/>
      </c>
      <c r="C38" s="375" t="str">
        <f>IF(ISBLANK('Labor Rates'!E31),"",'Labor Rates'!E31)</f>
        <v/>
      </c>
      <c r="D38" s="432">
        <v>1920</v>
      </c>
      <c r="E38" s="385" t="e">
        <f>'Labor Rates'!#REF!</f>
        <v>#REF!</v>
      </c>
      <c r="F38" s="385" t="e">
        <f t="shared" si="8"/>
        <v>#REF!</v>
      </c>
      <c r="G38" s="414" t="e">
        <f>'Labor Rates'!#REF!</f>
        <v>#REF!</v>
      </c>
      <c r="H38" s="381" t="e">
        <f t="shared" si="9"/>
        <v>#REF!</v>
      </c>
      <c r="I38" s="415" t="e">
        <f>'Labor Rates'!#REF!</f>
        <v>#REF!</v>
      </c>
      <c r="J38" s="380" t="e">
        <f t="shared" si="10"/>
        <v>#REF!</v>
      </c>
      <c r="K38" s="475" t="e">
        <f t="shared" si="11"/>
        <v>#REF!</v>
      </c>
      <c r="L38" s="432">
        <v>1920</v>
      </c>
      <c r="M38" s="480" t="e">
        <f>'Labor Rates'!#REF!</f>
        <v>#REF!</v>
      </c>
      <c r="N38" s="385" t="e">
        <f t="shared" si="12"/>
        <v>#REF!</v>
      </c>
      <c r="O38" s="414" t="e">
        <f>'Labor Rates'!#REF!</f>
        <v>#REF!</v>
      </c>
      <c r="P38" s="381" t="e">
        <f t="shared" si="13"/>
        <v>#REF!</v>
      </c>
      <c r="Q38" s="415" t="e">
        <f>'Labor Rates'!#REF!</f>
        <v>#REF!</v>
      </c>
      <c r="R38" s="380" t="e">
        <f t="shared" si="14"/>
        <v>#REF!</v>
      </c>
      <c r="S38" s="366" t="e">
        <f t="shared" si="0"/>
        <v>#REF!</v>
      </c>
      <c r="T38" s="357">
        <v>1920</v>
      </c>
      <c r="U38" s="480" t="e">
        <f>'Labor Rates'!#REF!</f>
        <v>#REF!</v>
      </c>
      <c r="V38" s="385" t="e">
        <f t="shared" si="15"/>
        <v>#REF!</v>
      </c>
      <c r="W38" s="414" t="e">
        <f>'Labor Rates'!#REF!</f>
        <v>#REF!</v>
      </c>
      <c r="X38" s="381" t="e">
        <f t="shared" si="16"/>
        <v>#REF!</v>
      </c>
      <c r="Y38" s="415" t="e">
        <f>'Labor Rates'!#REF!</f>
        <v>#REF!</v>
      </c>
      <c r="Z38" s="380" t="e">
        <f t="shared" si="17"/>
        <v>#REF!</v>
      </c>
      <c r="AA38" s="366" t="e">
        <f t="shared" si="1"/>
        <v>#REF!</v>
      </c>
      <c r="AB38" s="357">
        <v>1920</v>
      </c>
      <c r="AC38" s="480" t="e">
        <f>'Labor Rates'!#REF!</f>
        <v>#REF!</v>
      </c>
      <c r="AD38" s="385" t="e">
        <f t="shared" si="18"/>
        <v>#REF!</v>
      </c>
      <c r="AE38" s="414" t="e">
        <f>'Labor Rates'!#REF!</f>
        <v>#REF!</v>
      </c>
      <c r="AF38" s="381" t="e">
        <f t="shared" si="19"/>
        <v>#REF!</v>
      </c>
      <c r="AG38" s="415" t="e">
        <f>'Labor Rates'!#REF!</f>
        <v>#REF!</v>
      </c>
      <c r="AH38" s="380" t="e">
        <f t="shared" si="20"/>
        <v>#REF!</v>
      </c>
      <c r="AI38" s="366" t="e">
        <f t="shared" si="2"/>
        <v>#REF!</v>
      </c>
      <c r="AJ38" s="357">
        <v>1920</v>
      </c>
      <c r="AK38" s="480" t="e">
        <f>'Labor Rates'!#REF!</f>
        <v>#REF!</v>
      </c>
      <c r="AL38" s="385" t="e">
        <f t="shared" si="21"/>
        <v>#REF!</v>
      </c>
      <c r="AM38" s="309" t="e">
        <f>'Labor Rates'!#REF!</f>
        <v>#REF!</v>
      </c>
      <c r="AN38" s="381" t="e">
        <f t="shared" si="22"/>
        <v>#REF!</v>
      </c>
      <c r="AO38" s="309" t="e">
        <f>'Labor Rates'!#REF!</f>
        <v>#REF!</v>
      </c>
      <c r="AP38" s="380" t="e">
        <f t="shared" si="23"/>
        <v>#REF!</v>
      </c>
      <c r="AQ38" s="366" t="e">
        <f t="shared" si="3"/>
        <v>#REF!</v>
      </c>
      <c r="AR38" s="357">
        <v>1920</v>
      </c>
      <c r="AS38" s="480" t="e">
        <f>'Labor Rates'!#REF!</f>
        <v>#REF!</v>
      </c>
      <c r="AT38" s="385" t="e">
        <f t="shared" si="24"/>
        <v>#REF!</v>
      </c>
      <c r="AU38" s="414" t="e">
        <f>'Labor Rates'!#REF!</f>
        <v>#REF!</v>
      </c>
      <c r="AV38" s="381" t="e">
        <f t="shared" si="25"/>
        <v>#REF!</v>
      </c>
      <c r="AW38" s="415" t="e">
        <f>'Labor Rates'!#REF!</f>
        <v>#REF!</v>
      </c>
      <c r="AX38" s="380" t="e">
        <f t="shared" si="26"/>
        <v>#REF!</v>
      </c>
      <c r="AY38" s="366" t="e">
        <f t="shared" si="4"/>
        <v>#REF!</v>
      </c>
      <c r="AZ38" s="476">
        <f t="shared" si="5"/>
        <v>11520</v>
      </c>
      <c r="BA38" s="477" t="e">
        <f t="shared" si="6"/>
        <v>#REF!</v>
      </c>
      <c r="BB38" s="431" t="e">
        <f t="shared" si="7"/>
        <v>#REF!</v>
      </c>
    </row>
    <row r="39" spans="1:538" s="337" customFormat="1" x14ac:dyDescent="0.25">
      <c r="A39" s="1623" t="s">
        <v>442</v>
      </c>
      <c r="B39" s="1623"/>
      <c r="C39" s="1623"/>
      <c r="D39" s="371">
        <f>SUM(D8:D38)</f>
        <v>46080</v>
      </c>
      <c r="E39" s="507"/>
      <c r="F39" s="345" t="e">
        <f>SUM(F8:F38)</f>
        <v>#REF!</v>
      </c>
      <c r="G39" s="1624"/>
      <c r="H39" s="1625"/>
      <c r="I39" s="1625"/>
      <c r="J39" s="1625"/>
      <c r="K39" s="477"/>
      <c r="L39" s="371">
        <f>SUM(L8:L38)</f>
        <v>46080</v>
      </c>
      <c r="M39" s="344"/>
      <c r="N39" s="345" t="e">
        <f>SUM(N8:N38)</f>
        <v>#REF!</v>
      </c>
      <c r="O39" s="1626"/>
      <c r="P39" s="1627"/>
      <c r="Q39" s="1627"/>
      <c r="R39" s="1628"/>
      <c r="S39" s="334"/>
      <c r="T39" s="371">
        <f>SUM(T8:T38)</f>
        <v>36480</v>
      </c>
      <c r="U39" s="344"/>
      <c r="V39" s="345" t="e">
        <f>SUM(V8:V38)</f>
        <v>#REF!</v>
      </c>
      <c r="W39" s="1626"/>
      <c r="X39" s="1627"/>
      <c r="Y39" s="1627"/>
      <c r="Z39" s="1628"/>
      <c r="AA39" s="334"/>
      <c r="AB39" s="371">
        <f>SUM(AB8:AB38)</f>
        <v>36480</v>
      </c>
      <c r="AC39" s="343"/>
      <c r="AD39" s="345" t="e">
        <f>SUM(AD8:AD38)</f>
        <v>#REF!</v>
      </c>
      <c r="AE39" s="1629"/>
      <c r="AF39" s="1630"/>
      <c r="AG39" s="1630"/>
      <c r="AH39" s="1631"/>
      <c r="AI39" s="334"/>
      <c r="AJ39" s="371">
        <f>SUM(AJ8:AJ38)</f>
        <v>36480</v>
      </c>
      <c r="AK39" s="343"/>
      <c r="AL39" s="333" t="e">
        <f>SUM(AL8:AL38)</f>
        <v>#REF!</v>
      </c>
      <c r="AM39" s="1629"/>
      <c r="AN39" s="1630"/>
      <c r="AO39" s="1630"/>
      <c r="AP39" s="1631"/>
      <c r="AQ39" s="334"/>
      <c r="AR39" s="370">
        <f>SUM(AR8:AR38)</f>
        <v>36480</v>
      </c>
      <c r="AS39" s="343"/>
      <c r="AT39" s="345" t="e">
        <f>SUM(AT8:AT38)</f>
        <v>#REF!</v>
      </c>
      <c r="AU39" s="1629"/>
      <c r="AV39" s="1630"/>
      <c r="AW39" s="1630"/>
      <c r="AX39" s="1631"/>
      <c r="AY39" s="359"/>
      <c r="AZ39" s="369">
        <f>SUM(AZ8:AZ38)</f>
        <v>238080</v>
      </c>
      <c r="BA39" s="386" t="e">
        <f>F39+N39+V39+AD39+AL39+AT39</f>
        <v>#REF!</v>
      </c>
      <c r="BB39" s="387" t="e">
        <f>SUM(BB8:BB38)</f>
        <v>#REF!</v>
      </c>
      <c r="BC39" s="291"/>
      <c r="BD39" s="291"/>
      <c r="BE39" s="291"/>
      <c r="BF39" s="291"/>
      <c r="BG39" s="291"/>
      <c r="BH39" s="291"/>
      <c r="BI39" s="291"/>
      <c r="BJ39" s="291"/>
      <c r="BK39" s="291"/>
      <c r="BL39" s="291"/>
      <c r="BM39" s="291"/>
      <c r="BN39" s="291"/>
      <c r="BO39" s="291"/>
      <c r="BP39" s="291"/>
      <c r="BQ39" s="291"/>
      <c r="BR39" s="291"/>
      <c r="BS39" s="291"/>
      <c r="BT39" s="291"/>
      <c r="BU39" s="291"/>
      <c r="BV39" s="291"/>
      <c r="BW39" s="291"/>
      <c r="BX39" s="291"/>
      <c r="BY39" s="291"/>
      <c r="BZ39" s="291"/>
      <c r="CA39" s="291"/>
      <c r="CB39" s="291"/>
      <c r="CC39" s="291"/>
      <c r="CD39" s="291"/>
      <c r="CE39" s="291"/>
      <c r="CF39" s="291"/>
      <c r="CG39" s="291"/>
      <c r="CH39" s="291"/>
      <c r="CI39" s="291"/>
      <c r="CJ39" s="291"/>
      <c r="CK39" s="291"/>
      <c r="CL39" s="291"/>
      <c r="CM39" s="291"/>
      <c r="CN39" s="291"/>
      <c r="CO39" s="291"/>
      <c r="CP39" s="291"/>
      <c r="CQ39" s="291"/>
      <c r="CR39" s="291"/>
      <c r="CS39" s="291"/>
      <c r="CT39" s="291"/>
      <c r="CU39" s="291"/>
      <c r="CV39" s="291"/>
      <c r="CW39" s="291"/>
      <c r="CX39" s="291"/>
      <c r="CY39" s="291"/>
      <c r="CZ39" s="291"/>
      <c r="DA39" s="291"/>
      <c r="DB39" s="291"/>
      <c r="DC39" s="291"/>
      <c r="DD39" s="291"/>
      <c r="DE39" s="291"/>
      <c r="DF39" s="291"/>
      <c r="DG39" s="291"/>
      <c r="DH39" s="291"/>
      <c r="DI39" s="291"/>
      <c r="DJ39" s="291"/>
      <c r="DK39" s="291"/>
      <c r="DL39" s="291"/>
      <c r="DM39" s="291"/>
      <c r="DN39" s="291"/>
      <c r="DO39" s="291"/>
      <c r="DP39" s="291"/>
      <c r="DQ39" s="291"/>
      <c r="DR39" s="291"/>
      <c r="DS39" s="291"/>
      <c r="DT39" s="291"/>
      <c r="DU39" s="291"/>
      <c r="DV39" s="291"/>
      <c r="DW39" s="291"/>
      <c r="DX39" s="291"/>
      <c r="DY39" s="291"/>
      <c r="DZ39" s="291"/>
      <c r="EA39" s="291"/>
      <c r="EB39" s="291"/>
      <c r="EC39" s="291"/>
      <c r="ED39" s="291"/>
      <c r="EE39" s="291"/>
      <c r="EF39" s="291"/>
      <c r="EG39" s="291"/>
      <c r="EH39" s="291"/>
      <c r="EI39" s="291"/>
      <c r="EJ39" s="291"/>
      <c r="EK39" s="291"/>
      <c r="EL39" s="291"/>
      <c r="EM39" s="291"/>
      <c r="EN39" s="291"/>
      <c r="EO39" s="291"/>
      <c r="EP39" s="291"/>
      <c r="EQ39" s="291"/>
      <c r="ER39" s="291"/>
      <c r="ES39" s="291"/>
      <c r="ET39" s="291"/>
      <c r="EU39" s="291"/>
      <c r="EV39" s="291"/>
      <c r="EW39" s="291"/>
      <c r="EX39" s="291"/>
      <c r="EY39" s="291"/>
      <c r="EZ39" s="291"/>
      <c r="FA39" s="291"/>
      <c r="FB39" s="291"/>
      <c r="FC39" s="291"/>
      <c r="FD39" s="291"/>
      <c r="FE39" s="291"/>
      <c r="FF39" s="291"/>
      <c r="FG39" s="291"/>
      <c r="FH39" s="291"/>
      <c r="FI39" s="291"/>
      <c r="FJ39" s="291"/>
      <c r="FK39" s="291"/>
      <c r="FL39" s="291"/>
      <c r="FM39" s="291"/>
      <c r="FN39" s="291"/>
      <c r="FO39" s="291"/>
      <c r="FP39" s="291"/>
      <c r="FQ39" s="291"/>
      <c r="FR39" s="291"/>
      <c r="FS39" s="291"/>
      <c r="FT39" s="291"/>
      <c r="FU39" s="291"/>
      <c r="FV39" s="291"/>
      <c r="FW39" s="291"/>
      <c r="FX39" s="291"/>
      <c r="FY39" s="291"/>
      <c r="FZ39" s="291"/>
      <c r="GA39" s="291"/>
      <c r="GB39" s="291"/>
      <c r="GC39" s="291"/>
      <c r="GD39" s="291"/>
      <c r="GE39" s="291"/>
      <c r="GF39" s="291"/>
      <c r="GG39" s="291"/>
      <c r="GH39" s="291"/>
      <c r="GI39" s="291"/>
      <c r="GJ39" s="291"/>
      <c r="GK39" s="291"/>
      <c r="GL39" s="291"/>
      <c r="GM39" s="291"/>
      <c r="GN39" s="291"/>
      <c r="GO39" s="291"/>
      <c r="GP39" s="291"/>
      <c r="GQ39" s="291"/>
      <c r="GR39" s="291"/>
      <c r="GS39" s="291"/>
      <c r="GT39" s="291"/>
      <c r="GU39" s="291"/>
      <c r="GV39" s="291"/>
      <c r="GW39" s="291"/>
      <c r="GX39" s="291"/>
      <c r="GY39" s="291"/>
      <c r="GZ39" s="291"/>
      <c r="HA39" s="291"/>
      <c r="HB39" s="291"/>
      <c r="HC39" s="291"/>
      <c r="HD39" s="291"/>
      <c r="HE39" s="291"/>
      <c r="HF39" s="291"/>
      <c r="HG39" s="291"/>
      <c r="HH39" s="291"/>
      <c r="HI39" s="291"/>
      <c r="HJ39" s="291"/>
      <c r="HK39" s="291"/>
      <c r="HL39" s="291"/>
      <c r="HM39" s="291"/>
      <c r="HN39" s="291"/>
      <c r="HO39" s="291"/>
      <c r="HP39" s="291"/>
      <c r="HQ39" s="291"/>
      <c r="HR39" s="291"/>
      <c r="HS39" s="291"/>
      <c r="HT39" s="291"/>
      <c r="HU39" s="291"/>
      <c r="HV39" s="291"/>
      <c r="HW39" s="291"/>
      <c r="HX39" s="291"/>
      <c r="HY39" s="291"/>
      <c r="HZ39" s="291"/>
      <c r="IA39" s="291"/>
      <c r="IB39" s="291"/>
      <c r="IC39" s="291"/>
      <c r="ID39" s="291"/>
      <c r="IE39" s="291"/>
      <c r="IF39" s="291"/>
      <c r="IG39" s="291"/>
      <c r="IH39" s="291"/>
      <c r="II39" s="291"/>
      <c r="IJ39" s="291"/>
      <c r="IK39" s="291"/>
      <c r="IL39" s="291"/>
      <c r="IM39" s="291"/>
      <c r="IN39" s="291"/>
      <c r="IO39" s="291"/>
      <c r="IP39" s="291"/>
      <c r="IQ39" s="291"/>
      <c r="IR39" s="291"/>
      <c r="IS39" s="291"/>
      <c r="IT39" s="291"/>
      <c r="IU39" s="291"/>
      <c r="IV39" s="291"/>
      <c r="IW39" s="291"/>
      <c r="IX39" s="291"/>
      <c r="IY39" s="291"/>
      <c r="IZ39" s="291"/>
      <c r="JA39" s="291"/>
      <c r="JB39" s="291"/>
      <c r="JC39" s="291"/>
      <c r="JD39" s="291"/>
      <c r="JE39" s="291"/>
      <c r="JF39" s="291"/>
      <c r="JG39" s="291"/>
      <c r="JH39" s="291"/>
      <c r="JI39" s="291"/>
      <c r="JJ39" s="291"/>
      <c r="JK39" s="291"/>
      <c r="JL39" s="291"/>
      <c r="JM39" s="291"/>
      <c r="JN39" s="291"/>
      <c r="JO39" s="291"/>
      <c r="JP39" s="291"/>
      <c r="JQ39" s="291"/>
      <c r="JR39" s="291"/>
      <c r="JS39" s="291"/>
      <c r="JT39" s="291"/>
      <c r="JU39" s="291"/>
      <c r="JV39" s="291"/>
      <c r="JW39" s="291"/>
      <c r="JX39" s="291"/>
      <c r="JY39" s="291"/>
      <c r="JZ39" s="291"/>
      <c r="KA39" s="291"/>
      <c r="KB39" s="291"/>
      <c r="KC39" s="291"/>
      <c r="KD39" s="291"/>
      <c r="KE39" s="291"/>
      <c r="KF39" s="291"/>
      <c r="KG39" s="291"/>
      <c r="KH39" s="291"/>
      <c r="KI39" s="291"/>
      <c r="KJ39" s="291"/>
      <c r="KK39" s="291"/>
      <c r="KL39" s="291"/>
      <c r="KM39" s="291"/>
      <c r="KN39" s="291"/>
      <c r="KO39" s="291"/>
      <c r="KP39" s="291"/>
      <c r="KQ39" s="291"/>
      <c r="KR39" s="291"/>
      <c r="KS39" s="291"/>
      <c r="KT39" s="291"/>
      <c r="KU39" s="291"/>
      <c r="KV39" s="291"/>
      <c r="KW39" s="291"/>
      <c r="KX39" s="291"/>
      <c r="KY39" s="291"/>
      <c r="KZ39" s="291"/>
      <c r="LA39" s="291"/>
      <c r="LB39" s="291"/>
      <c r="LC39" s="291"/>
      <c r="LD39" s="291"/>
      <c r="LE39" s="291"/>
      <c r="LF39" s="291"/>
      <c r="LG39" s="291"/>
      <c r="LH39" s="291"/>
      <c r="LI39" s="291"/>
      <c r="LJ39" s="291"/>
      <c r="LK39" s="291"/>
      <c r="LL39" s="291"/>
      <c r="LM39" s="291"/>
      <c r="LN39" s="291"/>
      <c r="LO39" s="291"/>
      <c r="LP39" s="291"/>
      <c r="LQ39" s="291"/>
      <c r="LR39" s="291"/>
      <c r="LS39" s="291"/>
      <c r="LT39" s="291"/>
      <c r="LU39" s="291"/>
      <c r="LV39" s="291"/>
      <c r="LW39" s="291"/>
      <c r="LX39" s="291"/>
      <c r="LY39" s="291"/>
      <c r="LZ39" s="291"/>
      <c r="MA39" s="291"/>
      <c r="MB39" s="291"/>
      <c r="MC39" s="291"/>
      <c r="MD39" s="291"/>
      <c r="ME39" s="291"/>
      <c r="MF39" s="291"/>
      <c r="MG39" s="291"/>
      <c r="MH39" s="291"/>
      <c r="MI39" s="291"/>
      <c r="MJ39" s="291"/>
      <c r="MK39" s="291"/>
      <c r="ML39" s="291"/>
      <c r="MM39" s="291"/>
      <c r="MN39" s="291"/>
      <c r="MO39" s="291"/>
      <c r="MP39" s="291"/>
      <c r="MQ39" s="291"/>
      <c r="MR39" s="291"/>
      <c r="MS39" s="291"/>
      <c r="MT39" s="291"/>
      <c r="MU39" s="291"/>
      <c r="MV39" s="291"/>
      <c r="MW39" s="291"/>
      <c r="MX39" s="291"/>
      <c r="MY39" s="291"/>
      <c r="MZ39" s="291"/>
      <c r="NA39" s="291"/>
      <c r="NB39" s="291"/>
      <c r="NC39" s="291"/>
      <c r="ND39" s="291"/>
      <c r="NE39" s="291"/>
      <c r="NF39" s="291"/>
      <c r="NG39" s="291"/>
      <c r="NH39" s="291"/>
      <c r="NI39" s="291"/>
      <c r="NJ39" s="291"/>
      <c r="NK39" s="291"/>
      <c r="NL39" s="291"/>
      <c r="NM39" s="291"/>
      <c r="NN39" s="291"/>
      <c r="NO39" s="291"/>
      <c r="NP39" s="291"/>
      <c r="NQ39" s="291"/>
      <c r="NR39" s="291"/>
      <c r="NS39" s="291"/>
      <c r="NT39" s="291"/>
      <c r="NU39" s="291"/>
      <c r="NV39" s="291"/>
      <c r="NW39" s="291"/>
      <c r="NX39" s="291"/>
      <c r="NY39" s="291"/>
      <c r="NZ39" s="291"/>
      <c r="OA39" s="291"/>
      <c r="OB39" s="291"/>
      <c r="OC39" s="291"/>
      <c r="OD39" s="291"/>
      <c r="OE39" s="291"/>
      <c r="OF39" s="291"/>
      <c r="OG39" s="291"/>
      <c r="OH39" s="291"/>
      <c r="OI39" s="291"/>
      <c r="OJ39" s="291"/>
      <c r="OK39" s="291"/>
      <c r="OL39" s="291"/>
      <c r="OM39" s="291"/>
      <c r="ON39" s="291"/>
      <c r="OO39" s="291"/>
      <c r="OP39" s="291"/>
      <c r="OQ39" s="291"/>
      <c r="OR39" s="291"/>
      <c r="OS39" s="291"/>
      <c r="OT39" s="291"/>
      <c r="OU39" s="291"/>
      <c r="OV39" s="291"/>
      <c r="OW39" s="291"/>
      <c r="OX39" s="291"/>
      <c r="OY39" s="291"/>
      <c r="OZ39" s="291"/>
      <c r="PA39" s="291"/>
      <c r="PB39" s="291"/>
      <c r="PC39" s="291"/>
      <c r="PD39" s="291"/>
      <c r="PE39" s="291"/>
      <c r="PF39" s="291"/>
      <c r="PG39" s="291"/>
      <c r="PH39" s="291"/>
      <c r="PI39" s="291"/>
      <c r="PJ39" s="291"/>
      <c r="PK39" s="291"/>
      <c r="PL39" s="291"/>
      <c r="PM39" s="291"/>
      <c r="PN39" s="291"/>
      <c r="PO39" s="291"/>
      <c r="PP39" s="291"/>
      <c r="PQ39" s="291"/>
      <c r="PR39" s="291"/>
      <c r="PS39" s="291"/>
      <c r="PT39" s="291"/>
      <c r="PU39" s="291"/>
      <c r="PV39" s="291"/>
      <c r="PW39" s="291"/>
      <c r="PX39" s="291"/>
      <c r="PY39" s="291"/>
      <c r="PZ39" s="291"/>
      <c r="QA39" s="291"/>
      <c r="QB39" s="291"/>
      <c r="QC39" s="291"/>
      <c r="QD39" s="291"/>
      <c r="QE39" s="291"/>
      <c r="QF39" s="291"/>
      <c r="QG39" s="291"/>
      <c r="QH39" s="291"/>
      <c r="QI39" s="291"/>
      <c r="QJ39" s="291"/>
      <c r="QK39" s="291"/>
      <c r="QL39" s="291"/>
      <c r="QM39" s="291"/>
      <c r="QN39" s="291"/>
      <c r="QO39" s="291"/>
      <c r="QP39" s="291"/>
      <c r="QQ39" s="291"/>
      <c r="QR39" s="291"/>
      <c r="QS39" s="291"/>
      <c r="QT39" s="291"/>
      <c r="QU39" s="291"/>
      <c r="QV39" s="291"/>
      <c r="QW39" s="291"/>
      <c r="QX39" s="291"/>
      <c r="QY39" s="291"/>
      <c r="QZ39" s="291"/>
      <c r="RA39" s="291"/>
      <c r="RB39" s="291"/>
      <c r="RC39" s="291"/>
      <c r="RD39" s="291"/>
      <c r="RE39" s="291"/>
      <c r="RF39" s="291"/>
      <c r="RG39" s="291"/>
      <c r="RH39" s="291"/>
      <c r="RI39" s="291"/>
      <c r="RJ39" s="291"/>
      <c r="RK39" s="291"/>
      <c r="RL39" s="291"/>
      <c r="RM39" s="291"/>
      <c r="RN39" s="291"/>
      <c r="RO39" s="291"/>
      <c r="RP39" s="291"/>
      <c r="RQ39" s="291"/>
      <c r="RR39" s="291"/>
      <c r="RS39" s="291"/>
      <c r="RT39" s="291"/>
      <c r="RU39" s="291"/>
      <c r="RV39" s="291"/>
      <c r="RW39" s="291"/>
      <c r="RX39" s="291"/>
      <c r="RY39" s="291"/>
      <c r="RZ39" s="291"/>
      <c r="SA39" s="291"/>
      <c r="SB39" s="291"/>
      <c r="SC39" s="291"/>
      <c r="SD39" s="291"/>
      <c r="SE39" s="291"/>
      <c r="SF39" s="291"/>
      <c r="SG39" s="291"/>
      <c r="SH39" s="291"/>
      <c r="SI39" s="291"/>
      <c r="SJ39" s="291"/>
      <c r="SK39" s="291"/>
      <c r="SL39" s="291"/>
      <c r="SM39" s="291"/>
      <c r="SN39" s="291"/>
      <c r="SO39" s="291"/>
      <c r="SP39" s="291"/>
      <c r="SQ39" s="291"/>
      <c r="SR39" s="291"/>
      <c r="SS39" s="291"/>
      <c r="ST39" s="291"/>
      <c r="SU39" s="291"/>
      <c r="SV39" s="291"/>
      <c r="SW39" s="291"/>
      <c r="SX39" s="291"/>
      <c r="SY39" s="291"/>
      <c r="SZ39" s="291"/>
      <c r="TA39" s="291"/>
      <c r="TB39" s="291"/>
      <c r="TC39" s="291"/>
      <c r="TD39" s="291"/>
      <c r="TE39" s="291"/>
      <c r="TF39" s="291"/>
      <c r="TG39" s="291"/>
      <c r="TH39" s="291"/>
      <c r="TI39" s="291"/>
      <c r="TJ39" s="291"/>
      <c r="TK39" s="291"/>
      <c r="TL39" s="291"/>
      <c r="TM39" s="291"/>
      <c r="TN39" s="291"/>
      <c r="TO39" s="291"/>
      <c r="TP39" s="291"/>
      <c r="TQ39" s="291"/>
      <c r="TR39" s="291"/>
    </row>
    <row r="40" spans="1:538" ht="12.65" customHeight="1" x14ac:dyDescent="0.25">
      <c r="A40" s="1632" t="s">
        <v>443</v>
      </c>
      <c r="B40" s="1632"/>
      <c r="C40" s="1632"/>
      <c r="D40" s="1568"/>
      <c r="E40" s="1568"/>
      <c r="F40" s="1568"/>
      <c r="G40" s="1569"/>
      <c r="H40" s="348" t="e">
        <f>SUM(H8:H38)</f>
        <v>#REF!</v>
      </c>
      <c r="I40" s="1570"/>
      <c r="J40" s="1571"/>
      <c r="K40" s="477" t="e">
        <f>H40</f>
        <v>#REF!</v>
      </c>
      <c r="L40" s="1559"/>
      <c r="M40" s="1559"/>
      <c r="N40" s="1559"/>
      <c r="O40" s="1560"/>
      <c r="P40" s="347" t="e">
        <f>SUM(P8:P38)</f>
        <v>#REF!</v>
      </c>
      <c r="Q40" s="1564"/>
      <c r="R40" s="1566"/>
      <c r="S40" s="302" t="e">
        <f>P40</f>
        <v>#REF!</v>
      </c>
      <c r="T40" s="1558"/>
      <c r="U40" s="1559"/>
      <c r="V40" s="1559"/>
      <c r="W40" s="1560"/>
      <c r="X40" s="347" t="e">
        <f>SUM(X8:X38)</f>
        <v>#REF!</v>
      </c>
      <c r="Y40" s="1564"/>
      <c r="Z40" s="1566"/>
      <c r="AA40" s="302" t="e">
        <f>X40</f>
        <v>#REF!</v>
      </c>
      <c r="AB40" s="1558"/>
      <c r="AC40" s="1559"/>
      <c r="AD40" s="1559"/>
      <c r="AE40" s="1560"/>
      <c r="AF40" s="347" t="e">
        <f>SUM(AF8:AF38)</f>
        <v>#REF!</v>
      </c>
      <c r="AG40" s="1564"/>
      <c r="AH40" s="1566"/>
      <c r="AI40" s="302" t="e">
        <f>AF40</f>
        <v>#REF!</v>
      </c>
      <c r="AJ40" s="1558"/>
      <c r="AK40" s="1559"/>
      <c r="AL40" s="1559"/>
      <c r="AM40" s="1560"/>
      <c r="AN40" s="347" t="e">
        <f>SUM(AN8:AN38)</f>
        <v>#REF!</v>
      </c>
      <c r="AO40" s="1564"/>
      <c r="AP40" s="1566"/>
      <c r="AQ40" s="302" t="e">
        <f>AN40</f>
        <v>#REF!</v>
      </c>
      <c r="AR40" s="1558"/>
      <c r="AS40" s="1559"/>
      <c r="AT40" s="1559"/>
      <c r="AU40" s="1560"/>
      <c r="AV40" s="347" t="e">
        <f>SUM(AV8:AV38)</f>
        <v>#REF!</v>
      </c>
      <c r="AW40" s="1564"/>
      <c r="AX40" s="1566"/>
      <c r="AY40" s="406" t="e">
        <f>AV40</f>
        <v>#REF!</v>
      </c>
      <c r="AZ40" s="1439"/>
      <c r="BA40" s="431" t="e">
        <f>K40+S40+AA40+AI40+AQ40+AY40</f>
        <v>#REF!</v>
      </c>
    </row>
    <row r="41" spans="1:538" s="384" customFormat="1" ht="12.65" customHeight="1" x14ac:dyDescent="0.25">
      <c r="A41" s="382"/>
      <c r="B41" s="296" t="s">
        <v>444</v>
      </c>
      <c r="C41" s="487"/>
      <c r="D41" s="314" t="e">
        <f>F39</f>
        <v>#REF!</v>
      </c>
      <c r="E41" s="356">
        <v>0</v>
      </c>
      <c r="F41" s="1570"/>
      <c r="G41" s="1571"/>
      <c r="H41" s="1571"/>
      <c r="I41" s="1571"/>
      <c r="J41" s="1571"/>
      <c r="K41" s="495" t="e">
        <f>D41*E41</f>
        <v>#REF!</v>
      </c>
      <c r="L41" s="314" t="e">
        <f>N39</f>
        <v>#REF!</v>
      </c>
      <c r="M41" s="356">
        <v>0</v>
      </c>
      <c r="N41" s="1564"/>
      <c r="O41" s="1565"/>
      <c r="P41" s="1565"/>
      <c r="Q41" s="1565"/>
      <c r="R41" s="1566"/>
      <c r="S41" s="315" t="e">
        <f>L41*M41</f>
        <v>#REF!</v>
      </c>
      <c r="T41" s="314" t="e">
        <f>V39</f>
        <v>#REF!</v>
      </c>
      <c r="U41" s="356">
        <v>0</v>
      </c>
      <c r="V41" s="1564"/>
      <c r="W41" s="1565"/>
      <c r="X41" s="1565"/>
      <c r="Y41" s="1565"/>
      <c r="Z41" s="1566"/>
      <c r="AA41" s="315" t="e">
        <f>T41*U41</f>
        <v>#REF!</v>
      </c>
      <c r="AB41" s="314" t="e">
        <f>AD39</f>
        <v>#REF!</v>
      </c>
      <c r="AC41" s="356">
        <v>0</v>
      </c>
      <c r="AD41" s="1564"/>
      <c r="AE41" s="1565"/>
      <c r="AF41" s="1565"/>
      <c r="AG41" s="1565"/>
      <c r="AH41" s="1566"/>
      <c r="AI41" s="302" t="e">
        <f>AB41*AC41</f>
        <v>#REF!</v>
      </c>
      <c r="AJ41" s="314" t="e">
        <f>AL39</f>
        <v>#REF!</v>
      </c>
      <c r="AK41" s="313">
        <v>0</v>
      </c>
      <c r="AL41" s="1564"/>
      <c r="AM41" s="1565"/>
      <c r="AN41" s="1565"/>
      <c r="AO41" s="1565"/>
      <c r="AP41" s="1566"/>
      <c r="AQ41" s="315" t="e">
        <f>AJ41*AK41</f>
        <v>#REF!</v>
      </c>
      <c r="AR41" s="314" t="e">
        <f>AT39</f>
        <v>#REF!</v>
      </c>
      <c r="AS41" s="313">
        <v>0</v>
      </c>
      <c r="AT41" s="1564"/>
      <c r="AU41" s="1565"/>
      <c r="AV41" s="1565"/>
      <c r="AW41" s="1565"/>
      <c r="AX41" s="1566"/>
      <c r="AY41" s="406" t="e">
        <f>AR41*AS41</f>
        <v>#REF!</v>
      </c>
      <c r="AZ41" s="1440"/>
      <c r="BA41" s="431" t="e">
        <f>K41+S41+AA41+AI41+AQ41+AY41</f>
        <v>#REF!</v>
      </c>
      <c r="BB41" s="291"/>
      <c r="BC41" s="291"/>
      <c r="BD41" s="291"/>
      <c r="BE41" s="291"/>
      <c r="BF41" s="291"/>
      <c r="BG41" s="291"/>
      <c r="BH41" s="291"/>
      <c r="BI41" s="291"/>
      <c r="BJ41" s="291"/>
      <c r="BK41" s="291"/>
      <c r="BL41" s="291"/>
      <c r="BM41" s="291"/>
      <c r="BN41" s="291"/>
      <c r="BO41" s="291"/>
      <c r="BP41" s="291"/>
      <c r="BQ41" s="291"/>
      <c r="BR41" s="291"/>
      <c r="BS41" s="291"/>
      <c r="BT41" s="291"/>
      <c r="BU41" s="291"/>
      <c r="BV41" s="291"/>
      <c r="BW41" s="291"/>
      <c r="BX41" s="291"/>
      <c r="BY41" s="291"/>
      <c r="BZ41" s="291"/>
      <c r="CA41" s="291"/>
      <c r="CB41" s="291"/>
      <c r="CC41" s="291"/>
      <c r="CD41" s="291"/>
      <c r="CE41" s="291"/>
      <c r="CF41" s="291"/>
      <c r="CG41" s="291"/>
      <c r="CH41" s="291"/>
      <c r="CI41" s="291"/>
      <c r="CJ41" s="291"/>
      <c r="CK41" s="291"/>
      <c r="CL41" s="291"/>
      <c r="CM41" s="291"/>
      <c r="CN41" s="291"/>
      <c r="CO41" s="291"/>
      <c r="CP41" s="291"/>
      <c r="CQ41" s="291"/>
      <c r="CR41" s="291"/>
      <c r="CS41" s="291"/>
      <c r="CT41" s="291"/>
      <c r="CU41" s="291"/>
      <c r="CV41" s="291"/>
      <c r="CW41" s="291"/>
      <c r="CX41" s="291"/>
      <c r="CY41" s="291"/>
      <c r="CZ41" s="291"/>
      <c r="DA41" s="291"/>
      <c r="DB41" s="291"/>
      <c r="DC41" s="291"/>
      <c r="DD41" s="291"/>
      <c r="DE41" s="291"/>
      <c r="DF41" s="291"/>
      <c r="DG41" s="291"/>
      <c r="DH41" s="291"/>
      <c r="DI41" s="291"/>
      <c r="DJ41" s="291"/>
      <c r="DK41" s="291"/>
      <c r="DL41" s="291"/>
      <c r="DM41" s="291"/>
      <c r="DN41" s="291"/>
      <c r="DO41" s="291"/>
      <c r="DP41" s="291"/>
      <c r="DQ41" s="291"/>
      <c r="DR41" s="291"/>
      <c r="DS41" s="291"/>
      <c r="DT41" s="291"/>
      <c r="DU41" s="291"/>
      <c r="DV41" s="291"/>
      <c r="DW41" s="291"/>
      <c r="DX41" s="291"/>
      <c r="DY41" s="291"/>
      <c r="DZ41" s="291"/>
      <c r="EA41" s="291"/>
      <c r="EB41" s="291"/>
      <c r="EC41" s="291"/>
      <c r="ED41" s="291"/>
      <c r="EE41" s="291"/>
      <c r="EF41" s="291"/>
      <c r="EG41" s="291"/>
      <c r="EH41" s="291"/>
      <c r="EI41" s="291"/>
      <c r="EJ41" s="291"/>
      <c r="EK41" s="291"/>
      <c r="EL41" s="291"/>
      <c r="EM41" s="291"/>
      <c r="EN41" s="291"/>
      <c r="EO41" s="291"/>
      <c r="EP41" s="291"/>
      <c r="EQ41" s="291"/>
      <c r="ER41" s="291"/>
      <c r="ES41" s="291"/>
      <c r="ET41" s="291"/>
      <c r="EU41" s="291"/>
      <c r="EV41" s="291"/>
      <c r="EW41" s="291"/>
      <c r="EX41" s="291"/>
      <c r="EY41" s="291"/>
      <c r="EZ41" s="291"/>
      <c r="FA41" s="291"/>
      <c r="FB41" s="291"/>
      <c r="FC41" s="291"/>
      <c r="FD41" s="291"/>
      <c r="FE41" s="291"/>
      <c r="FF41" s="291"/>
      <c r="FG41" s="291"/>
      <c r="FH41" s="291"/>
      <c r="FI41" s="291"/>
      <c r="FJ41" s="291"/>
      <c r="FK41" s="291"/>
      <c r="FL41" s="291"/>
      <c r="FM41" s="291"/>
      <c r="FN41" s="291"/>
      <c r="FO41" s="291"/>
      <c r="FP41" s="291"/>
      <c r="FQ41" s="291"/>
      <c r="FR41" s="291"/>
      <c r="FS41" s="291"/>
      <c r="FT41" s="291"/>
      <c r="FU41" s="291"/>
      <c r="FV41" s="291"/>
      <c r="FW41" s="291"/>
      <c r="FX41" s="291"/>
      <c r="FY41" s="291"/>
      <c r="FZ41" s="291"/>
      <c r="GA41" s="291"/>
      <c r="GB41" s="291"/>
      <c r="GC41" s="291"/>
      <c r="GD41" s="291"/>
      <c r="GE41" s="291"/>
      <c r="GF41" s="291"/>
      <c r="GG41" s="291"/>
      <c r="GH41" s="291"/>
      <c r="GI41" s="291"/>
      <c r="GJ41" s="291"/>
      <c r="GK41" s="291"/>
      <c r="GL41" s="291"/>
      <c r="GM41" s="291"/>
      <c r="GN41" s="291"/>
      <c r="GO41" s="291"/>
      <c r="GP41" s="291"/>
      <c r="GQ41" s="291"/>
      <c r="GR41" s="291"/>
      <c r="GS41" s="291"/>
      <c r="GT41" s="291"/>
      <c r="GU41" s="291"/>
      <c r="GV41" s="291"/>
      <c r="GW41" s="291"/>
      <c r="GX41" s="291"/>
      <c r="GY41" s="291"/>
      <c r="GZ41" s="291"/>
      <c r="HA41" s="291"/>
      <c r="HB41" s="291"/>
      <c r="HC41" s="291"/>
      <c r="HD41" s="291"/>
      <c r="HE41" s="291"/>
      <c r="HF41" s="291"/>
      <c r="HG41" s="291"/>
      <c r="HH41" s="291"/>
      <c r="HI41" s="291"/>
      <c r="HJ41" s="291"/>
      <c r="HK41" s="291"/>
      <c r="HL41" s="291"/>
      <c r="HM41" s="291"/>
      <c r="HN41" s="291"/>
      <c r="HO41" s="291"/>
      <c r="HP41" s="291"/>
      <c r="HQ41" s="291"/>
      <c r="HR41" s="291"/>
      <c r="HS41" s="291"/>
      <c r="HT41" s="291"/>
      <c r="HU41" s="291"/>
      <c r="HV41" s="291"/>
      <c r="HW41" s="291"/>
      <c r="HX41" s="291"/>
      <c r="HY41" s="291"/>
      <c r="HZ41" s="291"/>
      <c r="IA41" s="291"/>
      <c r="IB41" s="291"/>
      <c r="IC41" s="291"/>
      <c r="ID41" s="291"/>
      <c r="IE41" s="291"/>
      <c r="IF41" s="291"/>
      <c r="IG41" s="291"/>
      <c r="IH41" s="291"/>
      <c r="II41" s="291"/>
      <c r="IJ41" s="291"/>
      <c r="IK41" s="291"/>
      <c r="IL41" s="291"/>
      <c r="IM41" s="291"/>
      <c r="IN41" s="291"/>
      <c r="IO41" s="291"/>
      <c r="IP41" s="291"/>
      <c r="IQ41" s="291"/>
      <c r="IR41" s="291"/>
      <c r="IS41" s="291"/>
      <c r="IT41" s="291"/>
      <c r="IU41" s="291"/>
      <c r="IV41" s="291"/>
      <c r="IW41" s="291"/>
      <c r="IX41" s="291"/>
      <c r="IY41" s="291"/>
      <c r="IZ41" s="291"/>
      <c r="JA41" s="291"/>
      <c r="JB41" s="291"/>
      <c r="JC41" s="291"/>
      <c r="JD41" s="291"/>
      <c r="JE41" s="291"/>
      <c r="JF41" s="291"/>
      <c r="JG41" s="291"/>
      <c r="JH41" s="291"/>
      <c r="JI41" s="291"/>
      <c r="JJ41" s="291"/>
      <c r="JK41" s="291"/>
      <c r="JL41" s="291"/>
      <c r="JM41" s="291"/>
      <c r="JN41" s="291"/>
      <c r="JO41" s="291"/>
      <c r="JP41" s="291"/>
      <c r="JQ41" s="291"/>
      <c r="JR41" s="291"/>
      <c r="JS41" s="291"/>
      <c r="JT41" s="291"/>
      <c r="JU41" s="291"/>
      <c r="JV41" s="291"/>
      <c r="JW41" s="291"/>
      <c r="JX41" s="291"/>
      <c r="JY41" s="291"/>
      <c r="JZ41" s="291"/>
      <c r="KA41" s="291"/>
      <c r="KB41" s="291"/>
      <c r="KC41" s="291"/>
      <c r="KD41" s="291"/>
      <c r="KE41" s="291"/>
      <c r="KF41" s="291"/>
      <c r="KG41" s="291"/>
      <c r="KH41" s="291"/>
      <c r="KI41" s="291"/>
      <c r="KJ41" s="291"/>
      <c r="KK41" s="291"/>
      <c r="KL41" s="291"/>
      <c r="KM41" s="291"/>
      <c r="KN41" s="291"/>
      <c r="KO41" s="291"/>
      <c r="KP41" s="291"/>
      <c r="KQ41" s="291"/>
      <c r="KR41" s="291"/>
      <c r="KS41" s="291"/>
      <c r="KT41" s="291"/>
      <c r="KU41" s="291"/>
      <c r="KV41" s="291"/>
      <c r="KW41" s="291"/>
      <c r="KX41" s="291"/>
      <c r="KY41" s="291"/>
      <c r="KZ41" s="291"/>
      <c r="LA41" s="291"/>
      <c r="LB41" s="291"/>
      <c r="LC41" s="291"/>
      <c r="LD41" s="291"/>
      <c r="LE41" s="291"/>
      <c r="LF41" s="291"/>
      <c r="LG41" s="291"/>
      <c r="LH41" s="291"/>
      <c r="LI41" s="291"/>
      <c r="LJ41" s="291"/>
      <c r="LK41" s="291"/>
      <c r="LL41" s="291"/>
      <c r="LM41" s="291"/>
      <c r="LN41" s="291"/>
      <c r="LO41" s="291"/>
      <c r="LP41" s="291"/>
      <c r="LQ41" s="291"/>
      <c r="LR41" s="291"/>
      <c r="LS41" s="291"/>
      <c r="LT41" s="291"/>
      <c r="LU41" s="291"/>
      <c r="LV41" s="291"/>
      <c r="LW41" s="291"/>
      <c r="LX41" s="291"/>
      <c r="LY41" s="291"/>
      <c r="LZ41" s="291"/>
      <c r="MA41" s="291"/>
      <c r="MB41" s="291"/>
      <c r="MC41" s="291"/>
      <c r="MD41" s="291"/>
      <c r="ME41" s="291"/>
      <c r="MF41" s="291"/>
      <c r="MG41" s="291"/>
      <c r="MH41" s="291"/>
      <c r="MI41" s="291"/>
      <c r="MJ41" s="291"/>
      <c r="MK41" s="291"/>
      <c r="ML41" s="291"/>
      <c r="MM41" s="291"/>
      <c r="MN41" s="291"/>
      <c r="MO41" s="291"/>
      <c r="MP41" s="291"/>
      <c r="MQ41" s="291"/>
      <c r="MR41" s="291"/>
      <c r="MS41" s="291"/>
      <c r="MT41" s="291"/>
      <c r="MU41" s="291"/>
      <c r="MV41" s="291"/>
      <c r="MW41" s="291"/>
      <c r="MX41" s="291"/>
      <c r="MY41" s="291"/>
      <c r="MZ41" s="291"/>
      <c r="NA41" s="291"/>
      <c r="NB41" s="291"/>
      <c r="NC41" s="291"/>
      <c r="ND41" s="291"/>
      <c r="NE41" s="291"/>
      <c r="NF41" s="291"/>
      <c r="NG41" s="291"/>
      <c r="NH41" s="291"/>
      <c r="NI41" s="291"/>
      <c r="NJ41" s="291"/>
      <c r="NK41" s="291"/>
      <c r="NL41" s="291"/>
      <c r="NM41" s="291"/>
      <c r="NN41" s="291"/>
      <c r="NO41" s="291"/>
      <c r="NP41" s="291"/>
      <c r="NQ41" s="291"/>
      <c r="NR41" s="291"/>
      <c r="NS41" s="291"/>
      <c r="NT41" s="291"/>
      <c r="NU41" s="291"/>
      <c r="NV41" s="291"/>
      <c r="NW41" s="291"/>
      <c r="NX41" s="291"/>
      <c r="NY41" s="291"/>
      <c r="NZ41" s="291"/>
      <c r="OA41" s="291"/>
      <c r="OB41" s="291"/>
      <c r="OC41" s="291"/>
      <c r="OD41" s="291"/>
      <c r="OE41" s="291"/>
      <c r="OF41" s="291"/>
      <c r="OG41" s="291"/>
      <c r="OH41" s="291"/>
      <c r="OI41" s="291"/>
      <c r="OJ41" s="291"/>
      <c r="OK41" s="291"/>
      <c r="OL41" s="291"/>
      <c r="OM41" s="291"/>
      <c r="ON41" s="291"/>
      <c r="OO41" s="291"/>
      <c r="OP41" s="291"/>
      <c r="OQ41" s="291"/>
      <c r="OR41" s="291"/>
      <c r="OS41" s="291"/>
      <c r="OT41" s="291"/>
      <c r="OU41" s="291"/>
      <c r="OV41" s="291"/>
      <c r="OW41" s="291"/>
      <c r="OX41" s="291"/>
      <c r="OY41" s="291"/>
      <c r="OZ41" s="291"/>
      <c r="PA41" s="291"/>
      <c r="PB41" s="291"/>
      <c r="PC41" s="291"/>
      <c r="PD41" s="291"/>
      <c r="PE41" s="291"/>
      <c r="PF41" s="291"/>
      <c r="PG41" s="291"/>
      <c r="PH41" s="291"/>
      <c r="PI41" s="291"/>
      <c r="PJ41" s="291"/>
      <c r="PK41" s="291"/>
      <c r="PL41" s="291"/>
      <c r="PM41" s="291"/>
      <c r="PN41" s="291"/>
      <c r="PO41" s="291"/>
      <c r="PP41" s="291"/>
      <c r="PQ41" s="291"/>
      <c r="PR41" s="291"/>
      <c r="PS41" s="291"/>
      <c r="PT41" s="291"/>
      <c r="PU41" s="291"/>
      <c r="PV41" s="291"/>
      <c r="PW41" s="291"/>
      <c r="PX41" s="291"/>
      <c r="PY41" s="291"/>
      <c r="PZ41" s="291"/>
      <c r="QA41" s="291"/>
      <c r="QB41" s="291"/>
      <c r="QC41" s="291"/>
      <c r="QD41" s="291"/>
      <c r="QE41" s="291"/>
      <c r="QF41" s="291"/>
      <c r="QG41" s="291"/>
      <c r="QH41" s="291"/>
      <c r="QI41" s="291"/>
      <c r="QJ41" s="291"/>
      <c r="QK41" s="291"/>
      <c r="QL41" s="291"/>
      <c r="QM41" s="291"/>
      <c r="QN41" s="291"/>
      <c r="QO41" s="291"/>
      <c r="QP41" s="291"/>
      <c r="QQ41" s="291"/>
      <c r="QR41" s="291"/>
      <c r="QS41" s="291"/>
      <c r="QT41" s="291"/>
      <c r="QU41" s="291"/>
      <c r="QV41" s="291"/>
      <c r="QW41" s="291"/>
      <c r="QX41" s="291"/>
      <c r="QY41" s="291"/>
      <c r="QZ41" s="291"/>
      <c r="RA41" s="291"/>
      <c r="RB41" s="291"/>
      <c r="RC41" s="291"/>
      <c r="RD41" s="291"/>
      <c r="RE41" s="291"/>
      <c r="RF41" s="291"/>
      <c r="RG41" s="291"/>
      <c r="RH41" s="291"/>
      <c r="RI41" s="291"/>
      <c r="RJ41" s="291"/>
      <c r="RK41" s="291"/>
      <c r="RL41" s="291"/>
      <c r="RM41" s="291"/>
      <c r="RN41" s="291"/>
      <c r="RO41" s="291"/>
      <c r="RP41" s="291"/>
      <c r="RQ41" s="291"/>
      <c r="RR41" s="291"/>
      <c r="RS41" s="291"/>
      <c r="RT41" s="291"/>
      <c r="RU41" s="291"/>
      <c r="RV41" s="291"/>
      <c r="RW41" s="291"/>
      <c r="RX41" s="291"/>
      <c r="RY41" s="291"/>
      <c r="RZ41" s="291"/>
      <c r="SA41" s="291"/>
      <c r="SB41" s="291"/>
      <c r="SC41" s="291"/>
      <c r="SD41" s="291"/>
      <c r="SE41" s="291"/>
      <c r="SF41" s="291"/>
      <c r="SG41" s="291"/>
      <c r="SH41" s="291"/>
      <c r="SI41" s="291"/>
      <c r="SJ41" s="291"/>
      <c r="SK41" s="291"/>
      <c r="SL41" s="291"/>
      <c r="SM41" s="291"/>
      <c r="SN41" s="291"/>
      <c r="SO41" s="291"/>
      <c r="SP41" s="291"/>
      <c r="SQ41" s="291"/>
      <c r="SR41" s="291"/>
      <c r="SS41" s="291"/>
      <c r="ST41" s="291"/>
      <c r="SU41" s="291"/>
      <c r="SV41" s="291"/>
      <c r="SW41" s="291"/>
      <c r="SX41" s="291"/>
      <c r="SY41" s="291"/>
      <c r="SZ41" s="291"/>
      <c r="TA41" s="291"/>
      <c r="TB41" s="291"/>
      <c r="TC41" s="291"/>
      <c r="TD41" s="291"/>
      <c r="TE41" s="291"/>
      <c r="TF41" s="291"/>
      <c r="TG41" s="291"/>
      <c r="TH41" s="291"/>
      <c r="TI41" s="291"/>
      <c r="TJ41" s="291"/>
      <c r="TK41" s="291"/>
      <c r="TL41" s="291"/>
      <c r="TM41" s="291"/>
      <c r="TN41" s="291"/>
      <c r="TO41" s="291"/>
      <c r="TP41" s="291"/>
      <c r="TQ41" s="291"/>
      <c r="TR41" s="291"/>
    </row>
    <row r="42" spans="1:538" s="384" customFormat="1" x14ac:dyDescent="0.25">
      <c r="A42" s="1561" t="s">
        <v>248</v>
      </c>
      <c r="B42" s="1561"/>
      <c r="C42" s="1561"/>
      <c r="D42" s="1494"/>
      <c r="E42" s="1494"/>
      <c r="F42" s="1494"/>
      <c r="G42" s="1494"/>
      <c r="H42" s="1494"/>
      <c r="I42" s="1494"/>
      <c r="J42" s="1494"/>
      <c r="K42" s="496" t="e">
        <f>SUM(K40:K41)</f>
        <v>#REF!</v>
      </c>
      <c r="L42" s="1494"/>
      <c r="M42" s="1494"/>
      <c r="N42" s="1494"/>
      <c r="O42" s="1494"/>
      <c r="P42" s="1494"/>
      <c r="Q42" s="1494"/>
      <c r="R42" s="1495"/>
      <c r="S42" s="346" t="e">
        <f>SUM(S40:S41)</f>
        <v>#REF!</v>
      </c>
      <c r="T42" s="1496"/>
      <c r="U42" s="1494"/>
      <c r="V42" s="1494"/>
      <c r="W42" s="1494"/>
      <c r="X42" s="1494"/>
      <c r="Y42" s="1494"/>
      <c r="Z42" s="1495"/>
      <c r="AA42" s="346" t="e">
        <f>SUM(AA40:AA41)</f>
        <v>#REF!</v>
      </c>
      <c r="AB42" s="1496"/>
      <c r="AC42" s="1494"/>
      <c r="AD42" s="1494"/>
      <c r="AE42" s="1494"/>
      <c r="AF42" s="1494"/>
      <c r="AG42" s="1494"/>
      <c r="AH42" s="1495"/>
      <c r="AI42" s="346" t="e">
        <f>SUM(AI40:AI41)</f>
        <v>#REF!</v>
      </c>
      <c r="AJ42" s="1496"/>
      <c r="AK42" s="1494"/>
      <c r="AL42" s="1494"/>
      <c r="AM42" s="1494"/>
      <c r="AN42" s="1494"/>
      <c r="AO42" s="1494"/>
      <c r="AP42" s="1495"/>
      <c r="AQ42" s="346" t="e">
        <f>SUM(AQ40:AQ41)</f>
        <v>#REF!</v>
      </c>
      <c r="AR42" s="1496"/>
      <c r="AS42" s="1494"/>
      <c r="AT42" s="1494"/>
      <c r="AU42" s="1494"/>
      <c r="AV42" s="1494"/>
      <c r="AW42" s="1494"/>
      <c r="AX42" s="1495"/>
      <c r="AY42" s="407" t="e">
        <f>SUM(AY40:AY41)</f>
        <v>#REF!</v>
      </c>
      <c r="AZ42" s="409"/>
      <c r="BA42" s="383" t="e">
        <f>SUM(D42:AY42)</f>
        <v>#REF!</v>
      </c>
      <c r="BB42" s="291"/>
      <c r="BC42" s="291"/>
      <c r="BD42" s="291"/>
      <c r="BE42" s="291"/>
      <c r="BF42" s="291"/>
      <c r="BG42" s="291"/>
      <c r="BH42" s="291"/>
      <c r="BI42" s="291"/>
      <c r="BJ42" s="291"/>
      <c r="BK42" s="291"/>
      <c r="BL42" s="291"/>
      <c r="BM42" s="291"/>
      <c r="BN42" s="291"/>
      <c r="BO42" s="291"/>
      <c r="BP42" s="291"/>
      <c r="BQ42" s="291"/>
      <c r="BR42" s="291"/>
      <c r="BS42" s="291"/>
      <c r="BT42" s="291"/>
      <c r="BU42" s="291"/>
      <c r="BV42" s="291"/>
      <c r="BW42" s="291"/>
      <c r="BX42" s="291"/>
      <c r="BY42" s="291"/>
      <c r="BZ42" s="291"/>
      <c r="CA42" s="291"/>
      <c r="CB42" s="291"/>
      <c r="CC42" s="291"/>
      <c r="CD42" s="291"/>
      <c r="CE42" s="291"/>
      <c r="CF42" s="291"/>
      <c r="CG42" s="291"/>
      <c r="CH42" s="291"/>
      <c r="CI42" s="291"/>
      <c r="CJ42" s="291"/>
      <c r="CK42" s="291"/>
      <c r="CL42" s="291"/>
      <c r="CM42" s="291"/>
      <c r="CN42" s="291"/>
      <c r="CO42" s="291"/>
      <c r="CP42" s="291"/>
      <c r="CQ42" s="291"/>
      <c r="CR42" s="291"/>
      <c r="CS42" s="291"/>
      <c r="CT42" s="291"/>
      <c r="CU42" s="291"/>
      <c r="CV42" s="291"/>
      <c r="CW42" s="291"/>
      <c r="CX42" s="291"/>
      <c r="CY42" s="291"/>
      <c r="CZ42" s="291"/>
      <c r="DA42" s="291"/>
      <c r="DB42" s="291"/>
      <c r="DC42" s="291"/>
      <c r="DD42" s="291"/>
      <c r="DE42" s="291"/>
      <c r="DF42" s="291"/>
      <c r="DG42" s="291"/>
      <c r="DH42" s="291"/>
      <c r="DI42" s="291"/>
      <c r="DJ42" s="291"/>
      <c r="DK42" s="291"/>
      <c r="DL42" s="291"/>
      <c r="DM42" s="291"/>
      <c r="DN42" s="291"/>
      <c r="DO42" s="291"/>
      <c r="DP42" s="291"/>
      <c r="DQ42" s="291"/>
      <c r="DR42" s="291"/>
      <c r="DS42" s="291"/>
      <c r="DT42" s="291"/>
      <c r="DU42" s="291"/>
      <c r="DV42" s="291"/>
      <c r="DW42" s="291"/>
      <c r="DX42" s="291"/>
      <c r="DY42" s="291"/>
      <c r="DZ42" s="291"/>
      <c r="EA42" s="291"/>
      <c r="EB42" s="291"/>
      <c r="EC42" s="291"/>
      <c r="ED42" s="291"/>
      <c r="EE42" s="291"/>
      <c r="EF42" s="291"/>
      <c r="EG42" s="291"/>
      <c r="EH42" s="291"/>
      <c r="EI42" s="291"/>
      <c r="EJ42" s="291"/>
      <c r="EK42" s="291"/>
      <c r="EL42" s="291"/>
      <c r="EM42" s="291"/>
      <c r="EN42" s="291"/>
      <c r="EO42" s="291"/>
      <c r="EP42" s="291"/>
      <c r="EQ42" s="291"/>
      <c r="ER42" s="291"/>
      <c r="ES42" s="291"/>
      <c r="ET42" s="291"/>
      <c r="EU42" s="291"/>
      <c r="EV42" s="291"/>
      <c r="EW42" s="291"/>
      <c r="EX42" s="291"/>
      <c r="EY42" s="291"/>
      <c r="EZ42" s="291"/>
      <c r="FA42" s="291"/>
      <c r="FB42" s="291"/>
      <c r="FC42" s="291"/>
      <c r="FD42" s="291"/>
      <c r="FE42" s="291"/>
      <c r="FF42" s="291"/>
      <c r="FG42" s="291"/>
      <c r="FH42" s="291"/>
      <c r="FI42" s="291"/>
      <c r="FJ42" s="291"/>
      <c r="FK42" s="291"/>
      <c r="FL42" s="291"/>
      <c r="FM42" s="291"/>
      <c r="FN42" s="291"/>
      <c r="FO42" s="291"/>
      <c r="FP42" s="291"/>
      <c r="FQ42" s="291"/>
      <c r="FR42" s="291"/>
      <c r="FS42" s="291"/>
      <c r="FT42" s="291"/>
      <c r="FU42" s="291"/>
      <c r="FV42" s="291"/>
      <c r="FW42" s="291"/>
      <c r="FX42" s="291"/>
      <c r="FY42" s="291"/>
      <c r="FZ42" s="291"/>
      <c r="GA42" s="291"/>
      <c r="GB42" s="291"/>
      <c r="GC42" s="291"/>
      <c r="GD42" s="291"/>
      <c r="GE42" s="291"/>
      <c r="GF42" s="291"/>
      <c r="GG42" s="291"/>
      <c r="GH42" s="291"/>
      <c r="GI42" s="291"/>
      <c r="GJ42" s="291"/>
      <c r="GK42" s="291"/>
      <c r="GL42" s="291"/>
      <c r="GM42" s="291"/>
      <c r="GN42" s="291"/>
      <c r="GO42" s="291"/>
      <c r="GP42" s="291"/>
      <c r="GQ42" s="291"/>
      <c r="GR42" s="291"/>
      <c r="GS42" s="291"/>
      <c r="GT42" s="291"/>
      <c r="GU42" s="291"/>
      <c r="GV42" s="291"/>
      <c r="GW42" s="291"/>
      <c r="GX42" s="291"/>
      <c r="GY42" s="291"/>
      <c r="GZ42" s="291"/>
      <c r="HA42" s="291"/>
      <c r="HB42" s="291"/>
      <c r="HC42" s="291"/>
      <c r="HD42" s="291"/>
      <c r="HE42" s="291"/>
      <c r="HF42" s="291"/>
      <c r="HG42" s="291"/>
      <c r="HH42" s="291"/>
      <c r="HI42" s="291"/>
      <c r="HJ42" s="291"/>
      <c r="HK42" s="291"/>
      <c r="HL42" s="291"/>
      <c r="HM42" s="291"/>
      <c r="HN42" s="291"/>
      <c r="HO42" s="291"/>
      <c r="HP42" s="291"/>
      <c r="HQ42" s="291"/>
      <c r="HR42" s="291"/>
      <c r="HS42" s="291"/>
      <c r="HT42" s="291"/>
      <c r="HU42" s="291"/>
      <c r="HV42" s="291"/>
      <c r="HW42" s="291"/>
      <c r="HX42" s="291"/>
      <c r="HY42" s="291"/>
      <c r="HZ42" s="291"/>
      <c r="IA42" s="291"/>
      <c r="IB42" s="291"/>
      <c r="IC42" s="291"/>
      <c r="ID42" s="291"/>
      <c r="IE42" s="291"/>
      <c r="IF42" s="291"/>
      <c r="IG42" s="291"/>
      <c r="IH42" s="291"/>
      <c r="II42" s="291"/>
      <c r="IJ42" s="291"/>
      <c r="IK42" s="291"/>
      <c r="IL42" s="291"/>
      <c r="IM42" s="291"/>
      <c r="IN42" s="291"/>
      <c r="IO42" s="291"/>
      <c r="IP42" s="291"/>
      <c r="IQ42" s="291"/>
      <c r="IR42" s="291"/>
      <c r="IS42" s="291"/>
      <c r="IT42" s="291"/>
      <c r="IU42" s="291"/>
      <c r="IV42" s="291"/>
      <c r="IW42" s="291"/>
      <c r="IX42" s="291"/>
      <c r="IY42" s="291"/>
      <c r="IZ42" s="291"/>
      <c r="JA42" s="291"/>
      <c r="JB42" s="291"/>
      <c r="JC42" s="291"/>
      <c r="JD42" s="291"/>
      <c r="JE42" s="291"/>
      <c r="JF42" s="291"/>
      <c r="JG42" s="291"/>
      <c r="JH42" s="291"/>
      <c r="JI42" s="291"/>
      <c r="JJ42" s="291"/>
      <c r="JK42" s="291"/>
      <c r="JL42" s="291"/>
      <c r="JM42" s="291"/>
      <c r="JN42" s="291"/>
      <c r="JO42" s="291"/>
      <c r="JP42" s="291"/>
      <c r="JQ42" s="291"/>
      <c r="JR42" s="291"/>
      <c r="JS42" s="291"/>
      <c r="JT42" s="291"/>
      <c r="JU42" s="291"/>
      <c r="JV42" s="291"/>
      <c r="JW42" s="291"/>
      <c r="JX42" s="291"/>
      <c r="JY42" s="291"/>
      <c r="JZ42" s="291"/>
      <c r="KA42" s="291"/>
      <c r="KB42" s="291"/>
      <c r="KC42" s="291"/>
      <c r="KD42" s="291"/>
      <c r="KE42" s="291"/>
      <c r="KF42" s="291"/>
      <c r="KG42" s="291"/>
      <c r="KH42" s="291"/>
      <c r="KI42" s="291"/>
      <c r="KJ42" s="291"/>
      <c r="KK42" s="291"/>
      <c r="KL42" s="291"/>
      <c r="KM42" s="291"/>
      <c r="KN42" s="291"/>
      <c r="KO42" s="291"/>
      <c r="KP42" s="291"/>
      <c r="KQ42" s="291"/>
      <c r="KR42" s="291"/>
      <c r="KS42" s="291"/>
      <c r="KT42" s="291"/>
      <c r="KU42" s="291"/>
      <c r="KV42" s="291"/>
      <c r="KW42" s="291"/>
      <c r="KX42" s="291"/>
      <c r="KY42" s="291"/>
      <c r="KZ42" s="291"/>
      <c r="LA42" s="291"/>
      <c r="LB42" s="291"/>
      <c r="LC42" s="291"/>
      <c r="LD42" s="291"/>
      <c r="LE42" s="291"/>
      <c r="LF42" s="291"/>
      <c r="LG42" s="291"/>
      <c r="LH42" s="291"/>
      <c r="LI42" s="291"/>
      <c r="LJ42" s="291"/>
      <c r="LK42" s="291"/>
      <c r="LL42" s="291"/>
      <c r="LM42" s="291"/>
      <c r="LN42" s="291"/>
      <c r="LO42" s="291"/>
      <c r="LP42" s="291"/>
      <c r="LQ42" s="291"/>
      <c r="LR42" s="291"/>
      <c r="LS42" s="291"/>
      <c r="LT42" s="291"/>
      <c r="LU42" s="291"/>
      <c r="LV42" s="291"/>
      <c r="LW42" s="291"/>
      <c r="LX42" s="291"/>
      <c r="LY42" s="291"/>
      <c r="LZ42" s="291"/>
      <c r="MA42" s="291"/>
      <c r="MB42" s="291"/>
      <c r="MC42" s="291"/>
      <c r="MD42" s="291"/>
      <c r="ME42" s="291"/>
      <c r="MF42" s="291"/>
      <c r="MG42" s="291"/>
      <c r="MH42" s="291"/>
      <c r="MI42" s="291"/>
      <c r="MJ42" s="291"/>
      <c r="MK42" s="291"/>
      <c r="ML42" s="291"/>
      <c r="MM42" s="291"/>
      <c r="MN42" s="291"/>
      <c r="MO42" s="291"/>
      <c r="MP42" s="291"/>
      <c r="MQ42" s="291"/>
      <c r="MR42" s="291"/>
      <c r="MS42" s="291"/>
      <c r="MT42" s="291"/>
      <c r="MU42" s="291"/>
      <c r="MV42" s="291"/>
      <c r="MW42" s="291"/>
      <c r="MX42" s="291"/>
      <c r="MY42" s="291"/>
      <c r="MZ42" s="291"/>
      <c r="NA42" s="291"/>
      <c r="NB42" s="291"/>
      <c r="NC42" s="291"/>
      <c r="ND42" s="291"/>
      <c r="NE42" s="291"/>
      <c r="NF42" s="291"/>
      <c r="NG42" s="291"/>
      <c r="NH42" s="291"/>
      <c r="NI42" s="291"/>
      <c r="NJ42" s="291"/>
      <c r="NK42" s="291"/>
      <c r="NL42" s="291"/>
      <c r="NM42" s="291"/>
      <c r="NN42" s="291"/>
      <c r="NO42" s="291"/>
      <c r="NP42" s="291"/>
      <c r="NQ42" s="291"/>
      <c r="NR42" s="291"/>
      <c r="NS42" s="291"/>
      <c r="NT42" s="291"/>
      <c r="NU42" s="291"/>
      <c r="NV42" s="291"/>
      <c r="NW42" s="291"/>
      <c r="NX42" s="291"/>
      <c r="NY42" s="291"/>
      <c r="NZ42" s="291"/>
      <c r="OA42" s="291"/>
      <c r="OB42" s="291"/>
      <c r="OC42" s="291"/>
      <c r="OD42" s="291"/>
      <c r="OE42" s="291"/>
      <c r="OF42" s="291"/>
      <c r="OG42" s="291"/>
      <c r="OH42" s="291"/>
      <c r="OI42" s="291"/>
      <c r="OJ42" s="291"/>
      <c r="OK42" s="291"/>
      <c r="OL42" s="291"/>
      <c r="OM42" s="291"/>
      <c r="ON42" s="291"/>
      <c r="OO42" s="291"/>
      <c r="OP42" s="291"/>
      <c r="OQ42" s="291"/>
      <c r="OR42" s="291"/>
      <c r="OS42" s="291"/>
      <c r="OT42" s="291"/>
      <c r="OU42" s="291"/>
      <c r="OV42" s="291"/>
      <c r="OW42" s="291"/>
      <c r="OX42" s="291"/>
      <c r="OY42" s="291"/>
      <c r="OZ42" s="291"/>
      <c r="PA42" s="291"/>
      <c r="PB42" s="291"/>
      <c r="PC42" s="291"/>
      <c r="PD42" s="291"/>
      <c r="PE42" s="291"/>
      <c r="PF42" s="291"/>
      <c r="PG42" s="291"/>
      <c r="PH42" s="291"/>
      <c r="PI42" s="291"/>
      <c r="PJ42" s="291"/>
      <c r="PK42" s="291"/>
      <c r="PL42" s="291"/>
      <c r="PM42" s="291"/>
      <c r="PN42" s="291"/>
      <c r="PO42" s="291"/>
      <c r="PP42" s="291"/>
      <c r="PQ42" s="291"/>
      <c r="PR42" s="291"/>
      <c r="PS42" s="291"/>
      <c r="PT42" s="291"/>
      <c r="PU42" s="291"/>
      <c r="PV42" s="291"/>
      <c r="PW42" s="291"/>
      <c r="PX42" s="291"/>
      <c r="PY42" s="291"/>
      <c r="PZ42" s="291"/>
      <c r="QA42" s="291"/>
      <c r="QB42" s="291"/>
      <c r="QC42" s="291"/>
      <c r="QD42" s="291"/>
      <c r="QE42" s="291"/>
      <c r="QF42" s="291"/>
      <c r="QG42" s="291"/>
      <c r="QH42" s="291"/>
      <c r="QI42" s="291"/>
      <c r="QJ42" s="291"/>
      <c r="QK42" s="291"/>
      <c r="QL42" s="291"/>
      <c r="QM42" s="291"/>
      <c r="QN42" s="291"/>
      <c r="QO42" s="291"/>
      <c r="QP42" s="291"/>
      <c r="QQ42" s="291"/>
      <c r="QR42" s="291"/>
      <c r="QS42" s="291"/>
      <c r="QT42" s="291"/>
      <c r="QU42" s="291"/>
      <c r="QV42" s="291"/>
      <c r="QW42" s="291"/>
      <c r="QX42" s="291"/>
      <c r="QY42" s="291"/>
      <c r="QZ42" s="291"/>
      <c r="RA42" s="291"/>
      <c r="RB42" s="291"/>
      <c r="RC42" s="291"/>
      <c r="RD42" s="291"/>
      <c r="RE42" s="291"/>
      <c r="RF42" s="291"/>
      <c r="RG42" s="291"/>
      <c r="RH42" s="291"/>
      <c r="RI42" s="291"/>
      <c r="RJ42" s="291"/>
      <c r="RK42" s="291"/>
      <c r="RL42" s="291"/>
      <c r="RM42" s="291"/>
      <c r="RN42" s="291"/>
      <c r="RO42" s="291"/>
      <c r="RP42" s="291"/>
      <c r="RQ42" s="291"/>
      <c r="RR42" s="291"/>
      <c r="RS42" s="291"/>
      <c r="RT42" s="291"/>
      <c r="RU42" s="291"/>
      <c r="RV42" s="291"/>
      <c r="RW42" s="291"/>
      <c r="RX42" s="291"/>
      <c r="RY42" s="291"/>
      <c r="RZ42" s="291"/>
      <c r="SA42" s="291"/>
      <c r="SB42" s="291"/>
      <c r="SC42" s="291"/>
      <c r="SD42" s="291"/>
      <c r="SE42" s="291"/>
      <c r="SF42" s="291"/>
      <c r="SG42" s="291"/>
      <c r="SH42" s="291"/>
      <c r="SI42" s="291"/>
      <c r="SJ42" s="291"/>
      <c r="SK42" s="291"/>
      <c r="SL42" s="291"/>
      <c r="SM42" s="291"/>
      <c r="SN42" s="291"/>
      <c r="SO42" s="291"/>
      <c r="SP42" s="291"/>
      <c r="SQ42" s="291"/>
      <c r="SR42" s="291"/>
      <c r="SS42" s="291"/>
      <c r="ST42" s="291"/>
      <c r="SU42" s="291"/>
      <c r="SV42" s="291"/>
      <c r="SW42" s="291"/>
      <c r="SX42" s="291"/>
      <c r="SY42" s="291"/>
      <c r="SZ42" s="291"/>
      <c r="TA42" s="291"/>
      <c r="TB42" s="291"/>
      <c r="TC42" s="291"/>
      <c r="TD42" s="291"/>
      <c r="TE42" s="291"/>
      <c r="TF42" s="291"/>
      <c r="TG42" s="291"/>
      <c r="TH42" s="291"/>
      <c r="TI42" s="291"/>
      <c r="TJ42" s="291"/>
      <c r="TK42" s="291"/>
      <c r="TL42" s="291"/>
      <c r="TM42" s="291"/>
      <c r="TN42" s="291"/>
      <c r="TO42" s="291"/>
      <c r="TP42" s="291"/>
      <c r="TQ42" s="291"/>
      <c r="TR42" s="291"/>
    </row>
    <row r="43" spans="1:538" ht="12.65" customHeight="1" x14ac:dyDescent="0.25">
      <c r="A43" s="1572" t="s">
        <v>445</v>
      </c>
      <c r="B43" s="1572"/>
      <c r="C43" s="1572"/>
      <c r="D43" s="1573"/>
      <c r="E43" s="1573"/>
      <c r="F43" s="1573"/>
      <c r="G43" s="1573"/>
      <c r="H43" s="1573"/>
      <c r="I43" s="1574"/>
      <c r="J43" s="349" t="e">
        <f>SUM(J8:J38)</f>
        <v>#REF!</v>
      </c>
      <c r="K43" s="477" t="e">
        <f>J43</f>
        <v>#REF!</v>
      </c>
      <c r="L43" s="1559"/>
      <c r="M43" s="1559"/>
      <c r="N43" s="1559"/>
      <c r="O43" s="1559"/>
      <c r="P43" s="1559"/>
      <c r="Q43" s="1560"/>
      <c r="R43" s="333" t="e">
        <f>SUM(R8:R38)</f>
        <v>#REF!</v>
      </c>
      <c r="S43" s="302" t="e">
        <f>R43</f>
        <v>#REF!</v>
      </c>
      <c r="T43" s="1558"/>
      <c r="U43" s="1559"/>
      <c r="V43" s="1559"/>
      <c r="W43" s="1559"/>
      <c r="X43" s="1559"/>
      <c r="Y43" s="1560"/>
      <c r="Z43" s="333" t="e">
        <f>SUM(Z8:Z38)</f>
        <v>#REF!</v>
      </c>
      <c r="AA43" s="302" t="e">
        <f>Z43</f>
        <v>#REF!</v>
      </c>
      <c r="AB43" s="1558"/>
      <c r="AC43" s="1559"/>
      <c r="AD43" s="1559"/>
      <c r="AE43" s="1559"/>
      <c r="AF43" s="1559"/>
      <c r="AG43" s="1560"/>
      <c r="AH43" s="333" t="e">
        <f>SUM(AH8:AH38)</f>
        <v>#REF!</v>
      </c>
      <c r="AI43" s="302" t="e">
        <f>AH43</f>
        <v>#REF!</v>
      </c>
      <c r="AJ43" s="1558"/>
      <c r="AK43" s="1559"/>
      <c r="AL43" s="1559"/>
      <c r="AM43" s="1559"/>
      <c r="AN43" s="1559"/>
      <c r="AO43" s="1560"/>
      <c r="AP43" s="333" t="e">
        <f>SUM(AP8:AP38)</f>
        <v>#REF!</v>
      </c>
      <c r="AQ43" s="302" t="e">
        <f>AP43</f>
        <v>#REF!</v>
      </c>
      <c r="AR43" s="1558"/>
      <c r="AS43" s="1559"/>
      <c r="AT43" s="1559"/>
      <c r="AU43" s="1559"/>
      <c r="AV43" s="1559"/>
      <c r="AW43" s="1560"/>
      <c r="AX43" s="333" t="e">
        <f>SUM(AX8:AX38)</f>
        <v>#REF!</v>
      </c>
      <c r="AY43" s="406" t="e">
        <f>AX43</f>
        <v>#REF!</v>
      </c>
      <c r="AZ43" s="1439"/>
      <c r="BA43" s="431" t="e">
        <f>K43+S43+AA43+AI43+AQ43+AY43</f>
        <v>#REF!</v>
      </c>
    </row>
    <row r="44" spans="1:538" ht="12.65" customHeight="1" x14ac:dyDescent="0.25">
      <c r="A44" s="335"/>
      <c r="B44" s="296" t="s">
        <v>446</v>
      </c>
      <c r="C44" s="488"/>
      <c r="D44" s="427" t="e">
        <f>F39+K42</f>
        <v>#REF!</v>
      </c>
      <c r="E44" s="356">
        <v>0</v>
      </c>
      <c r="F44" s="1562"/>
      <c r="G44" s="1563"/>
      <c r="H44" s="1563"/>
      <c r="I44" s="1563"/>
      <c r="J44" s="1563"/>
      <c r="K44" s="495" t="e">
        <f>D44*E44</f>
        <v>#REF!</v>
      </c>
      <c r="L44" s="427" t="e">
        <f>N39+S42</f>
        <v>#REF!</v>
      </c>
      <c r="M44" s="356">
        <v>0</v>
      </c>
      <c r="N44" s="1564"/>
      <c r="O44" s="1565"/>
      <c r="P44" s="1565"/>
      <c r="Q44" s="1565"/>
      <c r="R44" s="1566"/>
      <c r="S44" s="302" t="e">
        <f>L44*M44</f>
        <v>#REF!</v>
      </c>
      <c r="T44" s="427" t="e">
        <f>V39+AA42</f>
        <v>#REF!</v>
      </c>
      <c r="U44" s="356">
        <v>0</v>
      </c>
      <c r="V44" s="1564"/>
      <c r="W44" s="1565"/>
      <c r="X44" s="1565"/>
      <c r="Y44" s="1565"/>
      <c r="Z44" s="1566"/>
      <c r="AA44" s="302" t="e">
        <f>T44*U44</f>
        <v>#REF!</v>
      </c>
      <c r="AB44" s="427" t="e">
        <f>AD39+AI42</f>
        <v>#REF!</v>
      </c>
      <c r="AC44" s="356">
        <v>0</v>
      </c>
      <c r="AD44" s="1564"/>
      <c r="AE44" s="1565"/>
      <c r="AF44" s="1565"/>
      <c r="AG44" s="1567"/>
      <c r="AH44" s="301"/>
      <c r="AI44" s="302" t="e">
        <f>AB44*AC44</f>
        <v>#REF!</v>
      </c>
      <c r="AJ44" s="427" t="e">
        <f>AL39+AQ42</f>
        <v>#REF!</v>
      </c>
      <c r="AK44" s="426">
        <v>0</v>
      </c>
      <c r="AL44" s="1564"/>
      <c r="AM44" s="1565"/>
      <c r="AN44" s="1565"/>
      <c r="AO44" s="1565"/>
      <c r="AP44" s="1566"/>
      <c r="AQ44" s="302" t="e">
        <f>AJ44*AK44</f>
        <v>#REF!</v>
      </c>
      <c r="AR44" s="427" t="e">
        <f>AT39+AY42</f>
        <v>#REF!</v>
      </c>
      <c r="AS44" s="426">
        <v>0</v>
      </c>
      <c r="AT44" s="1564"/>
      <c r="AU44" s="1565"/>
      <c r="AV44" s="1565"/>
      <c r="AW44" s="1565"/>
      <c r="AX44" s="1566"/>
      <c r="AY44" s="406" t="e">
        <f>AR44*AS44</f>
        <v>#REF!</v>
      </c>
      <c r="AZ44" s="1440"/>
      <c r="BA44" s="431" t="e">
        <f>K44+S44+AA44+AI44+AQ44+AY44</f>
        <v>#REF!</v>
      </c>
    </row>
    <row r="45" spans="1:538" s="337" customFormat="1" x14ac:dyDescent="0.25">
      <c r="A45" s="1556" t="s">
        <v>250</v>
      </c>
      <c r="B45" s="1556"/>
      <c r="C45" s="1556"/>
      <c r="D45" s="1557"/>
      <c r="E45" s="1557"/>
      <c r="F45" s="1557"/>
      <c r="G45" s="1557"/>
      <c r="H45" s="1557"/>
      <c r="I45" s="1557"/>
      <c r="J45" s="1557"/>
      <c r="K45" s="336" t="e">
        <f>SUM(K43:K44)</f>
        <v>#REF!</v>
      </c>
      <c r="L45" s="1541"/>
      <c r="M45" s="1541"/>
      <c r="N45" s="1541"/>
      <c r="O45" s="1541"/>
      <c r="P45" s="1541"/>
      <c r="Q45" s="1541"/>
      <c r="R45" s="1542"/>
      <c r="S45" s="334" t="e">
        <f>SUM(S43:S44)</f>
        <v>#REF!</v>
      </c>
      <c r="T45" s="1540"/>
      <c r="U45" s="1541"/>
      <c r="V45" s="1541"/>
      <c r="W45" s="1541"/>
      <c r="X45" s="1541"/>
      <c r="Y45" s="1541"/>
      <c r="Z45" s="1542"/>
      <c r="AA45" s="334" t="e">
        <f>SUM(AA43:AA44)</f>
        <v>#REF!</v>
      </c>
      <c r="AB45" s="1540"/>
      <c r="AC45" s="1541"/>
      <c r="AD45" s="1541"/>
      <c r="AE45" s="1541"/>
      <c r="AF45" s="1541"/>
      <c r="AG45" s="1541"/>
      <c r="AH45" s="1542"/>
      <c r="AI45" s="334" t="e">
        <f>SUM(AI43:AI44)</f>
        <v>#REF!</v>
      </c>
      <c r="AJ45" s="1540"/>
      <c r="AK45" s="1541"/>
      <c r="AL45" s="1541"/>
      <c r="AM45" s="1541"/>
      <c r="AN45" s="1541"/>
      <c r="AO45" s="1541"/>
      <c r="AP45" s="1542"/>
      <c r="AQ45" s="334" t="e">
        <f>SUM(AQ43:AQ44)</f>
        <v>#REF!</v>
      </c>
      <c r="AR45" s="1540"/>
      <c r="AS45" s="1541"/>
      <c r="AT45" s="1541"/>
      <c r="AU45" s="1541"/>
      <c r="AV45" s="1541"/>
      <c r="AW45" s="1541"/>
      <c r="AX45" s="1542"/>
      <c r="AY45" s="408" t="e">
        <f>SUM(AY43:AY44)</f>
        <v>#REF!</v>
      </c>
      <c r="AZ45" s="332"/>
      <c r="BA45" s="338" t="e">
        <f>K45+S45+AA45+AI45+AQ45+AY45</f>
        <v>#REF!</v>
      </c>
      <c r="BB45" s="291"/>
      <c r="BC45" s="291"/>
      <c r="BD45" s="291"/>
      <c r="BE45" s="291"/>
      <c r="BF45" s="291"/>
      <c r="BG45" s="291"/>
      <c r="BH45" s="291"/>
      <c r="BI45" s="291"/>
      <c r="BJ45" s="291"/>
      <c r="BK45" s="291"/>
      <c r="BL45" s="291"/>
      <c r="BM45" s="291"/>
      <c r="BN45" s="291"/>
      <c r="BO45" s="291"/>
      <c r="BP45" s="291"/>
      <c r="BQ45" s="291"/>
      <c r="BR45" s="291"/>
      <c r="BS45" s="291"/>
      <c r="BT45" s="291"/>
      <c r="BU45" s="291"/>
      <c r="BV45" s="291"/>
      <c r="BW45" s="291"/>
      <c r="BX45" s="291"/>
      <c r="BY45" s="291"/>
      <c r="BZ45" s="291"/>
      <c r="CA45" s="291"/>
      <c r="CB45" s="291"/>
      <c r="CC45" s="291"/>
      <c r="CD45" s="291"/>
      <c r="CE45" s="291"/>
      <c r="CF45" s="291"/>
      <c r="CG45" s="291"/>
      <c r="CH45" s="291"/>
      <c r="CI45" s="291"/>
      <c r="CJ45" s="291"/>
      <c r="CK45" s="291"/>
      <c r="CL45" s="291"/>
      <c r="CM45" s="291"/>
      <c r="CN45" s="291"/>
      <c r="CO45" s="291"/>
      <c r="CP45" s="291"/>
      <c r="CQ45" s="291"/>
      <c r="CR45" s="291"/>
      <c r="CS45" s="291"/>
      <c r="CT45" s="291"/>
      <c r="CU45" s="291"/>
      <c r="CV45" s="291"/>
      <c r="CW45" s="291"/>
      <c r="CX45" s="291"/>
      <c r="CY45" s="291"/>
      <c r="CZ45" s="291"/>
      <c r="DA45" s="291"/>
      <c r="DB45" s="291"/>
      <c r="DC45" s="291"/>
      <c r="DD45" s="291"/>
      <c r="DE45" s="291"/>
      <c r="DF45" s="291"/>
      <c r="DG45" s="291"/>
      <c r="DH45" s="291"/>
      <c r="DI45" s="291"/>
      <c r="DJ45" s="291"/>
      <c r="DK45" s="291"/>
      <c r="DL45" s="291"/>
      <c r="DM45" s="291"/>
      <c r="DN45" s="291"/>
      <c r="DO45" s="291"/>
      <c r="DP45" s="291"/>
      <c r="DQ45" s="291"/>
      <c r="DR45" s="291"/>
      <c r="DS45" s="291"/>
      <c r="DT45" s="291"/>
      <c r="DU45" s="291"/>
      <c r="DV45" s="291"/>
      <c r="DW45" s="291"/>
      <c r="DX45" s="291"/>
      <c r="DY45" s="291"/>
      <c r="DZ45" s="291"/>
      <c r="EA45" s="291"/>
      <c r="EB45" s="291"/>
      <c r="EC45" s="291"/>
      <c r="ED45" s="291"/>
      <c r="EE45" s="291"/>
      <c r="EF45" s="291"/>
      <c r="EG45" s="291"/>
      <c r="EH45" s="291"/>
      <c r="EI45" s="291"/>
      <c r="EJ45" s="291"/>
      <c r="EK45" s="291"/>
      <c r="EL45" s="291"/>
      <c r="EM45" s="291"/>
      <c r="EN45" s="291"/>
      <c r="EO45" s="291"/>
      <c r="EP45" s="291"/>
      <c r="EQ45" s="291"/>
      <c r="ER45" s="291"/>
      <c r="ES45" s="291"/>
      <c r="ET45" s="291"/>
      <c r="EU45" s="291"/>
      <c r="EV45" s="291"/>
      <c r="EW45" s="291"/>
      <c r="EX45" s="291"/>
      <c r="EY45" s="291"/>
      <c r="EZ45" s="291"/>
      <c r="FA45" s="291"/>
      <c r="FB45" s="291"/>
      <c r="FC45" s="291"/>
      <c r="FD45" s="291"/>
      <c r="FE45" s="291"/>
      <c r="FF45" s="291"/>
      <c r="FG45" s="291"/>
      <c r="FH45" s="291"/>
      <c r="FI45" s="291"/>
      <c r="FJ45" s="291"/>
      <c r="FK45" s="291"/>
      <c r="FL45" s="291"/>
      <c r="FM45" s="291"/>
      <c r="FN45" s="291"/>
      <c r="FO45" s="291"/>
      <c r="FP45" s="291"/>
      <c r="FQ45" s="291"/>
      <c r="FR45" s="291"/>
      <c r="FS45" s="291"/>
      <c r="FT45" s="291"/>
      <c r="FU45" s="291"/>
      <c r="FV45" s="291"/>
      <c r="FW45" s="291"/>
      <c r="FX45" s="291"/>
      <c r="FY45" s="291"/>
      <c r="FZ45" s="291"/>
      <c r="GA45" s="291"/>
      <c r="GB45" s="291"/>
      <c r="GC45" s="291"/>
      <c r="GD45" s="291"/>
      <c r="GE45" s="291"/>
      <c r="GF45" s="291"/>
      <c r="GG45" s="291"/>
      <c r="GH45" s="291"/>
      <c r="GI45" s="291"/>
      <c r="GJ45" s="291"/>
      <c r="GK45" s="291"/>
      <c r="GL45" s="291"/>
      <c r="GM45" s="291"/>
      <c r="GN45" s="291"/>
      <c r="GO45" s="291"/>
      <c r="GP45" s="291"/>
      <c r="GQ45" s="291"/>
      <c r="GR45" s="291"/>
      <c r="GS45" s="291"/>
      <c r="GT45" s="291"/>
      <c r="GU45" s="291"/>
      <c r="GV45" s="291"/>
      <c r="GW45" s="291"/>
      <c r="GX45" s="291"/>
      <c r="GY45" s="291"/>
      <c r="GZ45" s="291"/>
      <c r="HA45" s="291"/>
      <c r="HB45" s="291"/>
      <c r="HC45" s="291"/>
      <c r="HD45" s="291"/>
      <c r="HE45" s="291"/>
      <c r="HF45" s="291"/>
      <c r="HG45" s="291"/>
      <c r="HH45" s="291"/>
      <c r="HI45" s="291"/>
      <c r="HJ45" s="291"/>
      <c r="HK45" s="291"/>
      <c r="HL45" s="291"/>
      <c r="HM45" s="291"/>
      <c r="HN45" s="291"/>
      <c r="HO45" s="291"/>
      <c r="HP45" s="291"/>
      <c r="HQ45" s="291"/>
      <c r="HR45" s="291"/>
      <c r="HS45" s="291"/>
      <c r="HT45" s="291"/>
      <c r="HU45" s="291"/>
      <c r="HV45" s="291"/>
      <c r="HW45" s="291"/>
      <c r="HX45" s="291"/>
      <c r="HY45" s="291"/>
      <c r="HZ45" s="291"/>
      <c r="IA45" s="291"/>
      <c r="IB45" s="291"/>
      <c r="IC45" s="291"/>
      <c r="ID45" s="291"/>
      <c r="IE45" s="291"/>
      <c r="IF45" s="291"/>
      <c r="IG45" s="291"/>
      <c r="IH45" s="291"/>
      <c r="II45" s="291"/>
      <c r="IJ45" s="291"/>
      <c r="IK45" s="291"/>
      <c r="IL45" s="291"/>
      <c r="IM45" s="291"/>
      <c r="IN45" s="291"/>
      <c r="IO45" s="291"/>
      <c r="IP45" s="291"/>
      <c r="IQ45" s="291"/>
      <c r="IR45" s="291"/>
      <c r="IS45" s="291"/>
      <c r="IT45" s="291"/>
      <c r="IU45" s="291"/>
      <c r="IV45" s="291"/>
      <c r="IW45" s="291"/>
      <c r="IX45" s="291"/>
      <c r="IY45" s="291"/>
      <c r="IZ45" s="291"/>
      <c r="JA45" s="291"/>
      <c r="JB45" s="291"/>
      <c r="JC45" s="291"/>
      <c r="JD45" s="291"/>
      <c r="JE45" s="291"/>
      <c r="JF45" s="291"/>
      <c r="JG45" s="291"/>
      <c r="JH45" s="291"/>
      <c r="JI45" s="291"/>
      <c r="JJ45" s="291"/>
      <c r="JK45" s="291"/>
      <c r="JL45" s="291"/>
      <c r="JM45" s="291"/>
      <c r="JN45" s="291"/>
      <c r="JO45" s="291"/>
      <c r="JP45" s="291"/>
      <c r="JQ45" s="291"/>
      <c r="JR45" s="291"/>
      <c r="JS45" s="291"/>
      <c r="JT45" s="291"/>
      <c r="JU45" s="291"/>
      <c r="JV45" s="291"/>
      <c r="JW45" s="291"/>
      <c r="JX45" s="291"/>
      <c r="JY45" s="291"/>
      <c r="JZ45" s="291"/>
      <c r="KA45" s="291"/>
      <c r="KB45" s="291"/>
      <c r="KC45" s="291"/>
      <c r="KD45" s="291"/>
      <c r="KE45" s="291"/>
      <c r="KF45" s="291"/>
      <c r="KG45" s="291"/>
      <c r="KH45" s="291"/>
      <c r="KI45" s="291"/>
      <c r="KJ45" s="291"/>
      <c r="KK45" s="291"/>
      <c r="KL45" s="291"/>
      <c r="KM45" s="291"/>
      <c r="KN45" s="291"/>
      <c r="KO45" s="291"/>
      <c r="KP45" s="291"/>
      <c r="KQ45" s="291"/>
      <c r="KR45" s="291"/>
      <c r="KS45" s="291"/>
      <c r="KT45" s="291"/>
      <c r="KU45" s="291"/>
      <c r="KV45" s="291"/>
      <c r="KW45" s="291"/>
      <c r="KX45" s="291"/>
      <c r="KY45" s="291"/>
      <c r="KZ45" s="291"/>
      <c r="LA45" s="291"/>
      <c r="LB45" s="291"/>
      <c r="LC45" s="291"/>
      <c r="LD45" s="291"/>
      <c r="LE45" s="291"/>
      <c r="LF45" s="291"/>
      <c r="LG45" s="291"/>
      <c r="LH45" s="291"/>
      <c r="LI45" s="291"/>
      <c r="LJ45" s="291"/>
      <c r="LK45" s="291"/>
      <c r="LL45" s="291"/>
      <c r="LM45" s="291"/>
      <c r="LN45" s="291"/>
      <c r="LO45" s="291"/>
      <c r="LP45" s="291"/>
      <c r="LQ45" s="291"/>
      <c r="LR45" s="291"/>
      <c r="LS45" s="291"/>
      <c r="LT45" s="291"/>
      <c r="LU45" s="291"/>
      <c r="LV45" s="291"/>
      <c r="LW45" s="291"/>
      <c r="LX45" s="291"/>
      <c r="LY45" s="291"/>
      <c r="LZ45" s="291"/>
      <c r="MA45" s="291"/>
      <c r="MB45" s="291"/>
      <c r="MC45" s="291"/>
      <c r="MD45" s="291"/>
      <c r="ME45" s="291"/>
      <c r="MF45" s="291"/>
      <c r="MG45" s="291"/>
      <c r="MH45" s="291"/>
      <c r="MI45" s="291"/>
      <c r="MJ45" s="291"/>
      <c r="MK45" s="291"/>
      <c r="ML45" s="291"/>
      <c r="MM45" s="291"/>
      <c r="MN45" s="291"/>
      <c r="MO45" s="291"/>
      <c r="MP45" s="291"/>
      <c r="MQ45" s="291"/>
      <c r="MR45" s="291"/>
      <c r="MS45" s="291"/>
      <c r="MT45" s="291"/>
      <c r="MU45" s="291"/>
      <c r="MV45" s="291"/>
      <c r="MW45" s="291"/>
      <c r="MX45" s="291"/>
      <c r="MY45" s="291"/>
      <c r="MZ45" s="291"/>
      <c r="NA45" s="291"/>
      <c r="NB45" s="291"/>
      <c r="NC45" s="291"/>
      <c r="ND45" s="291"/>
      <c r="NE45" s="291"/>
      <c r="NF45" s="291"/>
      <c r="NG45" s="291"/>
      <c r="NH45" s="291"/>
      <c r="NI45" s="291"/>
      <c r="NJ45" s="291"/>
      <c r="NK45" s="291"/>
      <c r="NL45" s="291"/>
      <c r="NM45" s="291"/>
      <c r="NN45" s="291"/>
      <c r="NO45" s="291"/>
      <c r="NP45" s="291"/>
      <c r="NQ45" s="291"/>
      <c r="NR45" s="291"/>
      <c r="NS45" s="291"/>
      <c r="NT45" s="291"/>
      <c r="NU45" s="291"/>
      <c r="NV45" s="291"/>
      <c r="NW45" s="291"/>
      <c r="NX45" s="291"/>
      <c r="NY45" s="291"/>
      <c r="NZ45" s="291"/>
      <c r="OA45" s="291"/>
      <c r="OB45" s="291"/>
      <c r="OC45" s="291"/>
      <c r="OD45" s="291"/>
      <c r="OE45" s="291"/>
      <c r="OF45" s="291"/>
      <c r="OG45" s="291"/>
      <c r="OH45" s="291"/>
      <c r="OI45" s="291"/>
      <c r="OJ45" s="291"/>
      <c r="OK45" s="291"/>
      <c r="OL45" s="291"/>
      <c r="OM45" s="291"/>
      <c r="ON45" s="291"/>
      <c r="OO45" s="291"/>
      <c r="OP45" s="291"/>
      <c r="OQ45" s="291"/>
      <c r="OR45" s="291"/>
      <c r="OS45" s="291"/>
      <c r="OT45" s="291"/>
      <c r="OU45" s="291"/>
      <c r="OV45" s="291"/>
      <c r="OW45" s="291"/>
      <c r="OX45" s="291"/>
      <c r="OY45" s="291"/>
      <c r="OZ45" s="291"/>
      <c r="PA45" s="291"/>
      <c r="PB45" s="291"/>
      <c r="PC45" s="291"/>
      <c r="PD45" s="291"/>
      <c r="PE45" s="291"/>
      <c r="PF45" s="291"/>
      <c r="PG45" s="291"/>
      <c r="PH45" s="291"/>
      <c r="PI45" s="291"/>
      <c r="PJ45" s="291"/>
      <c r="PK45" s="291"/>
      <c r="PL45" s="291"/>
      <c r="PM45" s="291"/>
      <c r="PN45" s="291"/>
      <c r="PO45" s="291"/>
      <c r="PP45" s="291"/>
      <c r="PQ45" s="291"/>
      <c r="PR45" s="291"/>
      <c r="PS45" s="291"/>
      <c r="PT45" s="291"/>
      <c r="PU45" s="291"/>
      <c r="PV45" s="291"/>
      <c r="PW45" s="291"/>
      <c r="PX45" s="291"/>
      <c r="PY45" s="291"/>
      <c r="PZ45" s="291"/>
      <c r="QA45" s="291"/>
      <c r="QB45" s="291"/>
      <c r="QC45" s="291"/>
      <c r="QD45" s="291"/>
      <c r="QE45" s="291"/>
      <c r="QF45" s="291"/>
      <c r="QG45" s="291"/>
      <c r="QH45" s="291"/>
      <c r="QI45" s="291"/>
      <c r="QJ45" s="291"/>
      <c r="QK45" s="291"/>
      <c r="QL45" s="291"/>
      <c r="QM45" s="291"/>
      <c r="QN45" s="291"/>
      <c r="QO45" s="291"/>
      <c r="QP45" s="291"/>
      <c r="QQ45" s="291"/>
      <c r="QR45" s="291"/>
      <c r="QS45" s="291"/>
      <c r="QT45" s="291"/>
      <c r="QU45" s="291"/>
      <c r="QV45" s="291"/>
      <c r="QW45" s="291"/>
      <c r="QX45" s="291"/>
      <c r="QY45" s="291"/>
      <c r="QZ45" s="291"/>
      <c r="RA45" s="291"/>
      <c r="RB45" s="291"/>
      <c r="RC45" s="291"/>
      <c r="RD45" s="291"/>
      <c r="RE45" s="291"/>
      <c r="RF45" s="291"/>
      <c r="RG45" s="291"/>
      <c r="RH45" s="291"/>
      <c r="RI45" s="291"/>
      <c r="RJ45" s="291"/>
      <c r="RK45" s="291"/>
      <c r="RL45" s="291"/>
      <c r="RM45" s="291"/>
      <c r="RN45" s="291"/>
      <c r="RO45" s="291"/>
      <c r="RP45" s="291"/>
      <c r="RQ45" s="291"/>
      <c r="RR45" s="291"/>
      <c r="RS45" s="291"/>
      <c r="RT45" s="291"/>
      <c r="RU45" s="291"/>
      <c r="RV45" s="291"/>
      <c r="RW45" s="291"/>
      <c r="RX45" s="291"/>
      <c r="RY45" s="291"/>
      <c r="RZ45" s="291"/>
      <c r="SA45" s="291"/>
      <c r="SB45" s="291"/>
      <c r="SC45" s="291"/>
      <c r="SD45" s="291"/>
      <c r="SE45" s="291"/>
      <c r="SF45" s="291"/>
      <c r="SG45" s="291"/>
      <c r="SH45" s="291"/>
      <c r="SI45" s="291"/>
      <c r="SJ45" s="291"/>
      <c r="SK45" s="291"/>
      <c r="SL45" s="291"/>
      <c r="SM45" s="291"/>
      <c r="SN45" s="291"/>
      <c r="SO45" s="291"/>
      <c r="SP45" s="291"/>
      <c r="SQ45" s="291"/>
      <c r="SR45" s="291"/>
      <c r="SS45" s="291"/>
      <c r="ST45" s="291"/>
      <c r="SU45" s="291"/>
      <c r="SV45" s="291"/>
      <c r="SW45" s="291"/>
      <c r="SX45" s="291"/>
      <c r="SY45" s="291"/>
      <c r="SZ45" s="291"/>
      <c r="TA45" s="291"/>
      <c r="TB45" s="291"/>
      <c r="TC45" s="291"/>
      <c r="TD45" s="291"/>
      <c r="TE45" s="291"/>
      <c r="TF45" s="291"/>
      <c r="TG45" s="291"/>
      <c r="TH45" s="291"/>
      <c r="TI45" s="291"/>
      <c r="TJ45" s="291"/>
      <c r="TK45" s="291"/>
      <c r="TL45" s="291"/>
      <c r="TM45" s="291"/>
      <c r="TN45" s="291"/>
      <c r="TO45" s="291"/>
      <c r="TP45" s="291"/>
      <c r="TQ45" s="291"/>
      <c r="TR45" s="291"/>
    </row>
    <row r="46" spans="1:538" x14ac:dyDescent="0.25">
      <c r="A46" s="1543" t="s">
        <v>447</v>
      </c>
      <c r="B46" s="1544"/>
      <c r="C46" s="423" t="s">
        <v>448</v>
      </c>
      <c r="D46" s="1545"/>
      <c r="E46" s="1546"/>
      <c r="F46" s="1546"/>
      <c r="G46" s="1546"/>
      <c r="H46" s="1546"/>
      <c r="I46" s="1546"/>
      <c r="J46" s="1547"/>
      <c r="K46" s="497"/>
      <c r="L46" s="1548"/>
      <c r="M46" s="1548"/>
      <c r="N46" s="1548"/>
      <c r="O46" s="1548"/>
      <c r="P46" s="1548"/>
      <c r="Q46" s="1548"/>
      <c r="R46" s="1549"/>
      <c r="S46" s="429"/>
      <c r="T46" s="1550"/>
      <c r="U46" s="1548"/>
      <c r="V46" s="1548"/>
      <c r="W46" s="1548"/>
      <c r="X46" s="1548"/>
      <c r="Y46" s="1548"/>
      <c r="Z46" s="1548"/>
      <c r="AA46" s="1551"/>
      <c r="AB46" s="1552"/>
      <c r="AC46" s="1548"/>
      <c r="AD46" s="1548"/>
      <c r="AE46" s="1548"/>
      <c r="AF46" s="1548"/>
      <c r="AG46" s="1548"/>
      <c r="AH46" s="1553"/>
      <c r="AI46" s="351"/>
      <c r="AJ46" s="1552"/>
      <c r="AK46" s="1548"/>
      <c r="AL46" s="1548"/>
      <c r="AM46" s="1548"/>
      <c r="AN46" s="1548"/>
      <c r="AO46" s="1548"/>
      <c r="AP46" s="1553"/>
      <c r="AQ46" s="430"/>
      <c r="AR46" s="1554"/>
      <c r="AS46" s="1548"/>
      <c r="AT46" s="1548"/>
      <c r="AU46" s="1548"/>
      <c r="AV46" s="1548"/>
      <c r="AW46" s="1548"/>
      <c r="AX46" s="1548"/>
      <c r="AY46" s="1548"/>
      <c r="AZ46" s="1548"/>
      <c r="BA46" s="1555"/>
    </row>
    <row r="47" spans="1:538" x14ac:dyDescent="0.25">
      <c r="A47" s="352"/>
      <c r="B47" s="294" t="s">
        <v>337</v>
      </c>
      <c r="C47" s="304" t="s">
        <v>338</v>
      </c>
      <c r="D47" s="1537"/>
      <c r="E47" s="1538"/>
      <c r="F47" s="1538"/>
      <c r="G47" s="1538"/>
      <c r="H47" s="1538"/>
      <c r="I47" s="1538"/>
      <c r="J47" s="1539"/>
      <c r="K47" s="495">
        <v>500000</v>
      </c>
      <c r="L47" s="1461"/>
      <c r="M47" s="1461"/>
      <c r="N47" s="1461"/>
      <c r="O47" s="1461"/>
      <c r="P47" s="1461"/>
      <c r="Q47" s="1461"/>
      <c r="R47" s="1462"/>
      <c r="S47" s="302">
        <v>500000</v>
      </c>
      <c r="T47" s="1486"/>
      <c r="U47" s="1461"/>
      <c r="V47" s="1461"/>
      <c r="W47" s="1461"/>
      <c r="X47" s="1461"/>
      <c r="Y47" s="1461"/>
      <c r="Z47" s="1462"/>
      <c r="AA47" s="302">
        <v>500000</v>
      </c>
      <c r="AB47" s="1485"/>
      <c r="AC47" s="1434"/>
      <c r="AD47" s="1434"/>
      <c r="AE47" s="1434"/>
      <c r="AF47" s="1434"/>
      <c r="AG47" s="1434"/>
      <c r="AH47" s="1437"/>
      <c r="AI47" s="302">
        <v>500000</v>
      </c>
      <c r="AJ47" s="1485"/>
      <c r="AK47" s="1434"/>
      <c r="AL47" s="1434"/>
      <c r="AM47" s="1434"/>
      <c r="AN47" s="1434"/>
      <c r="AO47" s="1434"/>
      <c r="AP47" s="1437"/>
      <c r="AQ47" s="302">
        <v>500000</v>
      </c>
      <c r="AR47" s="1485"/>
      <c r="AS47" s="1434"/>
      <c r="AT47" s="1434"/>
      <c r="AU47" s="1434"/>
      <c r="AV47" s="1434"/>
      <c r="AW47" s="1434"/>
      <c r="AX47" s="1437"/>
      <c r="AY47" s="302">
        <v>500000</v>
      </c>
      <c r="AZ47" s="454"/>
      <c r="BA47" s="431">
        <f>K47+S47+AA47+AI47+AQ47+AY47</f>
        <v>3000000</v>
      </c>
    </row>
    <row r="48" spans="1:538" x14ac:dyDescent="0.25">
      <c r="A48" s="352"/>
      <c r="B48" s="294" t="s">
        <v>339</v>
      </c>
      <c r="C48" s="304" t="s">
        <v>338</v>
      </c>
      <c r="D48" s="1537"/>
      <c r="E48" s="1538"/>
      <c r="F48" s="1538"/>
      <c r="G48" s="1538"/>
      <c r="H48" s="1538"/>
      <c r="I48" s="1538"/>
      <c r="J48" s="1539"/>
      <c r="K48" s="495">
        <v>500000</v>
      </c>
      <c r="L48" s="1461"/>
      <c r="M48" s="1461"/>
      <c r="N48" s="1461"/>
      <c r="O48" s="1461"/>
      <c r="P48" s="1461"/>
      <c r="Q48" s="1461"/>
      <c r="R48" s="1462"/>
      <c r="S48" s="302">
        <v>500000</v>
      </c>
      <c r="T48" s="1486"/>
      <c r="U48" s="1461"/>
      <c r="V48" s="1461"/>
      <c r="W48" s="1461"/>
      <c r="X48" s="1461"/>
      <c r="Y48" s="1461"/>
      <c r="Z48" s="1462"/>
      <c r="AA48" s="302">
        <v>500000</v>
      </c>
      <c r="AB48" s="1486"/>
      <c r="AC48" s="1461"/>
      <c r="AD48" s="1461"/>
      <c r="AE48" s="1461"/>
      <c r="AF48" s="1461"/>
      <c r="AG48" s="1461"/>
      <c r="AH48" s="1462"/>
      <c r="AI48" s="302">
        <v>500000</v>
      </c>
      <c r="AJ48" s="1486"/>
      <c r="AK48" s="1461"/>
      <c r="AL48" s="1461"/>
      <c r="AM48" s="1461"/>
      <c r="AN48" s="1461"/>
      <c r="AO48" s="1461"/>
      <c r="AP48" s="1462"/>
      <c r="AQ48" s="302">
        <v>500000</v>
      </c>
      <c r="AR48" s="1486"/>
      <c r="AS48" s="1461"/>
      <c r="AT48" s="1461"/>
      <c r="AU48" s="1461"/>
      <c r="AV48" s="1461"/>
      <c r="AW48" s="1461"/>
      <c r="AX48" s="1462"/>
      <c r="AY48" s="302">
        <v>500000</v>
      </c>
      <c r="AZ48" s="456"/>
      <c r="BA48" s="431">
        <f>K48+S48+AA48+AI48+AQ48+AY48</f>
        <v>3000000</v>
      </c>
    </row>
    <row r="49" spans="1:538" x14ac:dyDescent="0.25">
      <c r="A49" s="352"/>
      <c r="B49" s="294" t="s">
        <v>340</v>
      </c>
      <c r="C49" s="304" t="s">
        <v>338</v>
      </c>
      <c r="D49" s="1537"/>
      <c r="E49" s="1538"/>
      <c r="F49" s="1538"/>
      <c r="G49" s="1538"/>
      <c r="H49" s="1538"/>
      <c r="I49" s="1538"/>
      <c r="J49" s="1539"/>
      <c r="K49" s="495">
        <v>500000</v>
      </c>
      <c r="L49" s="1461"/>
      <c r="M49" s="1461"/>
      <c r="N49" s="1461"/>
      <c r="O49" s="1461"/>
      <c r="P49" s="1461"/>
      <c r="Q49" s="1461"/>
      <c r="R49" s="1462"/>
      <c r="S49" s="302">
        <v>500000</v>
      </c>
      <c r="T49" s="1486"/>
      <c r="U49" s="1461"/>
      <c r="V49" s="1461"/>
      <c r="W49" s="1461"/>
      <c r="X49" s="1461"/>
      <c r="Y49" s="1461"/>
      <c r="Z49" s="1462"/>
      <c r="AA49" s="302">
        <v>500000</v>
      </c>
      <c r="AB49" s="1486"/>
      <c r="AC49" s="1461"/>
      <c r="AD49" s="1461"/>
      <c r="AE49" s="1461"/>
      <c r="AF49" s="1461"/>
      <c r="AG49" s="1461"/>
      <c r="AH49" s="1462"/>
      <c r="AI49" s="302">
        <v>500000</v>
      </c>
      <c r="AJ49" s="1486"/>
      <c r="AK49" s="1461"/>
      <c r="AL49" s="1461"/>
      <c r="AM49" s="1461"/>
      <c r="AN49" s="1461"/>
      <c r="AO49" s="1461"/>
      <c r="AP49" s="1462"/>
      <c r="AQ49" s="302">
        <v>500000</v>
      </c>
      <c r="AR49" s="1486"/>
      <c r="AS49" s="1461"/>
      <c r="AT49" s="1461"/>
      <c r="AU49" s="1461"/>
      <c r="AV49" s="1461"/>
      <c r="AW49" s="1461"/>
      <c r="AX49" s="1462"/>
      <c r="AY49" s="302">
        <v>500000</v>
      </c>
      <c r="AZ49" s="456"/>
      <c r="BA49" s="431">
        <f>K49+S49+AA49+AI49+AQ49+AY49</f>
        <v>3000000</v>
      </c>
    </row>
    <row r="50" spans="1:538" x14ac:dyDescent="0.25">
      <c r="A50" s="352"/>
      <c r="B50" s="296" t="s">
        <v>449</v>
      </c>
      <c r="C50" s="304" t="s">
        <v>338</v>
      </c>
      <c r="D50" s="1537"/>
      <c r="E50" s="1538"/>
      <c r="F50" s="1538"/>
      <c r="G50" s="1538"/>
      <c r="H50" s="1538"/>
      <c r="I50" s="1538"/>
      <c r="J50" s="1539"/>
      <c r="K50" s="495">
        <v>0</v>
      </c>
      <c r="L50" s="1436"/>
      <c r="M50" s="1436"/>
      <c r="N50" s="1436"/>
      <c r="O50" s="1436"/>
      <c r="P50" s="1436"/>
      <c r="Q50" s="1436"/>
      <c r="R50" s="1438"/>
      <c r="S50" s="302">
        <v>0</v>
      </c>
      <c r="T50" s="1487"/>
      <c r="U50" s="1436"/>
      <c r="V50" s="1436"/>
      <c r="W50" s="1436"/>
      <c r="X50" s="1436"/>
      <c r="Y50" s="1436"/>
      <c r="Z50" s="1438"/>
      <c r="AA50" s="302">
        <v>0</v>
      </c>
      <c r="AB50" s="1487"/>
      <c r="AC50" s="1436"/>
      <c r="AD50" s="1436"/>
      <c r="AE50" s="1436"/>
      <c r="AF50" s="1436"/>
      <c r="AG50" s="1436"/>
      <c r="AH50" s="1438"/>
      <c r="AI50" s="302">
        <v>0</v>
      </c>
      <c r="AJ50" s="1487"/>
      <c r="AK50" s="1436"/>
      <c r="AL50" s="1436"/>
      <c r="AM50" s="1436"/>
      <c r="AN50" s="1436"/>
      <c r="AO50" s="1436"/>
      <c r="AP50" s="1438"/>
      <c r="AQ50" s="302">
        <v>0</v>
      </c>
      <c r="AR50" s="1487"/>
      <c r="AS50" s="1436"/>
      <c r="AT50" s="1436"/>
      <c r="AU50" s="1436"/>
      <c r="AV50" s="1436"/>
      <c r="AW50" s="1436"/>
      <c r="AX50" s="1438"/>
      <c r="AY50" s="410">
        <v>0</v>
      </c>
      <c r="AZ50" s="455"/>
      <c r="BA50" s="431">
        <f>K50+S50+AA50+AI50+AQ50+AY50</f>
        <v>0</v>
      </c>
    </row>
    <row r="51" spans="1:538" s="389" customFormat="1" x14ac:dyDescent="0.25">
      <c r="A51" s="1529" t="s">
        <v>252</v>
      </c>
      <c r="B51" s="1530"/>
      <c r="C51" s="1530"/>
      <c r="D51" s="1531"/>
      <c r="E51" s="1532"/>
      <c r="F51" s="1532"/>
      <c r="G51" s="1532"/>
      <c r="H51" s="1532"/>
      <c r="I51" s="1532"/>
      <c r="J51" s="1533"/>
      <c r="K51" s="498">
        <f>SUM(K46:K50)</f>
        <v>1500000</v>
      </c>
      <c r="L51" s="1534"/>
      <c r="M51" s="1534"/>
      <c r="N51" s="1534"/>
      <c r="O51" s="1534"/>
      <c r="P51" s="1534"/>
      <c r="Q51" s="1534"/>
      <c r="R51" s="1535"/>
      <c r="S51" s="350">
        <f>SUM(S46:S50)</f>
        <v>1500000</v>
      </c>
      <c r="T51" s="1536"/>
      <c r="U51" s="1534"/>
      <c r="V51" s="1534"/>
      <c r="W51" s="1534"/>
      <c r="X51" s="1534"/>
      <c r="Y51" s="1534"/>
      <c r="Z51" s="1535"/>
      <c r="AA51" s="350">
        <f>SUM(AA46:AA50)</f>
        <v>1500000</v>
      </c>
      <c r="AB51" s="1536"/>
      <c r="AC51" s="1534"/>
      <c r="AD51" s="1534"/>
      <c r="AE51" s="1534"/>
      <c r="AF51" s="1534"/>
      <c r="AG51" s="1534"/>
      <c r="AH51" s="1535"/>
      <c r="AI51" s="350">
        <f>SUM(AI46:AI50)</f>
        <v>1500000</v>
      </c>
      <c r="AJ51" s="1536"/>
      <c r="AK51" s="1534"/>
      <c r="AL51" s="1534"/>
      <c r="AM51" s="1534"/>
      <c r="AN51" s="1534"/>
      <c r="AO51" s="1534"/>
      <c r="AP51" s="1535"/>
      <c r="AQ51" s="350">
        <f>SUM(AQ46:AQ50)</f>
        <v>1500000</v>
      </c>
      <c r="AR51" s="1536"/>
      <c r="AS51" s="1534"/>
      <c r="AT51" s="1534"/>
      <c r="AU51" s="1534"/>
      <c r="AV51" s="1534"/>
      <c r="AW51" s="1534"/>
      <c r="AX51" s="1535"/>
      <c r="AY51" s="447">
        <f>SUM(AY46:AY50)</f>
        <v>1500000</v>
      </c>
      <c r="AZ51" s="448"/>
      <c r="BA51" s="388">
        <f>K51+S51+AA51+AI51+AQ51+AY51</f>
        <v>9000000</v>
      </c>
      <c r="BB51" s="291"/>
      <c r="BC51" s="291"/>
      <c r="BD51" s="291"/>
      <c r="BE51" s="291"/>
      <c r="BF51" s="291"/>
      <c r="BG51" s="291"/>
      <c r="BH51" s="291"/>
      <c r="BI51" s="291"/>
      <c r="BJ51" s="291"/>
      <c r="BK51" s="291"/>
      <c r="BL51" s="291"/>
      <c r="BM51" s="291"/>
      <c r="BN51" s="291"/>
      <c r="BO51" s="291"/>
      <c r="BP51" s="291"/>
      <c r="BQ51" s="291"/>
      <c r="BR51" s="291"/>
      <c r="BS51" s="291"/>
      <c r="BT51" s="291"/>
      <c r="BU51" s="291"/>
      <c r="BV51" s="291"/>
      <c r="BW51" s="291"/>
      <c r="BX51" s="291"/>
      <c r="BY51" s="291"/>
      <c r="BZ51" s="291"/>
      <c r="CA51" s="291"/>
      <c r="CB51" s="291"/>
      <c r="CC51" s="291"/>
      <c r="CD51" s="291"/>
      <c r="CE51" s="291"/>
      <c r="CF51" s="291"/>
      <c r="CG51" s="291"/>
      <c r="CH51" s="291"/>
      <c r="CI51" s="291"/>
      <c r="CJ51" s="291"/>
      <c r="CK51" s="291"/>
      <c r="CL51" s="291"/>
      <c r="CM51" s="291"/>
      <c r="CN51" s="291"/>
      <c r="CO51" s="291"/>
      <c r="CP51" s="291"/>
      <c r="CQ51" s="291"/>
      <c r="CR51" s="291"/>
      <c r="CS51" s="291"/>
      <c r="CT51" s="291"/>
      <c r="CU51" s="291"/>
      <c r="CV51" s="291"/>
      <c r="CW51" s="291"/>
      <c r="CX51" s="291"/>
      <c r="CY51" s="291"/>
      <c r="CZ51" s="291"/>
      <c r="DA51" s="291"/>
      <c r="DB51" s="291"/>
      <c r="DC51" s="291"/>
      <c r="DD51" s="291"/>
      <c r="DE51" s="291"/>
      <c r="DF51" s="291"/>
      <c r="DG51" s="291"/>
      <c r="DH51" s="291"/>
      <c r="DI51" s="291"/>
      <c r="DJ51" s="291"/>
      <c r="DK51" s="291"/>
      <c r="DL51" s="291"/>
      <c r="DM51" s="291"/>
      <c r="DN51" s="291"/>
      <c r="DO51" s="291"/>
      <c r="DP51" s="291"/>
      <c r="DQ51" s="291"/>
      <c r="DR51" s="291"/>
      <c r="DS51" s="291"/>
      <c r="DT51" s="291"/>
      <c r="DU51" s="291"/>
      <c r="DV51" s="291"/>
      <c r="DW51" s="291"/>
      <c r="DX51" s="291"/>
      <c r="DY51" s="291"/>
      <c r="DZ51" s="291"/>
      <c r="EA51" s="291"/>
      <c r="EB51" s="291"/>
      <c r="EC51" s="291"/>
      <c r="ED51" s="291"/>
      <c r="EE51" s="291"/>
      <c r="EF51" s="291"/>
      <c r="EG51" s="291"/>
      <c r="EH51" s="291"/>
      <c r="EI51" s="291"/>
      <c r="EJ51" s="291"/>
      <c r="EK51" s="291"/>
      <c r="EL51" s="291"/>
      <c r="EM51" s="291"/>
      <c r="EN51" s="291"/>
      <c r="EO51" s="291"/>
      <c r="EP51" s="291"/>
      <c r="EQ51" s="291"/>
      <c r="ER51" s="291"/>
      <c r="ES51" s="291"/>
      <c r="ET51" s="291"/>
      <c r="EU51" s="291"/>
      <c r="EV51" s="291"/>
      <c r="EW51" s="291"/>
      <c r="EX51" s="291"/>
      <c r="EY51" s="291"/>
      <c r="EZ51" s="291"/>
      <c r="FA51" s="291"/>
      <c r="FB51" s="291"/>
      <c r="FC51" s="291"/>
      <c r="FD51" s="291"/>
      <c r="FE51" s="291"/>
      <c r="FF51" s="291"/>
      <c r="FG51" s="291"/>
      <c r="FH51" s="291"/>
      <c r="FI51" s="291"/>
      <c r="FJ51" s="291"/>
      <c r="FK51" s="291"/>
      <c r="FL51" s="291"/>
      <c r="FM51" s="291"/>
      <c r="FN51" s="291"/>
      <c r="FO51" s="291"/>
      <c r="FP51" s="291"/>
      <c r="FQ51" s="291"/>
      <c r="FR51" s="291"/>
      <c r="FS51" s="291"/>
      <c r="FT51" s="291"/>
      <c r="FU51" s="291"/>
      <c r="FV51" s="291"/>
      <c r="FW51" s="291"/>
      <c r="FX51" s="291"/>
      <c r="FY51" s="291"/>
      <c r="FZ51" s="291"/>
      <c r="GA51" s="291"/>
      <c r="GB51" s="291"/>
      <c r="GC51" s="291"/>
      <c r="GD51" s="291"/>
      <c r="GE51" s="291"/>
      <c r="GF51" s="291"/>
      <c r="GG51" s="291"/>
      <c r="GH51" s="291"/>
      <c r="GI51" s="291"/>
      <c r="GJ51" s="291"/>
      <c r="GK51" s="291"/>
      <c r="GL51" s="291"/>
      <c r="GM51" s="291"/>
      <c r="GN51" s="291"/>
      <c r="GO51" s="291"/>
      <c r="GP51" s="291"/>
      <c r="GQ51" s="291"/>
      <c r="GR51" s="291"/>
      <c r="GS51" s="291"/>
      <c r="GT51" s="291"/>
      <c r="GU51" s="291"/>
      <c r="GV51" s="291"/>
      <c r="GW51" s="291"/>
      <c r="GX51" s="291"/>
      <c r="GY51" s="291"/>
      <c r="GZ51" s="291"/>
      <c r="HA51" s="291"/>
      <c r="HB51" s="291"/>
      <c r="HC51" s="291"/>
      <c r="HD51" s="291"/>
      <c r="HE51" s="291"/>
      <c r="HF51" s="291"/>
      <c r="HG51" s="291"/>
      <c r="HH51" s="291"/>
      <c r="HI51" s="291"/>
      <c r="HJ51" s="291"/>
      <c r="HK51" s="291"/>
      <c r="HL51" s="291"/>
      <c r="HM51" s="291"/>
      <c r="HN51" s="291"/>
      <c r="HO51" s="291"/>
      <c r="HP51" s="291"/>
      <c r="HQ51" s="291"/>
      <c r="HR51" s="291"/>
      <c r="HS51" s="291"/>
      <c r="HT51" s="291"/>
      <c r="HU51" s="291"/>
      <c r="HV51" s="291"/>
      <c r="HW51" s="291"/>
      <c r="HX51" s="291"/>
      <c r="HY51" s="291"/>
      <c r="HZ51" s="291"/>
      <c r="IA51" s="291"/>
      <c r="IB51" s="291"/>
      <c r="IC51" s="291"/>
      <c r="ID51" s="291"/>
      <c r="IE51" s="291"/>
      <c r="IF51" s="291"/>
      <c r="IG51" s="291"/>
      <c r="IH51" s="291"/>
      <c r="II51" s="291"/>
      <c r="IJ51" s="291"/>
      <c r="IK51" s="291"/>
      <c r="IL51" s="291"/>
      <c r="IM51" s="291"/>
      <c r="IN51" s="291"/>
      <c r="IO51" s="291"/>
      <c r="IP51" s="291"/>
      <c r="IQ51" s="291"/>
      <c r="IR51" s="291"/>
      <c r="IS51" s="291"/>
      <c r="IT51" s="291"/>
      <c r="IU51" s="291"/>
      <c r="IV51" s="291"/>
      <c r="IW51" s="291"/>
      <c r="IX51" s="291"/>
      <c r="IY51" s="291"/>
      <c r="IZ51" s="291"/>
      <c r="JA51" s="291"/>
      <c r="JB51" s="291"/>
      <c r="JC51" s="291"/>
      <c r="JD51" s="291"/>
      <c r="JE51" s="291"/>
      <c r="JF51" s="291"/>
      <c r="JG51" s="291"/>
      <c r="JH51" s="291"/>
      <c r="JI51" s="291"/>
      <c r="JJ51" s="291"/>
      <c r="JK51" s="291"/>
      <c r="JL51" s="291"/>
      <c r="JM51" s="291"/>
      <c r="JN51" s="291"/>
      <c r="JO51" s="291"/>
      <c r="JP51" s="291"/>
      <c r="JQ51" s="291"/>
      <c r="JR51" s="291"/>
      <c r="JS51" s="291"/>
      <c r="JT51" s="291"/>
      <c r="JU51" s="291"/>
      <c r="JV51" s="291"/>
      <c r="JW51" s="291"/>
      <c r="JX51" s="291"/>
      <c r="JY51" s="291"/>
      <c r="JZ51" s="291"/>
      <c r="KA51" s="291"/>
      <c r="KB51" s="291"/>
      <c r="KC51" s="291"/>
      <c r="KD51" s="291"/>
      <c r="KE51" s="291"/>
      <c r="KF51" s="291"/>
      <c r="KG51" s="291"/>
      <c r="KH51" s="291"/>
      <c r="KI51" s="291"/>
      <c r="KJ51" s="291"/>
      <c r="KK51" s="291"/>
      <c r="KL51" s="291"/>
      <c r="KM51" s="291"/>
      <c r="KN51" s="291"/>
      <c r="KO51" s="291"/>
      <c r="KP51" s="291"/>
      <c r="KQ51" s="291"/>
      <c r="KR51" s="291"/>
      <c r="KS51" s="291"/>
      <c r="KT51" s="291"/>
      <c r="KU51" s="291"/>
      <c r="KV51" s="291"/>
      <c r="KW51" s="291"/>
      <c r="KX51" s="291"/>
      <c r="KY51" s="291"/>
      <c r="KZ51" s="291"/>
      <c r="LA51" s="291"/>
      <c r="LB51" s="291"/>
      <c r="LC51" s="291"/>
      <c r="LD51" s="291"/>
      <c r="LE51" s="291"/>
      <c r="LF51" s="291"/>
      <c r="LG51" s="291"/>
      <c r="LH51" s="291"/>
      <c r="LI51" s="291"/>
      <c r="LJ51" s="291"/>
      <c r="LK51" s="291"/>
      <c r="LL51" s="291"/>
      <c r="LM51" s="291"/>
      <c r="LN51" s="291"/>
      <c r="LO51" s="291"/>
      <c r="LP51" s="291"/>
      <c r="LQ51" s="291"/>
      <c r="LR51" s="291"/>
      <c r="LS51" s="291"/>
      <c r="LT51" s="291"/>
      <c r="LU51" s="291"/>
      <c r="LV51" s="291"/>
      <c r="LW51" s="291"/>
      <c r="LX51" s="291"/>
      <c r="LY51" s="291"/>
      <c r="LZ51" s="291"/>
      <c r="MA51" s="291"/>
      <c r="MB51" s="291"/>
      <c r="MC51" s="291"/>
      <c r="MD51" s="291"/>
      <c r="ME51" s="291"/>
      <c r="MF51" s="291"/>
      <c r="MG51" s="291"/>
      <c r="MH51" s="291"/>
      <c r="MI51" s="291"/>
      <c r="MJ51" s="291"/>
      <c r="MK51" s="291"/>
      <c r="ML51" s="291"/>
      <c r="MM51" s="291"/>
      <c r="MN51" s="291"/>
      <c r="MO51" s="291"/>
      <c r="MP51" s="291"/>
      <c r="MQ51" s="291"/>
      <c r="MR51" s="291"/>
      <c r="MS51" s="291"/>
      <c r="MT51" s="291"/>
      <c r="MU51" s="291"/>
      <c r="MV51" s="291"/>
      <c r="MW51" s="291"/>
      <c r="MX51" s="291"/>
      <c r="MY51" s="291"/>
      <c r="MZ51" s="291"/>
      <c r="NA51" s="291"/>
      <c r="NB51" s="291"/>
      <c r="NC51" s="291"/>
      <c r="ND51" s="291"/>
      <c r="NE51" s="291"/>
      <c r="NF51" s="291"/>
      <c r="NG51" s="291"/>
      <c r="NH51" s="291"/>
      <c r="NI51" s="291"/>
      <c r="NJ51" s="291"/>
      <c r="NK51" s="291"/>
      <c r="NL51" s="291"/>
      <c r="NM51" s="291"/>
      <c r="NN51" s="291"/>
      <c r="NO51" s="291"/>
      <c r="NP51" s="291"/>
      <c r="NQ51" s="291"/>
      <c r="NR51" s="291"/>
      <c r="NS51" s="291"/>
      <c r="NT51" s="291"/>
      <c r="NU51" s="291"/>
      <c r="NV51" s="291"/>
      <c r="NW51" s="291"/>
      <c r="NX51" s="291"/>
      <c r="NY51" s="291"/>
      <c r="NZ51" s="291"/>
      <c r="OA51" s="291"/>
      <c r="OB51" s="291"/>
      <c r="OC51" s="291"/>
      <c r="OD51" s="291"/>
      <c r="OE51" s="291"/>
      <c r="OF51" s="291"/>
      <c r="OG51" s="291"/>
      <c r="OH51" s="291"/>
      <c r="OI51" s="291"/>
      <c r="OJ51" s="291"/>
      <c r="OK51" s="291"/>
      <c r="OL51" s="291"/>
      <c r="OM51" s="291"/>
      <c r="ON51" s="291"/>
      <c r="OO51" s="291"/>
      <c r="OP51" s="291"/>
      <c r="OQ51" s="291"/>
      <c r="OR51" s="291"/>
      <c r="OS51" s="291"/>
      <c r="OT51" s="291"/>
      <c r="OU51" s="291"/>
      <c r="OV51" s="291"/>
      <c r="OW51" s="291"/>
      <c r="OX51" s="291"/>
      <c r="OY51" s="291"/>
      <c r="OZ51" s="291"/>
      <c r="PA51" s="291"/>
      <c r="PB51" s="291"/>
      <c r="PC51" s="291"/>
      <c r="PD51" s="291"/>
      <c r="PE51" s="291"/>
      <c r="PF51" s="291"/>
      <c r="PG51" s="291"/>
      <c r="PH51" s="291"/>
      <c r="PI51" s="291"/>
      <c r="PJ51" s="291"/>
      <c r="PK51" s="291"/>
      <c r="PL51" s="291"/>
      <c r="PM51" s="291"/>
      <c r="PN51" s="291"/>
      <c r="PO51" s="291"/>
      <c r="PP51" s="291"/>
      <c r="PQ51" s="291"/>
      <c r="PR51" s="291"/>
      <c r="PS51" s="291"/>
      <c r="PT51" s="291"/>
      <c r="PU51" s="291"/>
      <c r="PV51" s="291"/>
      <c r="PW51" s="291"/>
      <c r="PX51" s="291"/>
      <c r="PY51" s="291"/>
      <c r="PZ51" s="291"/>
      <c r="QA51" s="291"/>
      <c r="QB51" s="291"/>
      <c r="QC51" s="291"/>
      <c r="QD51" s="291"/>
      <c r="QE51" s="291"/>
      <c r="QF51" s="291"/>
      <c r="QG51" s="291"/>
      <c r="QH51" s="291"/>
      <c r="QI51" s="291"/>
      <c r="QJ51" s="291"/>
      <c r="QK51" s="291"/>
      <c r="QL51" s="291"/>
      <c r="QM51" s="291"/>
      <c r="QN51" s="291"/>
      <c r="QO51" s="291"/>
      <c r="QP51" s="291"/>
      <c r="QQ51" s="291"/>
      <c r="QR51" s="291"/>
      <c r="QS51" s="291"/>
      <c r="QT51" s="291"/>
      <c r="QU51" s="291"/>
      <c r="QV51" s="291"/>
      <c r="QW51" s="291"/>
      <c r="QX51" s="291"/>
      <c r="QY51" s="291"/>
      <c r="QZ51" s="291"/>
      <c r="RA51" s="291"/>
      <c r="RB51" s="291"/>
      <c r="RC51" s="291"/>
      <c r="RD51" s="291"/>
      <c r="RE51" s="291"/>
      <c r="RF51" s="291"/>
      <c r="RG51" s="291"/>
      <c r="RH51" s="291"/>
      <c r="RI51" s="291"/>
      <c r="RJ51" s="291"/>
      <c r="RK51" s="291"/>
      <c r="RL51" s="291"/>
      <c r="RM51" s="291"/>
      <c r="RN51" s="291"/>
      <c r="RO51" s="291"/>
      <c r="RP51" s="291"/>
      <c r="RQ51" s="291"/>
      <c r="RR51" s="291"/>
      <c r="RS51" s="291"/>
      <c r="RT51" s="291"/>
      <c r="RU51" s="291"/>
      <c r="RV51" s="291"/>
      <c r="RW51" s="291"/>
      <c r="RX51" s="291"/>
      <c r="RY51" s="291"/>
      <c r="RZ51" s="291"/>
      <c r="SA51" s="291"/>
      <c r="SB51" s="291"/>
      <c r="SC51" s="291"/>
      <c r="SD51" s="291"/>
      <c r="SE51" s="291"/>
      <c r="SF51" s="291"/>
      <c r="SG51" s="291"/>
      <c r="SH51" s="291"/>
      <c r="SI51" s="291"/>
      <c r="SJ51" s="291"/>
      <c r="SK51" s="291"/>
      <c r="SL51" s="291"/>
      <c r="SM51" s="291"/>
      <c r="SN51" s="291"/>
      <c r="SO51" s="291"/>
      <c r="SP51" s="291"/>
      <c r="SQ51" s="291"/>
      <c r="SR51" s="291"/>
      <c r="SS51" s="291"/>
      <c r="ST51" s="291"/>
      <c r="SU51" s="291"/>
      <c r="SV51" s="291"/>
      <c r="SW51" s="291"/>
      <c r="SX51" s="291"/>
      <c r="SY51" s="291"/>
      <c r="SZ51" s="291"/>
      <c r="TA51" s="291"/>
      <c r="TB51" s="291"/>
      <c r="TC51" s="291"/>
      <c r="TD51" s="291"/>
      <c r="TE51" s="291"/>
      <c r="TF51" s="291"/>
      <c r="TG51" s="291"/>
      <c r="TH51" s="291"/>
      <c r="TI51" s="291"/>
      <c r="TJ51" s="291"/>
      <c r="TK51" s="291"/>
      <c r="TL51" s="291"/>
      <c r="TM51" s="291"/>
      <c r="TN51" s="291"/>
      <c r="TO51" s="291"/>
      <c r="TP51" s="291"/>
      <c r="TQ51" s="291"/>
      <c r="TR51" s="291"/>
    </row>
    <row r="52" spans="1:538" x14ac:dyDescent="0.25">
      <c r="A52" s="1526" t="s">
        <v>342</v>
      </c>
      <c r="B52" s="1526"/>
      <c r="C52" s="1526"/>
      <c r="D52" s="483" t="s">
        <v>327</v>
      </c>
      <c r="E52" s="482" t="s">
        <v>343</v>
      </c>
      <c r="F52" s="1527"/>
      <c r="G52" s="1527"/>
      <c r="H52" s="1527"/>
      <c r="I52" s="1527"/>
      <c r="J52" s="1527"/>
      <c r="K52" s="1527"/>
      <c r="L52" s="1184" t="s">
        <v>327</v>
      </c>
      <c r="M52" s="1185" t="s">
        <v>343</v>
      </c>
      <c r="N52" s="1513"/>
      <c r="O52" s="1514"/>
      <c r="P52" s="1514"/>
      <c r="Q52" s="1514"/>
      <c r="R52" s="1516"/>
      <c r="S52" s="469"/>
      <c r="T52" s="467" t="s">
        <v>327</v>
      </c>
      <c r="U52" s="1185" t="s">
        <v>343</v>
      </c>
      <c r="V52" s="1513"/>
      <c r="W52" s="1514"/>
      <c r="X52" s="1514"/>
      <c r="Y52" s="1514"/>
      <c r="Z52" s="1514"/>
      <c r="AA52" s="1528"/>
      <c r="AB52" s="467" t="s">
        <v>327</v>
      </c>
      <c r="AC52" s="1185" t="s">
        <v>343</v>
      </c>
      <c r="AD52" s="1513"/>
      <c r="AE52" s="1514"/>
      <c r="AF52" s="1514"/>
      <c r="AG52" s="1514"/>
      <c r="AH52" s="1516"/>
      <c r="AI52" s="469"/>
      <c r="AJ52" s="467" t="s">
        <v>327</v>
      </c>
      <c r="AK52" s="1185" t="s">
        <v>343</v>
      </c>
      <c r="AL52" s="1513"/>
      <c r="AM52" s="1514"/>
      <c r="AN52" s="1514"/>
      <c r="AO52" s="1514"/>
      <c r="AP52" s="1515"/>
      <c r="AQ52" s="318"/>
      <c r="AR52" s="467" t="s">
        <v>327</v>
      </c>
      <c r="AS52" s="1185" t="s">
        <v>343</v>
      </c>
      <c r="AT52" s="1513"/>
      <c r="AU52" s="1514"/>
      <c r="AV52" s="1514"/>
      <c r="AW52" s="1514"/>
      <c r="AX52" s="1514"/>
      <c r="AY52" s="1516"/>
      <c r="AZ52" s="470" t="s">
        <v>327</v>
      </c>
      <c r="BA52" s="474"/>
    </row>
    <row r="53" spans="1:538" x14ac:dyDescent="0.25">
      <c r="A53" s="484"/>
      <c r="B53" s="294" t="s">
        <v>347</v>
      </c>
      <c r="C53" s="485" t="s">
        <v>348</v>
      </c>
      <c r="D53" s="432">
        <v>1920</v>
      </c>
      <c r="E53" s="358">
        <v>170</v>
      </c>
      <c r="F53" s="1460"/>
      <c r="G53" s="1461"/>
      <c r="H53" s="1461"/>
      <c r="I53" s="1461"/>
      <c r="J53" s="1461"/>
      <c r="K53" s="477">
        <f>D53*E53</f>
        <v>326400</v>
      </c>
      <c r="L53" s="432">
        <v>1920</v>
      </c>
      <c r="M53" s="358">
        <v>170</v>
      </c>
      <c r="N53" s="1460"/>
      <c r="O53" s="1461"/>
      <c r="P53" s="1461"/>
      <c r="Q53" s="1461"/>
      <c r="R53" s="1462"/>
      <c r="S53" s="300">
        <f>L53*M53</f>
        <v>326400</v>
      </c>
      <c r="T53" s="357">
        <v>1920</v>
      </c>
      <c r="U53" s="358">
        <v>170</v>
      </c>
      <c r="V53" s="1460"/>
      <c r="W53" s="1461"/>
      <c r="X53" s="1461"/>
      <c r="Y53" s="1461"/>
      <c r="Z53" s="1462"/>
      <c r="AA53" s="300">
        <f>T53*U53</f>
        <v>326400</v>
      </c>
      <c r="AB53" s="357">
        <v>1920</v>
      </c>
      <c r="AC53" s="358">
        <v>170</v>
      </c>
      <c r="AD53" s="1460"/>
      <c r="AE53" s="1461"/>
      <c r="AF53" s="1461"/>
      <c r="AG53" s="1461"/>
      <c r="AH53" s="1462"/>
      <c r="AI53" s="300">
        <f>AB53*AC53</f>
        <v>326400</v>
      </c>
      <c r="AJ53" s="357">
        <v>1920</v>
      </c>
      <c r="AK53" s="358">
        <v>170</v>
      </c>
      <c r="AL53" s="1517"/>
      <c r="AM53" s="1518"/>
      <c r="AN53" s="1518"/>
      <c r="AO53" s="1518"/>
      <c r="AP53" s="1519"/>
      <c r="AQ53" s="300">
        <f>AJ53*AK53</f>
        <v>326400</v>
      </c>
      <c r="AR53" s="357">
        <v>1920</v>
      </c>
      <c r="AS53" s="358">
        <v>170</v>
      </c>
      <c r="AT53" s="1460"/>
      <c r="AU53" s="1461"/>
      <c r="AV53" s="1461"/>
      <c r="AW53" s="1461"/>
      <c r="AX53" s="1462"/>
      <c r="AY53" s="460">
        <f>AR53*AS53</f>
        <v>326400</v>
      </c>
      <c r="AZ53" s="463">
        <f>SUM(D53,L53,T53,AB53,AJ53,AR53)</f>
        <v>11520</v>
      </c>
      <c r="BA53" s="431">
        <f>K53+S53+AA53+AI53+AQ53+AY53</f>
        <v>1958400</v>
      </c>
    </row>
    <row r="54" spans="1:538" x14ac:dyDescent="0.25">
      <c r="A54" s="484"/>
      <c r="B54" s="294" t="s">
        <v>349</v>
      </c>
      <c r="C54" s="485" t="s">
        <v>348</v>
      </c>
      <c r="D54" s="432">
        <v>1920</v>
      </c>
      <c r="E54" s="358">
        <v>150</v>
      </c>
      <c r="F54" s="1460"/>
      <c r="G54" s="1461"/>
      <c r="H54" s="1461"/>
      <c r="I54" s="1461"/>
      <c r="J54" s="1461"/>
      <c r="K54" s="477">
        <f>D54*E54</f>
        <v>288000</v>
      </c>
      <c r="L54" s="432">
        <v>1920</v>
      </c>
      <c r="M54" s="358">
        <v>150</v>
      </c>
      <c r="N54" s="1460"/>
      <c r="O54" s="1461"/>
      <c r="P54" s="1461"/>
      <c r="Q54" s="1461"/>
      <c r="R54" s="1462"/>
      <c r="S54" s="300">
        <f>L54*M54</f>
        <v>288000</v>
      </c>
      <c r="T54" s="357">
        <v>1920</v>
      </c>
      <c r="U54" s="358">
        <v>150</v>
      </c>
      <c r="V54" s="1460"/>
      <c r="W54" s="1461"/>
      <c r="X54" s="1461"/>
      <c r="Y54" s="1461"/>
      <c r="Z54" s="1462"/>
      <c r="AA54" s="300">
        <f>T54*U54</f>
        <v>288000</v>
      </c>
      <c r="AB54" s="357">
        <v>1920</v>
      </c>
      <c r="AC54" s="358">
        <v>150</v>
      </c>
      <c r="AD54" s="1460"/>
      <c r="AE54" s="1461"/>
      <c r="AF54" s="1461"/>
      <c r="AG54" s="1461"/>
      <c r="AH54" s="1462"/>
      <c r="AI54" s="300">
        <f>AB54*AC54</f>
        <v>288000</v>
      </c>
      <c r="AJ54" s="357">
        <v>1920</v>
      </c>
      <c r="AK54" s="358">
        <v>150</v>
      </c>
      <c r="AL54" s="1520"/>
      <c r="AM54" s="1521"/>
      <c r="AN54" s="1521"/>
      <c r="AO54" s="1521"/>
      <c r="AP54" s="1522"/>
      <c r="AQ54" s="300">
        <f>AJ54*AK54</f>
        <v>288000</v>
      </c>
      <c r="AR54" s="357">
        <v>1920</v>
      </c>
      <c r="AS54" s="358">
        <v>150</v>
      </c>
      <c r="AT54" s="1460"/>
      <c r="AU54" s="1461"/>
      <c r="AV54" s="1461"/>
      <c r="AW54" s="1461"/>
      <c r="AX54" s="1462"/>
      <c r="AY54" s="406">
        <f>AR54*AS54</f>
        <v>288000</v>
      </c>
      <c r="AZ54" s="463">
        <f>SUM(D54,L54,T54,AB54,AJ54,AR54)</f>
        <v>11520</v>
      </c>
      <c r="BA54" s="431">
        <f>K54+S54+AA54+AI54+AQ54+AY54</f>
        <v>1728000</v>
      </c>
    </row>
    <row r="55" spans="1:538" x14ac:dyDescent="0.25">
      <c r="A55" s="484"/>
      <c r="B55" s="294" t="s">
        <v>350</v>
      </c>
      <c r="C55" s="485" t="s">
        <v>348</v>
      </c>
      <c r="D55" s="432">
        <v>1920</v>
      </c>
      <c r="E55" s="358">
        <v>100</v>
      </c>
      <c r="F55" s="1460"/>
      <c r="G55" s="1461"/>
      <c r="H55" s="1461"/>
      <c r="I55" s="1461"/>
      <c r="J55" s="1461"/>
      <c r="K55" s="477">
        <f>D55*E55</f>
        <v>192000</v>
      </c>
      <c r="L55" s="432">
        <v>1920</v>
      </c>
      <c r="M55" s="358">
        <v>100</v>
      </c>
      <c r="N55" s="1460"/>
      <c r="O55" s="1461"/>
      <c r="P55" s="1461"/>
      <c r="Q55" s="1461"/>
      <c r="R55" s="1462"/>
      <c r="S55" s="300">
        <f>L55*M55</f>
        <v>192000</v>
      </c>
      <c r="T55" s="357">
        <v>1920</v>
      </c>
      <c r="U55" s="358">
        <v>100</v>
      </c>
      <c r="V55" s="1460"/>
      <c r="W55" s="1461"/>
      <c r="X55" s="1461"/>
      <c r="Y55" s="1461"/>
      <c r="Z55" s="1462"/>
      <c r="AA55" s="300">
        <f>T55*U55</f>
        <v>192000</v>
      </c>
      <c r="AB55" s="357">
        <v>1920</v>
      </c>
      <c r="AC55" s="358">
        <v>100</v>
      </c>
      <c r="AD55" s="1460"/>
      <c r="AE55" s="1461"/>
      <c r="AF55" s="1461"/>
      <c r="AG55" s="1461"/>
      <c r="AH55" s="1462"/>
      <c r="AI55" s="300">
        <f>AB55*AC55</f>
        <v>192000</v>
      </c>
      <c r="AJ55" s="357">
        <v>1920</v>
      </c>
      <c r="AK55" s="358">
        <v>100</v>
      </c>
      <c r="AL55" s="1520"/>
      <c r="AM55" s="1521"/>
      <c r="AN55" s="1521"/>
      <c r="AO55" s="1521"/>
      <c r="AP55" s="1522"/>
      <c r="AQ55" s="300">
        <f>AJ55*AK55</f>
        <v>192000</v>
      </c>
      <c r="AR55" s="357">
        <v>1920</v>
      </c>
      <c r="AS55" s="358">
        <v>100</v>
      </c>
      <c r="AT55" s="1460"/>
      <c r="AU55" s="1461"/>
      <c r="AV55" s="1461"/>
      <c r="AW55" s="1461"/>
      <c r="AX55" s="1462"/>
      <c r="AY55" s="406">
        <f>AR55*AS55</f>
        <v>192000</v>
      </c>
      <c r="AZ55" s="463">
        <f>SUM(D55,L55,T55,AB55,AJ55,AR55)</f>
        <v>11520</v>
      </c>
      <c r="BA55" s="431">
        <f>K55+S55+AA55+AI55+AQ55+AY55</f>
        <v>1152000</v>
      </c>
    </row>
    <row r="56" spans="1:538" x14ac:dyDescent="0.25">
      <c r="A56" s="484"/>
      <c r="B56" s="296" t="s">
        <v>450</v>
      </c>
      <c r="C56" s="485" t="s">
        <v>348</v>
      </c>
      <c r="D56" s="432">
        <v>0</v>
      </c>
      <c r="E56" s="358">
        <v>0</v>
      </c>
      <c r="F56" s="1435"/>
      <c r="G56" s="1436"/>
      <c r="H56" s="1436"/>
      <c r="I56" s="1436"/>
      <c r="J56" s="1436"/>
      <c r="K56" s="477">
        <f>D56*E56</f>
        <v>0</v>
      </c>
      <c r="L56" s="432">
        <v>0</v>
      </c>
      <c r="M56" s="358">
        <v>0</v>
      </c>
      <c r="N56" s="1435"/>
      <c r="O56" s="1436"/>
      <c r="P56" s="1436"/>
      <c r="Q56" s="1436"/>
      <c r="R56" s="1438"/>
      <c r="S56" s="300">
        <f>L56*M56</f>
        <v>0</v>
      </c>
      <c r="T56" s="432">
        <v>0</v>
      </c>
      <c r="U56" s="358">
        <v>0</v>
      </c>
      <c r="V56" s="1435"/>
      <c r="W56" s="1436"/>
      <c r="X56" s="1436"/>
      <c r="Y56" s="1436"/>
      <c r="Z56" s="1438"/>
      <c r="AA56" s="300">
        <f>T56*U56</f>
        <v>0</v>
      </c>
      <c r="AB56" s="432">
        <v>0</v>
      </c>
      <c r="AC56" s="358">
        <v>0</v>
      </c>
      <c r="AD56" s="1435"/>
      <c r="AE56" s="1436"/>
      <c r="AF56" s="1436"/>
      <c r="AG56" s="1436"/>
      <c r="AH56" s="1438"/>
      <c r="AI56" s="300">
        <f>AB56*AC56</f>
        <v>0</v>
      </c>
      <c r="AJ56" s="432">
        <v>0</v>
      </c>
      <c r="AK56" s="358">
        <v>0</v>
      </c>
      <c r="AL56" s="1523"/>
      <c r="AM56" s="1524"/>
      <c r="AN56" s="1524"/>
      <c r="AO56" s="1524"/>
      <c r="AP56" s="1525"/>
      <c r="AQ56" s="300">
        <f>AJ56*AK56</f>
        <v>0</v>
      </c>
      <c r="AR56" s="437">
        <v>0</v>
      </c>
      <c r="AS56" s="434">
        <v>0</v>
      </c>
      <c r="AT56" s="1435"/>
      <c r="AU56" s="1436"/>
      <c r="AV56" s="1436"/>
      <c r="AW56" s="1436"/>
      <c r="AX56" s="1438"/>
      <c r="AY56" s="406">
        <f>AR56*AS56</f>
        <v>0</v>
      </c>
      <c r="AZ56" s="463">
        <f>SUM(D56,L56,T56,AB56,AJ56,AR56)</f>
        <v>0</v>
      </c>
      <c r="BA56" s="431">
        <f>K56+S56+AA56+AI56+AQ56+AY56</f>
        <v>0</v>
      </c>
    </row>
    <row r="57" spans="1:538" s="360" customFormat="1" x14ac:dyDescent="0.25">
      <c r="A57" s="1511" t="s">
        <v>254</v>
      </c>
      <c r="B57" s="1511"/>
      <c r="C57" s="1511"/>
      <c r="D57" s="1512"/>
      <c r="E57" s="1512"/>
      <c r="F57" s="1512"/>
      <c r="G57" s="1512"/>
      <c r="H57" s="1512"/>
      <c r="I57" s="1512"/>
      <c r="J57" s="1512"/>
      <c r="K57" s="494">
        <f>SUM(K52:K56)</f>
        <v>806400</v>
      </c>
      <c r="L57" s="1502"/>
      <c r="M57" s="1502"/>
      <c r="N57" s="1502"/>
      <c r="O57" s="1502"/>
      <c r="P57" s="1502"/>
      <c r="Q57" s="1502"/>
      <c r="R57" s="1503"/>
      <c r="S57" s="468">
        <f>SUM(S52:S56)</f>
        <v>806400</v>
      </c>
      <c r="T57" s="1501"/>
      <c r="U57" s="1502"/>
      <c r="V57" s="1502"/>
      <c r="W57" s="1502"/>
      <c r="X57" s="1502"/>
      <c r="Y57" s="1502"/>
      <c r="Z57" s="1503"/>
      <c r="AA57" s="468">
        <f>SUM(AA52:AA56)</f>
        <v>806400</v>
      </c>
      <c r="AB57" s="1501"/>
      <c r="AC57" s="1502"/>
      <c r="AD57" s="1502"/>
      <c r="AE57" s="1502"/>
      <c r="AF57" s="1502"/>
      <c r="AG57" s="1502"/>
      <c r="AH57" s="1503"/>
      <c r="AI57" s="468">
        <f>SUM(AI52:AI56)</f>
        <v>806400</v>
      </c>
      <c r="AJ57" s="1501"/>
      <c r="AK57" s="1502"/>
      <c r="AL57" s="1502"/>
      <c r="AM57" s="1502"/>
      <c r="AN57" s="1502"/>
      <c r="AO57" s="1502"/>
      <c r="AP57" s="1503"/>
      <c r="AQ57" s="468">
        <f>SUM(AQ52:AQ56)</f>
        <v>806400</v>
      </c>
      <c r="AR57" s="1501"/>
      <c r="AS57" s="1502"/>
      <c r="AT57" s="1502"/>
      <c r="AU57" s="1502"/>
      <c r="AV57" s="1502"/>
      <c r="AW57" s="1502"/>
      <c r="AX57" s="1503"/>
      <c r="AY57" s="471">
        <f>SUM(AY52:AY56)</f>
        <v>806400</v>
      </c>
      <c r="AZ57" s="472">
        <f>SUM(AZ53:AZ56)</f>
        <v>34560</v>
      </c>
      <c r="BA57" s="473">
        <f>K57+S57+AA57+AI57+AQ57+AY57</f>
        <v>4838400</v>
      </c>
      <c r="BB57" s="291"/>
      <c r="BC57" s="291"/>
      <c r="BD57" s="291"/>
      <c r="BE57" s="291"/>
      <c r="BF57" s="291"/>
      <c r="BG57" s="291"/>
      <c r="BH57" s="291"/>
      <c r="BI57" s="291"/>
      <c r="BJ57" s="291"/>
      <c r="BK57" s="291"/>
      <c r="BL57" s="291"/>
      <c r="BM57" s="291"/>
      <c r="BN57" s="291"/>
      <c r="BO57" s="291"/>
      <c r="BP57" s="291"/>
      <c r="BQ57" s="291"/>
      <c r="BR57" s="291"/>
      <c r="BS57" s="291"/>
      <c r="BT57" s="291"/>
      <c r="BU57" s="291"/>
      <c r="BV57" s="291"/>
      <c r="BW57" s="291"/>
      <c r="BX57" s="291"/>
      <c r="BY57" s="291"/>
      <c r="BZ57" s="291"/>
      <c r="CA57" s="291"/>
      <c r="CB57" s="291"/>
      <c r="CC57" s="291"/>
      <c r="CD57" s="291"/>
      <c r="CE57" s="291"/>
      <c r="CF57" s="291"/>
      <c r="CG57" s="291"/>
      <c r="CH57" s="291"/>
      <c r="CI57" s="291"/>
      <c r="CJ57" s="291"/>
      <c r="CK57" s="291"/>
      <c r="CL57" s="291"/>
      <c r="CM57" s="291"/>
      <c r="CN57" s="291"/>
      <c r="CO57" s="291"/>
      <c r="CP57" s="291"/>
      <c r="CQ57" s="291"/>
      <c r="CR57" s="291"/>
      <c r="CS57" s="291"/>
      <c r="CT57" s="291"/>
      <c r="CU57" s="291"/>
      <c r="CV57" s="291"/>
      <c r="CW57" s="291"/>
      <c r="CX57" s="291"/>
      <c r="CY57" s="291"/>
      <c r="CZ57" s="291"/>
      <c r="DA57" s="291"/>
      <c r="DB57" s="291"/>
      <c r="DC57" s="291"/>
      <c r="DD57" s="291"/>
      <c r="DE57" s="291"/>
      <c r="DF57" s="291"/>
      <c r="DG57" s="291"/>
      <c r="DH57" s="291"/>
      <c r="DI57" s="291"/>
      <c r="DJ57" s="291"/>
      <c r="DK57" s="291"/>
      <c r="DL57" s="291"/>
      <c r="DM57" s="291"/>
      <c r="DN57" s="291"/>
      <c r="DO57" s="291"/>
      <c r="DP57" s="291"/>
      <c r="DQ57" s="291"/>
      <c r="DR57" s="291"/>
      <c r="DS57" s="291"/>
      <c r="DT57" s="291"/>
      <c r="DU57" s="291"/>
      <c r="DV57" s="291"/>
      <c r="DW57" s="291"/>
      <c r="DX57" s="291"/>
      <c r="DY57" s="291"/>
      <c r="DZ57" s="291"/>
      <c r="EA57" s="291"/>
      <c r="EB57" s="291"/>
      <c r="EC57" s="291"/>
      <c r="ED57" s="291"/>
      <c r="EE57" s="291"/>
      <c r="EF57" s="291"/>
      <c r="EG57" s="291"/>
      <c r="EH57" s="291"/>
      <c r="EI57" s="291"/>
      <c r="EJ57" s="291"/>
      <c r="EK57" s="291"/>
      <c r="EL57" s="291"/>
      <c r="EM57" s="291"/>
      <c r="EN57" s="291"/>
      <c r="EO57" s="291"/>
      <c r="EP57" s="291"/>
      <c r="EQ57" s="291"/>
      <c r="ER57" s="291"/>
      <c r="ES57" s="291"/>
      <c r="ET57" s="291"/>
      <c r="EU57" s="291"/>
      <c r="EV57" s="291"/>
      <c r="EW57" s="291"/>
      <c r="EX57" s="291"/>
      <c r="EY57" s="291"/>
      <c r="EZ57" s="291"/>
      <c r="FA57" s="291"/>
      <c r="FB57" s="291"/>
      <c r="FC57" s="291"/>
      <c r="FD57" s="291"/>
      <c r="FE57" s="291"/>
      <c r="FF57" s="291"/>
      <c r="FG57" s="291"/>
      <c r="FH57" s="291"/>
      <c r="FI57" s="291"/>
      <c r="FJ57" s="291"/>
      <c r="FK57" s="291"/>
      <c r="FL57" s="291"/>
      <c r="FM57" s="291"/>
      <c r="FN57" s="291"/>
      <c r="FO57" s="291"/>
      <c r="FP57" s="291"/>
      <c r="FQ57" s="291"/>
      <c r="FR57" s="291"/>
      <c r="FS57" s="291"/>
      <c r="FT57" s="291"/>
      <c r="FU57" s="291"/>
      <c r="FV57" s="291"/>
      <c r="FW57" s="291"/>
      <c r="FX57" s="291"/>
      <c r="FY57" s="291"/>
      <c r="FZ57" s="291"/>
      <c r="GA57" s="291"/>
      <c r="GB57" s="291"/>
      <c r="GC57" s="291"/>
      <c r="GD57" s="291"/>
      <c r="GE57" s="291"/>
      <c r="GF57" s="291"/>
      <c r="GG57" s="291"/>
      <c r="GH57" s="291"/>
      <c r="GI57" s="291"/>
      <c r="GJ57" s="291"/>
      <c r="GK57" s="291"/>
      <c r="GL57" s="291"/>
      <c r="GM57" s="291"/>
      <c r="GN57" s="291"/>
      <c r="GO57" s="291"/>
      <c r="GP57" s="291"/>
      <c r="GQ57" s="291"/>
      <c r="GR57" s="291"/>
      <c r="GS57" s="291"/>
      <c r="GT57" s="291"/>
      <c r="GU57" s="291"/>
      <c r="GV57" s="291"/>
      <c r="GW57" s="291"/>
      <c r="GX57" s="291"/>
      <c r="GY57" s="291"/>
      <c r="GZ57" s="291"/>
      <c r="HA57" s="291"/>
      <c r="HB57" s="291"/>
      <c r="HC57" s="291"/>
      <c r="HD57" s="291"/>
      <c r="HE57" s="291"/>
      <c r="HF57" s="291"/>
      <c r="HG57" s="291"/>
      <c r="HH57" s="291"/>
      <c r="HI57" s="291"/>
      <c r="HJ57" s="291"/>
      <c r="HK57" s="291"/>
      <c r="HL57" s="291"/>
      <c r="HM57" s="291"/>
      <c r="HN57" s="291"/>
      <c r="HO57" s="291"/>
      <c r="HP57" s="291"/>
      <c r="HQ57" s="291"/>
      <c r="HR57" s="291"/>
      <c r="HS57" s="291"/>
      <c r="HT57" s="291"/>
      <c r="HU57" s="291"/>
      <c r="HV57" s="291"/>
      <c r="HW57" s="291"/>
      <c r="HX57" s="291"/>
      <c r="HY57" s="291"/>
      <c r="HZ57" s="291"/>
      <c r="IA57" s="291"/>
      <c r="IB57" s="291"/>
      <c r="IC57" s="291"/>
      <c r="ID57" s="291"/>
      <c r="IE57" s="291"/>
      <c r="IF57" s="291"/>
      <c r="IG57" s="291"/>
      <c r="IH57" s="291"/>
      <c r="II57" s="291"/>
      <c r="IJ57" s="291"/>
      <c r="IK57" s="291"/>
      <c r="IL57" s="291"/>
      <c r="IM57" s="291"/>
      <c r="IN57" s="291"/>
      <c r="IO57" s="291"/>
      <c r="IP57" s="291"/>
      <c r="IQ57" s="291"/>
      <c r="IR57" s="291"/>
      <c r="IS57" s="291"/>
      <c r="IT57" s="291"/>
      <c r="IU57" s="291"/>
      <c r="IV57" s="291"/>
      <c r="IW57" s="291"/>
      <c r="IX57" s="291"/>
      <c r="IY57" s="291"/>
      <c r="IZ57" s="291"/>
      <c r="JA57" s="291"/>
      <c r="JB57" s="291"/>
      <c r="JC57" s="291"/>
      <c r="JD57" s="291"/>
      <c r="JE57" s="291"/>
      <c r="JF57" s="291"/>
      <c r="JG57" s="291"/>
      <c r="JH57" s="291"/>
      <c r="JI57" s="291"/>
      <c r="JJ57" s="291"/>
      <c r="JK57" s="291"/>
      <c r="JL57" s="291"/>
      <c r="JM57" s="291"/>
      <c r="JN57" s="291"/>
      <c r="JO57" s="291"/>
      <c r="JP57" s="291"/>
      <c r="JQ57" s="291"/>
      <c r="JR57" s="291"/>
      <c r="JS57" s="291"/>
      <c r="JT57" s="291"/>
      <c r="JU57" s="291"/>
      <c r="JV57" s="291"/>
      <c r="JW57" s="291"/>
      <c r="JX57" s="291"/>
      <c r="JY57" s="291"/>
      <c r="JZ57" s="291"/>
      <c r="KA57" s="291"/>
      <c r="KB57" s="291"/>
      <c r="KC57" s="291"/>
      <c r="KD57" s="291"/>
      <c r="KE57" s="291"/>
      <c r="KF57" s="291"/>
      <c r="KG57" s="291"/>
      <c r="KH57" s="291"/>
      <c r="KI57" s="291"/>
      <c r="KJ57" s="291"/>
      <c r="KK57" s="291"/>
      <c r="KL57" s="291"/>
      <c r="KM57" s="291"/>
      <c r="KN57" s="291"/>
      <c r="KO57" s="291"/>
      <c r="KP57" s="291"/>
      <c r="KQ57" s="291"/>
      <c r="KR57" s="291"/>
      <c r="KS57" s="291"/>
      <c r="KT57" s="291"/>
      <c r="KU57" s="291"/>
      <c r="KV57" s="291"/>
      <c r="KW57" s="291"/>
      <c r="KX57" s="291"/>
      <c r="KY57" s="291"/>
      <c r="KZ57" s="291"/>
      <c r="LA57" s="291"/>
      <c r="LB57" s="291"/>
      <c r="LC57" s="291"/>
      <c r="LD57" s="291"/>
      <c r="LE57" s="291"/>
      <c r="LF57" s="291"/>
      <c r="LG57" s="291"/>
      <c r="LH57" s="291"/>
      <c r="LI57" s="291"/>
      <c r="LJ57" s="291"/>
      <c r="LK57" s="291"/>
      <c r="LL57" s="291"/>
      <c r="LM57" s="291"/>
      <c r="LN57" s="291"/>
      <c r="LO57" s="291"/>
      <c r="LP57" s="291"/>
      <c r="LQ57" s="291"/>
      <c r="LR57" s="291"/>
      <c r="LS57" s="291"/>
      <c r="LT57" s="291"/>
      <c r="LU57" s="291"/>
      <c r="LV57" s="291"/>
      <c r="LW57" s="291"/>
      <c r="LX57" s="291"/>
      <c r="LY57" s="291"/>
      <c r="LZ57" s="291"/>
      <c r="MA57" s="291"/>
      <c r="MB57" s="291"/>
      <c r="MC57" s="291"/>
      <c r="MD57" s="291"/>
      <c r="ME57" s="291"/>
      <c r="MF57" s="291"/>
      <c r="MG57" s="291"/>
      <c r="MH57" s="291"/>
      <c r="MI57" s="291"/>
      <c r="MJ57" s="291"/>
      <c r="MK57" s="291"/>
      <c r="ML57" s="291"/>
      <c r="MM57" s="291"/>
      <c r="MN57" s="291"/>
      <c r="MO57" s="291"/>
      <c r="MP57" s="291"/>
      <c r="MQ57" s="291"/>
      <c r="MR57" s="291"/>
      <c r="MS57" s="291"/>
      <c r="MT57" s="291"/>
      <c r="MU57" s="291"/>
      <c r="MV57" s="291"/>
      <c r="MW57" s="291"/>
      <c r="MX57" s="291"/>
      <c r="MY57" s="291"/>
      <c r="MZ57" s="291"/>
      <c r="NA57" s="291"/>
      <c r="NB57" s="291"/>
      <c r="NC57" s="291"/>
      <c r="ND57" s="291"/>
      <c r="NE57" s="291"/>
      <c r="NF57" s="291"/>
      <c r="NG57" s="291"/>
      <c r="NH57" s="291"/>
      <c r="NI57" s="291"/>
      <c r="NJ57" s="291"/>
      <c r="NK57" s="291"/>
      <c r="NL57" s="291"/>
      <c r="NM57" s="291"/>
      <c r="NN57" s="291"/>
      <c r="NO57" s="291"/>
      <c r="NP57" s="291"/>
      <c r="NQ57" s="291"/>
      <c r="NR57" s="291"/>
      <c r="NS57" s="291"/>
      <c r="NT57" s="291"/>
      <c r="NU57" s="291"/>
      <c r="NV57" s="291"/>
      <c r="NW57" s="291"/>
      <c r="NX57" s="291"/>
      <c r="NY57" s="291"/>
      <c r="NZ57" s="291"/>
      <c r="OA57" s="291"/>
      <c r="OB57" s="291"/>
      <c r="OC57" s="291"/>
      <c r="OD57" s="291"/>
      <c r="OE57" s="291"/>
      <c r="OF57" s="291"/>
      <c r="OG57" s="291"/>
      <c r="OH57" s="291"/>
      <c r="OI57" s="291"/>
      <c r="OJ57" s="291"/>
      <c r="OK57" s="291"/>
      <c r="OL57" s="291"/>
      <c r="OM57" s="291"/>
      <c r="ON57" s="291"/>
      <c r="OO57" s="291"/>
      <c r="OP57" s="291"/>
      <c r="OQ57" s="291"/>
      <c r="OR57" s="291"/>
      <c r="OS57" s="291"/>
      <c r="OT57" s="291"/>
      <c r="OU57" s="291"/>
      <c r="OV57" s="291"/>
      <c r="OW57" s="291"/>
      <c r="OX57" s="291"/>
      <c r="OY57" s="291"/>
      <c r="OZ57" s="291"/>
      <c r="PA57" s="291"/>
      <c r="PB57" s="291"/>
      <c r="PC57" s="291"/>
      <c r="PD57" s="291"/>
      <c r="PE57" s="291"/>
      <c r="PF57" s="291"/>
      <c r="PG57" s="291"/>
      <c r="PH57" s="291"/>
      <c r="PI57" s="291"/>
      <c r="PJ57" s="291"/>
      <c r="PK57" s="291"/>
      <c r="PL57" s="291"/>
      <c r="PM57" s="291"/>
      <c r="PN57" s="291"/>
      <c r="PO57" s="291"/>
      <c r="PP57" s="291"/>
      <c r="PQ57" s="291"/>
      <c r="PR57" s="291"/>
      <c r="PS57" s="291"/>
      <c r="PT57" s="291"/>
      <c r="PU57" s="291"/>
      <c r="PV57" s="291"/>
      <c r="PW57" s="291"/>
      <c r="PX57" s="291"/>
      <c r="PY57" s="291"/>
      <c r="PZ57" s="291"/>
      <c r="QA57" s="291"/>
      <c r="QB57" s="291"/>
      <c r="QC57" s="291"/>
      <c r="QD57" s="291"/>
      <c r="QE57" s="291"/>
      <c r="QF57" s="291"/>
      <c r="QG57" s="291"/>
      <c r="QH57" s="291"/>
      <c r="QI57" s="291"/>
      <c r="QJ57" s="291"/>
      <c r="QK57" s="291"/>
      <c r="QL57" s="291"/>
      <c r="QM57" s="291"/>
      <c r="QN57" s="291"/>
      <c r="QO57" s="291"/>
      <c r="QP57" s="291"/>
      <c r="QQ57" s="291"/>
      <c r="QR57" s="291"/>
      <c r="QS57" s="291"/>
      <c r="QT57" s="291"/>
      <c r="QU57" s="291"/>
      <c r="QV57" s="291"/>
      <c r="QW57" s="291"/>
      <c r="QX57" s="291"/>
      <c r="QY57" s="291"/>
      <c r="QZ57" s="291"/>
      <c r="RA57" s="291"/>
      <c r="RB57" s="291"/>
      <c r="RC57" s="291"/>
      <c r="RD57" s="291"/>
      <c r="RE57" s="291"/>
      <c r="RF57" s="291"/>
      <c r="RG57" s="291"/>
      <c r="RH57" s="291"/>
      <c r="RI57" s="291"/>
      <c r="RJ57" s="291"/>
      <c r="RK57" s="291"/>
      <c r="RL57" s="291"/>
      <c r="RM57" s="291"/>
      <c r="RN57" s="291"/>
      <c r="RO57" s="291"/>
      <c r="RP57" s="291"/>
      <c r="RQ57" s="291"/>
      <c r="RR57" s="291"/>
      <c r="RS57" s="291"/>
      <c r="RT57" s="291"/>
      <c r="RU57" s="291"/>
      <c r="RV57" s="291"/>
      <c r="RW57" s="291"/>
      <c r="RX57" s="291"/>
      <c r="RY57" s="291"/>
      <c r="RZ57" s="291"/>
      <c r="SA57" s="291"/>
      <c r="SB57" s="291"/>
      <c r="SC57" s="291"/>
      <c r="SD57" s="291"/>
      <c r="SE57" s="291"/>
      <c r="SF57" s="291"/>
      <c r="SG57" s="291"/>
      <c r="SH57" s="291"/>
      <c r="SI57" s="291"/>
      <c r="SJ57" s="291"/>
      <c r="SK57" s="291"/>
      <c r="SL57" s="291"/>
      <c r="SM57" s="291"/>
      <c r="SN57" s="291"/>
      <c r="SO57" s="291"/>
      <c r="SP57" s="291"/>
      <c r="SQ57" s="291"/>
      <c r="SR57" s="291"/>
      <c r="SS57" s="291"/>
      <c r="ST57" s="291"/>
      <c r="SU57" s="291"/>
      <c r="SV57" s="291"/>
      <c r="SW57" s="291"/>
      <c r="SX57" s="291"/>
      <c r="SY57" s="291"/>
      <c r="SZ57" s="291"/>
      <c r="TA57" s="291"/>
      <c r="TB57" s="291"/>
      <c r="TC57" s="291"/>
      <c r="TD57" s="291"/>
      <c r="TE57" s="291"/>
      <c r="TF57" s="291"/>
      <c r="TG57" s="291"/>
      <c r="TH57" s="291"/>
      <c r="TI57" s="291"/>
      <c r="TJ57" s="291"/>
      <c r="TK57" s="291"/>
      <c r="TL57" s="291"/>
      <c r="TM57" s="291"/>
      <c r="TN57" s="291"/>
      <c r="TO57" s="291"/>
      <c r="TP57" s="291"/>
      <c r="TQ57" s="291"/>
      <c r="TR57" s="291"/>
    </row>
    <row r="58" spans="1:538" s="363" customFormat="1" x14ac:dyDescent="0.25">
      <c r="A58" s="1504" t="s">
        <v>352</v>
      </c>
      <c r="B58" s="1505"/>
      <c r="C58" s="1505"/>
      <c r="D58" s="1506"/>
      <c r="E58" s="1507"/>
      <c r="F58" s="1507"/>
      <c r="G58" s="1507"/>
      <c r="H58" s="1507"/>
      <c r="I58" s="1507"/>
      <c r="J58" s="1508"/>
      <c r="K58" s="496"/>
      <c r="L58" s="1494"/>
      <c r="M58" s="1494"/>
      <c r="N58" s="1494"/>
      <c r="O58" s="1494"/>
      <c r="P58" s="1494"/>
      <c r="Q58" s="1494"/>
      <c r="R58" s="1495"/>
      <c r="S58" s="346"/>
      <c r="T58" s="1496"/>
      <c r="U58" s="1494"/>
      <c r="V58" s="1494"/>
      <c r="W58" s="1494"/>
      <c r="X58" s="1494"/>
      <c r="Y58" s="1494"/>
      <c r="Z58" s="1494"/>
      <c r="AA58" s="1509"/>
      <c r="AB58" s="1496"/>
      <c r="AC58" s="1494"/>
      <c r="AD58" s="1494"/>
      <c r="AE58" s="1494"/>
      <c r="AF58" s="1494"/>
      <c r="AG58" s="1494"/>
      <c r="AH58" s="1495"/>
      <c r="AI58" s="346"/>
      <c r="AJ58" s="1496"/>
      <c r="AK58" s="1494"/>
      <c r="AL58" s="1494"/>
      <c r="AM58" s="1494"/>
      <c r="AN58" s="1494"/>
      <c r="AO58" s="1494"/>
      <c r="AP58" s="1495"/>
      <c r="AQ58" s="346"/>
      <c r="AR58" s="1496"/>
      <c r="AS58" s="1494"/>
      <c r="AT58" s="1494"/>
      <c r="AU58" s="1494"/>
      <c r="AV58" s="1494"/>
      <c r="AW58" s="1494"/>
      <c r="AX58" s="1494"/>
      <c r="AY58" s="1494"/>
      <c r="AZ58" s="1507"/>
      <c r="BA58" s="1510"/>
      <c r="BB58" s="291"/>
      <c r="BC58" s="291"/>
      <c r="BD58" s="291"/>
      <c r="BE58" s="291"/>
      <c r="BF58" s="291"/>
      <c r="BG58" s="291"/>
      <c r="BH58" s="291"/>
      <c r="BI58" s="291"/>
      <c r="BJ58" s="291"/>
      <c r="BK58" s="291"/>
      <c r="BL58" s="291"/>
      <c r="BM58" s="291"/>
      <c r="BN58" s="291"/>
      <c r="BO58" s="291"/>
      <c r="BP58" s="291"/>
      <c r="BQ58" s="291"/>
      <c r="BR58" s="291"/>
      <c r="BS58" s="291"/>
      <c r="BT58" s="291"/>
      <c r="BU58" s="291"/>
      <c r="BV58" s="291"/>
      <c r="BW58" s="291"/>
      <c r="BX58" s="291"/>
      <c r="BY58" s="291"/>
      <c r="BZ58" s="291"/>
      <c r="CA58" s="291"/>
      <c r="CB58" s="291"/>
      <c r="CC58" s="291"/>
      <c r="CD58" s="291"/>
      <c r="CE58" s="291"/>
      <c r="CF58" s="291"/>
      <c r="CG58" s="291"/>
      <c r="CH58" s="291"/>
      <c r="CI58" s="291"/>
      <c r="CJ58" s="291"/>
      <c r="CK58" s="291"/>
      <c r="CL58" s="291"/>
      <c r="CM58" s="291"/>
      <c r="CN58" s="291"/>
      <c r="CO58" s="291"/>
      <c r="CP58" s="291"/>
      <c r="CQ58" s="291"/>
      <c r="CR58" s="291"/>
      <c r="CS58" s="291"/>
      <c r="CT58" s="291"/>
      <c r="CU58" s="291"/>
      <c r="CV58" s="291"/>
      <c r="CW58" s="291"/>
      <c r="CX58" s="291"/>
      <c r="CY58" s="291"/>
      <c r="CZ58" s="291"/>
      <c r="DA58" s="291"/>
      <c r="DB58" s="291"/>
      <c r="DC58" s="291"/>
      <c r="DD58" s="291"/>
      <c r="DE58" s="291"/>
      <c r="DF58" s="291"/>
      <c r="DG58" s="291"/>
      <c r="DH58" s="291"/>
      <c r="DI58" s="291"/>
      <c r="DJ58" s="291"/>
      <c r="DK58" s="291"/>
      <c r="DL58" s="291"/>
      <c r="DM58" s="291"/>
      <c r="DN58" s="291"/>
      <c r="DO58" s="291"/>
      <c r="DP58" s="291"/>
      <c r="DQ58" s="291"/>
      <c r="DR58" s="291"/>
      <c r="DS58" s="291"/>
      <c r="DT58" s="291"/>
      <c r="DU58" s="291"/>
      <c r="DV58" s="291"/>
      <c r="DW58" s="291"/>
      <c r="DX58" s="291"/>
      <c r="DY58" s="291"/>
      <c r="DZ58" s="291"/>
      <c r="EA58" s="291"/>
      <c r="EB58" s="291"/>
      <c r="EC58" s="291"/>
      <c r="ED58" s="291"/>
      <c r="EE58" s="291"/>
      <c r="EF58" s="291"/>
      <c r="EG58" s="291"/>
      <c r="EH58" s="291"/>
      <c r="EI58" s="291"/>
      <c r="EJ58" s="291"/>
      <c r="EK58" s="291"/>
      <c r="EL58" s="291"/>
      <c r="EM58" s="291"/>
      <c r="EN58" s="291"/>
      <c r="EO58" s="291"/>
      <c r="EP58" s="291"/>
      <c r="EQ58" s="291"/>
      <c r="ER58" s="291"/>
      <c r="ES58" s="291"/>
      <c r="ET58" s="291"/>
      <c r="EU58" s="291"/>
      <c r="EV58" s="291"/>
      <c r="EW58" s="291"/>
      <c r="EX58" s="291"/>
      <c r="EY58" s="291"/>
      <c r="EZ58" s="291"/>
      <c r="FA58" s="291"/>
      <c r="FB58" s="291"/>
      <c r="FC58" s="291"/>
      <c r="FD58" s="291"/>
      <c r="FE58" s="291"/>
      <c r="FF58" s="291"/>
      <c r="FG58" s="291"/>
      <c r="FH58" s="291"/>
      <c r="FI58" s="291"/>
      <c r="FJ58" s="291"/>
      <c r="FK58" s="291"/>
      <c r="FL58" s="291"/>
      <c r="FM58" s="291"/>
      <c r="FN58" s="291"/>
      <c r="FO58" s="291"/>
      <c r="FP58" s="291"/>
      <c r="FQ58" s="291"/>
      <c r="FR58" s="291"/>
      <c r="FS58" s="291"/>
      <c r="FT58" s="291"/>
      <c r="FU58" s="291"/>
      <c r="FV58" s="291"/>
      <c r="FW58" s="291"/>
      <c r="FX58" s="291"/>
      <c r="FY58" s="291"/>
      <c r="FZ58" s="291"/>
      <c r="GA58" s="291"/>
      <c r="GB58" s="291"/>
      <c r="GC58" s="291"/>
      <c r="GD58" s="291"/>
      <c r="GE58" s="291"/>
      <c r="GF58" s="291"/>
      <c r="GG58" s="291"/>
      <c r="GH58" s="291"/>
      <c r="GI58" s="291"/>
      <c r="GJ58" s="291"/>
      <c r="GK58" s="291"/>
      <c r="GL58" s="291"/>
      <c r="GM58" s="291"/>
      <c r="GN58" s="291"/>
      <c r="GO58" s="291"/>
      <c r="GP58" s="291"/>
      <c r="GQ58" s="291"/>
      <c r="GR58" s="291"/>
      <c r="GS58" s="291"/>
      <c r="GT58" s="291"/>
      <c r="GU58" s="291"/>
      <c r="GV58" s="291"/>
      <c r="GW58" s="291"/>
      <c r="GX58" s="291"/>
      <c r="GY58" s="291"/>
      <c r="GZ58" s="291"/>
      <c r="HA58" s="291"/>
      <c r="HB58" s="291"/>
      <c r="HC58" s="291"/>
      <c r="HD58" s="291"/>
      <c r="HE58" s="291"/>
      <c r="HF58" s="291"/>
      <c r="HG58" s="291"/>
      <c r="HH58" s="291"/>
      <c r="HI58" s="291"/>
      <c r="HJ58" s="291"/>
      <c r="HK58" s="291"/>
      <c r="HL58" s="291"/>
      <c r="HM58" s="291"/>
      <c r="HN58" s="291"/>
      <c r="HO58" s="291"/>
      <c r="HP58" s="291"/>
      <c r="HQ58" s="291"/>
      <c r="HR58" s="291"/>
      <c r="HS58" s="291"/>
      <c r="HT58" s="291"/>
      <c r="HU58" s="291"/>
      <c r="HV58" s="291"/>
      <c r="HW58" s="291"/>
      <c r="HX58" s="291"/>
      <c r="HY58" s="291"/>
      <c r="HZ58" s="291"/>
      <c r="IA58" s="291"/>
      <c r="IB58" s="291"/>
      <c r="IC58" s="291"/>
      <c r="ID58" s="291"/>
      <c r="IE58" s="291"/>
      <c r="IF58" s="291"/>
      <c r="IG58" s="291"/>
      <c r="IH58" s="291"/>
      <c r="II58" s="291"/>
      <c r="IJ58" s="291"/>
      <c r="IK58" s="291"/>
      <c r="IL58" s="291"/>
      <c r="IM58" s="291"/>
      <c r="IN58" s="291"/>
      <c r="IO58" s="291"/>
      <c r="IP58" s="291"/>
      <c r="IQ58" s="291"/>
      <c r="IR58" s="291"/>
      <c r="IS58" s="291"/>
      <c r="IT58" s="291"/>
      <c r="IU58" s="291"/>
      <c r="IV58" s="291"/>
      <c r="IW58" s="291"/>
      <c r="IX58" s="291"/>
      <c r="IY58" s="291"/>
      <c r="IZ58" s="291"/>
      <c r="JA58" s="291"/>
      <c r="JB58" s="291"/>
      <c r="JC58" s="291"/>
      <c r="JD58" s="291"/>
      <c r="JE58" s="291"/>
      <c r="JF58" s="291"/>
      <c r="JG58" s="291"/>
      <c r="JH58" s="291"/>
      <c r="JI58" s="291"/>
      <c r="JJ58" s="291"/>
      <c r="JK58" s="291"/>
      <c r="JL58" s="291"/>
      <c r="JM58" s="291"/>
      <c r="JN58" s="291"/>
      <c r="JO58" s="291"/>
      <c r="JP58" s="291"/>
      <c r="JQ58" s="291"/>
      <c r="JR58" s="291"/>
      <c r="JS58" s="291"/>
      <c r="JT58" s="291"/>
      <c r="JU58" s="291"/>
      <c r="JV58" s="291"/>
      <c r="JW58" s="291"/>
      <c r="JX58" s="291"/>
      <c r="JY58" s="291"/>
      <c r="JZ58" s="291"/>
      <c r="KA58" s="291"/>
      <c r="KB58" s="291"/>
      <c r="KC58" s="291"/>
      <c r="KD58" s="291"/>
      <c r="KE58" s="291"/>
      <c r="KF58" s="291"/>
      <c r="KG58" s="291"/>
      <c r="KH58" s="291"/>
      <c r="KI58" s="291"/>
      <c r="KJ58" s="291"/>
      <c r="KK58" s="291"/>
      <c r="KL58" s="291"/>
      <c r="KM58" s="291"/>
      <c r="KN58" s="291"/>
      <c r="KO58" s="291"/>
      <c r="KP58" s="291"/>
      <c r="KQ58" s="291"/>
      <c r="KR58" s="291"/>
      <c r="KS58" s="291"/>
      <c r="KT58" s="291"/>
      <c r="KU58" s="291"/>
      <c r="KV58" s="291"/>
      <c r="KW58" s="291"/>
      <c r="KX58" s="291"/>
      <c r="KY58" s="291"/>
      <c r="KZ58" s="291"/>
      <c r="LA58" s="291"/>
      <c r="LB58" s="291"/>
      <c r="LC58" s="291"/>
      <c r="LD58" s="291"/>
      <c r="LE58" s="291"/>
      <c r="LF58" s="291"/>
      <c r="LG58" s="291"/>
      <c r="LH58" s="291"/>
      <c r="LI58" s="291"/>
      <c r="LJ58" s="291"/>
      <c r="LK58" s="291"/>
      <c r="LL58" s="291"/>
      <c r="LM58" s="291"/>
      <c r="LN58" s="291"/>
      <c r="LO58" s="291"/>
      <c r="LP58" s="291"/>
      <c r="LQ58" s="291"/>
      <c r="LR58" s="291"/>
      <c r="LS58" s="291"/>
      <c r="LT58" s="291"/>
      <c r="LU58" s="291"/>
      <c r="LV58" s="291"/>
      <c r="LW58" s="291"/>
      <c r="LX58" s="291"/>
      <c r="LY58" s="291"/>
      <c r="LZ58" s="291"/>
      <c r="MA58" s="291"/>
      <c r="MB58" s="291"/>
      <c r="MC58" s="291"/>
      <c r="MD58" s="291"/>
      <c r="ME58" s="291"/>
      <c r="MF58" s="291"/>
      <c r="MG58" s="291"/>
      <c r="MH58" s="291"/>
      <c r="MI58" s="291"/>
      <c r="MJ58" s="291"/>
      <c r="MK58" s="291"/>
      <c r="ML58" s="291"/>
      <c r="MM58" s="291"/>
      <c r="MN58" s="291"/>
      <c r="MO58" s="291"/>
      <c r="MP58" s="291"/>
      <c r="MQ58" s="291"/>
      <c r="MR58" s="291"/>
      <c r="MS58" s="291"/>
      <c r="MT58" s="291"/>
      <c r="MU58" s="291"/>
      <c r="MV58" s="291"/>
      <c r="MW58" s="291"/>
      <c r="MX58" s="291"/>
      <c r="MY58" s="291"/>
      <c r="MZ58" s="291"/>
      <c r="NA58" s="291"/>
      <c r="NB58" s="291"/>
      <c r="NC58" s="291"/>
      <c r="ND58" s="291"/>
      <c r="NE58" s="291"/>
      <c r="NF58" s="291"/>
      <c r="NG58" s="291"/>
      <c r="NH58" s="291"/>
      <c r="NI58" s="291"/>
      <c r="NJ58" s="291"/>
      <c r="NK58" s="291"/>
      <c r="NL58" s="291"/>
      <c r="NM58" s="291"/>
      <c r="NN58" s="291"/>
      <c r="NO58" s="291"/>
      <c r="NP58" s="291"/>
      <c r="NQ58" s="291"/>
      <c r="NR58" s="291"/>
      <c r="NS58" s="291"/>
      <c r="NT58" s="291"/>
      <c r="NU58" s="291"/>
      <c r="NV58" s="291"/>
      <c r="NW58" s="291"/>
      <c r="NX58" s="291"/>
      <c r="NY58" s="291"/>
      <c r="NZ58" s="291"/>
      <c r="OA58" s="291"/>
      <c r="OB58" s="291"/>
      <c r="OC58" s="291"/>
      <c r="OD58" s="291"/>
      <c r="OE58" s="291"/>
      <c r="OF58" s="291"/>
      <c r="OG58" s="291"/>
      <c r="OH58" s="291"/>
      <c r="OI58" s="291"/>
      <c r="OJ58" s="291"/>
      <c r="OK58" s="291"/>
      <c r="OL58" s="291"/>
      <c r="OM58" s="291"/>
      <c r="ON58" s="291"/>
      <c r="OO58" s="291"/>
      <c r="OP58" s="291"/>
      <c r="OQ58" s="291"/>
      <c r="OR58" s="291"/>
      <c r="OS58" s="291"/>
      <c r="OT58" s="291"/>
      <c r="OU58" s="291"/>
      <c r="OV58" s="291"/>
      <c r="OW58" s="291"/>
      <c r="OX58" s="291"/>
      <c r="OY58" s="291"/>
      <c r="OZ58" s="291"/>
      <c r="PA58" s="291"/>
      <c r="PB58" s="291"/>
      <c r="PC58" s="291"/>
      <c r="PD58" s="291"/>
      <c r="PE58" s="291"/>
      <c r="PF58" s="291"/>
      <c r="PG58" s="291"/>
      <c r="PH58" s="291"/>
      <c r="PI58" s="291"/>
      <c r="PJ58" s="291"/>
      <c r="PK58" s="291"/>
      <c r="PL58" s="291"/>
      <c r="PM58" s="291"/>
      <c r="PN58" s="291"/>
      <c r="PO58" s="291"/>
      <c r="PP58" s="291"/>
      <c r="PQ58" s="291"/>
      <c r="PR58" s="291"/>
      <c r="PS58" s="291"/>
      <c r="PT58" s="291"/>
      <c r="PU58" s="291"/>
      <c r="PV58" s="291"/>
      <c r="PW58" s="291"/>
      <c r="PX58" s="291"/>
      <c r="PY58" s="291"/>
      <c r="PZ58" s="291"/>
      <c r="QA58" s="291"/>
      <c r="QB58" s="291"/>
      <c r="QC58" s="291"/>
      <c r="QD58" s="291"/>
      <c r="QE58" s="291"/>
      <c r="QF58" s="291"/>
      <c r="QG58" s="291"/>
      <c r="QH58" s="291"/>
      <c r="QI58" s="291"/>
      <c r="QJ58" s="291"/>
      <c r="QK58" s="291"/>
      <c r="QL58" s="291"/>
      <c r="QM58" s="291"/>
      <c r="QN58" s="291"/>
      <c r="QO58" s="291"/>
      <c r="QP58" s="291"/>
      <c r="QQ58" s="291"/>
      <c r="QR58" s="291"/>
      <c r="QS58" s="291"/>
      <c r="QT58" s="291"/>
      <c r="QU58" s="291"/>
      <c r="QV58" s="291"/>
      <c r="QW58" s="291"/>
      <c r="QX58" s="291"/>
      <c r="QY58" s="291"/>
      <c r="QZ58" s="291"/>
      <c r="RA58" s="291"/>
      <c r="RB58" s="291"/>
      <c r="RC58" s="291"/>
      <c r="RD58" s="291"/>
      <c r="RE58" s="291"/>
      <c r="RF58" s="291"/>
      <c r="RG58" s="291"/>
      <c r="RH58" s="291"/>
      <c r="RI58" s="291"/>
      <c r="RJ58" s="291"/>
      <c r="RK58" s="291"/>
      <c r="RL58" s="291"/>
      <c r="RM58" s="291"/>
      <c r="RN58" s="291"/>
      <c r="RO58" s="291"/>
      <c r="RP58" s="291"/>
      <c r="RQ58" s="291"/>
      <c r="RR58" s="291"/>
      <c r="RS58" s="291"/>
      <c r="RT58" s="291"/>
      <c r="RU58" s="291"/>
      <c r="RV58" s="291"/>
      <c r="RW58" s="291"/>
      <c r="RX58" s="291"/>
      <c r="RY58" s="291"/>
      <c r="RZ58" s="291"/>
      <c r="SA58" s="291"/>
      <c r="SB58" s="291"/>
      <c r="SC58" s="291"/>
      <c r="SD58" s="291"/>
      <c r="SE58" s="291"/>
      <c r="SF58" s="291"/>
      <c r="SG58" s="291"/>
      <c r="SH58" s="291"/>
      <c r="SI58" s="291"/>
      <c r="SJ58" s="291"/>
      <c r="SK58" s="291"/>
      <c r="SL58" s="291"/>
      <c r="SM58" s="291"/>
      <c r="SN58" s="291"/>
      <c r="SO58" s="291"/>
      <c r="SP58" s="291"/>
      <c r="SQ58" s="291"/>
      <c r="SR58" s="291"/>
      <c r="SS58" s="291"/>
      <c r="ST58" s="291"/>
      <c r="SU58" s="291"/>
      <c r="SV58" s="291"/>
      <c r="SW58" s="291"/>
      <c r="SX58" s="291"/>
      <c r="SY58" s="291"/>
      <c r="SZ58" s="291"/>
      <c r="TA58" s="291"/>
      <c r="TB58" s="291"/>
      <c r="TC58" s="291"/>
      <c r="TD58" s="291"/>
      <c r="TE58" s="291"/>
      <c r="TF58" s="291"/>
      <c r="TG58" s="291"/>
      <c r="TH58" s="291"/>
      <c r="TI58" s="291"/>
      <c r="TJ58" s="291"/>
      <c r="TK58" s="291"/>
      <c r="TL58" s="291"/>
      <c r="TM58" s="291"/>
      <c r="TN58" s="291"/>
      <c r="TO58" s="291"/>
      <c r="TP58" s="291"/>
      <c r="TQ58" s="291"/>
      <c r="TR58" s="291"/>
    </row>
    <row r="59" spans="1:538" x14ac:dyDescent="0.25">
      <c r="A59" s="481"/>
      <c r="B59" s="294" t="s">
        <v>354</v>
      </c>
      <c r="C59" s="297" t="s">
        <v>355</v>
      </c>
      <c r="D59" s="1497"/>
      <c r="E59" s="1498"/>
      <c r="F59" s="1498"/>
      <c r="G59" s="1498"/>
      <c r="H59" s="1498"/>
      <c r="I59" s="1498"/>
      <c r="J59" s="1499"/>
      <c r="K59" s="495">
        <v>500000</v>
      </c>
      <c r="L59" s="1434"/>
      <c r="M59" s="1434"/>
      <c r="N59" s="1434"/>
      <c r="O59" s="1434"/>
      <c r="P59" s="1434"/>
      <c r="Q59" s="1434"/>
      <c r="R59" s="1437"/>
      <c r="S59" s="302">
        <v>500000</v>
      </c>
      <c r="T59" s="1485"/>
      <c r="U59" s="1434"/>
      <c r="V59" s="1434"/>
      <c r="W59" s="1434"/>
      <c r="X59" s="1434"/>
      <c r="Y59" s="1434"/>
      <c r="Z59" s="1437"/>
      <c r="AA59" s="302">
        <v>500000</v>
      </c>
      <c r="AB59" s="1485"/>
      <c r="AC59" s="1434"/>
      <c r="AD59" s="1434"/>
      <c r="AE59" s="1434"/>
      <c r="AF59" s="1434"/>
      <c r="AG59" s="1434"/>
      <c r="AH59" s="1437"/>
      <c r="AI59" s="302">
        <v>500000</v>
      </c>
      <c r="AJ59" s="1485"/>
      <c r="AK59" s="1434"/>
      <c r="AL59" s="1434"/>
      <c r="AM59" s="1434"/>
      <c r="AN59" s="1434"/>
      <c r="AO59" s="1434"/>
      <c r="AP59" s="1437"/>
      <c r="AQ59" s="302">
        <v>500000</v>
      </c>
      <c r="AR59" s="1485"/>
      <c r="AS59" s="1434"/>
      <c r="AT59" s="1434"/>
      <c r="AU59" s="1434"/>
      <c r="AV59" s="1434"/>
      <c r="AW59" s="1434"/>
      <c r="AX59" s="1437"/>
      <c r="AY59" s="410">
        <v>500000</v>
      </c>
      <c r="AZ59" s="1439"/>
      <c r="BA59" s="431">
        <f>K59+S59+AA59+AI59+AQ59+AY59</f>
        <v>3000000</v>
      </c>
    </row>
    <row r="60" spans="1:538" x14ac:dyDescent="0.25">
      <c r="A60" s="481"/>
      <c r="B60" s="294" t="s">
        <v>356</v>
      </c>
      <c r="C60" s="297" t="s">
        <v>357</v>
      </c>
      <c r="D60" s="1497"/>
      <c r="E60" s="1498"/>
      <c r="F60" s="1498"/>
      <c r="G60" s="1498"/>
      <c r="H60" s="1498"/>
      <c r="I60" s="1498"/>
      <c r="J60" s="1499"/>
      <c r="K60" s="495">
        <v>500000</v>
      </c>
      <c r="L60" s="1461"/>
      <c r="M60" s="1461"/>
      <c r="N60" s="1461"/>
      <c r="O60" s="1461"/>
      <c r="P60" s="1461"/>
      <c r="Q60" s="1461"/>
      <c r="R60" s="1462"/>
      <c r="S60" s="302">
        <v>500000</v>
      </c>
      <c r="T60" s="1486"/>
      <c r="U60" s="1461"/>
      <c r="V60" s="1461"/>
      <c r="W60" s="1461"/>
      <c r="X60" s="1461"/>
      <c r="Y60" s="1461"/>
      <c r="Z60" s="1462"/>
      <c r="AA60" s="302">
        <v>500000</v>
      </c>
      <c r="AB60" s="1486"/>
      <c r="AC60" s="1461"/>
      <c r="AD60" s="1461"/>
      <c r="AE60" s="1461"/>
      <c r="AF60" s="1461"/>
      <c r="AG60" s="1461"/>
      <c r="AH60" s="1462"/>
      <c r="AI60" s="302">
        <v>500000</v>
      </c>
      <c r="AJ60" s="1486"/>
      <c r="AK60" s="1461"/>
      <c r="AL60" s="1461"/>
      <c r="AM60" s="1461"/>
      <c r="AN60" s="1461"/>
      <c r="AO60" s="1461"/>
      <c r="AP60" s="1462"/>
      <c r="AQ60" s="302">
        <v>500000</v>
      </c>
      <c r="AR60" s="1486"/>
      <c r="AS60" s="1461"/>
      <c r="AT60" s="1461"/>
      <c r="AU60" s="1461"/>
      <c r="AV60" s="1461"/>
      <c r="AW60" s="1461"/>
      <c r="AX60" s="1462"/>
      <c r="AY60" s="410">
        <v>500000</v>
      </c>
      <c r="AZ60" s="1488"/>
      <c r="BA60" s="431">
        <f>K60+S60+AA60+AI60+AQ60+AY60</f>
        <v>3000000</v>
      </c>
    </row>
    <row r="61" spans="1:538" x14ac:dyDescent="0.25">
      <c r="A61" s="481"/>
      <c r="B61" s="294" t="s">
        <v>48</v>
      </c>
      <c r="C61" s="297" t="s">
        <v>359</v>
      </c>
      <c r="D61" s="1497"/>
      <c r="E61" s="1498"/>
      <c r="F61" s="1498"/>
      <c r="G61" s="1498"/>
      <c r="H61" s="1498"/>
      <c r="I61" s="1498"/>
      <c r="J61" s="1499"/>
      <c r="K61" s="495">
        <v>500000</v>
      </c>
      <c r="L61" s="1461"/>
      <c r="M61" s="1461"/>
      <c r="N61" s="1461"/>
      <c r="O61" s="1461"/>
      <c r="P61" s="1461"/>
      <c r="Q61" s="1461"/>
      <c r="R61" s="1462"/>
      <c r="S61" s="302">
        <v>500000</v>
      </c>
      <c r="T61" s="1486"/>
      <c r="U61" s="1461"/>
      <c r="V61" s="1461"/>
      <c r="W61" s="1461"/>
      <c r="X61" s="1461"/>
      <c r="Y61" s="1461"/>
      <c r="Z61" s="1462"/>
      <c r="AA61" s="302">
        <v>500000</v>
      </c>
      <c r="AB61" s="1486"/>
      <c r="AC61" s="1461"/>
      <c r="AD61" s="1461"/>
      <c r="AE61" s="1461"/>
      <c r="AF61" s="1461"/>
      <c r="AG61" s="1461"/>
      <c r="AH61" s="1462"/>
      <c r="AI61" s="302">
        <v>500000</v>
      </c>
      <c r="AJ61" s="1486"/>
      <c r="AK61" s="1461"/>
      <c r="AL61" s="1461"/>
      <c r="AM61" s="1461"/>
      <c r="AN61" s="1461"/>
      <c r="AO61" s="1461"/>
      <c r="AP61" s="1462"/>
      <c r="AQ61" s="302">
        <v>500000</v>
      </c>
      <c r="AR61" s="1486"/>
      <c r="AS61" s="1461"/>
      <c r="AT61" s="1461"/>
      <c r="AU61" s="1461"/>
      <c r="AV61" s="1461"/>
      <c r="AW61" s="1461"/>
      <c r="AX61" s="1462"/>
      <c r="AY61" s="410">
        <v>500000</v>
      </c>
      <c r="AZ61" s="1488"/>
      <c r="BA61" s="431">
        <f>K61+S61+AA61+AI61+AQ61+AY61</f>
        <v>3000000</v>
      </c>
    </row>
    <row r="62" spans="1:538" x14ac:dyDescent="0.25">
      <c r="A62" s="481"/>
      <c r="B62" s="296" t="s">
        <v>451</v>
      </c>
      <c r="C62" s="297" t="s">
        <v>361</v>
      </c>
      <c r="D62" s="1497"/>
      <c r="E62" s="1498"/>
      <c r="F62" s="1498"/>
      <c r="G62" s="1498"/>
      <c r="H62" s="1498"/>
      <c r="I62" s="1498"/>
      <c r="J62" s="1499"/>
      <c r="K62" s="495">
        <v>0</v>
      </c>
      <c r="L62" s="1436"/>
      <c r="M62" s="1436"/>
      <c r="N62" s="1436"/>
      <c r="O62" s="1436"/>
      <c r="P62" s="1436"/>
      <c r="Q62" s="1436"/>
      <c r="R62" s="1438"/>
      <c r="S62" s="302">
        <v>0</v>
      </c>
      <c r="T62" s="1487"/>
      <c r="U62" s="1436"/>
      <c r="V62" s="1436"/>
      <c r="W62" s="1436"/>
      <c r="X62" s="1436"/>
      <c r="Y62" s="1436"/>
      <c r="Z62" s="1438"/>
      <c r="AA62" s="302">
        <v>0</v>
      </c>
      <c r="AB62" s="1487"/>
      <c r="AC62" s="1436"/>
      <c r="AD62" s="1436"/>
      <c r="AE62" s="1436"/>
      <c r="AF62" s="1436"/>
      <c r="AG62" s="1436"/>
      <c r="AH62" s="1438"/>
      <c r="AI62" s="302">
        <v>0</v>
      </c>
      <c r="AJ62" s="1487"/>
      <c r="AK62" s="1436"/>
      <c r="AL62" s="1436"/>
      <c r="AM62" s="1436"/>
      <c r="AN62" s="1436"/>
      <c r="AO62" s="1436"/>
      <c r="AP62" s="1438"/>
      <c r="AQ62" s="302">
        <v>0</v>
      </c>
      <c r="AR62" s="1487"/>
      <c r="AS62" s="1436"/>
      <c r="AT62" s="1436"/>
      <c r="AU62" s="1436"/>
      <c r="AV62" s="1436"/>
      <c r="AW62" s="1436"/>
      <c r="AX62" s="1438"/>
      <c r="AY62" s="410">
        <v>0</v>
      </c>
      <c r="AZ62" s="1440"/>
      <c r="BA62" s="431">
        <f>K62+S62+AA62+AI62+AQ62+AY62</f>
        <v>0</v>
      </c>
    </row>
    <row r="63" spans="1:538" s="363" customFormat="1" x14ac:dyDescent="0.25">
      <c r="A63" s="1489" t="s">
        <v>256</v>
      </c>
      <c r="B63" s="1490"/>
      <c r="C63" s="1490"/>
      <c r="D63" s="1491"/>
      <c r="E63" s="1492"/>
      <c r="F63" s="1492"/>
      <c r="G63" s="1492"/>
      <c r="H63" s="1492"/>
      <c r="I63" s="1492"/>
      <c r="J63" s="1493"/>
      <c r="K63" s="496">
        <f>SUM(K58:K62)</f>
        <v>1500000</v>
      </c>
      <c r="L63" s="1494"/>
      <c r="M63" s="1494"/>
      <c r="N63" s="1494"/>
      <c r="O63" s="1494"/>
      <c r="P63" s="1494"/>
      <c r="Q63" s="1494"/>
      <c r="R63" s="1495"/>
      <c r="S63" s="346">
        <f>SUM(S58:S62)</f>
        <v>1500000</v>
      </c>
      <c r="T63" s="1496"/>
      <c r="U63" s="1494"/>
      <c r="V63" s="1494"/>
      <c r="W63" s="1494"/>
      <c r="X63" s="1494"/>
      <c r="Y63" s="1494"/>
      <c r="Z63" s="1495"/>
      <c r="AA63" s="346">
        <f>SUM(AA58:AA62)</f>
        <v>1500000</v>
      </c>
      <c r="AB63" s="1496"/>
      <c r="AC63" s="1494"/>
      <c r="AD63" s="1494"/>
      <c r="AE63" s="1494"/>
      <c r="AF63" s="1494"/>
      <c r="AG63" s="1494"/>
      <c r="AH63" s="1495"/>
      <c r="AI63" s="346">
        <f>SUM(AI58:AI62)</f>
        <v>1500000</v>
      </c>
      <c r="AJ63" s="1496"/>
      <c r="AK63" s="1494"/>
      <c r="AL63" s="1494"/>
      <c r="AM63" s="1494"/>
      <c r="AN63" s="1494"/>
      <c r="AO63" s="1494"/>
      <c r="AP63" s="1495"/>
      <c r="AQ63" s="346">
        <f>SUM(AQ58:AQ62)</f>
        <v>1500000</v>
      </c>
      <c r="AR63" s="1496"/>
      <c r="AS63" s="1494"/>
      <c r="AT63" s="1494"/>
      <c r="AU63" s="1494"/>
      <c r="AV63" s="1494"/>
      <c r="AW63" s="1494"/>
      <c r="AX63" s="1495"/>
      <c r="AY63" s="407">
        <f>SUM(AY58:AY62)</f>
        <v>1500000</v>
      </c>
      <c r="AZ63" s="464"/>
      <c r="BA63" s="383">
        <f>K63+S63+AA63+AI63+AQ63+AY63</f>
        <v>9000000</v>
      </c>
      <c r="BB63" s="291"/>
      <c r="BC63" s="291"/>
      <c r="BD63" s="291"/>
      <c r="BE63" s="291"/>
      <c r="BF63" s="291"/>
      <c r="BG63" s="291"/>
      <c r="BH63" s="291"/>
      <c r="BI63" s="291"/>
      <c r="BJ63" s="291"/>
      <c r="BK63" s="291"/>
      <c r="BL63" s="291"/>
      <c r="BM63" s="291"/>
      <c r="BN63" s="291"/>
      <c r="BO63" s="291"/>
      <c r="BP63" s="291"/>
      <c r="BQ63" s="291"/>
      <c r="BR63" s="291"/>
      <c r="BS63" s="291"/>
      <c r="BT63" s="291"/>
      <c r="BU63" s="291"/>
      <c r="BV63" s="291"/>
      <c r="BW63" s="291"/>
      <c r="BX63" s="291"/>
      <c r="BY63" s="291"/>
      <c r="BZ63" s="291"/>
      <c r="CA63" s="291"/>
      <c r="CB63" s="291"/>
      <c r="CC63" s="291"/>
      <c r="CD63" s="291"/>
      <c r="CE63" s="291"/>
      <c r="CF63" s="291"/>
      <c r="CG63" s="291"/>
      <c r="CH63" s="291"/>
      <c r="CI63" s="291"/>
      <c r="CJ63" s="291"/>
      <c r="CK63" s="291"/>
      <c r="CL63" s="291"/>
      <c r="CM63" s="291"/>
      <c r="CN63" s="291"/>
      <c r="CO63" s="291"/>
      <c r="CP63" s="291"/>
      <c r="CQ63" s="291"/>
      <c r="CR63" s="291"/>
      <c r="CS63" s="291"/>
      <c r="CT63" s="291"/>
      <c r="CU63" s="291"/>
      <c r="CV63" s="291"/>
      <c r="CW63" s="291"/>
      <c r="CX63" s="291"/>
      <c r="CY63" s="291"/>
      <c r="CZ63" s="291"/>
      <c r="DA63" s="291"/>
      <c r="DB63" s="291"/>
      <c r="DC63" s="291"/>
      <c r="DD63" s="291"/>
      <c r="DE63" s="291"/>
      <c r="DF63" s="291"/>
      <c r="DG63" s="291"/>
      <c r="DH63" s="291"/>
      <c r="DI63" s="291"/>
      <c r="DJ63" s="291"/>
      <c r="DK63" s="291"/>
      <c r="DL63" s="291"/>
      <c r="DM63" s="291"/>
      <c r="DN63" s="291"/>
      <c r="DO63" s="291"/>
      <c r="DP63" s="291"/>
      <c r="DQ63" s="291"/>
      <c r="DR63" s="291"/>
      <c r="DS63" s="291"/>
      <c r="DT63" s="291"/>
      <c r="DU63" s="291"/>
      <c r="DV63" s="291"/>
      <c r="DW63" s="291"/>
      <c r="DX63" s="291"/>
      <c r="DY63" s="291"/>
      <c r="DZ63" s="291"/>
      <c r="EA63" s="291"/>
      <c r="EB63" s="291"/>
      <c r="EC63" s="291"/>
      <c r="ED63" s="291"/>
      <c r="EE63" s="291"/>
      <c r="EF63" s="291"/>
      <c r="EG63" s="291"/>
      <c r="EH63" s="291"/>
      <c r="EI63" s="291"/>
      <c r="EJ63" s="291"/>
      <c r="EK63" s="291"/>
      <c r="EL63" s="291"/>
      <c r="EM63" s="291"/>
      <c r="EN63" s="291"/>
      <c r="EO63" s="291"/>
      <c r="EP63" s="291"/>
      <c r="EQ63" s="291"/>
      <c r="ER63" s="291"/>
      <c r="ES63" s="291"/>
      <c r="ET63" s="291"/>
      <c r="EU63" s="291"/>
      <c r="EV63" s="291"/>
      <c r="EW63" s="291"/>
      <c r="EX63" s="291"/>
      <c r="EY63" s="291"/>
      <c r="EZ63" s="291"/>
      <c r="FA63" s="291"/>
      <c r="FB63" s="291"/>
      <c r="FC63" s="291"/>
      <c r="FD63" s="291"/>
      <c r="FE63" s="291"/>
      <c r="FF63" s="291"/>
      <c r="FG63" s="291"/>
      <c r="FH63" s="291"/>
      <c r="FI63" s="291"/>
      <c r="FJ63" s="291"/>
      <c r="FK63" s="291"/>
      <c r="FL63" s="291"/>
      <c r="FM63" s="291"/>
      <c r="FN63" s="291"/>
      <c r="FO63" s="291"/>
      <c r="FP63" s="291"/>
      <c r="FQ63" s="291"/>
      <c r="FR63" s="291"/>
      <c r="FS63" s="291"/>
      <c r="FT63" s="291"/>
      <c r="FU63" s="291"/>
      <c r="FV63" s="291"/>
      <c r="FW63" s="291"/>
      <c r="FX63" s="291"/>
      <c r="FY63" s="291"/>
      <c r="FZ63" s="291"/>
      <c r="GA63" s="291"/>
      <c r="GB63" s="291"/>
      <c r="GC63" s="291"/>
      <c r="GD63" s="291"/>
      <c r="GE63" s="291"/>
      <c r="GF63" s="291"/>
      <c r="GG63" s="291"/>
      <c r="GH63" s="291"/>
      <c r="GI63" s="291"/>
      <c r="GJ63" s="291"/>
      <c r="GK63" s="291"/>
      <c r="GL63" s="291"/>
      <c r="GM63" s="291"/>
      <c r="GN63" s="291"/>
      <c r="GO63" s="291"/>
      <c r="GP63" s="291"/>
      <c r="GQ63" s="291"/>
      <c r="GR63" s="291"/>
      <c r="GS63" s="291"/>
      <c r="GT63" s="291"/>
      <c r="GU63" s="291"/>
      <c r="GV63" s="291"/>
      <c r="GW63" s="291"/>
      <c r="GX63" s="291"/>
      <c r="GY63" s="291"/>
      <c r="GZ63" s="291"/>
      <c r="HA63" s="291"/>
      <c r="HB63" s="291"/>
      <c r="HC63" s="291"/>
      <c r="HD63" s="291"/>
      <c r="HE63" s="291"/>
      <c r="HF63" s="291"/>
      <c r="HG63" s="291"/>
      <c r="HH63" s="291"/>
      <c r="HI63" s="291"/>
      <c r="HJ63" s="291"/>
      <c r="HK63" s="291"/>
      <c r="HL63" s="291"/>
      <c r="HM63" s="291"/>
      <c r="HN63" s="291"/>
      <c r="HO63" s="291"/>
      <c r="HP63" s="291"/>
      <c r="HQ63" s="291"/>
      <c r="HR63" s="291"/>
      <c r="HS63" s="291"/>
      <c r="HT63" s="291"/>
      <c r="HU63" s="291"/>
      <c r="HV63" s="291"/>
      <c r="HW63" s="291"/>
      <c r="HX63" s="291"/>
      <c r="HY63" s="291"/>
      <c r="HZ63" s="291"/>
      <c r="IA63" s="291"/>
      <c r="IB63" s="291"/>
      <c r="IC63" s="291"/>
      <c r="ID63" s="291"/>
      <c r="IE63" s="291"/>
      <c r="IF63" s="291"/>
      <c r="IG63" s="291"/>
      <c r="IH63" s="291"/>
      <c r="II63" s="291"/>
      <c r="IJ63" s="291"/>
      <c r="IK63" s="291"/>
      <c r="IL63" s="291"/>
      <c r="IM63" s="291"/>
      <c r="IN63" s="291"/>
      <c r="IO63" s="291"/>
      <c r="IP63" s="291"/>
      <c r="IQ63" s="291"/>
      <c r="IR63" s="291"/>
      <c r="IS63" s="291"/>
      <c r="IT63" s="291"/>
      <c r="IU63" s="291"/>
      <c r="IV63" s="291"/>
      <c r="IW63" s="291"/>
      <c r="IX63" s="291"/>
      <c r="IY63" s="291"/>
      <c r="IZ63" s="291"/>
      <c r="JA63" s="291"/>
      <c r="JB63" s="291"/>
      <c r="JC63" s="291"/>
      <c r="JD63" s="291"/>
      <c r="JE63" s="291"/>
      <c r="JF63" s="291"/>
      <c r="JG63" s="291"/>
      <c r="JH63" s="291"/>
      <c r="JI63" s="291"/>
      <c r="JJ63" s="291"/>
      <c r="JK63" s="291"/>
      <c r="JL63" s="291"/>
      <c r="JM63" s="291"/>
      <c r="JN63" s="291"/>
      <c r="JO63" s="291"/>
      <c r="JP63" s="291"/>
      <c r="JQ63" s="291"/>
      <c r="JR63" s="291"/>
      <c r="JS63" s="291"/>
      <c r="JT63" s="291"/>
      <c r="JU63" s="291"/>
      <c r="JV63" s="291"/>
      <c r="JW63" s="291"/>
      <c r="JX63" s="291"/>
      <c r="JY63" s="291"/>
      <c r="JZ63" s="291"/>
      <c r="KA63" s="291"/>
      <c r="KB63" s="291"/>
      <c r="KC63" s="291"/>
      <c r="KD63" s="291"/>
      <c r="KE63" s="291"/>
      <c r="KF63" s="291"/>
      <c r="KG63" s="291"/>
      <c r="KH63" s="291"/>
      <c r="KI63" s="291"/>
      <c r="KJ63" s="291"/>
      <c r="KK63" s="291"/>
      <c r="KL63" s="291"/>
      <c r="KM63" s="291"/>
      <c r="KN63" s="291"/>
      <c r="KO63" s="291"/>
      <c r="KP63" s="291"/>
      <c r="KQ63" s="291"/>
      <c r="KR63" s="291"/>
      <c r="KS63" s="291"/>
      <c r="KT63" s="291"/>
      <c r="KU63" s="291"/>
      <c r="KV63" s="291"/>
      <c r="KW63" s="291"/>
      <c r="KX63" s="291"/>
      <c r="KY63" s="291"/>
      <c r="KZ63" s="291"/>
      <c r="LA63" s="291"/>
      <c r="LB63" s="291"/>
      <c r="LC63" s="291"/>
      <c r="LD63" s="291"/>
      <c r="LE63" s="291"/>
      <c r="LF63" s="291"/>
      <c r="LG63" s="291"/>
      <c r="LH63" s="291"/>
      <c r="LI63" s="291"/>
      <c r="LJ63" s="291"/>
      <c r="LK63" s="291"/>
      <c r="LL63" s="291"/>
      <c r="LM63" s="291"/>
      <c r="LN63" s="291"/>
      <c r="LO63" s="291"/>
      <c r="LP63" s="291"/>
      <c r="LQ63" s="291"/>
      <c r="LR63" s="291"/>
      <c r="LS63" s="291"/>
      <c r="LT63" s="291"/>
      <c r="LU63" s="291"/>
      <c r="LV63" s="291"/>
      <c r="LW63" s="291"/>
      <c r="LX63" s="291"/>
      <c r="LY63" s="291"/>
      <c r="LZ63" s="291"/>
      <c r="MA63" s="291"/>
      <c r="MB63" s="291"/>
      <c r="MC63" s="291"/>
      <c r="MD63" s="291"/>
      <c r="ME63" s="291"/>
      <c r="MF63" s="291"/>
      <c r="MG63" s="291"/>
      <c r="MH63" s="291"/>
      <c r="MI63" s="291"/>
      <c r="MJ63" s="291"/>
      <c r="MK63" s="291"/>
      <c r="ML63" s="291"/>
      <c r="MM63" s="291"/>
      <c r="MN63" s="291"/>
      <c r="MO63" s="291"/>
      <c r="MP63" s="291"/>
      <c r="MQ63" s="291"/>
      <c r="MR63" s="291"/>
      <c r="MS63" s="291"/>
      <c r="MT63" s="291"/>
      <c r="MU63" s="291"/>
      <c r="MV63" s="291"/>
      <c r="MW63" s="291"/>
      <c r="MX63" s="291"/>
      <c r="MY63" s="291"/>
      <c r="MZ63" s="291"/>
      <c r="NA63" s="291"/>
      <c r="NB63" s="291"/>
      <c r="NC63" s="291"/>
      <c r="ND63" s="291"/>
      <c r="NE63" s="291"/>
      <c r="NF63" s="291"/>
      <c r="NG63" s="291"/>
      <c r="NH63" s="291"/>
      <c r="NI63" s="291"/>
      <c r="NJ63" s="291"/>
      <c r="NK63" s="291"/>
      <c r="NL63" s="291"/>
      <c r="NM63" s="291"/>
      <c r="NN63" s="291"/>
      <c r="NO63" s="291"/>
      <c r="NP63" s="291"/>
      <c r="NQ63" s="291"/>
      <c r="NR63" s="291"/>
      <c r="NS63" s="291"/>
      <c r="NT63" s="291"/>
      <c r="NU63" s="291"/>
      <c r="NV63" s="291"/>
      <c r="NW63" s="291"/>
      <c r="NX63" s="291"/>
      <c r="NY63" s="291"/>
      <c r="NZ63" s="291"/>
      <c r="OA63" s="291"/>
      <c r="OB63" s="291"/>
      <c r="OC63" s="291"/>
      <c r="OD63" s="291"/>
      <c r="OE63" s="291"/>
      <c r="OF63" s="291"/>
      <c r="OG63" s="291"/>
      <c r="OH63" s="291"/>
      <c r="OI63" s="291"/>
      <c r="OJ63" s="291"/>
      <c r="OK63" s="291"/>
      <c r="OL63" s="291"/>
      <c r="OM63" s="291"/>
      <c r="ON63" s="291"/>
      <c r="OO63" s="291"/>
      <c r="OP63" s="291"/>
      <c r="OQ63" s="291"/>
      <c r="OR63" s="291"/>
      <c r="OS63" s="291"/>
      <c r="OT63" s="291"/>
      <c r="OU63" s="291"/>
      <c r="OV63" s="291"/>
      <c r="OW63" s="291"/>
      <c r="OX63" s="291"/>
      <c r="OY63" s="291"/>
      <c r="OZ63" s="291"/>
      <c r="PA63" s="291"/>
      <c r="PB63" s="291"/>
      <c r="PC63" s="291"/>
      <c r="PD63" s="291"/>
      <c r="PE63" s="291"/>
      <c r="PF63" s="291"/>
      <c r="PG63" s="291"/>
      <c r="PH63" s="291"/>
      <c r="PI63" s="291"/>
      <c r="PJ63" s="291"/>
      <c r="PK63" s="291"/>
      <c r="PL63" s="291"/>
      <c r="PM63" s="291"/>
      <c r="PN63" s="291"/>
      <c r="PO63" s="291"/>
      <c r="PP63" s="291"/>
      <c r="PQ63" s="291"/>
      <c r="PR63" s="291"/>
      <c r="PS63" s="291"/>
      <c r="PT63" s="291"/>
      <c r="PU63" s="291"/>
      <c r="PV63" s="291"/>
      <c r="PW63" s="291"/>
      <c r="PX63" s="291"/>
      <c r="PY63" s="291"/>
      <c r="PZ63" s="291"/>
      <c r="QA63" s="291"/>
      <c r="QB63" s="291"/>
      <c r="QC63" s="291"/>
      <c r="QD63" s="291"/>
      <c r="QE63" s="291"/>
      <c r="QF63" s="291"/>
      <c r="QG63" s="291"/>
      <c r="QH63" s="291"/>
      <c r="QI63" s="291"/>
      <c r="QJ63" s="291"/>
      <c r="QK63" s="291"/>
      <c r="QL63" s="291"/>
      <c r="QM63" s="291"/>
      <c r="QN63" s="291"/>
      <c r="QO63" s="291"/>
      <c r="QP63" s="291"/>
      <c r="QQ63" s="291"/>
      <c r="QR63" s="291"/>
      <c r="QS63" s="291"/>
      <c r="QT63" s="291"/>
      <c r="QU63" s="291"/>
      <c r="QV63" s="291"/>
      <c r="QW63" s="291"/>
      <c r="QX63" s="291"/>
      <c r="QY63" s="291"/>
      <c r="QZ63" s="291"/>
      <c r="RA63" s="291"/>
      <c r="RB63" s="291"/>
      <c r="RC63" s="291"/>
      <c r="RD63" s="291"/>
      <c r="RE63" s="291"/>
      <c r="RF63" s="291"/>
      <c r="RG63" s="291"/>
      <c r="RH63" s="291"/>
      <c r="RI63" s="291"/>
      <c r="RJ63" s="291"/>
      <c r="RK63" s="291"/>
      <c r="RL63" s="291"/>
      <c r="RM63" s="291"/>
      <c r="RN63" s="291"/>
      <c r="RO63" s="291"/>
      <c r="RP63" s="291"/>
      <c r="RQ63" s="291"/>
      <c r="RR63" s="291"/>
      <c r="RS63" s="291"/>
      <c r="RT63" s="291"/>
      <c r="RU63" s="291"/>
      <c r="RV63" s="291"/>
      <c r="RW63" s="291"/>
      <c r="RX63" s="291"/>
      <c r="RY63" s="291"/>
      <c r="RZ63" s="291"/>
      <c r="SA63" s="291"/>
      <c r="SB63" s="291"/>
      <c r="SC63" s="291"/>
      <c r="SD63" s="291"/>
      <c r="SE63" s="291"/>
      <c r="SF63" s="291"/>
      <c r="SG63" s="291"/>
      <c r="SH63" s="291"/>
      <c r="SI63" s="291"/>
      <c r="SJ63" s="291"/>
      <c r="SK63" s="291"/>
      <c r="SL63" s="291"/>
      <c r="SM63" s="291"/>
      <c r="SN63" s="291"/>
      <c r="SO63" s="291"/>
      <c r="SP63" s="291"/>
      <c r="SQ63" s="291"/>
      <c r="SR63" s="291"/>
      <c r="SS63" s="291"/>
      <c r="ST63" s="291"/>
      <c r="SU63" s="291"/>
      <c r="SV63" s="291"/>
      <c r="SW63" s="291"/>
      <c r="SX63" s="291"/>
      <c r="SY63" s="291"/>
      <c r="SZ63" s="291"/>
      <c r="TA63" s="291"/>
      <c r="TB63" s="291"/>
      <c r="TC63" s="291"/>
      <c r="TD63" s="291"/>
      <c r="TE63" s="291"/>
      <c r="TF63" s="291"/>
      <c r="TG63" s="291"/>
      <c r="TH63" s="291"/>
      <c r="TI63" s="291"/>
      <c r="TJ63" s="291"/>
      <c r="TK63" s="291"/>
      <c r="TL63" s="291"/>
      <c r="TM63" s="291"/>
      <c r="TN63" s="291"/>
      <c r="TO63" s="291"/>
      <c r="TP63" s="291"/>
      <c r="TQ63" s="291"/>
      <c r="TR63" s="291"/>
    </row>
    <row r="64" spans="1:538" s="391" customFormat="1" x14ac:dyDescent="0.25">
      <c r="A64" s="1480" t="s">
        <v>452</v>
      </c>
      <c r="B64" s="1480"/>
      <c r="C64" s="1480"/>
      <c r="D64" s="611" t="s">
        <v>15</v>
      </c>
      <c r="E64" s="611" t="s">
        <v>363</v>
      </c>
      <c r="F64" s="1478"/>
      <c r="G64" s="1478"/>
      <c r="H64" s="1478"/>
      <c r="I64" s="1478"/>
      <c r="J64" s="1478"/>
      <c r="K64" s="459"/>
      <c r="L64" s="1183" t="s">
        <v>15</v>
      </c>
      <c r="M64" s="611" t="s">
        <v>363</v>
      </c>
      <c r="N64" s="1481"/>
      <c r="O64" s="1482"/>
      <c r="P64" s="1482"/>
      <c r="Q64" s="1482"/>
      <c r="R64" s="1483"/>
      <c r="S64" s="424"/>
      <c r="T64" s="390" t="s">
        <v>15</v>
      </c>
      <c r="U64" s="611" t="s">
        <v>363</v>
      </c>
      <c r="V64" s="1481"/>
      <c r="W64" s="1482"/>
      <c r="X64" s="1482"/>
      <c r="Y64" s="1482"/>
      <c r="Z64" s="1482"/>
      <c r="AA64" s="1484"/>
      <c r="AB64" s="390" t="s">
        <v>15</v>
      </c>
      <c r="AC64" s="611" t="s">
        <v>363</v>
      </c>
      <c r="AD64" s="1481"/>
      <c r="AE64" s="1482"/>
      <c r="AF64" s="1482"/>
      <c r="AG64" s="1482"/>
      <c r="AH64" s="1483"/>
      <c r="AI64" s="424"/>
      <c r="AJ64" s="390" t="s">
        <v>15</v>
      </c>
      <c r="AK64" s="611" t="s">
        <v>363</v>
      </c>
      <c r="AL64" s="1481"/>
      <c r="AM64" s="1482"/>
      <c r="AN64" s="1482"/>
      <c r="AO64" s="1482"/>
      <c r="AP64" s="1483"/>
      <c r="AQ64" s="424"/>
      <c r="AR64" s="390" t="s">
        <v>15</v>
      </c>
      <c r="AS64" s="611" t="s">
        <v>363</v>
      </c>
      <c r="AT64" s="1481"/>
      <c r="AU64" s="1482"/>
      <c r="AV64" s="1482"/>
      <c r="AW64" s="1482"/>
      <c r="AX64" s="1482"/>
      <c r="AY64" s="1482"/>
      <c r="AZ64" s="1482"/>
      <c r="BA64" s="1500"/>
      <c r="BB64" s="291"/>
      <c r="BC64" s="291"/>
      <c r="BD64" s="291"/>
      <c r="BE64" s="291"/>
      <c r="BF64" s="291"/>
      <c r="BG64" s="291"/>
      <c r="BH64" s="291"/>
      <c r="BI64" s="291"/>
      <c r="BJ64" s="291"/>
      <c r="BK64" s="291"/>
      <c r="BL64" s="291"/>
      <c r="BM64" s="291"/>
      <c r="BN64" s="291"/>
      <c r="BO64" s="291"/>
      <c r="BP64" s="291"/>
      <c r="BQ64" s="291"/>
      <c r="BR64" s="291"/>
      <c r="BS64" s="291"/>
      <c r="BT64" s="291"/>
      <c r="BU64" s="291"/>
      <c r="BV64" s="291"/>
      <c r="BW64" s="291"/>
      <c r="BX64" s="291"/>
      <c r="BY64" s="291"/>
      <c r="BZ64" s="291"/>
      <c r="CA64" s="291"/>
      <c r="CB64" s="291"/>
      <c r="CC64" s="291"/>
      <c r="CD64" s="291"/>
      <c r="CE64" s="291"/>
      <c r="CF64" s="291"/>
      <c r="CG64" s="291"/>
      <c r="CH64" s="291"/>
      <c r="CI64" s="291"/>
      <c r="CJ64" s="291"/>
      <c r="CK64" s="291"/>
      <c r="CL64" s="291"/>
      <c r="CM64" s="291"/>
      <c r="CN64" s="291"/>
      <c r="CO64" s="291"/>
      <c r="CP64" s="291"/>
      <c r="CQ64" s="291"/>
      <c r="CR64" s="291"/>
      <c r="CS64" s="291"/>
      <c r="CT64" s="291"/>
      <c r="CU64" s="291"/>
      <c r="CV64" s="291"/>
      <c r="CW64" s="291"/>
      <c r="CX64" s="291"/>
      <c r="CY64" s="291"/>
      <c r="CZ64" s="291"/>
      <c r="DA64" s="291"/>
      <c r="DB64" s="291"/>
      <c r="DC64" s="291"/>
      <c r="DD64" s="291"/>
      <c r="DE64" s="291"/>
      <c r="DF64" s="291"/>
      <c r="DG64" s="291"/>
      <c r="DH64" s="291"/>
      <c r="DI64" s="291"/>
      <c r="DJ64" s="291"/>
      <c r="DK64" s="291"/>
      <c r="DL64" s="291"/>
      <c r="DM64" s="291"/>
      <c r="DN64" s="291"/>
      <c r="DO64" s="291"/>
      <c r="DP64" s="291"/>
      <c r="DQ64" s="291"/>
      <c r="DR64" s="291"/>
      <c r="DS64" s="291"/>
      <c r="DT64" s="291"/>
      <c r="DU64" s="291"/>
      <c r="DV64" s="291"/>
      <c r="DW64" s="291"/>
      <c r="DX64" s="291"/>
      <c r="DY64" s="291"/>
      <c r="DZ64" s="291"/>
      <c r="EA64" s="291"/>
      <c r="EB64" s="291"/>
      <c r="EC64" s="291"/>
      <c r="ED64" s="291"/>
      <c r="EE64" s="291"/>
      <c r="EF64" s="291"/>
      <c r="EG64" s="291"/>
      <c r="EH64" s="291"/>
      <c r="EI64" s="291"/>
      <c r="EJ64" s="291"/>
      <c r="EK64" s="291"/>
      <c r="EL64" s="291"/>
      <c r="EM64" s="291"/>
      <c r="EN64" s="291"/>
      <c r="EO64" s="291"/>
      <c r="EP64" s="291"/>
      <c r="EQ64" s="291"/>
      <c r="ER64" s="291"/>
      <c r="ES64" s="291"/>
      <c r="ET64" s="291"/>
      <c r="EU64" s="291"/>
      <c r="EV64" s="291"/>
      <c r="EW64" s="291"/>
      <c r="EX64" s="291"/>
      <c r="EY64" s="291"/>
      <c r="EZ64" s="291"/>
      <c r="FA64" s="291"/>
      <c r="FB64" s="291"/>
      <c r="FC64" s="291"/>
      <c r="FD64" s="291"/>
      <c r="FE64" s="291"/>
      <c r="FF64" s="291"/>
      <c r="FG64" s="291"/>
      <c r="FH64" s="291"/>
      <c r="FI64" s="291"/>
      <c r="FJ64" s="291"/>
      <c r="FK64" s="291"/>
      <c r="FL64" s="291"/>
      <c r="FM64" s="291"/>
      <c r="FN64" s="291"/>
      <c r="FO64" s="291"/>
      <c r="FP64" s="291"/>
      <c r="FQ64" s="291"/>
      <c r="FR64" s="291"/>
      <c r="FS64" s="291"/>
      <c r="FT64" s="291"/>
      <c r="FU64" s="291"/>
      <c r="FV64" s="291"/>
      <c r="FW64" s="291"/>
      <c r="FX64" s="291"/>
      <c r="FY64" s="291"/>
      <c r="FZ64" s="291"/>
      <c r="GA64" s="291"/>
      <c r="GB64" s="291"/>
      <c r="GC64" s="291"/>
      <c r="GD64" s="291"/>
      <c r="GE64" s="291"/>
      <c r="GF64" s="291"/>
      <c r="GG64" s="291"/>
      <c r="GH64" s="291"/>
      <c r="GI64" s="291"/>
      <c r="GJ64" s="291"/>
      <c r="GK64" s="291"/>
      <c r="GL64" s="291"/>
      <c r="GM64" s="291"/>
      <c r="GN64" s="291"/>
      <c r="GO64" s="291"/>
      <c r="GP64" s="291"/>
      <c r="GQ64" s="291"/>
      <c r="GR64" s="291"/>
      <c r="GS64" s="291"/>
      <c r="GT64" s="291"/>
      <c r="GU64" s="291"/>
      <c r="GV64" s="291"/>
      <c r="GW64" s="291"/>
      <c r="GX64" s="291"/>
      <c r="GY64" s="291"/>
      <c r="GZ64" s="291"/>
      <c r="HA64" s="291"/>
      <c r="HB64" s="291"/>
      <c r="HC64" s="291"/>
      <c r="HD64" s="291"/>
      <c r="HE64" s="291"/>
      <c r="HF64" s="291"/>
      <c r="HG64" s="291"/>
      <c r="HH64" s="291"/>
      <c r="HI64" s="291"/>
      <c r="HJ64" s="291"/>
      <c r="HK64" s="291"/>
      <c r="HL64" s="291"/>
      <c r="HM64" s="291"/>
      <c r="HN64" s="291"/>
      <c r="HO64" s="291"/>
      <c r="HP64" s="291"/>
      <c r="HQ64" s="291"/>
      <c r="HR64" s="291"/>
      <c r="HS64" s="291"/>
      <c r="HT64" s="291"/>
      <c r="HU64" s="291"/>
      <c r="HV64" s="291"/>
      <c r="HW64" s="291"/>
      <c r="HX64" s="291"/>
      <c r="HY64" s="291"/>
      <c r="HZ64" s="291"/>
      <c r="IA64" s="291"/>
      <c r="IB64" s="291"/>
      <c r="IC64" s="291"/>
      <c r="ID64" s="291"/>
      <c r="IE64" s="291"/>
      <c r="IF64" s="291"/>
      <c r="IG64" s="291"/>
      <c r="IH64" s="291"/>
      <c r="II64" s="291"/>
      <c r="IJ64" s="291"/>
      <c r="IK64" s="291"/>
      <c r="IL64" s="291"/>
      <c r="IM64" s="291"/>
      <c r="IN64" s="291"/>
      <c r="IO64" s="291"/>
      <c r="IP64" s="291"/>
      <c r="IQ64" s="291"/>
      <c r="IR64" s="291"/>
      <c r="IS64" s="291"/>
      <c r="IT64" s="291"/>
      <c r="IU64" s="291"/>
      <c r="IV64" s="291"/>
      <c r="IW64" s="291"/>
      <c r="IX64" s="291"/>
      <c r="IY64" s="291"/>
      <c r="IZ64" s="291"/>
      <c r="JA64" s="291"/>
      <c r="JB64" s="291"/>
      <c r="JC64" s="291"/>
      <c r="JD64" s="291"/>
      <c r="JE64" s="291"/>
      <c r="JF64" s="291"/>
      <c r="JG64" s="291"/>
      <c r="JH64" s="291"/>
      <c r="JI64" s="291"/>
      <c r="JJ64" s="291"/>
      <c r="JK64" s="291"/>
      <c r="JL64" s="291"/>
      <c r="JM64" s="291"/>
      <c r="JN64" s="291"/>
      <c r="JO64" s="291"/>
      <c r="JP64" s="291"/>
      <c r="JQ64" s="291"/>
      <c r="JR64" s="291"/>
      <c r="JS64" s="291"/>
      <c r="JT64" s="291"/>
      <c r="JU64" s="291"/>
      <c r="JV64" s="291"/>
      <c r="JW64" s="291"/>
      <c r="JX64" s="291"/>
      <c r="JY64" s="291"/>
      <c r="JZ64" s="291"/>
      <c r="KA64" s="291"/>
      <c r="KB64" s="291"/>
      <c r="KC64" s="291"/>
      <c r="KD64" s="291"/>
      <c r="KE64" s="291"/>
      <c r="KF64" s="291"/>
      <c r="KG64" s="291"/>
      <c r="KH64" s="291"/>
      <c r="KI64" s="291"/>
      <c r="KJ64" s="291"/>
      <c r="KK64" s="291"/>
      <c r="KL64" s="291"/>
      <c r="KM64" s="291"/>
      <c r="KN64" s="291"/>
      <c r="KO64" s="291"/>
      <c r="KP64" s="291"/>
      <c r="KQ64" s="291"/>
      <c r="KR64" s="291"/>
      <c r="KS64" s="291"/>
      <c r="KT64" s="291"/>
      <c r="KU64" s="291"/>
      <c r="KV64" s="291"/>
      <c r="KW64" s="291"/>
      <c r="KX64" s="291"/>
      <c r="KY64" s="291"/>
      <c r="KZ64" s="291"/>
      <c r="LA64" s="291"/>
      <c r="LB64" s="291"/>
      <c r="LC64" s="291"/>
      <c r="LD64" s="291"/>
      <c r="LE64" s="291"/>
      <c r="LF64" s="291"/>
      <c r="LG64" s="291"/>
      <c r="LH64" s="291"/>
      <c r="LI64" s="291"/>
      <c r="LJ64" s="291"/>
      <c r="LK64" s="291"/>
      <c r="LL64" s="291"/>
      <c r="LM64" s="291"/>
      <c r="LN64" s="291"/>
      <c r="LO64" s="291"/>
      <c r="LP64" s="291"/>
      <c r="LQ64" s="291"/>
      <c r="LR64" s="291"/>
      <c r="LS64" s="291"/>
      <c r="LT64" s="291"/>
      <c r="LU64" s="291"/>
      <c r="LV64" s="291"/>
      <c r="LW64" s="291"/>
      <c r="LX64" s="291"/>
      <c r="LY64" s="291"/>
      <c r="LZ64" s="291"/>
      <c r="MA64" s="291"/>
      <c r="MB64" s="291"/>
      <c r="MC64" s="291"/>
      <c r="MD64" s="291"/>
      <c r="ME64" s="291"/>
      <c r="MF64" s="291"/>
      <c r="MG64" s="291"/>
      <c r="MH64" s="291"/>
      <c r="MI64" s="291"/>
      <c r="MJ64" s="291"/>
      <c r="MK64" s="291"/>
      <c r="ML64" s="291"/>
      <c r="MM64" s="291"/>
      <c r="MN64" s="291"/>
      <c r="MO64" s="291"/>
      <c r="MP64" s="291"/>
      <c r="MQ64" s="291"/>
      <c r="MR64" s="291"/>
      <c r="MS64" s="291"/>
      <c r="MT64" s="291"/>
      <c r="MU64" s="291"/>
      <c r="MV64" s="291"/>
      <c r="MW64" s="291"/>
      <c r="MX64" s="291"/>
      <c r="MY64" s="291"/>
      <c r="MZ64" s="291"/>
      <c r="NA64" s="291"/>
      <c r="NB64" s="291"/>
      <c r="NC64" s="291"/>
      <c r="ND64" s="291"/>
      <c r="NE64" s="291"/>
      <c r="NF64" s="291"/>
      <c r="NG64" s="291"/>
      <c r="NH64" s="291"/>
      <c r="NI64" s="291"/>
      <c r="NJ64" s="291"/>
      <c r="NK64" s="291"/>
      <c r="NL64" s="291"/>
      <c r="NM64" s="291"/>
      <c r="NN64" s="291"/>
      <c r="NO64" s="291"/>
      <c r="NP64" s="291"/>
      <c r="NQ64" s="291"/>
      <c r="NR64" s="291"/>
      <c r="NS64" s="291"/>
      <c r="NT64" s="291"/>
      <c r="NU64" s="291"/>
      <c r="NV64" s="291"/>
      <c r="NW64" s="291"/>
      <c r="NX64" s="291"/>
      <c r="NY64" s="291"/>
      <c r="NZ64" s="291"/>
      <c r="OA64" s="291"/>
      <c r="OB64" s="291"/>
      <c r="OC64" s="291"/>
      <c r="OD64" s="291"/>
      <c r="OE64" s="291"/>
      <c r="OF64" s="291"/>
      <c r="OG64" s="291"/>
      <c r="OH64" s="291"/>
      <c r="OI64" s="291"/>
      <c r="OJ64" s="291"/>
      <c r="OK64" s="291"/>
      <c r="OL64" s="291"/>
      <c r="OM64" s="291"/>
      <c r="ON64" s="291"/>
      <c r="OO64" s="291"/>
      <c r="OP64" s="291"/>
      <c r="OQ64" s="291"/>
      <c r="OR64" s="291"/>
      <c r="OS64" s="291"/>
      <c r="OT64" s="291"/>
      <c r="OU64" s="291"/>
      <c r="OV64" s="291"/>
      <c r="OW64" s="291"/>
      <c r="OX64" s="291"/>
      <c r="OY64" s="291"/>
      <c r="OZ64" s="291"/>
      <c r="PA64" s="291"/>
      <c r="PB64" s="291"/>
      <c r="PC64" s="291"/>
      <c r="PD64" s="291"/>
      <c r="PE64" s="291"/>
      <c r="PF64" s="291"/>
      <c r="PG64" s="291"/>
      <c r="PH64" s="291"/>
      <c r="PI64" s="291"/>
      <c r="PJ64" s="291"/>
      <c r="PK64" s="291"/>
      <c r="PL64" s="291"/>
      <c r="PM64" s="291"/>
      <c r="PN64" s="291"/>
      <c r="PO64" s="291"/>
      <c r="PP64" s="291"/>
      <c r="PQ64" s="291"/>
      <c r="PR64" s="291"/>
      <c r="PS64" s="291"/>
      <c r="PT64" s="291"/>
      <c r="PU64" s="291"/>
      <c r="PV64" s="291"/>
      <c r="PW64" s="291"/>
      <c r="PX64" s="291"/>
      <c r="PY64" s="291"/>
      <c r="PZ64" s="291"/>
      <c r="QA64" s="291"/>
      <c r="QB64" s="291"/>
      <c r="QC64" s="291"/>
      <c r="QD64" s="291"/>
      <c r="QE64" s="291"/>
      <c r="QF64" s="291"/>
      <c r="QG64" s="291"/>
      <c r="QH64" s="291"/>
      <c r="QI64" s="291"/>
      <c r="QJ64" s="291"/>
      <c r="QK64" s="291"/>
      <c r="QL64" s="291"/>
      <c r="QM64" s="291"/>
      <c r="QN64" s="291"/>
      <c r="QO64" s="291"/>
      <c r="QP64" s="291"/>
      <c r="QQ64" s="291"/>
      <c r="QR64" s="291"/>
      <c r="QS64" s="291"/>
      <c r="QT64" s="291"/>
      <c r="QU64" s="291"/>
      <c r="QV64" s="291"/>
      <c r="QW64" s="291"/>
      <c r="QX64" s="291"/>
      <c r="QY64" s="291"/>
      <c r="QZ64" s="291"/>
      <c r="RA64" s="291"/>
      <c r="RB64" s="291"/>
      <c r="RC64" s="291"/>
      <c r="RD64" s="291"/>
      <c r="RE64" s="291"/>
      <c r="RF64" s="291"/>
      <c r="RG64" s="291"/>
      <c r="RH64" s="291"/>
      <c r="RI64" s="291"/>
      <c r="RJ64" s="291"/>
      <c r="RK64" s="291"/>
      <c r="RL64" s="291"/>
      <c r="RM64" s="291"/>
      <c r="RN64" s="291"/>
      <c r="RO64" s="291"/>
      <c r="RP64" s="291"/>
      <c r="RQ64" s="291"/>
      <c r="RR64" s="291"/>
      <c r="RS64" s="291"/>
      <c r="RT64" s="291"/>
      <c r="RU64" s="291"/>
      <c r="RV64" s="291"/>
      <c r="RW64" s="291"/>
      <c r="RX64" s="291"/>
      <c r="RY64" s="291"/>
      <c r="RZ64" s="291"/>
      <c r="SA64" s="291"/>
      <c r="SB64" s="291"/>
      <c r="SC64" s="291"/>
      <c r="SD64" s="291"/>
      <c r="SE64" s="291"/>
      <c r="SF64" s="291"/>
      <c r="SG64" s="291"/>
      <c r="SH64" s="291"/>
      <c r="SI64" s="291"/>
      <c r="SJ64" s="291"/>
      <c r="SK64" s="291"/>
      <c r="SL64" s="291"/>
      <c r="SM64" s="291"/>
      <c r="SN64" s="291"/>
      <c r="SO64" s="291"/>
      <c r="SP64" s="291"/>
      <c r="SQ64" s="291"/>
      <c r="SR64" s="291"/>
      <c r="SS64" s="291"/>
      <c r="ST64" s="291"/>
      <c r="SU64" s="291"/>
      <c r="SV64" s="291"/>
      <c r="SW64" s="291"/>
      <c r="SX64" s="291"/>
      <c r="SY64" s="291"/>
      <c r="SZ64" s="291"/>
      <c r="TA64" s="291"/>
      <c r="TB64" s="291"/>
      <c r="TC64" s="291"/>
      <c r="TD64" s="291"/>
      <c r="TE64" s="291"/>
      <c r="TF64" s="291"/>
      <c r="TG64" s="291"/>
      <c r="TH64" s="291"/>
      <c r="TI64" s="291"/>
      <c r="TJ64" s="291"/>
      <c r="TK64" s="291"/>
      <c r="TL64" s="291"/>
      <c r="TM64" s="291"/>
      <c r="TN64" s="291"/>
      <c r="TO64" s="291"/>
      <c r="TP64" s="291"/>
      <c r="TQ64" s="291"/>
      <c r="TR64" s="291"/>
    </row>
    <row r="65" spans="1:538" x14ac:dyDescent="0.25">
      <c r="A65" s="486"/>
      <c r="B65" s="296" t="s">
        <v>365</v>
      </c>
      <c r="C65" s="486"/>
      <c r="D65" s="491">
        <v>1500000</v>
      </c>
      <c r="E65" s="356">
        <v>0.1</v>
      </c>
      <c r="F65" s="1478"/>
      <c r="G65" s="1478"/>
      <c r="H65" s="1478"/>
      <c r="I65" s="1478"/>
      <c r="J65" s="1478"/>
      <c r="K65" s="477">
        <f>D65*E65</f>
        <v>150000</v>
      </c>
      <c r="L65" s="434">
        <v>1500000</v>
      </c>
      <c r="M65" s="356">
        <v>0.1</v>
      </c>
      <c r="N65" s="1460"/>
      <c r="O65" s="1461"/>
      <c r="P65" s="1461"/>
      <c r="Q65" s="1461"/>
      <c r="R65" s="1462"/>
      <c r="S65" s="300">
        <f>L65*M65</f>
        <v>150000</v>
      </c>
      <c r="T65" s="434">
        <v>1500000</v>
      </c>
      <c r="U65" s="356">
        <v>0.1</v>
      </c>
      <c r="V65" s="1460"/>
      <c r="W65" s="1461"/>
      <c r="X65" s="1461"/>
      <c r="Y65" s="1461"/>
      <c r="Z65" s="1462"/>
      <c r="AA65" s="300">
        <f>T65*U65</f>
        <v>150000</v>
      </c>
      <c r="AB65" s="434">
        <v>1500000</v>
      </c>
      <c r="AC65" s="356">
        <v>0.1</v>
      </c>
      <c r="AD65" s="1460"/>
      <c r="AE65" s="1461"/>
      <c r="AF65" s="1461"/>
      <c r="AG65" s="1461"/>
      <c r="AH65" s="1462"/>
      <c r="AI65" s="300">
        <f>AB65*AC65</f>
        <v>150000</v>
      </c>
      <c r="AJ65" s="434">
        <v>1500000</v>
      </c>
      <c r="AK65" s="356">
        <v>0.1</v>
      </c>
      <c r="AL65" s="1460"/>
      <c r="AM65" s="1461"/>
      <c r="AN65" s="1461"/>
      <c r="AO65" s="1461"/>
      <c r="AP65" s="1462"/>
      <c r="AQ65" s="300">
        <f>AJ65*AK65</f>
        <v>150000</v>
      </c>
      <c r="AR65" s="434">
        <v>1500000</v>
      </c>
      <c r="AS65" s="439">
        <v>0.1</v>
      </c>
      <c r="AT65" s="1460"/>
      <c r="AU65" s="1461"/>
      <c r="AV65" s="1461"/>
      <c r="AW65" s="1461"/>
      <c r="AX65" s="1462"/>
      <c r="AY65" s="406">
        <f>AR65*AS65</f>
        <v>150000</v>
      </c>
      <c r="AZ65" s="1439"/>
      <c r="BA65" s="431">
        <f>K65+S65+AA65+AI65+AQ65+AY65</f>
        <v>900000</v>
      </c>
    </row>
    <row r="66" spans="1:538" x14ac:dyDescent="0.25">
      <c r="A66" s="486"/>
      <c r="B66" s="296" t="s">
        <v>453</v>
      </c>
      <c r="C66" s="486"/>
      <c r="D66" s="492">
        <v>0</v>
      </c>
      <c r="E66" s="356">
        <v>0</v>
      </c>
      <c r="F66" s="1478"/>
      <c r="G66" s="1478"/>
      <c r="H66" s="1478"/>
      <c r="I66" s="1478"/>
      <c r="J66" s="1478"/>
      <c r="K66" s="477">
        <f>D66*E66</f>
        <v>0</v>
      </c>
      <c r="L66" s="434">
        <v>0</v>
      </c>
      <c r="M66" s="356">
        <v>0.1</v>
      </c>
      <c r="N66" s="1435"/>
      <c r="O66" s="1436"/>
      <c r="P66" s="1436"/>
      <c r="Q66" s="1436"/>
      <c r="R66" s="1438"/>
      <c r="S66" s="300">
        <f>L66*M66</f>
        <v>0</v>
      </c>
      <c r="T66" s="435">
        <v>0</v>
      </c>
      <c r="U66" s="356">
        <v>0</v>
      </c>
      <c r="V66" s="1435"/>
      <c r="W66" s="1436"/>
      <c r="X66" s="1436"/>
      <c r="Y66" s="1436"/>
      <c r="Z66" s="1438"/>
      <c r="AA66" s="300">
        <f>T66*U66</f>
        <v>0</v>
      </c>
      <c r="AB66" s="435">
        <v>0</v>
      </c>
      <c r="AC66" s="356">
        <v>0</v>
      </c>
      <c r="AD66" s="1435"/>
      <c r="AE66" s="1436"/>
      <c r="AF66" s="1436"/>
      <c r="AG66" s="1436"/>
      <c r="AH66" s="1438"/>
      <c r="AI66" s="300">
        <f>AB66*AC66</f>
        <v>0</v>
      </c>
      <c r="AJ66" s="440"/>
      <c r="AK66" s="356">
        <v>0</v>
      </c>
      <c r="AL66" s="1435"/>
      <c r="AM66" s="1436"/>
      <c r="AN66" s="1436"/>
      <c r="AO66" s="1436"/>
      <c r="AP66" s="1438"/>
      <c r="AQ66" s="300">
        <f>AJ66*AK66</f>
        <v>0</v>
      </c>
      <c r="AR66" s="438">
        <v>0</v>
      </c>
      <c r="AS66" s="439">
        <v>0</v>
      </c>
      <c r="AT66" s="1435"/>
      <c r="AU66" s="1436"/>
      <c r="AV66" s="1436"/>
      <c r="AW66" s="1436"/>
      <c r="AX66" s="1438"/>
      <c r="AY66" s="406">
        <f>AR66*AS66</f>
        <v>0</v>
      </c>
      <c r="AZ66" s="1440"/>
      <c r="BA66" s="431">
        <f>K66+S66+AA66+AI66+AQ66+AY66</f>
        <v>0</v>
      </c>
    </row>
    <row r="67" spans="1:538" s="391" customFormat="1" x14ac:dyDescent="0.25">
      <c r="A67" s="1470" t="s">
        <v>258</v>
      </c>
      <c r="B67" s="1471"/>
      <c r="C67" s="1472"/>
      <c r="D67" s="1473"/>
      <c r="E67" s="1474"/>
      <c r="F67" s="1475"/>
      <c r="G67" s="1475"/>
      <c r="H67" s="1475"/>
      <c r="I67" s="1475"/>
      <c r="J67" s="1475"/>
      <c r="K67" s="493">
        <f>SUM(K64:K66)</f>
        <v>150000</v>
      </c>
      <c r="L67" s="1474"/>
      <c r="M67" s="1474"/>
      <c r="N67" s="1474"/>
      <c r="O67" s="1474"/>
      <c r="P67" s="1474"/>
      <c r="Q67" s="1474"/>
      <c r="R67" s="1476"/>
      <c r="S67" s="421">
        <f>SUM(S64:S66)</f>
        <v>150000</v>
      </c>
      <c r="T67" s="1473"/>
      <c r="U67" s="1474"/>
      <c r="V67" s="1474"/>
      <c r="W67" s="1474"/>
      <c r="X67" s="1474"/>
      <c r="Y67" s="1474"/>
      <c r="Z67" s="1477"/>
      <c r="AA67" s="428">
        <f>SUM(AA64:AA66)</f>
        <v>150000</v>
      </c>
      <c r="AB67" s="1473"/>
      <c r="AC67" s="1474"/>
      <c r="AD67" s="1474"/>
      <c r="AE67" s="1474"/>
      <c r="AF67" s="1474"/>
      <c r="AG67" s="1474"/>
      <c r="AH67" s="1477"/>
      <c r="AI67" s="361">
        <f>SUM(AI64:AI66)</f>
        <v>150000</v>
      </c>
      <c r="AJ67" s="1479"/>
      <c r="AK67" s="1474"/>
      <c r="AL67" s="1474"/>
      <c r="AM67" s="1474"/>
      <c r="AN67" s="1474"/>
      <c r="AO67" s="1474"/>
      <c r="AP67" s="1476"/>
      <c r="AQ67" s="355">
        <f>SUM(AQ64:AQ66)</f>
        <v>150000</v>
      </c>
      <c r="AR67" s="1479"/>
      <c r="AS67" s="1474"/>
      <c r="AT67" s="1474"/>
      <c r="AU67" s="1474"/>
      <c r="AV67" s="1474"/>
      <c r="AW67" s="1474"/>
      <c r="AX67" s="1476"/>
      <c r="AY67" s="421">
        <f>SUM(AY64:AY66)</f>
        <v>150000</v>
      </c>
      <c r="AZ67" s="462"/>
      <c r="BA67" s="392">
        <f>K67+S67+AA67+AI67+AQ67+AY67</f>
        <v>900000</v>
      </c>
      <c r="BB67" s="291"/>
      <c r="BC67" s="291"/>
      <c r="BD67" s="291"/>
      <c r="BE67" s="291"/>
      <c r="BF67" s="291"/>
      <c r="BG67" s="291"/>
      <c r="BH67" s="291"/>
      <c r="BI67" s="291"/>
      <c r="BJ67" s="291"/>
      <c r="BK67" s="291"/>
      <c r="BL67" s="291"/>
      <c r="BM67" s="291"/>
      <c r="BN67" s="291"/>
      <c r="BO67" s="291"/>
      <c r="BP67" s="291"/>
      <c r="BQ67" s="291"/>
      <c r="BR67" s="291"/>
      <c r="BS67" s="291"/>
      <c r="BT67" s="291"/>
      <c r="BU67" s="291"/>
      <c r="BV67" s="291"/>
      <c r="BW67" s="291"/>
      <c r="BX67" s="291"/>
      <c r="BY67" s="291"/>
      <c r="BZ67" s="291"/>
      <c r="CA67" s="291"/>
      <c r="CB67" s="291"/>
      <c r="CC67" s="291"/>
      <c r="CD67" s="291"/>
      <c r="CE67" s="291"/>
      <c r="CF67" s="291"/>
      <c r="CG67" s="291"/>
      <c r="CH67" s="291"/>
      <c r="CI67" s="291"/>
      <c r="CJ67" s="291"/>
      <c r="CK67" s="291"/>
      <c r="CL67" s="291"/>
      <c r="CM67" s="291"/>
      <c r="CN67" s="291"/>
      <c r="CO67" s="291"/>
      <c r="CP67" s="291"/>
      <c r="CQ67" s="291"/>
      <c r="CR67" s="291"/>
      <c r="CS67" s="291"/>
      <c r="CT67" s="291"/>
      <c r="CU67" s="291"/>
      <c r="CV67" s="291"/>
      <c r="CW67" s="291"/>
      <c r="CX67" s="291"/>
      <c r="CY67" s="291"/>
      <c r="CZ67" s="291"/>
      <c r="DA67" s="291"/>
      <c r="DB67" s="291"/>
      <c r="DC67" s="291"/>
      <c r="DD67" s="291"/>
      <c r="DE67" s="291"/>
      <c r="DF67" s="291"/>
      <c r="DG67" s="291"/>
      <c r="DH67" s="291"/>
      <c r="DI67" s="291"/>
      <c r="DJ67" s="291"/>
      <c r="DK67" s="291"/>
      <c r="DL67" s="291"/>
      <c r="DM67" s="291"/>
      <c r="DN67" s="291"/>
      <c r="DO67" s="291"/>
      <c r="DP67" s="291"/>
      <c r="DQ67" s="291"/>
      <c r="DR67" s="291"/>
      <c r="DS67" s="291"/>
      <c r="DT67" s="291"/>
      <c r="DU67" s="291"/>
      <c r="DV67" s="291"/>
      <c r="DW67" s="291"/>
      <c r="DX67" s="291"/>
      <c r="DY67" s="291"/>
      <c r="DZ67" s="291"/>
      <c r="EA67" s="291"/>
      <c r="EB67" s="291"/>
      <c r="EC67" s="291"/>
      <c r="ED67" s="291"/>
      <c r="EE67" s="291"/>
      <c r="EF67" s="291"/>
      <c r="EG67" s="291"/>
      <c r="EH67" s="291"/>
      <c r="EI67" s="291"/>
      <c r="EJ67" s="291"/>
      <c r="EK67" s="291"/>
      <c r="EL67" s="291"/>
      <c r="EM67" s="291"/>
      <c r="EN67" s="291"/>
      <c r="EO67" s="291"/>
      <c r="EP67" s="291"/>
      <c r="EQ67" s="291"/>
      <c r="ER67" s="291"/>
      <c r="ES67" s="291"/>
      <c r="ET67" s="291"/>
      <c r="EU67" s="291"/>
      <c r="EV67" s="291"/>
      <c r="EW67" s="291"/>
      <c r="EX67" s="291"/>
      <c r="EY67" s="291"/>
      <c r="EZ67" s="291"/>
      <c r="FA67" s="291"/>
      <c r="FB67" s="291"/>
      <c r="FC67" s="291"/>
      <c r="FD67" s="291"/>
      <c r="FE67" s="291"/>
      <c r="FF67" s="291"/>
      <c r="FG67" s="291"/>
      <c r="FH67" s="291"/>
      <c r="FI67" s="291"/>
      <c r="FJ67" s="291"/>
      <c r="FK67" s="291"/>
      <c r="FL67" s="291"/>
      <c r="FM67" s="291"/>
      <c r="FN67" s="291"/>
      <c r="FO67" s="291"/>
      <c r="FP67" s="291"/>
      <c r="FQ67" s="291"/>
      <c r="FR67" s="291"/>
      <c r="FS67" s="291"/>
      <c r="FT67" s="291"/>
      <c r="FU67" s="291"/>
      <c r="FV67" s="291"/>
      <c r="FW67" s="291"/>
      <c r="FX67" s="291"/>
      <c r="FY67" s="291"/>
      <c r="FZ67" s="291"/>
      <c r="GA67" s="291"/>
      <c r="GB67" s="291"/>
      <c r="GC67" s="291"/>
      <c r="GD67" s="291"/>
      <c r="GE67" s="291"/>
      <c r="GF67" s="291"/>
      <c r="GG67" s="291"/>
      <c r="GH67" s="291"/>
      <c r="GI67" s="291"/>
      <c r="GJ67" s="291"/>
      <c r="GK67" s="291"/>
      <c r="GL67" s="291"/>
      <c r="GM67" s="291"/>
      <c r="GN67" s="291"/>
      <c r="GO67" s="291"/>
      <c r="GP67" s="291"/>
      <c r="GQ67" s="291"/>
      <c r="GR67" s="291"/>
      <c r="GS67" s="291"/>
      <c r="GT67" s="291"/>
      <c r="GU67" s="291"/>
      <c r="GV67" s="291"/>
      <c r="GW67" s="291"/>
      <c r="GX67" s="291"/>
      <c r="GY67" s="291"/>
      <c r="GZ67" s="291"/>
      <c r="HA67" s="291"/>
      <c r="HB67" s="291"/>
      <c r="HC67" s="291"/>
      <c r="HD67" s="291"/>
      <c r="HE67" s="291"/>
      <c r="HF67" s="291"/>
      <c r="HG67" s="291"/>
      <c r="HH67" s="291"/>
      <c r="HI67" s="291"/>
      <c r="HJ67" s="291"/>
      <c r="HK67" s="291"/>
      <c r="HL67" s="291"/>
      <c r="HM67" s="291"/>
      <c r="HN67" s="291"/>
      <c r="HO67" s="291"/>
      <c r="HP67" s="291"/>
      <c r="HQ67" s="291"/>
      <c r="HR67" s="291"/>
      <c r="HS67" s="291"/>
      <c r="HT67" s="291"/>
      <c r="HU67" s="291"/>
      <c r="HV67" s="291"/>
      <c r="HW67" s="291"/>
      <c r="HX67" s="291"/>
      <c r="HY67" s="291"/>
      <c r="HZ67" s="291"/>
      <c r="IA67" s="291"/>
      <c r="IB67" s="291"/>
      <c r="IC67" s="291"/>
      <c r="ID67" s="291"/>
      <c r="IE67" s="291"/>
      <c r="IF67" s="291"/>
      <c r="IG67" s="291"/>
      <c r="IH67" s="291"/>
      <c r="II67" s="291"/>
      <c r="IJ67" s="291"/>
      <c r="IK67" s="291"/>
      <c r="IL67" s="291"/>
      <c r="IM67" s="291"/>
      <c r="IN67" s="291"/>
      <c r="IO67" s="291"/>
      <c r="IP67" s="291"/>
      <c r="IQ67" s="291"/>
      <c r="IR67" s="291"/>
      <c r="IS67" s="291"/>
      <c r="IT67" s="291"/>
      <c r="IU67" s="291"/>
      <c r="IV67" s="291"/>
      <c r="IW67" s="291"/>
      <c r="IX67" s="291"/>
      <c r="IY67" s="291"/>
      <c r="IZ67" s="291"/>
      <c r="JA67" s="291"/>
      <c r="JB67" s="291"/>
      <c r="JC67" s="291"/>
      <c r="JD67" s="291"/>
      <c r="JE67" s="291"/>
      <c r="JF67" s="291"/>
      <c r="JG67" s="291"/>
      <c r="JH67" s="291"/>
      <c r="JI67" s="291"/>
      <c r="JJ67" s="291"/>
      <c r="JK67" s="291"/>
      <c r="JL67" s="291"/>
      <c r="JM67" s="291"/>
      <c r="JN67" s="291"/>
      <c r="JO67" s="291"/>
      <c r="JP67" s="291"/>
      <c r="JQ67" s="291"/>
      <c r="JR67" s="291"/>
      <c r="JS67" s="291"/>
      <c r="JT67" s="291"/>
      <c r="JU67" s="291"/>
      <c r="JV67" s="291"/>
      <c r="JW67" s="291"/>
      <c r="JX67" s="291"/>
      <c r="JY67" s="291"/>
      <c r="JZ67" s="291"/>
      <c r="KA67" s="291"/>
      <c r="KB67" s="291"/>
      <c r="KC67" s="291"/>
      <c r="KD67" s="291"/>
      <c r="KE67" s="291"/>
      <c r="KF67" s="291"/>
      <c r="KG67" s="291"/>
      <c r="KH67" s="291"/>
      <c r="KI67" s="291"/>
      <c r="KJ67" s="291"/>
      <c r="KK67" s="291"/>
      <c r="KL67" s="291"/>
      <c r="KM67" s="291"/>
      <c r="KN67" s="291"/>
      <c r="KO67" s="291"/>
      <c r="KP67" s="291"/>
      <c r="KQ67" s="291"/>
      <c r="KR67" s="291"/>
      <c r="KS67" s="291"/>
      <c r="KT67" s="291"/>
      <c r="KU67" s="291"/>
      <c r="KV67" s="291"/>
      <c r="KW67" s="291"/>
      <c r="KX67" s="291"/>
      <c r="KY67" s="291"/>
      <c r="KZ67" s="291"/>
      <c r="LA67" s="291"/>
      <c r="LB67" s="291"/>
      <c r="LC67" s="291"/>
      <c r="LD67" s="291"/>
      <c r="LE67" s="291"/>
      <c r="LF67" s="291"/>
      <c r="LG67" s="291"/>
      <c r="LH67" s="291"/>
      <c r="LI67" s="291"/>
      <c r="LJ67" s="291"/>
      <c r="LK67" s="291"/>
      <c r="LL67" s="291"/>
      <c r="LM67" s="291"/>
      <c r="LN67" s="291"/>
      <c r="LO67" s="291"/>
      <c r="LP67" s="291"/>
      <c r="LQ67" s="291"/>
      <c r="LR67" s="291"/>
      <c r="LS67" s="291"/>
      <c r="LT67" s="291"/>
      <c r="LU67" s="291"/>
      <c r="LV67" s="291"/>
      <c r="LW67" s="291"/>
      <c r="LX67" s="291"/>
      <c r="LY67" s="291"/>
      <c r="LZ67" s="291"/>
      <c r="MA67" s="291"/>
      <c r="MB67" s="291"/>
      <c r="MC67" s="291"/>
      <c r="MD67" s="291"/>
      <c r="ME67" s="291"/>
      <c r="MF67" s="291"/>
      <c r="MG67" s="291"/>
      <c r="MH67" s="291"/>
      <c r="MI67" s="291"/>
      <c r="MJ67" s="291"/>
      <c r="MK67" s="291"/>
      <c r="ML67" s="291"/>
      <c r="MM67" s="291"/>
      <c r="MN67" s="291"/>
      <c r="MO67" s="291"/>
      <c r="MP67" s="291"/>
      <c r="MQ67" s="291"/>
      <c r="MR67" s="291"/>
      <c r="MS67" s="291"/>
      <c r="MT67" s="291"/>
      <c r="MU67" s="291"/>
      <c r="MV67" s="291"/>
      <c r="MW67" s="291"/>
      <c r="MX67" s="291"/>
      <c r="MY67" s="291"/>
      <c r="MZ67" s="291"/>
      <c r="NA67" s="291"/>
      <c r="NB67" s="291"/>
      <c r="NC67" s="291"/>
      <c r="ND67" s="291"/>
      <c r="NE67" s="291"/>
      <c r="NF67" s="291"/>
      <c r="NG67" s="291"/>
      <c r="NH67" s="291"/>
      <c r="NI67" s="291"/>
      <c r="NJ67" s="291"/>
      <c r="NK67" s="291"/>
      <c r="NL67" s="291"/>
      <c r="NM67" s="291"/>
      <c r="NN67" s="291"/>
      <c r="NO67" s="291"/>
      <c r="NP67" s="291"/>
      <c r="NQ67" s="291"/>
      <c r="NR67" s="291"/>
      <c r="NS67" s="291"/>
      <c r="NT67" s="291"/>
      <c r="NU67" s="291"/>
      <c r="NV67" s="291"/>
      <c r="NW67" s="291"/>
      <c r="NX67" s="291"/>
      <c r="NY67" s="291"/>
      <c r="NZ67" s="291"/>
      <c r="OA67" s="291"/>
      <c r="OB67" s="291"/>
      <c r="OC67" s="291"/>
      <c r="OD67" s="291"/>
      <c r="OE67" s="291"/>
      <c r="OF67" s="291"/>
      <c r="OG67" s="291"/>
      <c r="OH67" s="291"/>
      <c r="OI67" s="291"/>
      <c r="OJ67" s="291"/>
      <c r="OK67" s="291"/>
      <c r="OL67" s="291"/>
      <c r="OM67" s="291"/>
      <c r="ON67" s="291"/>
      <c r="OO67" s="291"/>
      <c r="OP67" s="291"/>
      <c r="OQ67" s="291"/>
      <c r="OR67" s="291"/>
      <c r="OS67" s="291"/>
      <c r="OT67" s="291"/>
      <c r="OU67" s="291"/>
      <c r="OV67" s="291"/>
      <c r="OW67" s="291"/>
      <c r="OX67" s="291"/>
      <c r="OY67" s="291"/>
      <c r="OZ67" s="291"/>
      <c r="PA67" s="291"/>
      <c r="PB67" s="291"/>
      <c r="PC67" s="291"/>
      <c r="PD67" s="291"/>
      <c r="PE67" s="291"/>
      <c r="PF67" s="291"/>
      <c r="PG67" s="291"/>
      <c r="PH67" s="291"/>
      <c r="PI67" s="291"/>
      <c r="PJ67" s="291"/>
      <c r="PK67" s="291"/>
      <c r="PL67" s="291"/>
      <c r="PM67" s="291"/>
      <c r="PN67" s="291"/>
      <c r="PO67" s="291"/>
      <c r="PP67" s="291"/>
      <c r="PQ67" s="291"/>
      <c r="PR67" s="291"/>
      <c r="PS67" s="291"/>
      <c r="PT67" s="291"/>
      <c r="PU67" s="291"/>
      <c r="PV67" s="291"/>
      <c r="PW67" s="291"/>
      <c r="PX67" s="291"/>
      <c r="PY67" s="291"/>
      <c r="PZ67" s="291"/>
      <c r="QA67" s="291"/>
      <c r="QB67" s="291"/>
      <c r="QC67" s="291"/>
      <c r="QD67" s="291"/>
      <c r="QE67" s="291"/>
      <c r="QF67" s="291"/>
      <c r="QG67" s="291"/>
      <c r="QH67" s="291"/>
      <c r="QI67" s="291"/>
      <c r="QJ67" s="291"/>
      <c r="QK67" s="291"/>
      <c r="QL67" s="291"/>
      <c r="QM67" s="291"/>
      <c r="QN67" s="291"/>
      <c r="QO67" s="291"/>
      <c r="QP67" s="291"/>
      <c r="QQ67" s="291"/>
      <c r="QR67" s="291"/>
      <c r="QS67" s="291"/>
      <c r="QT67" s="291"/>
      <c r="QU67" s="291"/>
      <c r="QV67" s="291"/>
      <c r="QW67" s="291"/>
      <c r="QX67" s="291"/>
      <c r="QY67" s="291"/>
      <c r="QZ67" s="291"/>
      <c r="RA67" s="291"/>
      <c r="RB67" s="291"/>
      <c r="RC67" s="291"/>
      <c r="RD67" s="291"/>
      <c r="RE67" s="291"/>
      <c r="RF67" s="291"/>
      <c r="RG67" s="291"/>
      <c r="RH67" s="291"/>
      <c r="RI67" s="291"/>
      <c r="RJ67" s="291"/>
      <c r="RK67" s="291"/>
      <c r="RL67" s="291"/>
      <c r="RM67" s="291"/>
      <c r="RN67" s="291"/>
      <c r="RO67" s="291"/>
      <c r="RP67" s="291"/>
      <c r="RQ67" s="291"/>
      <c r="RR67" s="291"/>
      <c r="RS67" s="291"/>
      <c r="RT67" s="291"/>
      <c r="RU67" s="291"/>
      <c r="RV67" s="291"/>
      <c r="RW67" s="291"/>
      <c r="RX67" s="291"/>
      <c r="RY67" s="291"/>
      <c r="RZ67" s="291"/>
      <c r="SA67" s="291"/>
      <c r="SB67" s="291"/>
      <c r="SC67" s="291"/>
      <c r="SD67" s="291"/>
      <c r="SE67" s="291"/>
      <c r="SF67" s="291"/>
      <c r="SG67" s="291"/>
      <c r="SH67" s="291"/>
      <c r="SI67" s="291"/>
      <c r="SJ67" s="291"/>
      <c r="SK67" s="291"/>
      <c r="SL67" s="291"/>
      <c r="SM67" s="291"/>
      <c r="SN67" s="291"/>
      <c r="SO67" s="291"/>
      <c r="SP67" s="291"/>
      <c r="SQ67" s="291"/>
      <c r="SR67" s="291"/>
      <c r="SS67" s="291"/>
      <c r="ST67" s="291"/>
      <c r="SU67" s="291"/>
      <c r="SV67" s="291"/>
      <c r="SW67" s="291"/>
      <c r="SX67" s="291"/>
      <c r="SY67" s="291"/>
      <c r="SZ67" s="291"/>
      <c r="TA67" s="291"/>
      <c r="TB67" s="291"/>
      <c r="TC67" s="291"/>
      <c r="TD67" s="291"/>
      <c r="TE67" s="291"/>
      <c r="TF67" s="291"/>
      <c r="TG67" s="291"/>
      <c r="TH67" s="291"/>
      <c r="TI67" s="291"/>
      <c r="TJ67" s="291"/>
      <c r="TK67" s="291"/>
      <c r="TL67" s="291"/>
      <c r="TM67" s="291"/>
      <c r="TN67" s="291"/>
      <c r="TO67" s="291"/>
      <c r="TP67" s="291"/>
      <c r="TQ67" s="291"/>
      <c r="TR67" s="291"/>
    </row>
    <row r="68" spans="1:538" s="341" customFormat="1" ht="13" x14ac:dyDescent="0.25">
      <c r="A68" s="1448" t="s">
        <v>260</v>
      </c>
      <c r="B68" s="1448"/>
      <c r="C68" s="1448"/>
      <c r="D68" s="1467"/>
      <c r="E68" s="1467"/>
      <c r="F68" s="1467"/>
      <c r="G68" s="1467"/>
      <c r="H68" s="1467"/>
      <c r="I68" s="1467"/>
      <c r="J68" s="1467"/>
      <c r="K68" s="499" t="e">
        <f>F39+K42+K45+K51+K57+K63+K67</f>
        <v>#REF!</v>
      </c>
      <c r="L68" s="449"/>
      <c r="M68" s="449"/>
      <c r="N68" s="449"/>
      <c r="O68" s="449"/>
      <c r="P68" s="449"/>
      <c r="Q68" s="449"/>
      <c r="R68" s="450"/>
      <c r="S68" s="339" t="e">
        <f>N39+S42+S45+S51+S57+S63+S67</f>
        <v>#REF!</v>
      </c>
      <c r="T68" s="1468"/>
      <c r="U68" s="1467"/>
      <c r="V68" s="1467"/>
      <c r="W68" s="1467"/>
      <c r="X68" s="1467"/>
      <c r="Y68" s="1467"/>
      <c r="Z68" s="1469"/>
      <c r="AA68" s="339" t="e">
        <f>V39+AA42+AA45+AA51+AA57+AA63+AA67</f>
        <v>#REF!</v>
      </c>
      <c r="AB68" s="1468"/>
      <c r="AC68" s="1467"/>
      <c r="AD68" s="1467"/>
      <c r="AE68" s="1467"/>
      <c r="AF68" s="1467"/>
      <c r="AG68" s="1467"/>
      <c r="AH68" s="1469"/>
      <c r="AI68" s="339" t="e">
        <f>AD39+AI42+AI45+AI51+AI57+AI63+AI67</f>
        <v>#REF!</v>
      </c>
      <c r="AJ68" s="1468"/>
      <c r="AK68" s="1467"/>
      <c r="AL68" s="1467"/>
      <c r="AM68" s="1467"/>
      <c r="AN68" s="1467"/>
      <c r="AO68" s="1467"/>
      <c r="AP68" s="1469"/>
      <c r="AQ68" s="339" t="e">
        <f>AL39+AQ42+AQ45+AQ51+AQ57+AQ63+AQ67</f>
        <v>#REF!</v>
      </c>
      <c r="AR68" s="1468"/>
      <c r="AS68" s="1467"/>
      <c r="AT68" s="1467"/>
      <c r="AU68" s="1467"/>
      <c r="AV68" s="1467"/>
      <c r="AW68" s="1467"/>
      <c r="AX68" s="1469"/>
      <c r="AY68" s="441" t="e">
        <f>AT39+AY42+AY45+AY51+AY57+AY63+AY67</f>
        <v>#REF!</v>
      </c>
      <c r="AZ68" s="442"/>
      <c r="BA68" s="340" t="e">
        <f>K68+S68+AA68+AI68+AQ68+AY68</f>
        <v>#REF!</v>
      </c>
      <c r="BB68" s="68"/>
      <c r="BC68" s="68"/>
      <c r="BD68" s="68"/>
      <c r="BE68" s="68"/>
      <c r="BF68" s="68"/>
      <c r="BG68" s="68"/>
      <c r="BH68" s="68"/>
      <c r="BI68" s="68"/>
      <c r="BJ68" s="68"/>
      <c r="BK68" s="68"/>
      <c r="BL68" s="68"/>
      <c r="BM68" s="68"/>
      <c r="BN68" s="68"/>
      <c r="BO68" s="68"/>
      <c r="BP68" s="68"/>
      <c r="BQ68" s="68"/>
      <c r="BR68" s="68"/>
      <c r="BS68" s="68"/>
      <c r="BT68" s="68"/>
      <c r="BU68" s="68"/>
      <c r="BV68" s="68"/>
      <c r="BW68" s="68"/>
      <c r="BX68" s="68"/>
      <c r="BY68" s="68"/>
      <c r="BZ68" s="68"/>
      <c r="CA68" s="68"/>
      <c r="CB68" s="68"/>
      <c r="CC68" s="68"/>
      <c r="CD68" s="68"/>
      <c r="CE68" s="68"/>
      <c r="CF68" s="68"/>
      <c r="CG68" s="68"/>
      <c r="CH68" s="68"/>
      <c r="CI68" s="68"/>
      <c r="CJ68" s="68"/>
      <c r="CK68" s="68"/>
      <c r="CL68" s="68"/>
      <c r="CM68" s="68"/>
      <c r="CN68" s="68"/>
      <c r="CO68" s="68"/>
      <c r="CP68" s="68"/>
      <c r="CQ68" s="68"/>
      <c r="CR68" s="68"/>
      <c r="CS68" s="68"/>
      <c r="CT68" s="68"/>
      <c r="CU68" s="68"/>
      <c r="CV68" s="68"/>
      <c r="CW68" s="68"/>
      <c r="CX68" s="68"/>
      <c r="CY68" s="68"/>
      <c r="CZ68" s="68"/>
      <c r="DA68" s="68"/>
      <c r="DB68" s="68"/>
      <c r="DC68" s="68"/>
      <c r="DD68" s="68"/>
      <c r="DE68" s="68"/>
      <c r="DF68" s="68"/>
      <c r="DG68" s="68"/>
      <c r="DH68" s="68"/>
      <c r="DI68" s="68"/>
      <c r="DJ68" s="68"/>
      <c r="DK68" s="68"/>
      <c r="DL68" s="68"/>
      <c r="DM68" s="68"/>
      <c r="DN68" s="68"/>
      <c r="DO68" s="68"/>
      <c r="DP68" s="68"/>
      <c r="DQ68" s="68"/>
      <c r="DR68" s="68"/>
      <c r="DS68" s="68"/>
      <c r="DT68" s="68"/>
      <c r="DU68" s="68"/>
      <c r="DV68" s="68"/>
      <c r="DW68" s="68"/>
      <c r="DX68" s="68"/>
      <c r="DY68" s="68"/>
      <c r="DZ68" s="68"/>
      <c r="EA68" s="68"/>
      <c r="EB68" s="68"/>
      <c r="EC68" s="68"/>
      <c r="ED68" s="68"/>
      <c r="EE68" s="68"/>
      <c r="EF68" s="68"/>
      <c r="EG68" s="68"/>
      <c r="EH68" s="68"/>
      <c r="EI68" s="68"/>
      <c r="EJ68" s="68"/>
      <c r="EK68" s="68"/>
      <c r="EL68" s="68"/>
      <c r="EM68" s="68"/>
      <c r="EN68" s="68"/>
      <c r="EO68" s="68"/>
      <c r="EP68" s="68"/>
      <c r="EQ68" s="68"/>
      <c r="ER68" s="68"/>
      <c r="ES68" s="68"/>
      <c r="ET68" s="68"/>
      <c r="EU68" s="68"/>
      <c r="EV68" s="68"/>
      <c r="EW68" s="68"/>
      <c r="EX68" s="68"/>
      <c r="EY68" s="68"/>
      <c r="EZ68" s="68"/>
      <c r="FA68" s="68"/>
      <c r="FB68" s="68"/>
      <c r="FC68" s="68"/>
      <c r="FD68" s="68"/>
      <c r="FE68" s="68"/>
      <c r="FF68" s="68"/>
      <c r="FG68" s="68"/>
      <c r="FH68" s="68"/>
      <c r="FI68" s="68"/>
      <c r="FJ68" s="68"/>
      <c r="FK68" s="68"/>
      <c r="FL68" s="68"/>
      <c r="FM68" s="68"/>
      <c r="FN68" s="68"/>
      <c r="FO68" s="68"/>
      <c r="FP68" s="68"/>
      <c r="FQ68" s="68"/>
      <c r="FR68" s="68"/>
      <c r="FS68" s="68"/>
      <c r="FT68" s="68"/>
      <c r="FU68" s="68"/>
      <c r="FV68" s="68"/>
      <c r="FW68" s="68"/>
      <c r="FX68" s="68"/>
      <c r="FY68" s="68"/>
      <c r="FZ68" s="68"/>
      <c r="GA68" s="68"/>
      <c r="GB68" s="68"/>
      <c r="GC68" s="68"/>
      <c r="GD68" s="68"/>
      <c r="GE68" s="68"/>
      <c r="GF68" s="68"/>
      <c r="GG68" s="68"/>
      <c r="GH68" s="68"/>
      <c r="GI68" s="68"/>
      <c r="GJ68" s="68"/>
      <c r="GK68" s="68"/>
      <c r="GL68" s="68"/>
      <c r="GM68" s="68"/>
      <c r="GN68" s="68"/>
      <c r="GO68" s="68"/>
      <c r="GP68" s="68"/>
      <c r="GQ68" s="68"/>
      <c r="GR68" s="68"/>
      <c r="GS68" s="68"/>
      <c r="GT68" s="68"/>
      <c r="GU68" s="68"/>
      <c r="GV68" s="68"/>
      <c r="GW68" s="68"/>
      <c r="GX68" s="68"/>
      <c r="GY68" s="68"/>
      <c r="GZ68" s="68"/>
      <c r="HA68" s="68"/>
      <c r="HB68" s="68"/>
      <c r="HC68" s="68"/>
      <c r="HD68" s="68"/>
      <c r="HE68" s="68"/>
      <c r="HF68" s="68"/>
      <c r="HG68" s="68"/>
      <c r="HH68" s="68"/>
      <c r="HI68" s="68"/>
      <c r="HJ68" s="68"/>
      <c r="HK68" s="68"/>
      <c r="HL68" s="68"/>
      <c r="HM68" s="68"/>
      <c r="HN68" s="68"/>
      <c r="HO68" s="68"/>
      <c r="HP68" s="68"/>
      <c r="HQ68" s="68"/>
      <c r="HR68" s="68"/>
      <c r="HS68" s="68"/>
      <c r="HT68" s="68"/>
      <c r="HU68" s="68"/>
      <c r="HV68" s="68"/>
      <c r="HW68" s="68"/>
      <c r="HX68" s="68"/>
      <c r="HY68" s="68"/>
      <c r="HZ68" s="68"/>
      <c r="IA68" s="68"/>
      <c r="IB68" s="68"/>
      <c r="IC68" s="68"/>
      <c r="ID68" s="68"/>
      <c r="IE68" s="68"/>
      <c r="IF68" s="68"/>
      <c r="IG68" s="68"/>
      <c r="IH68" s="68"/>
      <c r="II68" s="68"/>
      <c r="IJ68" s="68"/>
      <c r="IK68" s="68"/>
      <c r="IL68" s="68"/>
      <c r="IM68" s="68"/>
      <c r="IN68" s="68"/>
      <c r="IO68" s="68"/>
      <c r="IP68" s="68"/>
      <c r="IQ68" s="68"/>
      <c r="IR68" s="68"/>
      <c r="IS68" s="68"/>
      <c r="IT68" s="68"/>
      <c r="IU68" s="68"/>
      <c r="IV68" s="68"/>
      <c r="IW68" s="68"/>
      <c r="IX68" s="68"/>
      <c r="IY68" s="68"/>
      <c r="IZ68" s="68"/>
      <c r="JA68" s="68"/>
      <c r="JB68" s="68"/>
      <c r="JC68" s="68"/>
      <c r="JD68" s="68"/>
      <c r="JE68" s="68"/>
      <c r="JF68" s="68"/>
      <c r="JG68" s="68"/>
      <c r="JH68" s="68"/>
      <c r="JI68" s="68"/>
      <c r="JJ68" s="68"/>
      <c r="JK68" s="68"/>
      <c r="JL68" s="68"/>
      <c r="JM68" s="68"/>
      <c r="JN68" s="68"/>
      <c r="JO68" s="68"/>
      <c r="JP68" s="68"/>
      <c r="JQ68" s="68"/>
      <c r="JR68" s="68"/>
      <c r="JS68" s="68"/>
      <c r="JT68" s="68"/>
      <c r="JU68" s="68"/>
      <c r="JV68" s="68"/>
      <c r="JW68" s="68"/>
      <c r="JX68" s="68"/>
      <c r="JY68" s="68"/>
      <c r="JZ68" s="68"/>
      <c r="KA68" s="68"/>
      <c r="KB68" s="68"/>
      <c r="KC68" s="68"/>
      <c r="KD68" s="68"/>
      <c r="KE68" s="68"/>
      <c r="KF68" s="68"/>
      <c r="KG68" s="68"/>
      <c r="KH68" s="68"/>
      <c r="KI68" s="68"/>
      <c r="KJ68" s="68"/>
      <c r="KK68" s="68"/>
      <c r="KL68" s="68"/>
      <c r="KM68" s="68"/>
      <c r="KN68" s="68"/>
      <c r="KO68" s="68"/>
      <c r="KP68" s="68"/>
      <c r="KQ68" s="68"/>
      <c r="KR68" s="68"/>
      <c r="KS68" s="68"/>
      <c r="KT68" s="68"/>
      <c r="KU68" s="68"/>
      <c r="KV68" s="68"/>
      <c r="KW68" s="68"/>
      <c r="KX68" s="68"/>
      <c r="KY68" s="68"/>
      <c r="KZ68" s="68"/>
      <c r="LA68" s="68"/>
      <c r="LB68" s="68"/>
      <c r="LC68" s="68"/>
      <c r="LD68" s="68"/>
      <c r="LE68" s="68"/>
      <c r="LF68" s="68"/>
      <c r="LG68" s="68"/>
      <c r="LH68" s="68"/>
      <c r="LI68" s="68"/>
      <c r="LJ68" s="68"/>
      <c r="LK68" s="68"/>
      <c r="LL68" s="68"/>
      <c r="LM68" s="68"/>
      <c r="LN68" s="68"/>
      <c r="LO68" s="68"/>
      <c r="LP68" s="68"/>
      <c r="LQ68" s="68"/>
      <c r="LR68" s="68"/>
      <c r="LS68" s="68"/>
      <c r="LT68" s="68"/>
      <c r="LU68" s="68"/>
      <c r="LV68" s="68"/>
      <c r="LW68" s="68"/>
      <c r="LX68" s="68"/>
      <c r="LY68" s="68"/>
      <c r="LZ68" s="68"/>
      <c r="MA68" s="68"/>
      <c r="MB68" s="68"/>
      <c r="MC68" s="68"/>
      <c r="MD68" s="68"/>
      <c r="ME68" s="68"/>
      <c r="MF68" s="68"/>
      <c r="MG68" s="68"/>
      <c r="MH68" s="68"/>
      <c r="MI68" s="68"/>
      <c r="MJ68" s="68"/>
      <c r="MK68" s="68"/>
      <c r="ML68" s="68"/>
      <c r="MM68" s="68"/>
      <c r="MN68" s="68"/>
      <c r="MO68" s="68"/>
      <c r="MP68" s="68"/>
      <c r="MQ68" s="68"/>
      <c r="MR68" s="68"/>
      <c r="MS68" s="68"/>
      <c r="MT68" s="68"/>
      <c r="MU68" s="68"/>
      <c r="MV68" s="68"/>
      <c r="MW68" s="68"/>
      <c r="MX68" s="68"/>
      <c r="MY68" s="68"/>
      <c r="MZ68" s="68"/>
      <c r="NA68" s="68"/>
      <c r="NB68" s="68"/>
      <c r="NC68" s="68"/>
      <c r="ND68" s="68"/>
      <c r="NE68" s="68"/>
      <c r="NF68" s="68"/>
      <c r="NG68" s="68"/>
      <c r="NH68" s="68"/>
      <c r="NI68" s="68"/>
      <c r="NJ68" s="68"/>
      <c r="NK68" s="68"/>
      <c r="NL68" s="68"/>
      <c r="NM68" s="68"/>
      <c r="NN68" s="68"/>
      <c r="NO68" s="68"/>
      <c r="NP68" s="68"/>
      <c r="NQ68" s="68"/>
      <c r="NR68" s="68"/>
      <c r="NS68" s="68"/>
      <c r="NT68" s="68"/>
      <c r="NU68" s="68"/>
      <c r="NV68" s="68"/>
      <c r="NW68" s="68"/>
      <c r="NX68" s="68"/>
      <c r="NY68" s="68"/>
      <c r="NZ68" s="68"/>
      <c r="OA68" s="68"/>
      <c r="OB68" s="68"/>
      <c r="OC68" s="68"/>
      <c r="OD68" s="68"/>
      <c r="OE68" s="68"/>
      <c r="OF68" s="68"/>
      <c r="OG68" s="68"/>
      <c r="OH68" s="68"/>
      <c r="OI68" s="68"/>
      <c r="OJ68" s="68"/>
      <c r="OK68" s="68"/>
      <c r="OL68" s="68"/>
      <c r="OM68" s="68"/>
      <c r="ON68" s="68"/>
      <c r="OO68" s="68"/>
      <c r="OP68" s="68"/>
      <c r="OQ68" s="68"/>
      <c r="OR68" s="68"/>
      <c r="OS68" s="68"/>
      <c r="OT68" s="68"/>
      <c r="OU68" s="68"/>
      <c r="OV68" s="68"/>
      <c r="OW68" s="68"/>
      <c r="OX68" s="68"/>
      <c r="OY68" s="68"/>
      <c r="OZ68" s="68"/>
      <c r="PA68" s="68"/>
      <c r="PB68" s="68"/>
      <c r="PC68" s="68"/>
      <c r="PD68" s="68"/>
      <c r="PE68" s="68"/>
      <c r="PF68" s="68"/>
      <c r="PG68" s="68"/>
      <c r="PH68" s="68"/>
      <c r="PI68" s="68"/>
      <c r="PJ68" s="68"/>
      <c r="PK68" s="68"/>
      <c r="PL68" s="68"/>
      <c r="PM68" s="68"/>
      <c r="PN68" s="68"/>
      <c r="PO68" s="68"/>
      <c r="PP68" s="68"/>
      <c r="PQ68" s="68"/>
      <c r="PR68" s="68"/>
      <c r="PS68" s="68"/>
      <c r="PT68" s="68"/>
      <c r="PU68" s="68"/>
      <c r="PV68" s="68"/>
      <c r="PW68" s="68"/>
      <c r="PX68" s="68"/>
      <c r="PY68" s="68"/>
      <c r="PZ68" s="68"/>
      <c r="QA68" s="68"/>
      <c r="QB68" s="68"/>
      <c r="QC68" s="68"/>
      <c r="QD68" s="68"/>
      <c r="QE68" s="68"/>
      <c r="QF68" s="68"/>
      <c r="QG68" s="68"/>
      <c r="QH68" s="68"/>
      <c r="QI68" s="68"/>
      <c r="QJ68" s="68"/>
      <c r="QK68" s="68"/>
      <c r="QL68" s="68"/>
      <c r="QM68" s="68"/>
      <c r="QN68" s="68"/>
      <c r="QO68" s="68"/>
      <c r="QP68" s="68"/>
      <c r="QQ68" s="68"/>
      <c r="QR68" s="68"/>
      <c r="QS68" s="68"/>
      <c r="QT68" s="68"/>
      <c r="QU68" s="68"/>
      <c r="QV68" s="68"/>
      <c r="QW68" s="68"/>
      <c r="QX68" s="68"/>
      <c r="QY68" s="68"/>
      <c r="QZ68" s="68"/>
      <c r="RA68" s="68"/>
      <c r="RB68" s="68"/>
      <c r="RC68" s="68"/>
      <c r="RD68" s="68"/>
      <c r="RE68" s="68"/>
      <c r="RF68" s="68"/>
      <c r="RG68" s="68"/>
      <c r="RH68" s="68"/>
      <c r="RI68" s="68"/>
      <c r="RJ68" s="68"/>
      <c r="RK68" s="68"/>
      <c r="RL68" s="68"/>
      <c r="RM68" s="68"/>
      <c r="RN68" s="68"/>
      <c r="RO68" s="68"/>
      <c r="RP68" s="68"/>
      <c r="RQ68" s="68"/>
      <c r="RR68" s="68"/>
      <c r="RS68" s="68"/>
      <c r="RT68" s="68"/>
      <c r="RU68" s="68"/>
      <c r="RV68" s="68"/>
      <c r="RW68" s="68"/>
      <c r="RX68" s="68"/>
      <c r="RY68" s="68"/>
      <c r="RZ68" s="68"/>
      <c r="SA68" s="68"/>
      <c r="SB68" s="68"/>
      <c r="SC68" s="68"/>
      <c r="SD68" s="68"/>
      <c r="SE68" s="68"/>
      <c r="SF68" s="68"/>
      <c r="SG68" s="68"/>
      <c r="SH68" s="68"/>
      <c r="SI68" s="68"/>
      <c r="SJ68" s="68"/>
      <c r="SK68" s="68"/>
      <c r="SL68" s="68"/>
      <c r="SM68" s="68"/>
      <c r="SN68" s="68"/>
      <c r="SO68" s="68"/>
      <c r="SP68" s="68"/>
      <c r="SQ68" s="68"/>
      <c r="SR68" s="68"/>
      <c r="SS68" s="68"/>
      <c r="ST68" s="68"/>
      <c r="SU68" s="68"/>
      <c r="SV68" s="68"/>
      <c r="SW68" s="68"/>
      <c r="SX68" s="68"/>
      <c r="SY68" s="68"/>
      <c r="SZ68" s="68"/>
      <c r="TA68" s="68"/>
      <c r="TB68" s="68"/>
      <c r="TC68" s="68"/>
      <c r="TD68" s="68"/>
      <c r="TE68" s="68"/>
      <c r="TF68" s="68"/>
      <c r="TG68" s="68"/>
      <c r="TH68" s="68"/>
      <c r="TI68" s="68"/>
      <c r="TJ68" s="68"/>
      <c r="TK68" s="68"/>
      <c r="TL68" s="68"/>
      <c r="TM68" s="68"/>
      <c r="TN68" s="68"/>
      <c r="TO68" s="68"/>
      <c r="TP68" s="68"/>
      <c r="TQ68" s="68"/>
      <c r="TR68" s="68"/>
    </row>
    <row r="69" spans="1:538" s="363" customFormat="1" x14ac:dyDescent="0.25">
      <c r="A69" s="1463" t="s">
        <v>454</v>
      </c>
      <c r="B69" s="1463"/>
      <c r="C69" s="1463"/>
      <c r="D69" s="1186" t="s">
        <v>15</v>
      </c>
      <c r="E69" s="394" t="s">
        <v>363</v>
      </c>
      <c r="F69" s="1455"/>
      <c r="G69" s="1456"/>
      <c r="H69" s="1456"/>
      <c r="I69" s="1456"/>
      <c r="J69" s="1457"/>
      <c r="K69" s="457"/>
      <c r="L69" s="1186" t="s">
        <v>15</v>
      </c>
      <c r="M69" s="394" t="s">
        <v>363</v>
      </c>
      <c r="N69" s="1455"/>
      <c r="O69" s="1456"/>
      <c r="P69" s="1456"/>
      <c r="Q69" s="1456"/>
      <c r="R69" s="1457"/>
      <c r="S69" s="425"/>
      <c r="T69" s="393" t="s">
        <v>15</v>
      </c>
      <c r="U69" s="394" t="s">
        <v>363</v>
      </c>
      <c r="V69" s="1455"/>
      <c r="W69" s="1456"/>
      <c r="X69" s="1456"/>
      <c r="Y69" s="1456"/>
      <c r="Z69" s="1456"/>
      <c r="AA69" s="1464"/>
      <c r="AB69" s="393" t="s">
        <v>15</v>
      </c>
      <c r="AC69" s="394" t="s">
        <v>363</v>
      </c>
      <c r="AD69" s="1465"/>
      <c r="AE69" s="1458"/>
      <c r="AF69" s="1458"/>
      <c r="AG69" s="1458"/>
      <c r="AH69" s="1466"/>
      <c r="AI69" s="354"/>
      <c r="AJ69" s="393" t="s">
        <v>15</v>
      </c>
      <c r="AK69" s="394" t="s">
        <v>363</v>
      </c>
      <c r="AL69" s="1455"/>
      <c r="AM69" s="1456"/>
      <c r="AN69" s="1456"/>
      <c r="AO69" s="1456"/>
      <c r="AP69" s="1457"/>
      <c r="AQ69" s="425"/>
      <c r="AR69" s="393" t="s">
        <v>15</v>
      </c>
      <c r="AS69" s="394" t="s">
        <v>363</v>
      </c>
      <c r="AT69" s="1455"/>
      <c r="AU69" s="1456"/>
      <c r="AV69" s="1456"/>
      <c r="AW69" s="1456"/>
      <c r="AX69" s="1456"/>
      <c r="AY69" s="1456"/>
      <c r="AZ69" s="1458"/>
      <c r="BA69" s="1459"/>
      <c r="BB69" s="291"/>
      <c r="BC69" s="291"/>
      <c r="BD69" s="291"/>
      <c r="BE69" s="291"/>
      <c r="BF69" s="291"/>
      <c r="BG69" s="291"/>
      <c r="BH69" s="291"/>
      <c r="BI69" s="291"/>
      <c r="BJ69" s="291"/>
      <c r="BK69" s="291"/>
      <c r="BL69" s="291"/>
      <c r="BM69" s="291"/>
      <c r="BN69" s="291"/>
      <c r="BO69" s="291"/>
      <c r="BP69" s="291"/>
      <c r="BQ69" s="291"/>
      <c r="BR69" s="291"/>
      <c r="BS69" s="291"/>
      <c r="BT69" s="291"/>
      <c r="BU69" s="291"/>
      <c r="BV69" s="291"/>
      <c r="BW69" s="291"/>
      <c r="BX69" s="291"/>
      <c r="BY69" s="291"/>
      <c r="BZ69" s="291"/>
      <c r="CA69" s="291"/>
      <c r="CB69" s="291"/>
      <c r="CC69" s="291"/>
      <c r="CD69" s="291"/>
      <c r="CE69" s="291"/>
      <c r="CF69" s="291"/>
      <c r="CG69" s="291"/>
      <c r="CH69" s="291"/>
      <c r="CI69" s="291"/>
      <c r="CJ69" s="291"/>
      <c r="CK69" s="291"/>
      <c r="CL69" s="291"/>
      <c r="CM69" s="291"/>
      <c r="CN69" s="291"/>
      <c r="CO69" s="291"/>
      <c r="CP69" s="291"/>
      <c r="CQ69" s="291"/>
      <c r="CR69" s="291"/>
      <c r="CS69" s="291"/>
      <c r="CT69" s="291"/>
      <c r="CU69" s="291"/>
      <c r="CV69" s="291"/>
      <c r="CW69" s="291"/>
      <c r="CX69" s="291"/>
      <c r="CY69" s="291"/>
      <c r="CZ69" s="291"/>
      <c r="DA69" s="291"/>
      <c r="DB69" s="291"/>
      <c r="DC69" s="291"/>
      <c r="DD69" s="291"/>
      <c r="DE69" s="291"/>
      <c r="DF69" s="291"/>
      <c r="DG69" s="291"/>
      <c r="DH69" s="291"/>
      <c r="DI69" s="291"/>
      <c r="DJ69" s="291"/>
      <c r="DK69" s="291"/>
      <c r="DL69" s="291"/>
      <c r="DM69" s="291"/>
      <c r="DN69" s="291"/>
      <c r="DO69" s="291"/>
      <c r="DP69" s="291"/>
      <c r="DQ69" s="291"/>
      <c r="DR69" s="291"/>
      <c r="DS69" s="291"/>
      <c r="DT69" s="291"/>
      <c r="DU69" s="291"/>
      <c r="DV69" s="291"/>
      <c r="DW69" s="291"/>
      <c r="DX69" s="291"/>
      <c r="DY69" s="291"/>
      <c r="DZ69" s="291"/>
      <c r="EA69" s="291"/>
      <c r="EB69" s="291"/>
      <c r="EC69" s="291"/>
      <c r="ED69" s="291"/>
      <c r="EE69" s="291"/>
      <c r="EF69" s="291"/>
      <c r="EG69" s="291"/>
      <c r="EH69" s="291"/>
      <c r="EI69" s="291"/>
      <c r="EJ69" s="291"/>
      <c r="EK69" s="291"/>
      <c r="EL69" s="291"/>
      <c r="EM69" s="291"/>
      <c r="EN69" s="291"/>
      <c r="EO69" s="291"/>
      <c r="EP69" s="291"/>
      <c r="EQ69" s="291"/>
      <c r="ER69" s="291"/>
      <c r="ES69" s="291"/>
      <c r="ET69" s="291"/>
      <c r="EU69" s="291"/>
      <c r="EV69" s="291"/>
      <c r="EW69" s="291"/>
      <c r="EX69" s="291"/>
      <c r="EY69" s="291"/>
      <c r="EZ69" s="291"/>
      <c r="FA69" s="291"/>
      <c r="FB69" s="291"/>
      <c r="FC69" s="291"/>
      <c r="FD69" s="291"/>
      <c r="FE69" s="291"/>
      <c r="FF69" s="291"/>
      <c r="FG69" s="291"/>
      <c r="FH69" s="291"/>
      <c r="FI69" s="291"/>
      <c r="FJ69" s="291"/>
      <c r="FK69" s="291"/>
      <c r="FL69" s="291"/>
      <c r="FM69" s="291"/>
      <c r="FN69" s="291"/>
      <c r="FO69" s="291"/>
      <c r="FP69" s="291"/>
      <c r="FQ69" s="291"/>
      <c r="FR69" s="291"/>
      <c r="FS69" s="291"/>
      <c r="FT69" s="291"/>
      <c r="FU69" s="291"/>
      <c r="FV69" s="291"/>
      <c r="FW69" s="291"/>
      <c r="FX69" s="291"/>
      <c r="FY69" s="291"/>
      <c r="FZ69" s="291"/>
      <c r="GA69" s="291"/>
      <c r="GB69" s="291"/>
      <c r="GC69" s="291"/>
      <c r="GD69" s="291"/>
      <c r="GE69" s="291"/>
      <c r="GF69" s="291"/>
      <c r="GG69" s="291"/>
      <c r="GH69" s="291"/>
      <c r="GI69" s="291"/>
      <c r="GJ69" s="291"/>
      <c r="GK69" s="291"/>
      <c r="GL69" s="291"/>
      <c r="GM69" s="291"/>
      <c r="GN69" s="291"/>
      <c r="GO69" s="291"/>
      <c r="GP69" s="291"/>
      <c r="GQ69" s="291"/>
      <c r="GR69" s="291"/>
      <c r="GS69" s="291"/>
      <c r="GT69" s="291"/>
      <c r="GU69" s="291"/>
      <c r="GV69" s="291"/>
      <c r="GW69" s="291"/>
      <c r="GX69" s="291"/>
      <c r="GY69" s="291"/>
      <c r="GZ69" s="291"/>
      <c r="HA69" s="291"/>
      <c r="HB69" s="291"/>
      <c r="HC69" s="291"/>
      <c r="HD69" s="291"/>
      <c r="HE69" s="291"/>
      <c r="HF69" s="291"/>
      <c r="HG69" s="291"/>
      <c r="HH69" s="291"/>
      <c r="HI69" s="291"/>
      <c r="HJ69" s="291"/>
      <c r="HK69" s="291"/>
      <c r="HL69" s="291"/>
      <c r="HM69" s="291"/>
      <c r="HN69" s="291"/>
      <c r="HO69" s="291"/>
      <c r="HP69" s="291"/>
      <c r="HQ69" s="291"/>
      <c r="HR69" s="291"/>
      <c r="HS69" s="291"/>
      <c r="HT69" s="291"/>
      <c r="HU69" s="291"/>
      <c r="HV69" s="291"/>
      <c r="HW69" s="291"/>
      <c r="HX69" s="291"/>
      <c r="HY69" s="291"/>
      <c r="HZ69" s="291"/>
      <c r="IA69" s="291"/>
      <c r="IB69" s="291"/>
      <c r="IC69" s="291"/>
      <c r="ID69" s="291"/>
      <c r="IE69" s="291"/>
      <c r="IF69" s="291"/>
      <c r="IG69" s="291"/>
      <c r="IH69" s="291"/>
      <c r="II69" s="291"/>
      <c r="IJ69" s="291"/>
      <c r="IK69" s="291"/>
      <c r="IL69" s="291"/>
      <c r="IM69" s="291"/>
      <c r="IN69" s="291"/>
      <c r="IO69" s="291"/>
      <c r="IP69" s="291"/>
      <c r="IQ69" s="291"/>
      <c r="IR69" s="291"/>
      <c r="IS69" s="291"/>
      <c r="IT69" s="291"/>
      <c r="IU69" s="291"/>
      <c r="IV69" s="291"/>
      <c r="IW69" s="291"/>
      <c r="IX69" s="291"/>
      <c r="IY69" s="291"/>
      <c r="IZ69" s="291"/>
      <c r="JA69" s="291"/>
      <c r="JB69" s="291"/>
      <c r="JC69" s="291"/>
      <c r="JD69" s="291"/>
      <c r="JE69" s="291"/>
      <c r="JF69" s="291"/>
      <c r="JG69" s="291"/>
      <c r="JH69" s="291"/>
      <c r="JI69" s="291"/>
      <c r="JJ69" s="291"/>
      <c r="JK69" s="291"/>
      <c r="JL69" s="291"/>
      <c r="JM69" s="291"/>
      <c r="JN69" s="291"/>
      <c r="JO69" s="291"/>
      <c r="JP69" s="291"/>
      <c r="JQ69" s="291"/>
      <c r="JR69" s="291"/>
      <c r="JS69" s="291"/>
      <c r="JT69" s="291"/>
      <c r="JU69" s="291"/>
      <c r="JV69" s="291"/>
      <c r="JW69" s="291"/>
      <c r="JX69" s="291"/>
      <c r="JY69" s="291"/>
      <c r="JZ69" s="291"/>
      <c r="KA69" s="291"/>
      <c r="KB69" s="291"/>
      <c r="KC69" s="291"/>
      <c r="KD69" s="291"/>
      <c r="KE69" s="291"/>
      <c r="KF69" s="291"/>
      <c r="KG69" s="291"/>
      <c r="KH69" s="291"/>
      <c r="KI69" s="291"/>
      <c r="KJ69" s="291"/>
      <c r="KK69" s="291"/>
      <c r="KL69" s="291"/>
      <c r="KM69" s="291"/>
      <c r="KN69" s="291"/>
      <c r="KO69" s="291"/>
      <c r="KP69" s="291"/>
      <c r="KQ69" s="291"/>
      <c r="KR69" s="291"/>
      <c r="KS69" s="291"/>
      <c r="KT69" s="291"/>
      <c r="KU69" s="291"/>
      <c r="KV69" s="291"/>
      <c r="KW69" s="291"/>
      <c r="KX69" s="291"/>
      <c r="KY69" s="291"/>
      <c r="KZ69" s="291"/>
      <c r="LA69" s="291"/>
      <c r="LB69" s="291"/>
      <c r="LC69" s="291"/>
      <c r="LD69" s="291"/>
      <c r="LE69" s="291"/>
      <c r="LF69" s="291"/>
      <c r="LG69" s="291"/>
      <c r="LH69" s="291"/>
      <c r="LI69" s="291"/>
      <c r="LJ69" s="291"/>
      <c r="LK69" s="291"/>
      <c r="LL69" s="291"/>
      <c r="LM69" s="291"/>
      <c r="LN69" s="291"/>
      <c r="LO69" s="291"/>
      <c r="LP69" s="291"/>
      <c r="LQ69" s="291"/>
      <c r="LR69" s="291"/>
      <c r="LS69" s="291"/>
      <c r="LT69" s="291"/>
      <c r="LU69" s="291"/>
      <c r="LV69" s="291"/>
      <c r="LW69" s="291"/>
      <c r="LX69" s="291"/>
      <c r="LY69" s="291"/>
      <c r="LZ69" s="291"/>
      <c r="MA69" s="291"/>
      <c r="MB69" s="291"/>
      <c r="MC69" s="291"/>
      <c r="MD69" s="291"/>
      <c r="ME69" s="291"/>
      <c r="MF69" s="291"/>
      <c r="MG69" s="291"/>
      <c r="MH69" s="291"/>
      <c r="MI69" s="291"/>
      <c r="MJ69" s="291"/>
      <c r="MK69" s="291"/>
      <c r="ML69" s="291"/>
      <c r="MM69" s="291"/>
      <c r="MN69" s="291"/>
      <c r="MO69" s="291"/>
      <c r="MP69" s="291"/>
      <c r="MQ69" s="291"/>
      <c r="MR69" s="291"/>
      <c r="MS69" s="291"/>
      <c r="MT69" s="291"/>
      <c r="MU69" s="291"/>
      <c r="MV69" s="291"/>
      <c r="MW69" s="291"/>
      <c r="MX69" s="291"/>
      <c r="MY69" s="291"/>
      <c r="MZ69" s="291"/>
      <c r="NA69" s="291"/>
      <c r="NB69" s="291"/>
      <c r="NC69" s="291"/>
      <c r="ND69" s="291"/>
      <c r="NE69" s="291"/>
      <c r="NF69" s="291"/>
      <c r="NG69" s="291"/>
      <c r="NH69" s="291"/>
      <c r="NI69" s="291"/>
      <c r="NJ69" s="291"/>
      <c r="NK69" s="291"/>
      <c r="NL69" s="291"/>
      <c r="NM69" s="291"/>
      <c r="NN69" s="291"/>
      <c r="NO69" s="291"/>
      <c r="NP69" s="291"/>
      <c r="NQ69" s="291"/>
      <c r="NR69" s="291"/>
      <c r="NS69" s="291"/>
      <c r="NT69" s="291"/>
      <c r="NU69" s="291"/>
      <c r="NV69" s="291"/>
      <c r="NW69" s="291"/>
      <c r="NX69" s="291"/>
      <c r="NY69" s="291"/>
      <c r="NZ69" s="291"/>
      <c r="OA69" s="291"/>
      <c r="OB69" s="291"/>
      <c r="OC69" s="291"/>
      <c r="OD69" s="291"/>
      <c r="OE69" s="291"/>
      <c r="OF69" s="291"/>
      <c r="OG69" s="291"/>
      <c r="OH69" s="291"/>
      <c r="OI69" s="291"/>
      <c r="OJ69" s="291"/>
      <c r="OK69" s="291"/>
      <c r="OL69" s="291"/>
      <c r="OM69" s="291"/>
      <c r="ON69" s="291"/>
      <c r="OO69" s="291"/>
      <c r="OP69" s="291"/>
      <c r="OQ69" s="291"/>
      <c r="OR69" s="291"/>
      <c r="OS69" s="291"/>
      <c r="OT69" s="291"/>
      <c r="OU69" s="291"/>
      <c r="OV69" s="291"/>
      <c r="OW69" s="291"/>
      <c r="OX69" s="291"/>
      <c r="OY69" s="291"/>
      <c r="OZ69" s="291"/>
      <c r="PA69" s="291"/>
      <c r="PB69" s="291"/>
      <c r="PC69" s="291"/>
      <c r="PD69" s="291"/>
      <c r="PE69" s="291"/>
      <c r="PF69" s="291"/>
      <c r="PG69" s="291"/>
      <c r="PH69" s="291"/>
      <c r="PI69" s="291"/>
      <c r="PJ69" s="291"/>
      <c r="PK69" s="291"/>
      <c r="PL69" s="291"/>
      <c r="PM69" s="291"/>
      <c r="PN69" s="291"/>
      <c r="PO69" s="291"/>
      <c r="PP69" s="291"/>
      <c r="PQ69" s="291"/>
      <c r="PR69" s="291"/>
      <c r="PS69" s="291"/>
      <c r="PT69" s="291"/>
      <c r="PU69" s="291"/>
      <c r="PV69" s="291"/>
      <c r="PW69" s="291"/>
      <c r="PX69" s="291"/>
      <c r="PY69" s="291"/>
      <c r="PZ69" s="291"/>
      <c r="QA69" s="291"/>
      <c r="QB69" s="291"/>
      <c r="QC69" s="291"/>
      <c r="QD69" s="291"/>
      <c r="QE69" s="291"/>
      <c r="QF69" s="291"/>
      <c r="QG69" s="291"/>
      <c r="QH69" s="291"/>
      <c r="QI69" s="291"/>
      <c r="QJ69" s="291"/>
      <c r="QK69" s="291"/>
      <c r="QL69" s="291"/>
      <c r="QM69" s="291"/>
      <c r="QN69" s="291"/>
      <c r="QO69" s="291"/>
      <c r="QP69" s="291"/>
      <c r="QQ69" s="291"/>
      <c r="QR69" s="291"/>
      <c r="QS69" s="291"/>
      <c r="QT69" s="291"/>
      <c r="QU69" s="291"/>
      <c r="QV69" s="291"/>
      <c r="QW69" s="291"/>
      <c r="QX69" s="291"/>
      <c r="QY69" s="291"/>
      <c r="QZ69" s="291"/>
      <c r="RA69" s="291"/>
      <c r="RB69" s="291"/>
      <c r="RC69" s="291"/>
      <c r="RD69" s="291"/>
      <c r="RE69" s="291"/>
      <c r="RF69" s="291"/>
      <c r="RG69" s="291"/>
      <c r="RH69" s="291"/>
      <c r="RI69" s="291"/>
      <c r="RJ69" s="291"/>
      <c r="RK69" s="291"/>
      <c r="RL69" s="291"/>
      <c r="RM69" s="291"/>
      <c r="RN69" s="291"/>
      <c r="RO69" s="291"/>
      <c r="RP69" s="291"/>
      <c r="RQ69" s="291"/>
      <c r="RR69" s="291"/>
      <c r="RS69" s="291"/>
      <c r="RT69" s="291"/>
      <c r="RU69" s="291"/>
      <c r="RV69" s="291"/>
      <c r="RW69" s="291"/>
      <c r="RX69" s="291"/>
      <c r="RY69" s="291"/>
      <c r="RZ69" s="291"/>
      <c r="SA69" s="291"/>
      <c r="SB69" s="291"/>
      <c r="SC69" s="291"/>
      <c r="SD69" s="291"/>
      <c r="SE69" s="291"/>
      <c r="SF69" s="291"/>
      <c r="SG69" s="291"/>
      <c r="SH69" s="291"/>
      <c r="SI69" s="291"/>
      <c r="SJ69" s="291"/>
      <c r="SK69" s="291"/>
      <c r="SL69" s="291"/>
      <c r="SM69" s="291"/>
      <c r="SN69" s="291"/>
      <c r="SO69" s="291"/>
      <c r="SP69" s="291"/>
      <c r="SQ69" s="291"/>
      <c r="SR69" s="291"/>
      <c r="SS69" s="291"/>
      <c r="ST69" s="291"/>
      <c r="SU69" s="291"/>
      <c r="SV69" s="291"/>
      <c r="SW69" s="291"/>
      <c r="SX69" s="291"/>
      <c r="SY69" s="291"/>
      <c r="SZ69" s="291"/>
      <c r="TA69" s="291"/>
      <c r="TB69" s="291"/>
      <c r="TC69" s="291"/>
      <c r="TD69" s="291"/>
      <c r="TE69" s="291"/>
      <c r="TF69" s="291"/>
      <c r="TG69" s="291"/>
      <c r="TH69" s="291"/>
      <c r="TI69" s="291"/>
      <c r="TJ69" s="291"/>
      <c r="TK69" s="291"/>
      <c r="TL69" s="291"/>
      <c r="TM69" s="291"/>
      <c r="TN69" s="291"/>
      <c r="TO69" s="291"/>
      <c r="TP69" s="291"/>
      <c r="TQ69" s="291"/>
      <c r="TR69" s="291"/>
    </row>
    <row r="70" spans="1:538" x14ac:dyDescent="0.25">
      <c r="A70" s="504"/>
      <c r="B70" s="609" t="str">
        <f>IF(LaborCollection="Academia","F&amp;A","G&amp;A")</f>
        <v>G&amp;A</v>
      </c>
      <c r="C70" s="504"/>
      <c r="D70" s="422" t="e">
        <f>K68</f>
        <v>#REF!</v>
      </c>
      <c r="E70" s="356">
        <v>0.1</v>
      </c>
      <c r="F70" s="1460"/>
      <c r="G70" s="1461"/>
      <c r="H70" s="1461"/>
      <c r="I70" s="1461"/>
      <c r="J70" s="1461"/>
      <c r="K70" s="477" t="e">
        <f>D70*E70</f>
        <v>#REF!</v>
      </c>
      <c r="L70" s="303" t="e">
        <f>S68</f>
        <v>#REF!</v>
      </c>
      <c r="M70" s="356">
        <v>0.1</v>
      </c>
      <c r="N70" s="1460"/>
      <c r="O70" s="1461"/>
      <c r="P70" s="1461"/>
      <c r="Q70" s="1461"/>
      <c r="R70" s="1462"/>
      <c r="S70" s="300" t="e">
        <f>L70*M70</f>
        <v>#REF!</v>
      </c>
      <c r="T70" s="434" t="e">
        <f>AA68</f>
        <v>#REF!</v>
      </c>
      <c r="U70" s="356">
        <v>0.1</v>
      </c>
      <c r="V70" s="1460"/>
      <c r="W70" s="1461"/>
      <c r="X70" s="1461"/>
      <c r="Y70" s="1461"/>
      <c r="Z70" s="1462"/>
      <c r="AA70" s="300" t="e">
        <f>T70*U70</f>
        <v>#REF!</v>
      </c>
      <c r="AB70" s="434" t="e">
        <f>AI68</f>
        <v>#REF!</v>
      </c>
      <c r="AC70" s="356">
        <v>0</v>
      </c>
      <c r="AD70" s="1460"/>
      <c r="AE70" s="1461"/>
      <c r="AF70" s="1461"/>
      <c r="AG70" s="1461"/>
      <c r="AH70" s="1462"/>
      <c r="AI70" s="302" t="e">
        <f>AB70*AC70</f>
        <v>#REF!</v>
      </c>
      <c r="AJ70" s="434" t="e">
        <f>AQ68</f>
        <v>#REF!</v>
      </c>
      <c r="AK70" s="356">
        <v>0</v>
      </c>
      <c r="AL70" s="328"/>
      <c r="AM70" s="308"/>
      <c r="AN70" s="308"/>
      <c r="AO70" s="308"/>
      <c r="AP70" s="329"/>
      <c r="AQ70" s="300" t="e">
        <f>AJ70*AK70</f>
        <v>#REF!</v>
      </c>
      <c r="AR70" s="438" t="e">
        <f>AY39+AY42+AY45+AY51+AY57+AY63+AY67</f>
        <v>#REF!</v>
      </c>
      <c r="AS70" s="356">
        <v>0</v>
      </c>
      <c r="AT70" s="1460"/>
      <c r="AU70" s="1461"/>
      <c r="AV70" s="1461"/>
      <c r="AW70" s="1461"/>
      <c r="AX70" s="1462"/>
      <c r="AY70" s="406" t="e">
        <f>AR70*AS70</f>
        <v>#REF!</v>
      </c>
      <c r="AZ70" s="1439"/>
      <c r="BA70" s="431" t="e">
        <f>K70+S70+AA70+AI70+AQ70+AY70</f>
        <v>#REF!</v>
      </c>
    </row>
    <row r="71" spans="1:538" x14ac:dyDescent="0.25">
      <c r="A71" s="504"/>
      <c r="B71" s="296" t="s">
        <v>455</v>
      </c>
      <c r="C71" s="504"/>
      <c r="D71" s="436">
        <v>0</v>
      </c>
      <c r="E71" s="356">
        <v>0</v>
      </c>
      <c r="F71" s="1435"/>
      <c r="G71" s="1436"/>
      <c r="H71" s="1436"/>
      <c r="I71" s="1436"/>
      <c r="J71" s="1436"/>
      <c r="K71" s="477">
        <f>D71*E71</f>
        <v>0</v>
      </c>
      <c r="L71" s="434">
        <v>0</v>
      </c>
      <c r="M71" s="356">
        <v>0</v>
      </c>
      <c r="N71" s="1435"/>
      <c r="O71" s="1436"/>
      <c r="P71" s="1436"/>
      <c r="Q71" s="1436"/>
      <c r="R71" s="1438"/>
      <c r="S71" s="300">
        <f>L71*M71</f>
        <v>0</v>
      </c>
      <c r="T71" s="436">
        <v>0</v>
      </c>
      <c r="U71" s="356">
        <v>0</v>
      </c>
      <c r="V71" s="1435"/>
      <c r="W71" s="1436"/>
      <c r="X71" s="1436"/>
      <c r="Y71" s="1436"/>
      <c r="Z71" s="1438"/>
      <c r="AA71" s="300">
        <f>T71*U71</f>
        <v>0</v>
      </c>
      <c r="AB71" s="434">
        <v>0</v>
      </c>
      <c r="AC71" s="356">
        <v>0</v>
      </c>
      <c r="AD71" s="1435"/>
      <c r="AE71" s="1436"/>
      <c r="AF71" s="1436"/>
      <c r="AG71" s="1436"/>
      <c r="AH71" s="1438"/>
      <c r="AI71" s="302">
        <f>AB71*AC71</f>
        <v>0</v>
      </c>
      <c r="AJ71" s="434">
        <v>0</v>
      </c>
      <c r="AK71" s="356">
        <v>0</v>
      </c>
      <c r="AL71" s="295"/>
      <c r="AM71" s="330"/>
      <c r="AN71" s="330"/>
      <c r="AO71" s="330"/>
      <c r="AP71" s="331"/>
      <c r="AQ71" s="300">
        <f>AJ71*AK71</f>
        <v>0</v>
      </c>
      <c r="AR71" s="438" t="e">
        <f>AY40+AY43+AY46+AY52+AY58+AY64+AY68</f>
        <v>#REF!</v>
      </c>
      <c r="AS71" s="356">
        <v>0</v>
      </c>
      <c r="AT71" s="1435"/>
      <c r="AU71" s="1436"/>
      <c r="AV71" s="1436"/>
      <c r="AW71" s="1436"/>
      <c r="AX71" s="1438"/>
      <c r="AY71" s="406" t="e">
        <f>AR71*AS71</f>
        <v>#REF!</v>
      </c>
      <c r="AZ71" s="1440"/>
      <c r="BA71" s="431" t="e">
        <f>K71+S71+AA71+AI71+AQ71+AY71</f>
        <v>#REF!</v>
      </c>
    </row>
    <row r="72" spans="1:538" s="363" customFormat="1" x14ac:dyDescent="0.25">
      <c r="A72" s="1452" t="s">
        <v>262</v>
      </c>
      <c r="B72" s="1452"/>
      <c r="C72" s="1452"/>
      <c r="D72" s="1446"/>
      <c r="E72" s="1446"/>
      <c r="F72" s="1446"/>
      <c r="G72" s="1446"/>
      <c r="H72" s="1446"/>
      <c r="I72" s="1446"/>
      <c r="J72" s="1446"/>
      <c r="K72" s="458" t="e">
        <f>SUM(K69:K71)</f>
        <v>#REF!</v>
      </c>
      <c r="L72" s="1446"/>
      <c r="M72" s="1446"/>
      <c r="N72" s="1446"/>
      <c r="O72" s="1446"/>
      <c r="P72" s="1446"/>
      <c r="Q72" s="1446"/>
      <c r="R72" s="1447"/>
      <c r="S72" s="420" t="e">
        <f>SUM(S70:S71)</f>
        <v>#REF!</v>
      </c>
      <c r="T72" s="1453"/>
      <c r="U72" s="1446"/>
      <c r="V72" s="1446"/>
      <c r="W72" s="1446"/>
      <c r="X72" s="1446"/>
      <c r="Y72" s="1446"/>
      <c r="Z72" s="1454"/>
      <c r="AA72" s="413" t="e">
        <f>SUM(AA70:AA71)</f>
        <v>#REF!</v>
      </c>
      <c r="AB72" s="1445"/>
      <c r="AC72" s="1446"/>
      <c r="AD72" s="1446"/>
      <c r="AE72" s="1446"/>
      <c r="AF72" s="1446"/>
      <c r="AG72" s="1446"/>
      <c r="AH72" s="1447"/>
      <c r="AI72" s="353" t="e">
        <f>SUM(AI70:AI71)</f>
        <v>#REF!</v>
      </c>
      <c r="AJ72" s="1445"/>
      <c r="AK72" s="1446"/>
      <c r="AL72" s="1446"/>
      <c r="AM72" s="1446"/>
      <c r="AN72" s="1446"/>
      <c r="AO72" s="1446"/>
      <c r="AP72" s="1447"/>
      <c r="AQ72" s="353" t="e">
        <f>SUM(AQ70:AQ71)</f>
        <v>#REF!</v>
      </c>
      <c r="AR72" s="1445"/>
      <c r="AS72" s="1446"/>
      <c r="AT72" s="1446"/>
      <c r="AU72" s="1446"/>
      <c r="AV72" s="1446"/>
      <c r="AW72" s="1446"/>
      <c r="AX72" s="1446"/>
      <c r="AY72" s="458" t="e">
        <f>SUM(AY70:AY71)</f>
        <v>#REF!</v>
      </c>
      <c r="AZ72" s="465"/>
      <c r="BA72" s="362" t="e">
        <f>K72+S72+AA72+AI72+AQ72+AY72</f>
        <v>#REF!</v>
      </c>
      <c r="BB72" s="291"/>
      <c r="BC72" s="291"/>
      <c r="BD72" s="291"/>
      <c r="BE72" s="291"/>
      <c r="BF72" s="291"/>
      <c r="BG72" s="291"/>
      <c r="BH72" s="291"/>
      <c r="BI72" s="291"/>
      <c r="BJ72" s="291"/>
      <c r="BK72" s="291"/>
      <c r="BL72" s="291"/>
      <c r="BM72" s="291"/>
      <c r="BN72" s="291"/>
      <c r="BO72" s="291"/>
      <c r="BP72" s="291"/>
      <c r="BQ72" s="291"/>
      <c r="BR72" s="291"/>
      <c r="BS72" s="291"/>
      <c r="BT72" s="291"/>
      <c r="BU72" s="291"/>
      <c r="BV72" s="291"/>
      <c r="BW72" s="291"/>
      <c r="BX72" s="291"/>
      <c r="BY72" s="291"/>
      <c r="BZ72" s="291"/>
      <c r="CA72" s="291"/>
      <c r="CB72" s="291"/>
      <c r="CC72" s="291"/>
      <c r="CD72" s="291"/>
      <c r="CE72" s="291"/>
      <c r="CF72" s="291"/>
      <c r="CG72" s="291"/>
      <c r="CH72" s="291"/>
      <c r="CI72" s="291"/>
      <c r="CJ72" s="291"/>
      <c r="CK72" s="291"/>
      <c r="CL72" s="291"/>
      <c r="CM72" s="291"/>
      <c r="CN72" s="291"/>
      <c r="CO72" s="291"/>
      <c r="CP72" s="291"/>
      <c r="CQ72" s="291"/>
      <c r="CR72" s="291"/>
      <c r="CS72" s="291"/>
      <c r="CT72" s="291"/>
      <c r="CU72" s="291"/>
      <c r="CV72" s="291"/>
      <c r="CW72" s="291"/>
      <c r="CX72" s="291"/>
      <c r="CY72" s="291"/>
      <c r="CZ72" s="291"/>
      <c r="DA72" s="291"/>
      <c r="DB72" s="291"/>
      <c r="DC72" s="291"/>
      <c r="DD72" s="291"/>
      <c r="DE72" s="291"/>
      <c r="DF72" s="291"/>
      <c r="DG72" s="291"/>
      <c r="DH72" s="291"/>
      <c r="DI72" s="291"/>
      <c r="DJ72" s="291"/>
      <c r="DK72" s="291"/>
      <c r="DL72" s="291"/>
      <c r="DM72" s="291"/>
      <c r="DN72" s="291"/>
      <c r="DO72" s="291"/>
      <c r="DP72" s="291"/>
      <c r="DQ72" s="291"/>
      <c r="DR72" s="291"/>
      <c r="DS72" s="291"/>
      <c r="DT72" s="291"/>
      <c r="DU72" s="291"/>
      <c r="DV72" s="291"/>
      <c r="DW72" s="291"/>
      <c r="DX72" s="291"/>
      <c r="DY72" s="291"/>
      <c r="DZ72" s="291"/>
      <c r="EA72" s="291"/>
      <c r="EB72" s="291"/>
      <c r="EC72" s="291"/>
      <c r="ED72" s="291"/>
      <c r="EE72" s="291"/>
      <c r="EF72" s="291"/>
      <c r="EG72" s="291"/>
      <c r="EH72" s="291"/>
      <c r="EI72" s="291"/>
      <c r="EJ72" s="291"/>
      <c r="EK72" s="291"/>
      <c r="EL72" s="291"/>
      <c r="EM72" s="291"/>
      <c r="EN72" s="291"/>
      <c r="EO72" s="291"/>
      <c r="EP72" s="291"/>
      <c r="EQ72" s="291"/>
      <c r="ER72" s="291"/>
      <c r="ES72" s="291"/>
      <c r="ET72" s="291"/>
      <c r="EU72" s="291"/>
      <c r="EV72" s="291"/>
      <c r="EW72" s="291"/>
      <c r="EX72" s="291"/>
      <c r="EY72" s="291"/>
      <c r="EZ72" s="291"/>
      <c r="FA72" s="291"/>
      <c r="FB72" s="291"/>
      <c r="FC72" s="291"/>
      <c r="FD72" s="291"/>
      <c r="FE72" s="291"/>
      <c r="FF72" s="291"/>
      <c r="FG72" s="291"/>
      <c r="FH72" s="291"/>
      <c r="FI72" s="291"/>
      <c r="FJ72" s="291"/>
      <c r="FK72" s="291"/>
      <c r="FL72" s="291"/>
      <c r="FM72" s="291"/>
      <c r="FN72" s="291"/>
      <c r="FO72" s="291"/>
      <c r="FP72" s="291"/>
      <c r="FQ72" s="291"/>
      <c r="FR72" s="291"/>
      <c r="FS72" s="291"/>
      <c r="FT72" s="291"/>
      <c r="FU72" s="291"/>
      <c r="FV72" s="291"/>
      <c r="FW72" s="291"/>
      <c r="FX72" s="291"/>
      <c r="FY72" s="291"/>
      <c r="FZ72" s="291"/>
      <c r="GA72" s="291"/>
      <c r="GB72" s="291"/>
      <c r="GC72" s="291"/>
      <c r="GD72" s="291"/>
      <c r="GE72" s="291"/>
      <c r="GF72" s="291"/>
      <c r="GG72" s="291"/>
      <c r="GH72" s="291"/>
      <c r="GI72" s="291"/>
      <c r="GJ72" s="291"/>
      <c r="GK72" s="291"/>
      <c r="GL72" s="291"/>
      <c r="GM72" s="291"/>
      <c r="GN72" s="291"/>
      <c r="GO72" s="291"/>
      <c r="GP72" s="291"/>
      <c r="GQ72" s="291"/>
      <c r="GR72" s="291"/>
      <c r="GS72" s="291"/>
      <c r="GT72" s="291"/>
      <c r="GU72" s="291"/>
      <c r="GV72" s="291"/>
      <c r="GW72" s="291"/>
      <c r="GX72" s="291"/>
      <c r="GY72" s="291"/>
      <c r="GZ72" s="291"/>
      <c r="HA72" s="291"/>
      <c r="HB72" s="291"/>
      <c r="HC72" s="291"/>
      <c r="HD72" s="291"/>
      <c r="HE72" s="291"/>
      <c r="HF72" s="291"/>
      <c r="HG72" s="291"/>
      <c r="HH72" s="291"/>
      <c r="HI72" s="291"/>
      <c r="HJ72" s="291"/>
      <c r="HK72" s="291"/>
      <c r="HL72" s="291"/>
      <c r="HM72" s="291"/>
      <c r="HN72" s="291"/>
      <c r="HO72" s="291"/>
      <c r="HP72" s="291"/>
      <c r="HQ72" s="291"/>
      <c r="HR72" s="291"/>
      <c r="HS72" s="291"/>
      <c r="HT72" s="291"/>
      <c r="HU72" s="291"/>
      <c r="HV72" s="291"/>
      <c r="HW72" s="291"/>
      <c r="HX72" s="291"/>
      <c r="HY72" s="291"/>
      <c r="HZ72" s="291"/>
      <c r="IA72" s="291"/>
      <c r="IB72" s="291"/>
      <c r="IC72" s="291"/>
      <c r="ID72" s="291"/>
      <c r="IE72" s="291"/>
      <c r="IF72" s="291"/>
      <c r="IG72" s="291"/>
      <c r="IH72" s="291"/>
      <c r="II72" s="291"/>
      <c r="IJ72" s="291"/>
      <c r="IK72" s="291"/>
      <c r="IL72" s="291"/>
      <c r="IM72" s="291"/>
      <c r="IN72" s="291"/>
      <c r="IO72" s="291"/>
      <c r="IP72" s="291"/>
      <c r="IQ72" s="291"/>
      <c r="IR72" s="291"/>
      <c r="IS72" s="291"/>
      <c r="IT72" s="291"/>
      <c r="IU72" s="291"/>
      <c r="IV72" s="291"/>
      <c r="IW72" s="291"/>
      <c r="IX72" s="291"/>
      <c r="IY72" s="291"/>
      <c r="IZ72" s="291"/>
      <c r="JA72" s="291"/>
      <c r="JB72" s="291"/>
      <c r="JC72" s="291"/>
      <c r="JD72" s="291"/>
      <c r="JE72" s="291"/>
      <c r="JF72" s="291"/>
      <c r="JG72" s="291"/>
      <c r="JH72" s="291"/>
      <c r="JI72" s="291"/>
      <c r="JJ72" s="291"/>
      <c r="JK72" s="291"/>
      <c r="JL72" s="291"/>
      <c r="JM72" s="291"/>
      <c r="JN72" s="291"/>
      <c r="JO72" s="291"/>
      <c r="JP72" s="291"/>
      <c r="JQ72" s="291"/>
      <c r="JR72" s="291"/>
      <c r="JS72" s="291"/>
      <c r="JT72" s="291"/>
      <c r="JU72" s="291"/>
      <c r="JV72" s="291"/>
      <c r="JW72" s="291"/>
      <c r="JX72" s="291"/>
      <c r="JY72" s="291"/>
      <c r="JZ72" s="291"/>
      <c r="KA72" s="291"/>
      <c r="KB72" s="291"/>
      <c r="KC72" s="291"/>
      <c r="KD72" s="291"/>
      <c r="KE72" s="291"/>
      <c r="KF72" s="291"/>
      <c r="KG72" s="291"/>
      <c r="KH72" s="291"/>
      <c r="KI72" s="291"/>
      <c r="KJ72" s="291"/>
      <c r="KK72" s="291"/>
      <c r="KL72" s="291"/>
      <c r="KM72" s="291"/>
      <c r="KN72" s="291"/>
      <c r="KO72" s="291"/>
      <c r="KP72" s="291"/>
      <c r="KQ72" s="291"/>
      <c r="KR72" s="291"/>
      <c r="KS72" s="291"/>
      <c r="KT72" s="291"/>
      <c r="KU72" s="291"/>
      <c r="KV72" s="291"/>
      <c r="KW72" s="291"/>
      <c r="KX72" s="291"/>
      <c r="KY72" s="291"/>
      <c r="KZ72" s="291"/>
      <c r="LA72" s="291"/>
      <c r="LB72" s="291"/>
      <c r="LC72" s="291"/>
      <c r="LD72" s="291"/>
      <c r="LE72" s="291"/>
      <c r="LF72" s="291"/>
      <c r="LG72" s="291"/>
      <c r="LH72" s="291"/>
      <c r="LI72" s="291"/>
      <c r="LJ72" s="291"/>
      <c r="LK72" s="291"/>
      <c r="LL72" s="291"/>
      <c r="LM72" s="291"/>
      <c r="LN72" s="291"/>
      <c r="LO72" s="291"/>
      <c r="LP72" s="291"/>
      <c r="LQ72" s="291"/>
      <c r="LR72" s="291"/>
      <c r="LS72" s="291"/>
      <c r="LT72" s="291"/>
      <c r="LU72" s="291"/>
      <c r="LV72" s="291"/>
      <c r="LW72" s="291"/>
      <c r="LX72" s="291"/>
      <c r="LY72" s="291"/>
      <c r="LZ72" s="291"/>
      <c r="MA72" s="291"/>
      <c r="MB72" s="291"/>
      <c r="MC72" s="291"/>
      <c r="MD72" s="291"/>
      <c r="ME72" s="291"/>
      <c r="MF72" s="291"/>
      <c r="MG72" s="291"/>
      <c r="MH72" s="291"/>
      <c r="MI72" s="291"/>
      <c r="MJ72" s="291"/>
      <c r="MK72" s="291"/>
      <c r="ML72" s="291"/>
      <c r="MM72" s="291"/>
      <c r="MN72" s="291"/>
      <c r="MO72" s="291"/>
      <c r="MP72" s="291"/>
      <c r="MQ72" s="291"/>
      <c r="MR72" s="291"/>
      <c r="MS72" s="291"/>
      <c r="MT72" s="291"/>
      <c r="MU72" s="291"/>
      <c r="MV72" s="291"/>
      <c r="MW72" s="291"/>
      <c r="MX72" s="291"/>
      <c r="MY72" s="291"/>
      <c r="MZ72" s="291"/>
      <c r="NA72" s="291"/>
      <c r="NB72" s="291"/>
      <c r="NC72" s="291"/>
      <c r="ND72" s="291"/>
      <c r="NE72" s="291"/>
      <c r="NF72" s="291"/>
      <c r="NG72" s="291"/>
      <c r="NH72" s="291"/>
      <c r="NI72" s="291"/>
      <c r="NJ72" s="291"/>
      <c r="NK72" s="291"/>
      <c r="NL72" s="291"/>
      <c r="NM72" s="291"/>
      <c r="NN72" s="291"/>
      <c r="NO72" s="291"/>
      <c r="NP72" s="291"/>
      <c r="NQ72" s="291"/>
      <c r="NR72" s="291"/>
      <c r="NS72" s="291"/>
      <c r="NT72" s="291"/>
      <c r="NU72" s="291"/>
      <c r="NV72" s="291"/>
      <c r="NW72" s="291"/>
      <c r="NX72" s="291"/>
      <c r="NY72" s="291"/>
      <c r="NZ72" s="291"/>
      <c r="OA72" s="291"/>
      <c r="OB72" s="291"/>
      <c r="OC72" s="291"/>
      <c r="OD72" s="291"/>
      <c r="OE72" s="291"/>
      <c r="OF72" s="291"/>
      <c r="OG72" s="291"/>
      <c r="OH72" s="291"/>
      <c r="OI72" s="291"/>
      <c r="OJ72" s="291"/>
      <c r="OK72" s="291"/>
      <c r="OL72" s="291"/>
      <c r="OM72" s="291"/>
      <c r="ON72" s="291"/>
      <c r="OO72" s="291"/>
      <c r="OP72" s="291"/>
      <c r="OQ72" s="291"/>
      <c r="OR72" s="291"/>
      <c r="OS72" s="291"/>
      <c r="OT72" s="291"/>
      <c r="OU72" s="291"/>
      <c r="OV72" s="291"/>
      <c r="OW72" s="291"/>
      <c r="OX72" s="291"/>
      <c r="OY72" s="291"/>
      <c r="OZ72" s="291"/>
      <c r="PA72" s="291"/>
      <c r="PB72" s="291"/>
      <c r="PC72" s="291"/>
      <c r="PD72" s="291"/>
      <c r="PE72" s="291"/>
      <c r="PF72" s="291"/>
      <c r="PG72" s="291"/>
      <c r="PH72" s="291"/>
      <c r="PI72" s="291"/>
      <c r="PJ72" s="291"/>
      <c r="PK72" s="291"/>
      <c r="PL72" s="291"/>
      <c r="PM72" s="291"/>
      <c r="PN72" s="291"/>
      <c r="PO72" s="291"/>
      <c r="PP72" s="291"/>
      <c r="PQ72" s="291"/>
      <c r="PR72" s="291"/>
      <c r="PS72" s="291"/>
      <c r="PT72" s="291"/>
      <c r="PU72" s="291"/>
      <c r="PV72" s="291"/>
      <c r="PW72" s="291"/>
      <c r="PX72" s="291"/>
      <c r="PY72" s="291"/>
      <c r="PZ72" s="291"/>
      <c r="QA72" s="291"/>
      <c r="QB72" s="291"/>
      <c r="QC72" s="291"/>
      <c r="QD72" s="291"/>
      <c r="QE72" s="291"/>
      <c r="QF72" s="291"/>
      <c r="QG72" s="291"/>
      <c r="QH72" s="291"/>
      <c r="QI72" s="291"/>
      <c r="QJ72" s="291"/>
      <c r="QK72" s="291"/>
      <c r="QL72" s="291"/>
      <c r="QM72" s="291"/>
      <c r="QN72" s="291"/>
      <c r="QO72" s="291"/>
      <c r="QP72" s="291"/>
      <c r="QQ72" s="291"/>
      <c r="QR72" s="291"/>
      <c r="QS72" s="291"/>
      <c r="QT72" s="291"/>
      <c r="QU72" s="291"/>
      <c r="QV72" s="291"/>
      <c r="QW72" s="291"/>
      <c r="QX72" s="291"/>
      <c r="QY72" s="291"/>
      <c r="QZ72" s="291"/>
      <c r="RA72" s="291"/>
      <c r="RB72" s="291"/>
      <c r="RC72" s="291"/>
      <c r="RD72" s="291"/>
      <c r="RE72" s="291"/>
      <c r="RF72" s="291"/>
      <c r="RG72" s="291"/>
      <c r="RH72" s="291"/>
      <c r="RI72" s="291"/>
      <c r="RJ72" s="291"/>
      <c r="RK72" s="291"/>
      <c r="RL72" s="291"/>
      <c r="RM72" s="291"/>
      <c r="RN72" s="291"/>
      <c r="RO72" s="291"/>
      <c r="RP72" s="291"/>
      <c r="RQ72" s="291"/>
      <c r="RR72" s="291"/>
      <c r="RS72" s="291"/>
      <c r="RT72" s="291"/>
      <c r="RU72" s="291"/>
      <c r="RV72" s="291"/>
      <c r="RW72" s="291"/>
      <c r="RX72" s="291"/>
      <c r="RY72" s="291"/>
      <c r="RZ72" s="291"/>
      <c r="SA72" s="291"/>
      <c r="SB72" s="291"/>
      <c r="SC72" s="291"/>
      <c r="SD72" s="291"/>
      <c r="SE72" s="291"/>
      <c r="SF72" s="291"/>
      <c r="SG72" s="291"/>
      <c r="SH72" s="291"/>
      <c r="SI72" s="291"/>
      <c r="SJ72" s="291"/>
      <c r="SK72" s="291"/>
      <c r="SL72" s="291"/>
      <c r="SM72" s="291"/>
      <c r="SN72" s="291"/>
      <c r="SO72" s="291"/>
      <c r="SP72" s="291"/>
      <c r="SQ72" s="291"/>
      <c r="SR72" s="291"/>
      <c r="SS72" s="291"/>
      <c r="ST72" s="291"/>
      <c r="SU72" s="291"/>
      <c r="SV72" s="291"/>
      <c r="SW72" s="291"/>
      <c r="SX72" s="291"/>
      <c r="SY72" s="291"/>
      <c r="SZ72" s="291"/>
      <c r="TA72" s="291"/>
      <c r="TB72" s="291"/>
      <c r="TC72" s="291"/>
      <c r="TD72" s="291"/>
      <c r="TE72" s="291"/>
      <c r="TF72" s="291"/>
      <c r="TG72" s="291"/>
      <c r="TH72" s="291"/>
      <c r="TI72" s="291"/>
      <c r="TJ72" s="291"/>
      <c r="TK72" s="291"/>
      <c r="TL72" s="291"/>
      <c r="TM72" s="291"/>
      <c r="TN72" s="291"/>
      <c r="TO72" s="291"/>
      <c r="TP72" s="291"/>
      <c r="TQ72" s="291"/>
      <c r="TR72" s="291"/>
    </row>
    <row r="73" spans="1:538" s="342" customFormat="1" x14ac:dyDescent="0.25">
      <c r="A73" s="1448" t="s">
        <v>260</v>
      </c>
      <c r="B73" s="1448"/>
      <c r="C73" s="1448"/>
      <c r="D73" s="1449"/>
      <c r="E73" s="1449"/>
      <c r="F73" s="1449"/>
      <c r="G73" s="1449"/>
      <c r="H73" s="1449"/>
      <c r="I73" s="1449"/>
      <c r="J73" s="1449"/>
      <c r="K73" s="499" t="e">
        <f>K68+K72</f>
        <v>#REF!</v>
      </c>
      <c r="L73" s="1449"/>
      <c r="M73" s="1449"/>
      <c r="N73" s="1449"/>
      <c r="O73" s="1449"/>
      <c r="P73" s="1449"/>
      <c r="Q73" s="1449"/>
      <c r="R73" s="1450"/>
      <c r="S73" s="339" t="e">
        <f>S68+S72</f>
        <v>#REF!</v>
      </c>
      <c r="T73" s="1451"/>
      <c r="U73" s="1449"/>
      <c r="V73" s="1449"/>
      <c r="W73" s="1449"/>
      <c r="X73" s="1449"/>
      <c r="Y73" s="1449"/>
      <c r="Z73" s="1450"/>
      <c r="AA73" s="339" t="e">
        <f>AA68+AA72</f>
        <v>#REF!</v>
      </c>
      <c r="AB73" s="1451"/>
      <c r="AC73" s="1449"/>
      <c r="AD73" s="1449"/>
      <c r="AE73" s="1449"/>
      <c r="AF73" s="1449"/>
      <c r="AG73" s="1449"/>
      <c r="AH73" s="1450"/>
      <c r="AI73" s="339" t="e">
        <f>AI68+AI72</f>
        <v>#REF!</v>
      </c>
      <c r="AJ73" s="1451"/>
      <c r="AK73" s="1449"/>
      <c r="AL73" s="1449"/>
      <c r="AM73" s="1449"/>
      <c r="AN73" s="1449"/>
      <c r="AO73" s="1449"/>
      <c r="AP73" s="1450"/>
      <c r="AQ73" s="339" t="e">
        <f>AQ68+AQ72</f>
        <v>#REF!</v>
      </c>
      <c r="AR73" s="1451"/>
      <c r="AS73" s="1449"/>
      <c r="AT73" s="1449"/>
      <c r="AU73" s="1449"/>
      <c r="AV73" s="1449"/>
      <c r="AW73" s="1449"/>
      <c r="AX73" s="1450"/>
      <c r="AY73" s="441" t="e">
        <f>AY68+AY72</f>
        <v>#REF!</v>
      </c>
      <c r="AZ73" s="443"/>
      <c r="BA73" s="340" t="e">
        <f>K73+S73+AA73+AI73+AQ73+AY73</f>
        <v>#REF!</v>
      </c>
      <c r="BB73" s="291"/>
      <c r="BC73" s="291"/>
      <c r="BD73" s="291"/>
      <c r="BE73" s="291"/>
      <c r="BF73" s="291"/>
      <c r="BG73" s="291"/>
      <c r="BH73" s="291"/>
      <c r="BI73" s="291"/>
      <c r="BJ73" s="291"/>
      <c r="BK73" s="291"/>
      <c r="BL73" s="291"/>
      <c r="BM73" s="291"/>
      <c r="BN73" s="291"/>
      <c r="BO73" s="291"/>
      <c r="BP73" s="291"/>
      <c r="BQ73" s="291"/>
      <c r="BR73" s="291"/>
      <c r="BS73" s="291"/>
      <c r="BT73" s="291"/>
      <c r="BU73" s="291"/>
      <c r="BV73" s="291"/>
      <c r="BW73" s="291"/>
      <c r="BX73" s="291"/>
      <c r="BY73" s="291"/>
      <c r="BZ73" s="291"/>
      <c r="CA73" s="291"/>
      <c r="CB73" s="291"/>
      <c r="CC73" s="291"/>
      <c r="CD73" s="291"/>
      <c r="CE73" s="291"/>
      <c r="CF73" s="291"/>
      <c r="CG73" s="291"/>
      <c r="CH73" s="291"/>
      <c r="CI73" s="291"/>
      <c r="CJ73" s="291"/>
      <c r="CK73" s="291"/>
      <c r="CL73" s="291"/>
      <c r="CM73" s="291"/>
      <c r="CN73" s="291"/>
      <c r="CO73" s="291"/>
      <c r="CP73" s="291"/>
      <c r="CQ73" s="291"/>
      <c r="CR73" s="291"/>
      <c r="CS73" s="291"/>
      <c r="CT73" s="291"/>
      <c r="CU73" s="291"/>
      <c r="CV73" s="291"/>
      <c r="CW73" s="291"/>
      <c r="CX73" s="291"/>
      <c r="CY73" s="291"/>
      <c r="CZ73" s="291"/>
      <c r="DA73" s="291"/>
      <c r="DB73" s="291"/>
      <c r="DC73" s="291"/>
      <c r="DD73" s="291"/>
      <c r="DE73" s="291"/>
      <c r="DF73" s="291"/>
      <c r="DG73" s="291"/>
      <c r="DH73" s="291"/>
      <c r="DI73" s="291"/>
      <c r="DJ73" s="291"/>
      <c r="DK73" s="291"/>
      <c r="DL73" s="291"/>
      <c r="DM73" s="291"/>
      <c r="DN73" s="291"/>
      <c r="DO73" s="291"/>
      <c r="DP73" s="291"/>
      <c r="DQ73" s="291"/>
      <c r="DR73" s="291"/>
      <c r="DS73" s="291"/>
      <c r="DT73" s="291"/>
      <c r="DU73" s="291"/>
      <c r="DV73" s="291"/>
      <c r="DW73" s="291"/>
      <c r="DX73" s="291"/>
      <c r="DY73" s="291"/>
      <c r="DZ73" s="291"/>
      <c r="EA73" s="291"/>
      <c r="EB73" s="291"/>
      <c r="EC73" s="291"/>
      <c r="ED73" s="291"/>
      <c r="EE73" s="291"/>
      <c r="EF73" s="291"/>
      <c r="EG73" s="291"/>
      <c r="EH73" s="291"/>
      <c r="EI73" s="291"/>
      <c r="EJ73" s="291"/>
      <c r="EK73" s="291"/>
      <c r="EL73" s="291"/>
      <c r="EM73" s="291"/>
      <c r="EN73" s="291"/>
      <c r="EO73" s="291"/>
      <c r="EP73" s="291"/>
      <c r="EQ73" s="291"/>
      <c r="ER73" s="291"/>
      <c r="ES73" s="291"/>
      <c r="ET73" s="291"/>
      <c r="EU73" s="291"/>
      <c r="EV73" s="291"/>
      <c r="EW73" s="291"/>
      <c r="EX73" s="291"/>
      <c r="EY73" s="291"/>
      <c r="EZ73" s="291"/>
      <c r="FA73" s="291"/>
      <c r="FB73" s="291"/>
      <c r="FC73" s="291"/>
      <c r="FD73" s="291"/>
      <c r="FE73" s="291"/>
      <c r="FF73" s="291"/>
      <c r="FG73" s="291"/>
      <c r="FH73" s="291"/>
      <c r="FI73" s="291"/>
      <c r="FJ73" s="291"/>
      <c r="FK73" s="291"/>
      <c r="FL73" s="291"/>
      <c r="FM73" s="291"/>
      <c r="FN73" s="291"/>
      <c r="FO73" s="291"/>
      <c r="FP73" s="291"/>
      <c r="FQ73" s="291"/>
      <c r="FR73" s="291"/>
      <c r="FS73" s="291"/>
      <c r="FT73" s="291"/>
      <c r="FU73" s="291"/>
      <c r="FV73" s="291"/>
      <c r="FW73" s="291"/>
      <c r="FX73" s="291"/>
      <c r="FY73" s="291"/>
      <c r="FZ73" s="291"/>
      <c r="GA73" s="291"/>
      <c r="GB73" s="291"/>
      <c r="GC73" s="291"/>
      <c r="GD73" s="291"/>
      <c r="GE73" s="291"/>
      <c r="GF73" s="291"/>
      <c r="GG73" s="291"/>
      <c r="GH73" s="291"/>
      <c r="GI73" s="291"/>
      <c r="GJ73" s="291"/>
      <c r="GK73" s="291"/>
      <c r="GL73" s="291"/>
      <c r="GM73" s="291"/>
      <c r="GN73" s="291"/>
      <c r="GO73" s="291"/>
      <c r="GP73" s="291"/>
      <c r="GQ73" s="291"/>
      <c r="GR73" s="291"/>
      <c r="GS73" s="291"/>
      <c r="GT73" s="291"/>
      <c r="GU73" s="291"/>
      <c r="GV73" s="291"/>
      <c r="GW73" s="291"/>
      <c r="GX73" s="291"/>
      <c r="GY73" s="291"/>
      <c r="GZ73" s="291"/>
      <c r="HA73" s="291"/>
      <c r="HB73" s="291"/>
      <c r="HC73" s="291"/>
      <c r="HD73" s="291"/>
      <c r="HE73" s="291"/>
      <c r="HF73" s="291"/>
      <c r="HG73" s="291"/>
      <c r="HH73" s="291"/>
      <c r="HI73" s="291"/>
      <c r="HJ73" s="291"/>
      <c r="HK73" s="291"/>
      <c r="HL73" s="291"/>
      <c r="HM73" s="291"/>
      <c r="HN73" s="291"/>
      <c r="HO73" s="291"/>
      <c r="HP73" s="291"/>
      <c r="HQ73" s="291"/>
      <c r="HR73" s="291"/>
      <c r="HS73" s="291"/>
      <c r="HT73" s="291"/>
      <c r="HU73" s="291"/>
      <c r="HV73" s="291"/>
      <c r="HW73" s="291"/>
      <c r="HX73" s="291"/>
      <c r="HY73" s="291"/>
      <c r="HZ73" s="291"/>
      <c r="IA73" s="291"/>
      <c r="IB73" s="291"/>
      <c r="IC73" s="291"/>
      <c r="ID73" s="291"/>
      <c r="IE73" s="291"/>
      <c r="IF73" s="291"/>
      <c r="IG73" s="291"/>
      <c r="IH73" s="291"/>
      <c r="II73" s="291"/>
      <c r="IJ73" s="291"/>
      <c r="IK73" s="291"/>
      <c r="IL73" s="291"/>
      <c r="IM73" s="291"/>
      <c r="IN73" s="291"/>
      <c r="IO73" s="291"/>
      <c r="IP73" s="291"/>
      <c r="IQ73" s="291"/>
      <c r="IR73" s="291"/>
      <c r="IS73" s="291"/>
      <c r="IT73" s="291"/>
      <c r="IU73" s="291"/>
      <c r="IV73" s="291"/>
      <c r="IW73" s="291"/>
      <c r="IX73" s="291"/>
      <c r="IY73" s="291"/>
      <c r="IZ73" s="291"/>
      <c r="JA73" s="291"/>
      <c r="JB73" s="291"/>
      <c r="JC73" s="291"/>
      <c r="JD73" s="291"/>
      <c r="JE73" s="291"/>
      <c r="JF73" s="291"/>
      <c r="JG73" s="291"/>
      <c r="JH73" s="291"/>
      <c r="JI73" s="291"/>
      <c r="JJ73" s="291"/>
      <c r="JK73" s="291"/>
      <c r="JL73" s="291"/>
      <c r="JM73" s="291"/>
      <c r="JN73" s="291"/>
      <c r="JO73" s="291"/>
      <c r="JP73" s="291"/>
      <c r="JQ73" s="291"/>
      <c r="JR73" s="291"/>
      <c r="JS73" s="291"/>
      <c r="JT73" s="291"/>
      <c r="JU73" s="291"/>
      <c r="JV73" s="291"/>
      <c r="JW73" s="291"/>
      <c r="JX73" s="291"/>
      <c r="JY73" s="291"/>
      <c r="JZ73" s="291"/>
      <c r="KA73" s="291"/>
      <c r="KB73" s="291"/>
      <c r="KC73" s="291"/>
      <c r="KD73" s="291"/>
      <c r="KE73" s="291"/>
      <c r="KF73" s="291"/>
      <c r="KG73" s="291"/>
      <c r="KH73" s="291"/>
      <c r="KI73" s="291"/>
      <c r="KJ73" s="291"/>
      <c r="KK73" s="291"/>
      <c r="KL73" s="291"/>
      <c r="KM73" s="291"/>
      <c r="KN73" s="291"/>
      <c r="KO73" s="291"/>
      <c r="KP73" s="291"/>
      <c r="KQ73" s="291"/>
      <c r="KR73" s="291"/>
      <c r="KS73" s="291"/>
      <c r="KT73" s="291"/>
      <c r="KU73" s="291"/>
      <c r="KV73" s="291"/>
      <c r="KW73" s="291"/>
      <c r="KX73" s="291"/>
      <c r="KY73" s="291"/>
      <c r="KZ73" s="291"/>
      <c r="LA73" s="291"/>
      <c r="LB73" s="291"/>
      <c r="LC73" s="291"/>
      <c r="LD73" s="291"/>
      <c r="LE73" s="291"/>
      <c r="LF73" s="291"/>
      <c r="LG73" s="291"/>
      <c r="LH73" s="291"/>
      <c r="LI73" s="291"/>
      <c r="LJ73" s="291"/>
      <c r="LK73" s="291"/>
      <c r="LL73" s="291"/>
      <c r="LM73" s="291"/>
      <c r="LN73" s="291"/>
      <c r="LO73" s="291"/>
      <c r="LP73" s="291"/>
      <c r="LQ73" s="291"/>
      <c r="LR73" s="291"/>
      <c r="LS73" s="291"/>
      <c r="LT73" s="291"/>
      <c r="LU73" s="291"/>
      <c r="LV73" s="291"/>
      <c r="LW73" s="291"/>
      <c r="LX73" s="291"/>
      <c r="LY73" s="291"/>
      <c r="LZ73" s="291"/>
      <c r="MA73" s="291"/>
      <c r="MB73" s="291"/>
      <c r="MC73" s="291"/>
      <c r="MD73" s="291"/>
      <c r="ME73" s="291"/>
      <c r="MF73" s="291"/>
      <c r="MG73" s="291"/>
      <c r="MH73" s="291"/>
      <c r="MI73" s="291"/>
      <c r="MJ73" s="291"/>
      <c r="MK73" s="291"/>
      <c r="ML73" s="291"/>
      <c r="MM73" s="291"/>
      <c r="MN73" s="291"/>
      <c r="MO73" s="291"/>
      <c r="MP73" s="291"/>
      <c r="MQ73" s="291"/>
      <c r="MR73" s="291"/>
      <c r="MS73" s="291"/>
      <c r="MT73" s="291"/>
      <c r="MU73" s="291"/>
      <c r="MV73" s="291"/>
      <c r="MW73" s="291"/>
      <c r="MX73" s="291"/>
      <c r="MY73" s="291"/>
      <c r="MZ73" s="291"/>
      <c r="NA73" s="291"/>
      <c r="NB73" s="291"/>
      <c r="NC73" s="291"/>
      <c r="ND73" s="291"/>
      <c r="NE73" s="291"/>
      <c r="NF73" s="291"/>
      <c r="NG73" s="291"/>
      <c r="NH73" s="291"/>
      <c r="NI73" s="291"/>
      <c r="NJ73" s="291"/>
      <c r="NK73" s="291"/>
      <c r="NL73" s="291"/>
      <c r="NM73" s="291"/>
      <c r="NN73" s="291"/>
      <c r="NO73" s="291"/>
      <c r="NP73" s="291"/>
      <c r="NQ73" s="291"/>
      <c r="NR73" s="291"/>
      <c r="NS73" s="291"/>
      <c r="NT73" s="291"/>
      <c r="NU73" s="291"/>
      <c r="NV73" s="291"/>
      <c r="NW73" s="291"/>
      <c r="NX73" s="291"/>
      <c r="NY73" s="291"/>
      <c r="NZ73" s="291"/>
      <c r="OA73" s="291"/>
      <c r="OB73" s="291"/>
      <c r="OC73" s="291"/>
      <c r="OD73" s="291"/>
      <c r="OE73" s="291"/>
      <c r="OF73" s="291"/>
      <c r="OG73" s="291"/>
      <c r="OH73" s="291"/>
      <c r="OI73" s="291"/>
      <c r="OJ73" s="291"/>
      <c r="OK73" s="291"/>
      <c r="OL73" s="291"/>
      <c r="OM73" s="291"/>
      <c r="ON73" s="291"/>
      <c r="OO73" s="291"/>
      <c r="OP73" s="291"/>
      <c r="OQ73" s="291"/>
      <c r="OR73" s="291"/>
      <c r="OS73" s="291"/>
      <c r="OT73" s="291"/>
      <c r="OU73" s="291"/>
      <c r="OV73" s="291"/>
      <c r="OW73" s="291"/>
      <c r="OX73" s="291"/>
      <c r="OY73" s="291"/>
      <c r="OZ73" s="291"/>
      <c r="PA73" s="291"/>
      <c r="PB73" s="291"/>
      <c r="PC73" s="291"/>
      <c r="PD73" s="291"/>
      <c r="PE73" s="291"/>
      <c r="PF73" s="291"/>
      <c r="PG73" s="291"/>
      <c r="PH73" s="291"/>
      <c r="PI73" s="291"/>
      <c r="PJ73" s="291"/>
      <c r="PK73" s="291"/>
      <c r="PL73" s="291"/>
      <c r="PM73" s="291"/>
      <c r="PN73" s="291"/>
      <c r="PO73" s="291"/>
      <c r="PP73" s="291"/>
      <c r="PQ73" s="291"/>
      <c r="PR73" s="291"/>
      <c r="PS73" s="291"/>
      <c r="PT73" s="291"/>
      <c r="PU73" s="291"/>
      <c r="PV73" s="291"/>
      <c r="PW73" s="291"/>
      <c r="PX73" s="291"/>
      <c r="PY73" s="291"/>
      <c r="PZ73" s="291"/>
      <c r="QA73" s="291"/>
      <c r="QB73" s="291"/>
      <c r="QC73" s="291"/>
      <c r="QD73" s="291"/>
      <c r="QE73" s="291"/>
      <c r="QF73" s="291"/>
      <c r="QG73" s="291"/>
      <c r="QH73" s="291"/>
      <c r="QI73" s="291"/>
      <c r="QJ73" s="291"/>
      <c r="QK73" s="291"/>
      <c r="QL73" s="291"/>
      <c r="QM73" s="291"/>
      <c r="QN73" s="291"/>
      <c r="QO73" s="291"/>
      <c r="QP73" s="291"/>
      <c r="QQ73" s="291"/>
      <c r="QR73" s="291"/>
      <c r="QS73" s="291"/>
      <c r="QT73" s="291"/>
      <c r="QU73" s="291"/>
      <c r="QV73" s="291"/>
      <c r="QW73" s="291"/>
      <c r="QX73" s="291"/>
      <c r="QY73" s="291"/>
      <c r="QZ73" s="291"/>
      <c r="RA73" s="291"/>
      <c r="RB73" s="291"/>
      <c r="RC73" s="291"/>
      <c r="RD73" s="291"/>
      <c r="RE73" s="291"/>
      <c r="RF73" s="291"/>
      <c r="RG73" s="291"/>
      <c r="RH73" s="291"/>
      <c r="RI73" s="291"/>
      <c r="RJ73" s="291"/>
      <c r="RK73" s="291"/>
      <c r="RL73" s="291"/>
      <c r="RM73" s="291"/>
      <c r="RN73" s="291"/>
      <c r="RO73" s="291"/>
      <c r="RP73" s="291"/>
      <c r="RQ73" s="291"/>
      <c r="RR73" s="291"/>
      <c r="RS73" s="291"/>
      <c r="RT73" s="291"/>
      <c r="RU73" s="291"/>
      <c r="RV73" s="291"/>
      <c r="RW73" s="291"/>
      <c r="RX73" s="291"/>
      <c r="RY73" s="291"/>
      <c r="RZ73" s="291"/>
      <c r="SA73" s="291"/>
      <c r="SB73" s="291"/>
      <c r="SC73" s="291"/>
      <c r="SD73" s="291"/>
      <c r="SE73" s="291"/>
      <c r="SF73" s="291"/>
      <c r="SG73" s="291"/>
      <c r="SH73" s="291"/>
      <c r="SI73" s="291"/>
      <c r="SJ73" s="291"/>
      <c r="SK73" s="291"/>
      <c r="SL73" s="291"/>
      <c r="SM73" s="291"/>
      <c r="SN73" s="291"/>
      <c r="SO73" s="291"/>
      <c r="SP73" s="291"/>
      <c r="SQ73" s="291"/>
      <c r="SR73" s="291"/>
      <c r="SS73" s="291"/>
      <c r="ST73" s="291"/>
      <c r="SU73" s="291"/>
      <c r="SV73" s="291"/>
      <c r="SW73" s="291"/>
      <c r="SX73" s="291"/>
      <c r="SY73" s="291"/>
      <c r="SZ73" s="291"/>
      <c r="TA73" s="291"/>
      <c r="TB73" s="291"/>
      <c r="TC73" s="291"/>
      <c r="TD73" s="291"/>
      <c r="TE73" s="291"/>
      <c r="TF73" s="291"/>
      <c r="TG73" s="291"/>
      <c r="TH73" s="291"/>
      <c r="TI73" s="291"/>
      <c r="TJ73" s="291"/>
      <c r="TK73" s="291"/>
      <c r="TL73" s="291"/>
      <c r="TM73" s="291"/>
      <c r="TN73" s="291"/>
      <c r="TO73" s="291"/>
      <c r="TP73" s="291"/>
      <c r="TQ73" s="291"/>
      <c r="TR73" s="291"/>
    </row>
    <row r="74" spans="1:538" s="396" customFormat="1" x14ac:dyDescent="0.25">
      <c r="A74" s="1441" t="s">
        <v>456</v>
      </c>
      <c r="B74" s="1441"/>
      <c r="C74" s="1441"/>
      <c r="D74" s="1188" t="s">
        <v>15</v>
      </c>
      <c r="E74" s="1187" t="s">
        <v>363</v>
      </c>
      <c r="F74" s="1429"/>
      <c r="G74" s="1430"/>
      <c r="H74" s="1430"/>
      <c r="I74" s="1430"/>
      <c r="J74" s="1430"/>
      <c r="K74" s="500"/>
      <c r="L74" s="1188" t="s">
        <v>15</v>
      </c>
      <c r="M74" s="399" t="s">
        <v>363</v>
      </c>
      <c r="N74" s="1442"/>
      <c r="O74" s="1431"/>
      <c r="P74" s="1431"/>
      <c r="Q74" s="1431"/>
      <c r="R74" s="1443"/>
      <c r="S74" s="400"/>
      <c r="T74" s="397" t="s">
        <v>15</v>
      </c>
      <c r="U74" s="399" t="s">
        <v>363</v>
      </c>
      <c r="V74" s="1429"/>
      <c r="W74" s="1430"/>
      <c r="X74" s="1430"/>
      <c r="Y74" s="1430"/>
      <c r="Z74" s="1430"/>
      <c r="AA74" s="1444"/>
      <c r="AB74" s="397" t="s">
        <v>15</v>
      </c>
      <c r="AC74" s="399" t="s">
        <v>363</v>
      </c>
      <c r="AD74" s="1429"/>
      <c r="AE74" s="1430"/>
      <c r="AF74" s="1430"/>
      <c r="AG74" s="1430"/>
      <c r="AH74" s="1432"/>
      <c r="AI74" s="398"/>
      <c r="AJ74" s="397" t="s">
        <v>15</v>
      </c>
      <c r="AK74" s="399" t="s">
        <v>363</v>
      </c>
      <c r="AL74" s="416"/>
      <c r="AM74" s="417"/>
      <c r="AN74" s="417"/>
      <c r="AO74" s="417"/>
      <c r="AP74" s="418"/>
      <c r="AQ74" s="400"/>
      <c r="AR74" s="397" t="s">
        <v>15</v>
      </c>
      <c r="AS74" s="399" t="s">
        <v>363</v>
      </c>
      <c r="AT74" s="1429"/>
      <c r="AU74" s="1430"/>
      <c r="AV74" s="1430"/>
      <c r="AW74" s="1430"/>
      <c r="AX74" s="1430"/>
      <c r="AY74" s="1430"/>
      <c r="AZ74" s="1431"/>
      <c r="BA74" s="1432"/>
      <c r="BB74" s="291"/>
      <c r="BC74" s="291"/>
      <c r="BD74" s="291"/>
      <c r="BE74" s="291"/>
      <c r="BF74" s="291"/>
      <c r="BG74" s="291"/>
      <c r="BH74" s="291"/>
      <c r="BI74" s="291"/>
      <c r="BJ74" s="291"/>
      <c r="BK74" s="291"/>
      <c r="BL74" s="291"/>
      <c r="BM74" s="291"/>
      <c r="BN74" s="291"/>
      <c r="BO74" s="291"/>
      <c r="BP74" s="291"/>
      <c r="BQ74" s="291"/>
      <c r="BR74" s="291"/>
      <c r="BS74" s="291"/>
      <c r="BT74" s="291"/>
      <c r="BU74" s="291"/>
      <c r="BV74" s="291"/>
      <c r="BW74" s="291"/>
      <c r="BX74" s="291"/>
      <c r="BY74" s="291"/>
      <c r="BZ74" s="291"/>
      <c r="CA74" s="291"/>
      <c r="CB74" s="291"/>
      <c r="CC74" s="291"/>
      <c r="CD74" s="291"/>
      <c r="CE74" s="291"/>
      <c r="CF74" s="291"/>
      <c r="CG74" s="291"/>
      <c r="CH74" s="291"/>
      <c r="CI74" s="291"/>
      <c r="CJ74" s="291"/>
      <c r="CK74" s="291"/>
      <c r="CL74" s="291"/>
      <c r="CM74" s="291"/>
      <c r="CN74" s="291"/>
      <c r="CO74" s="291"/>
      <c r="CP74" s="291"/>
      <c r="CQ74" s="291"/>
      <c r="CR74" s="291"/>
      <c r="CS74" s="291"/>
      <c r="CT74" s="291"/>
      <c r="CU74" s="291"/>
      <c r="CV74" s="291"/>
      <c r="CW74" s="291"/>
      <c r="CX74" s="291"/>
      <c r="CY74" s="291"/>
      <c r="CZ74" s="291"/>
      <c r="DA74" s="291"/>
      <c r="DB74" s="291"/>
      <c r="DC74" s="291"/>
      <c r="DD74" s="291"/>
      <c r="DE74" s="291"/>
      <c r="DF74" s="291"/>
      <c r="DG74" s="291"/>
      <c r="DH74" s="291"/>
      <c r="DI74" s="291"/>
      <c r="DJ74" s="291"/>
      <c r="DK74" s="291"/>
      <c r="DL74" s="291"/>
      <c r="DM74" s="291"/>
      <c r="DN74" s="291"/>
      <c r="DO74" s="291"/>
      <c r="DP74" s="291"/>
      <c r="DQ74" s="291"/>
      <c r="DR74" s="291"/>
      <c r="DS74" s="291"/>
      <c r="DT74" s="291"/>
      <c r="DU74" s="291"/>
      <c r="DV74" s="291"/>
      <c r="DW74" s="291"/>
      <c r="DX74" s="291"/>
      <c r="DY74" s="291"/>
      <c r="DZ74" s="291"/>
      <c r="EA74" s="291"/>
      <c r="EB74" s="291"/>
      <c r="EC74" s="291"/>
      <c r="ED74" s="291"/>
      <c r="EE74" s="291"/>
      <c r="EF74" s="291"/>
      <c r="EG74" s="291"/>
      <c r="EH74" s="291"/>
      <c r="EI74" s="291"/>
      <c r="EJ74" s="291"/>
      <c r="EK74" s="291"/>
      <c r="EL74" s="291"/>
      <c r="EM74" s="291"/>
      <c r="EN74" s="291"/>
      <c r="EO74" s="291"/>
      <c r="EP74" s="291"/>
      <c r="EQ74" s="291"/>
      <c r="ER74" s="291"/>
      <c r="ES74" s="291"/>
      <c r="ET74" s="291"/>
      <c r="EU74" s="291"/>
      <c r="EV74" s="291"/>
      <c r="EW74" s="291"/>
      <c r="EX74" s="291"/>
      <c r="EY74" s="291"/>
      <c r="EZ74" s="291"/>
      <c r="FA74" s="291"/>
      <c r="FB74" s="291"/>
      <c r="FC74" s="291"/>
      <c r="FD74" s="291"/>
      <c r="FE74" s="291"/>
      <c r="FF74" s="291"/>
      <c r="FG74" s="291"/>
      <c r="FH74" s="291"/>
      <c r="FI74" s="291"/>
      <c r="FJ74" s="291"/>
      <c r="FK74" s="291"/>
      <c r="FL74" s="291"/>
      <c r="FM74" s="291"/>
      <c r="FN74" s="291"/>
      <c r="FO74" s="291"/>
      <c r="FP74" s="291"/>
      <c r="FQ74" s="291"/>
      <c r="FR74" s="291"/>
      <c r="FS74" s="291"/>
      <c r="FT74" s="291"/>
      <c r="FU74" s="291"/>
      <c r="FV74" s="291"/>
      <c r="FW74" s="291"/>
      <c r="FX74" s="291"/>
      <c r="FY74" s="291"/>
      <c r="FZ74" s="291"/>
      <c r="GA74" s="291"/>
      <c r="GB74" s="291"/>
      <c r="GC74" s="291"/>
      <c r="GD74" s="291"/>
      <c r="GE74" s="291"/>
      <c r="GF74" s="291"/>
      <c r="GG74" s="291"/>
      <c r="GH74" s="291"/>
      <c r="GI74" s="291"/>
      <c r="GJ74" s="291"/>
      <c r="GK74" s="291"/>
      <c r="GL74" s="291"/>
      <c r="GM74" s="291"/>
      <c r="GN74" s="291"/>
      <c r="GO74" s="291"/>
      <c r="GP74" s="291"/>
      <c r="GQ74" s="291"/>
      <c r="GR74" s="291"/>
      <c r="GS74" s="291"/>
      <c r="GT74" s="291"/>
      <c r="GU74" s="291"/>
      <c r="GV74" s="291"/>
      <c r="GW74" s="291"/>
      <c r="GX74" s="291"/>
      <c r="GY74" s="291"/>
      <c r="GZ74" s="291"/>
      <c r="HA74" s="291"/>
      <c r="HB74" s="291"/>
      <c r="HC74" s="291"/>
      <c r="HD74" s="291"/>
      <c r="HE74" s="291"/>
      <c r="HF74" s="291"/>
      <c r="HG74" s="291"/>
      <c r="HH74" s="291"/>
      <c r="HI74" s="291"/>
      <c r="HJ74" s="291"/>
      <c r="HK74" s="291"/>
      <c r="HL74" s="291"/>
      <c r="HM74" s="291"/>
      <c r="HN74" s="291"/>
      <c r="HO74" s="291"/>
      <c r="HP74" s="291"/>
      <c r="HQ74" s="291"/>
      <c r="HR74" s="291"/>
      <c r="HS74" s="291"/>
      <c r="HT74" s="291"/>
      <c r="HU74" s="291"/>
      <c r="HV74" s="291"/>
      <c r="HW74" s="291"/>
      <c r="HX74" s="291"/>
      <c r="HY74" s="291"/>
      <c r="HZ74" s="291"/>
      <c r="IA74" s="291"/>
      <c r="IB74" s="291"/>
      <c r="IC74" s="291"/>
      <c r="ID74" s="291"/>
      <c r="IE74" s="291"/>
      <c r="IF74" s="291"/>
      <c r="IG74" s="291"/>
      <c r="IH74" s="291"/>
      <c r="II74" s="291"/>
      <c r="IJ74" s="291"/>
      <c r="IK74" s="291"/>
      <c r="IL74" s="291"/>
      <c r="IM74" s="291"/>
      <c r="IN74" s="291"/>
      <c r="IO74" s="291"/>
      <c r="IP74" s="291"/>
      <c r="IQ74" s="291"/>
      <c r="IR74" s="291"/>
      <c r="IS74" s="291"/>
      <c r="IT74" s="291"/>
      <c r="IU74" s="291"/>
      <c r="IV74" s="291"/>
      <c r="IW74" s="291"/>
      <c r="IX74" s="291"/>
      <c r="IY74" s="291"/>
      <c r="IZ74" s="291"/>
      <c r="JA74" s="291"/>
      <c r="JB74" s="291"/>
      <c r="JC74" s="291"/>
      <c r="JD74" s="291"/>
      <c r="JE74" s="291"/>
      <c r="JF74" s="291"/>
      <c r="JG74" s="291"/>
      <c r="JH74" s="291"/>
      <c r="JI74" s="291"/>
      <c r="JJ74" s="291"/>
      <c r="JK74" s="291"/>
      <c r="JL74" s="291"/>
      <c r="JM74" s="291"/>
      <c r="JN74" s="291"/>
      <c r="JO74" s="291"/>
      <c r="JP74" s="291"/>
      <c r="JQ74" s="291"/>
      <c r="JR74" s="291"/>
      <c r="JS74" s="291"/>
      <c r="JT74" s="291"/>
      <c r="JU74" s="291"/>
      <c r="JV74" s="291"/>
      <c r="JW74" s="291"/>
      <c r="JX74" s="291"/>
      <c r="JY74" s="291"/>
      <c r="JZ74" s="291"/>
      <c r="KA74" s="291"/>
      <c r="KB74" s="291"/>
      <c r="KC74" s="291"/>
      <c r="KD74" s="291"/>
      <c r="KE74" s="291"/>
      <c r="KF74" s="291"/>
      <c r="KG74" s="291"/>
      <c r="KH74" s="291"/>
      <c r="KI74" s="291"/>
      <c r="KJ74" s="291"/>
      <c r="KK74" s="291"/>
      <c r="KL74" s="291"/>
      <c r="KM74" s="291"/>
      <c r="KN74" s="291"/>
      <c r="KO74" s="291"/>
      <c r="KP74" s="291"/>
      <c r="KQ74" s="291"/>
      <c r="KR74" s="291"/>
      <c r="KS74" s="291"/>
      <c r="KT74" s="291"/>
      <c r="KU74" s="291"/>
      <c r="KV74" s="291"/>
      <c r="KW74" s="291"/>
      <c r="KX74" s="291"/>
      <c r="KY74" s="291"/>
      <c r="KZ74" s="291"/>
      <c r="LA74" s="291"/>
      <c r="LB74" s="291"/>
      <c r="LC74" s="291"/>
      <c r="LD74" s="291"/>
      <c r="LE74" s="291"/>
      <c r="LF74" s="291"/>
      <c r="LG74" s="291"/>
      <c r="LH74" s="291"/>
      <c r="LI74" s="291"/>
      <c r="LJ74" s="291"/>
      <c r="LK74" s="291"/>
      <c r="LL74" s="291"/>
      <c r="LM74" s="291"/>
      <c r="LN74" s="291"/>
      <c r="LO74" s="291"/>
      <c r="LP74" s="291"/>
      <c r="LQ74" s="291"/>
      <c r="LR74" s="291"/>
      <c r="LS74" s="291"/>
      <c r="LT74" s="291"/>
      <c r="LU74" s="291"/>
      <c r="LV74" s="291"/>
      <c r="LW74" s="291"/>
      <c r="LX74" s="291"/>
      <c r="LY74" s="291"/>
      <c r="LZ74" s="291"/>
      <c r="MA74" s="291"/>
      <c r="MB74" s="291"/>
      <c r="MC74" s="291"/>
      <c r="MD74" s="291"/>
      <c r="ME74" s="291"/>
      <c r="MF74" s="291"/>
      <c r="MG74" s="291"/>
      <c r="MH74" s="291"/>
      <c r="MI74" s="291"/>
      <c r="MJ74" s="291"/>
      <c r="MK74" s="291"/>
      <c r="ML74" s="291"/>
      <c r="MM74" s="291"/>
      <c r="MN74" s="291"/>
      <c r="MO74" s="291"/>
      <c r="MP74" s="291"/>
      <c r="MQ74" s="291"/>
      <c r="MR74" s="291"/>
      <c r="MS74" s="291"/>
      <c r="MT74" s="291"/>
      <c r="MU74" s="291"/>
      <c r="MV74" s="291"/>
      <c r="MW74" s="291"/>
      <c r="MX74" s="291"/>
      <c r="MY74" s="291"/>
      <c r="MZ74" s="291"/>
      <c r="NA74" s="291"/>
      <c r="NB74" s="291"/>
      <c r="NC74" s="291"/>
      <c r="ND74" s="291"/>
      <c r="NE74" s="291"/>
      <c r="NF74" s="291"/>
      <c r="NG74" s="291"/>
      <c r="NH74" s="291"/>
      <c r="NI74" s="291"/>
      <c r="NJ74" s="291"/>
      <c r="NK74" s="291"/>
      <c r="NL74" s="291"/>
      <c r="NM74" s="291"/>
      <c r="NN74" s="291"/>
      <c r="NO74" s="291"/>
      <c r="NP74" s="291"/>
      <c r="NQ74" s="291"/>
      <c r="NR74" s="291"/>
      <c r="NS74" s="291"/>
      <c r="NT74" s="291"/>
      <c r="NU74" s="291"/>
      <c r="NV74" s="291"/>
      <c r="NW74" s="291"/>
      <c r="NX74" s="291"/>
      <c r="NY74" s="291"/>
      <c r="NZ74" s="291"/>
      <c r="OA74" s="291"/>
      <c r="OB74" s="291"/>
      <c r="OC74" s="291"/>
      <c r="OD74" s="291"/>
      <c r="OE74" s="291"/>
      <c r="OF74" s="291"/>
      <c r="OG74" s="291"/>
      <c r="OH74" s="291"/>
      <c r="OI74" s="291"/>
      <c r="OJ74" s="291"/>
      <c r="OK74" s="291"/>
      <c r="OL74" s="291"/>
      <c r="OM74" s="291"/>
      <c r="ON74" s="291"/>
      <c r="OO74" s="291"/>
      <c r="OP74" s="291"/>
      <c r="OQ74" s="291"/>
      <c r="OR74" s="291"/>
      <c r="OS74" s="291"/>
      <c r="OT74" s="291"/>
      <c r="OU74" s="291"/>
      <c r="OV74" s="291"/>
      <c r="OW74" s="291"/>
      <c r="OX74" s="291"/>
      <c r="OY74" s="291"/>
      <c r="OZ74" s="291"/>
      <c r="PA74" s="291"/>
      <c r="PB74" s="291"/>
      <c r="PC74" s="291"/>
      <c r="PD74" s="291"/>
      <c r="PE74" s="291"/>
      <c r="PF74" s="291"/>
      <c r="PG74" s="291"/>
      <c r="PH74" s="291"/>
      <c r="PI74" s="291"/>
      <c r="PJ74" s="291"/>
      <c r="PK74" s="291"/>
      <c r="PL74" s="291"/>
      <c r="PM74" s="291"/>
      <c r="PN74" s="291"/>
      <c r="PO74" s="291"/>
      <c r="PP74" s="291"/>
      <c r="PQ74" s="291"/>
      <c r="PR74" s="291"/>
      <c r="PS74" s="291"/>
      <c r="PT74" s="291"/>
      <c r="PU74" s="291"/>
      <c r="PV74" s="291"/>
      <c r="PW74" s="291"/>
      <c r="PX74" s="291"/>
      <c r="PY74" s="291"/>
      <c r="PZ74" s="291"/>
      <c r="QA74" s="291"/>
      <c r="QB74" s="291"/>
      <c r="QC74" s="291"/>
      <c r="QD74" s="291"/>
      <c r="QE74" s="291"/>
      <c r="QF74" s="291"/>
      <c r="QG74" s="291"/>
      <c r="QH74" s="291"/>
      <c r="QI74" s="291"/>
      <c r="QJ74" s="291"/>
      <c r="QK74" s="291"/>
      <c r="QL74" s="291"/>
      <c r="QM74" s="291"/>
      <c r="QN74" s="291"/>
      <c r="QO74" s="291"/>
      <c r="QP74" s="291"/>
      <c r="QQ74" s="291"/>
      <c r="QR74" s="291"/>
      <c r="QS74" s="291"/>
      <c r="QT74" s="291"/>
      <c r="QU74" s="291"/>
      <c r="QV74" s="291"/>
      <c r="QW74" s="291"/>
      <c r="QX74" s="291"/>
      <c r="QY74" s="291"/>
      <c r="QZ74" s="291"/>
      <c r="RA74" s="291"/>
      <c r="RB74" s="291"/>
      <c r="RC74" s="291"/>
      <c r="RD74" s="291"/>
      <c r="RE74" s="291"/>
      <c r="RF74" s="291"/>
      <c r="RG74" s="291"/>
      <c r="RH74" s="291"/>
      <c r="RI74" s="291"/>
      <c r="RJ74" s="291"/>
      <c r="RK74" s="291"/>
      <c r="RL74" s="291"/>
      <c r="RM74" s="291"/>
      <c r="RN74" s="291"/>
      <c r="RO74" s="291"/>
      <c r="RP74" s="291"/>
      <c r="RQ74" s="291"/>
      <c r="RR74" s="291"/>
      <c r="RS74" s="291"/>
      <c r="RT74" s="291"/>
      <c r="RU74" s="291"/>
      <c r="RV74" s="291"/>
      <c r="RW74" s="291"/>
      <c r="RX74" s="291"/>
      <c r="RY74" s="291"/>
      <c r="RZ74" s="291"/>
      <c r="SA74" s="291"/>
      <c r="SB74" s="291"/>
      <c r="SC74" s="291"/>
      <c r="SD74" s="291"/>
      <c r="SE74" s="291"/>
      <c r="SF74" s="291"/>
      <c r="SG74" s="291"/>
      <c r="SH74" s="291"/>
      <c r="SI74" s="291"/>
      <c r="SJ74" s="291"/>
      <c r="SK74" s="291"/>
      <c r="SL74" s="291"/>
      <c r="SM74" s="291"/>
      <c r="SN74" s="291"/>
      <c r="SO74" s="291"/>
      <c r="SP74" s="291"/>
      <c r="SQ74" s="291"/>
      <c r="SR74" s="291"/>
      <c r="SS74" s="291"/>
      <c r="ST74" s="291"/>
      <c r="SU74" s="291"/>
      <c r="SV74" s="291"/>
      <c r="SW74" s="291"/>
      <c r="SX74" s="291"/>
      <c r="SY74" s="291"/>
      <c r="SZ74" s="291"/>
      <c r="TA74" s="291"/>
      <c r="TB74" s="291"/>
      <c r="TC74" s="291"/>
      <c r="TD74" s="291"/>
      <c r="TE74" s="291"/>
      <c r="TF74" s="291"/>
      <c r="TG74" s="291"/>
      <c r="TH74" s="291"/>
      <c r="TI74" s="291"/>
      <c r="TJ74" s="291"/>
      <c r="TK74" s="291"/>
      <c r="TL74" s="291"/>
      <c r="TM74" s="291"/>
      <c r="TN74" s="291"/>
      <c r="TO74" s="291"/>
      <c r="TP74" s="291"/>
      <c r="TQ74" s="291"/>
      <c r="TR74" s="291"/>
    </row>
    <row r="75" spans="1:538" x14ac:dyDescent="0.25">
      <c r="A75" s="505"/>
      <c r="B75" s="296" t="s">
        <v>457</v>
      </c>
      <c r="C75" s="505"/>
      <c r="D75" s="434">
        <v>0</v>
      </c>
      <c r="E75" s="301">
        <v>0</v>
      </c>
      <c r="F75" s="1433"/>
      <c r="G75" s="1434"/>
      <c r="H75" s="1434"/>
      <c r="I75" s="1434"/>
      <c r="J75" s="1434"/>
      <c r="K75" s="477">
        <f>D75*E75</f>
        <v>0</v>
      </c>
      <c r="L75" s="434">
        <v>0</v>
      </c>
      <c r="M75" s="356">
        <v>0</v>
      </c>
      <c r="N75" s="328"/>
      <c r="O75" s="308"/>
      <c r="P75" s="308"/>
      <c r="Q75" s="308"/>
      <c r="R75" s="329"/>
      <c r="S75" s="300">
        <f>L75*M75</f>
        <v>0</v>
      </c>
      <c r="T75" s="434">
        <v>0</v>
      </c>
      <c r="U75" s="356">
        <v>0</v>
      </c>
      <c r="V75" s="328"/>
      <c r="W75" s="308"/>
      <c r="X75" s="308"/>
      <c r="Y75" s="308"/>
      <c r="Z75" s="329"/>
      <c r="AA75" s="300">
        <f>T75*U75</f>
        <v>0</v>
      </c>
      <c r="AB75" s="434">
        <v>0</v>
      </c>
      <c r="AC75" s="356">
        <v>0</v>
      </c>
      <c r="AD75" s="1433"/>
      <c r="AE75" s="1434"/>
      <c r="AF75" s="1434"/>
      <c r="AG75" s="1434"/>
      <c r="AH75" s="1437"/>
      <c r="AI75" s="300">
        <f>AB75*AC75</f>
        <v>0</v>
      </c>
      <c r="AJ75" s="434">
        <v>0</v>
      </c>
      <c r="AK75" s="356">
        <v>0</v>
      </c>
      <c r="AL75" s="328"/>
      <c r="AM75" s="308"/>
      <c r="AN75" s="308"/>
      <c r="AO75" s="308"/>
      <c r="AP75" s="329"/>
      <c r="AQ75" s="300">
        <f>AJ75*AK75</f>
        <v>0</v>
      </c>
      <c r="AR75" s="434">
        <v>0</v>
      </c>
      <c r="AS75" s="356">
        <v>0</v>
      </c>
      <c r="AT75" s="1433"/>
      <c r="AU75" s="1434"/>
      <c r="AV75" s="1434"/>
      <c r="AW75" s="1434"/>
      <c r="AX75" s="1437"/>
      <c r="AY75" s="460">
        <f>AR75*AS75</f>
        <v>0</v>
      </c>
      <c r="AZ75" s="1439"/>
      <c r="BA75" s="461">
        <f t="shared" ref="BA75:BA80" si="27">K75+S75+AA75+AI75+AQ75+AY75</f>
        <v>0</v>
      </c>
    </row>
    <row r="76" spans="1:538" x14ac:dyDescent="0.25">
      <c r="A76" s="505"/>
      <c r="B76" s="296" t="s">
        <v>458</v>
      </c>
      <c r="C76" s="505"/>
      <c r="D76" s="434">
        <v>0</v>
      </c>
      <c r="E76" s="356">
        <v>0</v>
      </c>
      <c r="F76" s="1435"/>
      <c r="G76" s="1436"/>
      <c r="H76" s="1436"/>
      <c r="I76" s="1436"/>
      <c r="J76" s="1436"/>
      <c r="K76" s="477">
        <f>D76*E76</f>
        <v>0</v>
      </c>
      <c r="L76" s="434">
        <v>0</v>
      </c>
      <c r="M76" s="356">
        <v>0</v>
      </c>
      <c r="N76" s="295"/>
      <c r="O76" s="330"/>
      <c r="P76" s="330"/>
      <c r="Q76" s="330"/>
      <c r="R76" s="331"/>
      <c r="S76" s="300">
        <f>L76*M76</f>
        <v>0</v>
      </c>
      <c r="T76" s="436">
        <v>0</v>
      </c>
      <c r="U76" s="356">
        <v>0</v>
      </c>
      <c r="V76" s="328"/>
      <c r="W76" s="308"/>
      <c r="X76" s="308"/>
      <c r="Y76" s="308"/>
      <c r="Z76" s="329"/>
      <c r="AA76" s="300">
        <f>T76*U76</f>
        <v>0</v>
      </c>
      <c r="AB76" s="434">
        <v>0</v>
      </c>
      <c r="AC76" s="356">
        <v>0</v>
      </c>
      <c r="AD76" s="1435"/>
      <c r="AE76" s="1436"/>
      <c r="AF76" s="1436"/>
      <c r="AG76" s="1436"/>
      <c r="AH76" s="1438"/>
      <c r="AI76" s="300">
        <f>AB76*AC76</f>
        <v>0</v>
      </c>
      <c r="AJ76" s="434">
        <v>0</v>
      </c>
      <c r="AK76" s="356">
        <v>0</v>
      </c>
      <c r="AL76" s="295"/>
      <c r="AM76" s="330"/>
      <c r="AN76" s="330"/>
      <c r="AO76" s="330"/>
      <c r="AP76" s="331"/>
      <c r="AQ76" s="300">
        <f>AJ76*AK76</f>
        <v>0</v>
      </c>
      <c r="AR76" s="434">
        <v>0</v>
      </c>
      <c r="AS76" s="356">
        <v>0</v>
      </c>
      <c r="AT76" s="1435"/>
      <c r="AU76" s="1436"/>
      <c r="AV76" s="1436"/>
      <c r="AW76" s="1436"/>
      <c r="AX76" s="1438"/>
      <c r="AY76" s="406">
        <f>AR76*AS76</f>
        <v>0</v>
      </c>
      <c r="AZ76" s="1440"/>
      <c r="BA76" s="431">
        <f t="shared" si="27"/>
        <v>0</v>
      </c>
    </row>
    <row r="77" spans="1:538" s="396" customFormat="1" x14ac:dyDescent="0.25">
      <c r="A77" s="1426" t="s">
        <v>264</v>
      </c>
      <c r="B77" s="1426"/>
      <c r="C77" s="1426"/>
      <c r="D77" s="1416"/>
      <c r="E77" s="1416"/>
      <c r="F77" s="1416"/>
      <c r="G77" s="1416"/>
      <c r="H77" s="1416"/>
      <c r="I77" s="1416"/>
      <c r="J77" s="1416"/>
      <c r="K77" s="501">
        <f>SUM(K74:K76)</f>
        <v>0</v>
      </c>
      <c r="L77" s="1416"/>
      <c r="M77" s="1416"/>
      <c r="N77" s="1416"/>
      <c r="O77" s="1416"/>
      <c r="P77" s="1416"/>
      <c r="Q77" s="1416"/>
      <c r="R77" s="1417"/>
      <c r="S77" s="419">
        <f>SUM(S75:S76)</f>
        <v>0</v>
      </c>
      <c r="T77" s="1427"/>
      <c r="U77" s="1416"/>
      <c r="V77" s="1416"/>
      <c r="W77" s="1416"/>
      <c r="X77" s="1416"/>
      <c r="Y77" s="1416"/>
      <c r="Z77" s="1428"/>
      <c r="AA77" s="365">
        <f>SUM(AA75:AA76)</f>
        <v>0</v>
      </c>
      <c r="AB77" s="1415"/>
      <c r="AC77" s="1416"/>
      <c r="AD77" s="1416"/>
      <c r="AE77" s="1416"/>
      <c r="AF77" s="1416"/>
      <c r="AG77" s="1416"/>
      <c r="AH77" s="1417"/>
      <c r="AI77" s="364">
        <f>SUM(AI75:AI76)</f>
        <v>0</v>
      </c>
      <c r="AJ77" s="1415"/>
      <c r="AK77" s="1416"/>
      <c r="AL77" s="1416"/>
      <c r="AM77" s="1416"/>
      <c r="AN77" s="1416"/>
      <c r="AO77" s="1416"/>
      <c r="AP77" s="1417"/>
      <c r="AQ77" s="364">
        <f>SUM(AQ75:AQ76)</f>
        <v>0</v>
      </c>
      <c r="AR77" s="1418"/>
      <c r="AS77" s="1419"/>
      <c r="AT77" s="1419"/>
      <c r="AU77" s="1419"/>
      <c r="AV77" s="1419"/>
      <c r="AW77" s="1419"/>
      <c r="AX77" s="1420"/>
      <c r="AY77" s="419">
        <f>SUM(AY75:AY76)</f>
        <v>0</v>
      </c>
      <c r="AZ77" s="453"/>
      <c r="BA77" s="395">
        <f t="shared" si="27"/>
        <v>0</v>
      </c>
      <c r="BB77" s="291"/>
      <c r="BC77" s="291"/>
      <c r="BD77" s="291"/>
      <c r="BE77" s="291"/>
      <c r="BF77" s="291"/>
      <c r="BG77" s="291"/>
      <c r="BH77" s="291"/>
      <c r="BI77" s="291"/>
      <c r="BJ77" s="291"/>
      <c r="BK77" s="291"/>
      <c r="BL77" s="291"/>
      <c r="BM77" s="291"/>
      <c r="BN77" s="291"/>
      <c r="BO77" s="291"/>
      <c r="BP77" s="291"/>
      <c r="BQ77" s="291"/>
      <c r="BR77" s="291"/>
      <c r="BS77" s="291"/>
      <c r="BT77" s="291"/>
      <c r="BU77" s="291"/>
      <c r="BV77" s="291"/>
      <c r="BW77" s="291"/>
      <c r="BX77" s="291"/>
      <c r="BY77" s="291"/>
      <c r="BZ77" s="291"/>
      <c r="CA77" s="291"/>
      <c r="CB77" s="291"/>
      <c r="CC77" s="291"/>
      <c r="CD77" s="291"/>
      <c r="CE77" s="291"/>
      <c r="CF77" s="291"/>
      <c r="CG77" s="291"/>
      <c r="CH77" s="291"/>
      <c r="CI77" s="291"/>
      <c r="CJ77" s="291"/>
      <c r="CK77" s="291"/>
      <c r="CL77" s="291"/>
      <c r="CM77" s="291"/>
      <c r="CN77" s="291"/>
      <c r="CO77" s="291"/>
      <c r="CP77" s="291"/>
      <c r="CQ77" s="291"/>
      <c r="CR77" s="291"/>
      <c r="CS77" s="291"/>
      <c r="CT77" s="291"/>
      <c r="CU77" s="291"/>
      <c r="CV77" s="291"/>
      <c r="CW77" s="291"/>
      <c r="CX77" s="291"/>
      <c r="CY77" s="291"/>
      <c r="CZ77" s="291"/>
      <c r="DA77" s="291"/>
      <c r="DB77" s="291"/>
      <c r="DC77" s="291"/>
      <c r="DD77" s="291"/>
      <c r="DE77" s="291"/>
      <c r="DF77" s="291"/>
      <c r="DG77" s="291"/>
      <c r="DH77" s="291"/>
      <c r="DI77" s="291"/>
      <c r="DJ77" s="291"/>
      <c r="DK77" s="291"/>
      <c r="DL77" s="291"/>
      <c r="DM77" s="291"/>
      <c r="DN77" s="291"/>
      <c r="DO77" s="291"/>
      <c r="DP77" s="291"/>
      <c r="DQ77" s="291"/>
      <c r="DR77" s="291"/>
      <c r="DS77" s="291"/>
      <c r="DT77" s="291"/>
      <c r="DU77" s="291"/>
      <c r="DV77" s="291"/>
      <c r="DW77" s="291"/>
      <c r="DX77" s="291"/>
      <c r="DY77" s="291"/>
      <c r="DZ77" s="291"/>
      <c r="EA77" s="291"/>
      <c r="EB77" s="291"/>
      <c r="EC77" s="291"/>
      <c r="ED77" s="291"/>
      <c r="EE77" s="291"/>
      <c r="EF77" s="291"/>
      <c r="EG77" s="291"/>
      <c r="EH77" s="291"/>
      <c r="EI77" s="291"/>
      <c r="EJ77" s="291"/>
      <c r="EK77" s="291"/>
      <c r="EL77" s="291"/>
      <c r="EM77" s="291"/>
      <c r="EN77" s="291"/>
      <c r="EO77" s="291"/>
      <c r="EP77" s="291"/>
      <c r="EQ77" s="291"/>
      <c r="ER77" s="291"/>
      <c r="ES77" s="291"/>
      <c r="ET77" s="291"/>
      <c r="EU77" s="291"/>
      <c r="EV77" s="291"/>
      <c r="EW77" s="291"/>
      <c r="EX77" s="291"/>
      <c r="EY77" s="291"/>
      <c r="EZ77" s="291"/>
      <c r="FA77" s="291"/>
      <c r="FB77" s="291"/>
      <c r="FC77" s="291"/>
      <c r="FD77" s="291"/>
      <c r="FE77" s="291"/>
      <c r="FF77" s="291"/>
      <c r="FG77" s="291"/>
      <c r="FH77" s="291"/>
      <c r="FI77" s="291"/>
      <c r="FJ77" s="291"/>
      <c r="FK77" s="291"/>
      <c r="FL77" s="291"/>
      <c r="FM77" s="291"/>
      <c r="FN77" s="291"/>
      <c r="FO77" s="291"/>
      <c r="FP77" s="291"/>
      <c r="FQ77" s="291"/>
      <c r="FR77" s="291"/>
      <c r="FS77" s="291"/>
      <c r="FT77" s="291"/>
      <c r="FU77" s="291"/>
      <c r="FV77" s="291"/>
      <c r="FW77" s="291"/>
      <c r="FX77" s="291"/>
      <c r="FY77" s="291"/>
      <c r="FZ77" s="291"/>
      <c r="GA77" s="291"/>
      <c r="GB77" s="291"/>
      <c r="GC77" s="291"/>
      <c r="GD77" s="291"/>
      <c r="GE77" s="291"/>
      <c r="GF77" s="291"/>
      <c r="GG77" s="291"/>
      <c r="GH77" s="291"/>
      <c r="GI77" s="291"/>
      <c r="GJ77" s="291"/>
      <c r="GK77" s="291"/>
      <c r="GL77" s="291"/>
      <c r="GM77" s="291"/>
      <c r="GN77" s="291"/>
      <c r="GO77" s="291"/>
      <c r="GP77" s="291"/>
      <c r="GQ77" s="291"/>
      <c r="GR77" s="291"/>
      <c r="GS77" s="291"/>
      <c r="GT77" s="291"/>
      <c r="GU77" s="291"/>
      <c r="GV77" s="291"/>
      <c r="GW77" s="291"/>
      <c r="GX77" s="291"/>
      <c r="GY77" s="291"/>
      <c r="GZ77" s="291"/>
      <c r="HA77" s="291"/>
      <c r="HB77" s="291"/>
      <c r="HC77" s="291"/>
      <c r="HD77" s="291"/>
      <c r="HE77" s="291"/>
      <c r="HF77" s="291"/>
      <c r="HG77" s="291"/>
      <c r="HH77" s="291"/>
      <c r="HI77" s="291"/>
      <c r="HJ77" s="291"/>
      <c r="HK77" s="291"/>
      <c r="HL77" s="291"/>
      <c r="HM77" s="291"/>
      <c r="HN77" s="291"/>
      <c r="HO77" s="291"/>
      <c r="HP77" s="291"/>
      <c r="HQ77" s="291"/>
      <c r="HR77" s="291"/>
      <c r="HS77" s="291"/>
      <c r="HT77" s="291"/>
      <c r="HU77" s="291"/>
      <c r="HV77" s="291"/>
      <c r="HW77" s="291"/>
      <c r="HX77" s="291"/>
      <c r="HY77" s="291"/>
      <c r="HZ77" s="291"/>
      <c r="IA77" s="291"/>
      <c r="IB77" s="291"/>
      <c r="IC77" s="291"/>
      <c r="ID77" s="291"/>
      <c r="IE77" s="291"/>
      <c r="IF77" s="291"/>
      <c r="IG77" s="291"/>
      <c r="IH77" s="291"/>
      <c r="II77" s="291"/>
      <c r="IJ77" s="291"/>
      <c r="IK77" s="291"/>
      <c r="IL77" s="291"/>
      <c r="IM77" s="291"/>
      <c r="IN77" s="291"/>
      <c r="IO77" s="291"/>
      <c r="IP77" s="291"/>
      <c r="IQ77" s="291"/>
      <c r="IR77" s="291"/>
      <c r="IS77" s="291"/>
      <c r="IT77" s="291"/>
      <c r="IU77" s="291"/>
      <c r="IV77" s="291"/>
      <c r="IW77" s="291"/>
      <c r="IX77" s="291"/>
      <c r="IY77" s="291"/>
      <c r="IZ77" s="291"/>
      <c r="JA77" s="291"/>
      <c r="JB77" s="291"/>
      <c r="JC77" s="291"/>
      <c r="JD77" s="291"/>
      <c r="JE77" s="291"/>
      <c r="JF77" s="291"/>
      <c r="JG77" s="291"/>
      <c r="JH77" s="291"/>
      <c r="JI77" s="291"/>
      <c r="JJ77" s="291"/>
      <c r="JK77" s="291"/>
      <c r="JL77" s="291"/>
      <c r="JM77" s="291"/>
      <c r="JN77" s="291"/>
      <c r="JO77" s="291"/>
      <c r="JP77" s="291"/>
      <c r="JQ77" s="291"/>
      <c r="JR77" s="291"/>
      <c r="JS77" s="291"/>
      <c r="JT77" s="291"/>
      <c r="JU77" s="291"/>
      <c r="JV77" s="291"/>
      <c r="JW77" s="291"/>
      <c r="JX77" s="291"/>
      <c r="JY77" s="291"/>
      <c r="JZ77" s="291"/>
      <c r="KA77" s="291"/>
      <c r="KB77" s="291"/>
      <c r="KC77" s="291"/>
      <c r="KD77" s="291"/>
      <c r="KE77" s="291"/>
      <c r="KF77" s="291"/>
      <c r="KG77" s="291"/>
      <c r="KH77" s="291"/>
      <c r="KI77" s="291"/>
      <c r="KJ77" s="291"/>
      <c r="KK77" s="291"/>
      <c r="KL77" s="291"/>
      <c r="KM77" s="291"/>
      <c r="KN77" s="291"/>
      <c r="KO77" s="291"/>
      <c r="KP77" s="291"/>
      <c r="KQ77" s="291"/>
      <c r="KR77" s="291"/>
      <c r="KS77" s="291"/>
      <c r="KT77" s="291"/>
      <c r="KU77" s="291"/>
      <c r="KV77" s="291"/>
      <c r="KW77" s="291"/>
      <c r="KX77" s="291"/>
      <c r="KY77" s="291"/>
      <c r="KZ77" s="291"/>
      <c r="LA77" s="291"/>
      <c r="LB77" s="291"/>
      <c r="LC77" s="291"/>
      <c r="LD77" s="291"/>
      <c r="LE77" s="291"/>
      <c r="LF77" s="291"/>
      <c r="LG77" s="291"/>
      <c r="LH77" s="291"/>
      <c r="LI77" s="291"/>
      <c r="LJ77" s="291"/>
      <c r="LK77" s="291"/>
      <c r="LL77" s="291"/>
      <c r="LM77" s="291"/>
      <c r="LN77" s="291"/>
      <c r="LO77" s="291"/>
      <c r="LP77" s="291"/>
      <c r="LQ77" s="291"/>
      <c r="LR77" s="291"/>
      <c r="LS77" s="291"/>
      <c r="LT77" s="291"/>
      <c r="LU77" s="291"/>
      <c r="LV77" s="291"/>
      <c r="LW77" s="291"/>
      <c r="LX77" s="291"/>
      <c r="LY77" s="291"/>
      <c r="LZ77" s="291"/>
      <c r="MA77" s="291"/>
      <c r="MB77" s="291"/>
      <c r="MC77" s="291"/>
      <c r="MD77" s="291"/>
      <c r="ME77" s="291"/>
      <c r="MF77" s="291"/>
      <c r="MG77" s="291"/>
      <c r="MH77" s="291"/>
      <c r="MI77" s="291"/>
      <c r="MJ77" s="291"/>
      <c r="MK77" s="291"/>
      <c r="ML77" s="291"/>
      <c r="MM77" s="291"/>
      <c r="MN77" s="291"/>
      <c r="MO77" s="291"/>
      <c r="MP77" s="291"/>
      <c r="MQ77" s="291"/>
      <c r="MR77" s="291"/>
      <c r="MS77" s="291"/>
      <c r="MT77" s="291"/>
      <c r="MU77" s="291"/>
      <c r="MV77" s="291"/>
      <c r="MW77" s="291"/>
      <c r="MX77" s="291"/>
      <c r="MY77" s="291"/>
      <c r="MZ77" s="291"/>
      <c r="NA77" s="291"/>
      <c r="NB77" s="291"/>
      <c r="NC77" s="291"/>
      <c r="ND77" s="291"/>
      <c r="NE77" s="291"/>
      <c r="NF77" s="291"/>
      <c r="NG77" s="291"/>
      <c r="NH77" s="291"/>
      <c r="NI77" s="291"/>
      <c r="NJ77" s="291"/>
      <c r="NK77" s="291"/>
      <c r="NL77" s="291"/>
      <c r="NM77" s="291"/>
      <c r="NN77" s="291"/>
      <c r="NO77" s="291"/>
      <c r="NP77" s="291"/>
      <c r="NQ77" s="291"/>
      <c r="NR77" s="291"/>
      <c r="NS77" s="291"/>
      <c r="NT77" s="291"/>
      <c r="NU77" s="291"/>
      <c r="NV77" s="291"/>
      <c r="NW77" s="291"/>
      <c r="NX77" s="291"/>
      <c r="NY77" s="291"/>
      <c r="NZ77" s="291"/>
      <c r="OA77" s="291"/>
      <c r="OB77" s="291"/>
      <c r="OC77" s="291"/>
      <c r="OD77" s="291"/>
      <c r="OE77" s="291"/>
      <c r="OF77" s="291"/>
      <c r="OG77" s="291"/>
      <c r="OH77" s="291"/>
      <c r="OI77" s="291"/>
      <c r="OJ77" s="291"/>
      <c r="OK77" s="291"/>
      <c r="OL77" s="291"/>
      <c r="OM77" s="291"/>
      <c r="ON77" s="291"/>
      <c r="OO77" s="291"/>
      <c r="OP77" s="291"/>
      <c r="OQ77" s="291"/>
      <c r="OR77" s="291"/>
      <c r="OS77" s="291"/>
      <c r="OT77" s="291"/>
      <c r="OU77" s="291"/>
      <c r="OV77" s="291"/>
      <c r="OW77" s="291"/>
      <c r="OX77" s="291"/>
      <c r="OY77" s="291"/>
      <c r="OZ77" s="291"/>
      <c r="PA77" s="291"/>
      <c r="PB77" s="291"/>
      <c r="PC77" s="291"/>
      <c r="PD77" s="291"/>
      <c r="PE77" s="291"/>
      <c r="PF77" s="291"/>
      <c r="PG77" s="291"/>
      <c r="PH77" s="291"/>
      <c r="PI77" s="291"/>
      <c r="PJ77" s="291"/>
      <c r="PK77" s="291"/>
      <c r="PL77" s="291"/>
      <c r="PM77" s="291"/>
      <c r="PN77" s="291"/>
      <c r="PO77" s="291"/>
      <c r="PP77" s="291"/>
      <c r="PQ77" s="291"/>
      <c r="PR77" s="291"/>
      <c r="PS77" s="291"/>
      <c r="PT77" s="291"/>
      <c r="PU77" s="291"/>
      <c r="PV77" s="291"/>
      <c r="PW77" s="291"/>
      <c r="PX77" s="291"/>
      <c r="PY77" s="291"/>
      <c r="PZ77" s="291"/>
      <c r="QA77" s="291"/>
      <c r="QB77" s="291"/>
      <c r="QC77" s="291"/>
      <c r="QD77" s="291"/>
      <c r="QE77" s="291"/>
      <c r="QF77" s="291"/>
      <c r="QG77" s="291"/>
      <c r="QH77" s="291"/>
      <c r="QI77" s="291"/>
      <c r="QJ77" s="291"/>
      <c r="QK77" s="291"/>
      <c r="QL77" s="291"/>
      <c r="QM77" s="291"/>
      <c r="QN77" s="291"/>
      <c r="QO77" s="291"/>
      <c r="QP77" s="291"/>
      <c r="QQ77" s="291"/>
      <c r="QR77" s="291"/>
      <c r="QS77" s="291"/>
      <c r="QT77" s="291"/>
      <c r="QU77" s="291"/>
      <c r="QV77" s="291"/>
      <c r="QW77" s="291"/>
      <c r="QX77" s="291"/>
      <c r="QY77" s="291"/>
      <c r="QZ77" s="291"/>
      <c r="RA77" s="291"/>
      <c r="RB77" s="291"/>
      <c r="RC77" s="291"/>
      <c r="RD77" s="291"/>
      <c r="RE77" s="291"/>
      <c r="RF77" s="291"/>
      <c r="RG77" s="291"/>
      <c r="RH77" s="291"/>
      <c r="RI77" s="291"/>
      <c r="RJ77" s="291"/>
      <c r="RK77" s="291"/>
      <c r="RL77" s="291"/>
      <c r="RM77" s="291"/>
      <c r="RN77" s="291"/>
      <c r="RO77" s="291"/>
      <c r="RP77" s="291"/>
      <c r="RQ77" s="291"/>
      <c r="RR77" s="291"/>
      <c r="RS77" s="291"/>
      <c r="RT77" s="291"/>
      <c r="RU77" s="291"/>
      <c r="RV77" s="291"/>
      <c r="RW77" s="291"/>
      <c r="RX77" s="291"/>
      <c r="RY77" s="291"/>
      <c r="RZ77" s="291"/>
      <c r="SA77" s="291"/>
      <c r="SB77" s="291"/>
      <c r="SC77" s="291"/>
      <c r="SD77" s="291"/>
      <c r="SE77" s="291"/>
      <c r="SF77" s="291"/>
      <c r="SG77" s="291"/>
      <c r="SH77" s="291"/>
      <c r="SI77" s="291"/>
      <c r="SJ77" s="291"/>
      <c r="SK77" s="291"/>
      <c r="SL77" s="291"/>
      <c r="SM77" s="291"/>
      <c r="SN77" s="291"/>
      <c r="SO77" s="291"/>
      <c r="SP77" s="291"/>
      <c r="SQ77" s="291"/>
      <c r="SR77" s="291"/>
      <c r="SS77" s="291"/>
      <c r="ST77" s="291"/>
      <c r="SU77" s="291"/>
      <c r="SV77" s="291"/>
      <c r="SW77" s="291"/>
      <c r="SX77" s="291"/>
      <c r="SY77" s="291"/>
      <c r="SZ77" s="291"/>
      <c r="TA77" s="291"/>
      <c r="TB77" s="291"/>
      <c r="TC77" s="291"/>
      <c r="TD77" s="291"/>
      <c r="TE77" s="291"/>
      <c r="TF77" s="291"/>
      <c r="TG77" s="291"/>
      <c r="TH77" s="291"/>
      <c r="TI77" s="291"/>
      <c r="TJ77" s="291"/>
      <c r="TK77" s="291"/>
      <c r="TL77" s="291"/>
      <c r="TM77" s="291"/>
      <c r="TN77" s="291"/>
      <c r="TO77" s="291"/>
      <c r="TP77" s="291"/>
      <c r="TQ77" s="291"/>
      <c r="TR77" s="291"/>
    </row>
    <row r="78" spans="1:538" x14ac:dyDescent="0.25">
      <c r="A78" s="1421" t="s">
        <v>459</v>
      </c>
      <c r="B78" s="1421"/>
      <c r="C78" s="1421"/>
      <c r="D78" s="1422"/>
      <c r="E78" s="1422"/>
      <c r="F78" s="1422"/>
      <c r="G78" s="1422"/>
      <c r="H78" s="1422"/>
      <c r="I78" s="1422"/>
      <c r="J78" s="1422"/>
      <c r="K78" s="502" t="e">
        <f>K73+K77</f>
        <v>#REF!</v>
      </c>
      <c r="L78" s="1423"/>
      <c r="M78" s="1423"/>
      <c r="N78" s="1423"/>
      <c r="O78" s="1423"/>
      <c r="P78" s="1423"/>
      <c r="Q78" s="1423"/>
      <c r="R78" s="1423"/>
      <c r="S78" s="508" t="e">
        <f>S73+S77</f>
        <v>#REF!</v>
      </c>
      <c r="T78" s="1424"/>
      <c r="U78" s="1422"/>
      <c r="V78" s="1422"/>
      <c r="W78" s="1422"/>
      <c r="X78" s="1422"/>
      <c r="Y78" s="1422"/>
      <c r="Z78" s="1425"/>
      <c r="AA78" s="305" t="e">
        <f>AA73+AA77</f>
        <v>#REF!</v>
      </c>
      <c r="AB78" s="1424"/>
      <c r="AC78" s="1422"/>
      <c r="AD78" s="1422"/>
      <c r="AE78" s="1422"/>
      <c r="AF78" s="1422"/>
      <c r="AG78" s="1422"/>
      <c r="AH78" s="1425"/>
      <c r="AI78" s="305" t="e">
        <f>AI73+AI77</f>
        <v>#REF!</v>
      </c>
      <c r="AJ78" s="1424"/>
      <c r="AK78" s="1422"/>
      <c r="AL78" s="1422"/>
      <c r="AM78" s="1422"/>
      <c r="AN78" s="1422"/>
      <c r="AO78" s="1422"/>
      <c r="AP78" s="1425"/>
      <c r="AQ78" s="305" t="e">
        <f>AQ73+AQ77</f>
        <v>#REF!</v>
      </c>
      <c r="AR78" s="1424"/>
      <c r="AS78" s="1422"/>
      <c r="AT78" s="1422"/>
      <c r="AU78" s="1422"/>
      <c r="AV78" s="1422"/>
      <c r="AW78" s="1422"/>
      <c r="AX78" s="1425"/>
      <c r="AY78" s="444" t="e">
        <f>AY73+AY77</f>
        <v>#REF!</v>
      </c>
      <c r="AZ78" s="466"/>
      <c r="BA78" s="306" t="e">
        <f t="shared" si="27"/>
        <v>#REF!</v>
      </c>
    </row>
    <row r="79" spans="1:538" s="405" customFormat="1" ht="20.149999999999999" customHeight="1" thickBot="1" x14ac:dyDescent="0.3">
      <c r="A79" s="1409" t="s">
        <v>460</v>
      </c>
      <c r="B79" s="1409"/>
      <c r="C79" s="506" t="s">
        <v>461</v>
      </c>
      <c r="D79" s="401" t="e">
        <f>K73</f>
        <v>#REF!</v>
      </c>
      <c r="E79" s="433">
        <v>0.06</v>
      </c>
      <c r="F79" s="1410"/>
      <c r="G79" s="1411"/>
      <c r="H79" s="1411"/>
      <c r="I79" s="1411"/>
      <c r="J79" s="1411"/>
      <c r="K79" s="475" t="e">
        <f>D79*E79</f>
        <v>#REF!</v>
      </c>
      <c r="L79" s="509" t="e">
        <f>S73</f>
        <v>#REF!</v>
      </c>
      <c r="M79" s="510">
        <v>0.06</v>
      </c>
      <c r="N79" s="1412"/>
      <c r="O79" s="1413"/>
      <c r="P79" s="1413"/>
      <c r="Q79" s="1413"/>
      <c r="R79" s="1414"/>
      <c r="S79" s="411" t="e">
        <f>L79*M79</f>
        <v>#REF!</v>
      </c>
      <c r="T79" s="402" t="e">
        <f>AA73</f>
        <v>#REF!</v>
      </c>
      <c r="U79" s="356">
        <v>0.06</v>
      </c>
      <c r="V79" s="1398"/>
      <c r="W79" s="1399"/>
      <c r="X79" s="1399"/>
      <c r="Y79" s="1399"/>
      <c r="Z79" s="1400"/>
      <c r="AA79" s="366" t="e">
        <f>T79*U79</f>
        <v>#REF!</v>
      </c>
      <c r="AB79" s="402" t="e">
        <f>AI73</f>
        <v>#REF!</v>
      </c>
      <c r="AC79" s="356">
        <v>0.06</v>
      </c>
      <c r="AD79" s="1398"/>
      <c r="AE79" s="1399"/>
      <c r="AF79" s="1399"/>
      <c r="AG79" s="1399"/>
      <c r="AH79" s="1400"/>
      <c r="AI79" s="366" t="e">
        <f>AB79*AC79</f>
        <v>#REF!</v>
      </c>
      <c r="AJ79" s="402" t="e">
        <f>AQ73</f>
        <v>#REF!</v>
      </c>
      <c r="AK79" s="356">
        <v>0.06</v>
      </c>
      <c r="AL79" s="1398"/>
      <c r="AM79" s="1399"/>
      <c r="AN79" s="1399"/>
      <c r="AO79" s="1399"/>
      <c r="AP79" s="1400"/>
      <c r="AQ79" s="366" t="e">
        <f>AJ79*AK79</f>
        <v>#REF!</v>
      </c>
      <c r="AR79" s="403" t="e">
        <f>AY73</f>
        <v>#REF!</v>
      </c>
      <c r="AS79" s="356">
        <v>0.06</v>
      </c>
      <c r="AT79" s="1401"/>
      <c r="AU79" s="1402"/>
      <c r="AV79" s="1402"/>
      <c r="AW79" s="1402"/>
      <c r="AX79" s="1403"/>
      <c r="AY79" s="451" t="e">
        <f>AR79*AS79</f>
        <v>#REF!</v>
      </c>
      <c r="AZ79" s="452"/>
      <c r="BA79" s="404" t="e">
        <f t="shared" si="27"/>
        <v>#REF!</v>
      </c>
      <c r="BB79" s="291"/>
      <c r="BC79" s="291"/>
      <c r="BD79" s="291"/>
      <c r="BE79" s="291"/>
      <c r="BF79" s="291"/>
      <c r="BG79" s="291"/>
      <c r="BH79" s="291"/>
      <c r="BI79" s="291"/>
      <c r="BJ79" s="291"/>
      <c r="BK79" s="291"/>
      <c r="BL79" s="291"/>
      <c r="BM79" s="291"/>
      <c r="BN79" s="291"/>
      <c r="BO79" s="291"/>
      <c r="BP79" s="291"/>
      <c r="BQ79" s="291"/>
      <c r="BR79" s="291"/>
      <c r="BS79" s="291"/>
      <c r="BT79" s="291"/>
      <c r="BU79" s="291"/>
      <c r="BV79" s="291"/>
      <c r="BW79" s="291"/>
      <c r="BX79" s="291"/>
      <c r="BY79" s="291"/>
      <c r="BZ79" s="291"/>
      <c r="CA79" s="291"/>
      <c r="CB79" s="291"/>
      <c r="CC79" s="291"/>
      <c r="CD79" s="291"/>
      <c r="CE79" s="291"/>
      <c r="CF79" s="291"/>
      <c r="CG79" s="291"/>
      <c r="CH79" s="291"/>
      <c r="CI79" s="291"/>
      <c r="CJ79" s="291"/>
      <c r="CK79" s="291"/>
      <c r="CL79" s="291"/>
      <c r="CM79" s="291"/>
      <c r="CN79" s="291"/>
      <c r="CO79" s="291"/>
      <c r="CP79" s="291"/>
      <c r="CQ79" s="291"/>
      <c r="CR79" s="291"/>
      <c r="CS79" s="291"/>
      <c r="CT79" s="291"/>
      <c r="CU79" s="291"/>
      <c r="CV79" s="291"/>
      <c r="CW79" s="291"/>
      <c r="CX79" s="291"/>
      <c r="CY79" s="291"/>
      <c r="CZ79" s="291"/>
      <c r="DA79" s="291"/>
      <c r="DB79" s="291"/>
      <c r="DC79" s="291"/>
      <c r="DD79" s="291"/>
      <c r="DE79" s="291"/>
      <c r="DF79" s="291"/>
      <c r="DG79" s="291"/>
      <c r="DH79" s="291"/>
      <c r="DI79" s="291"/>
      <c r="DJ79" s="291"/>
      <c r="DK79" s="291"/>
      <c r="DL79" s="291"/>
      <c r="DM79" s="291"/>
      <c r="DN79" s="291"/>
      <c r="DO79" s="291"/>
      <c r="DP79" s="291"/>
      <c r="DQ79" s="291"/>
      <c r="DR79" s="291"/>
      <c r="DS79" s="291"/>
      <c r="DT79" s="291"/>
      <c r="DU79" s="291"/>
      <c r="DV79" s="291"/>
      <c r="DW79" s="291"/>
      <c r="DX79" s="291"/>
      <c r="DY79" s="291"/>
      <c r="DZ79" s="291"/>
      <c r="EA79" s="291"/>
      <c r="EB79" s="291"/>
      <c r="EC79" s="291"/>
      <c r="ED79" s="291"/>
      <c r="EE79" s="291"/>
      <c r="EF79" s="291"/>
      <c r="EG79" s="291"/>
      <c r="EH79" s="291"/>
      <c r="EI79" s="291"/>
      <c r="EJ79" s="291"/>
      <c r="EK79" s="291"/>
      <c r="EL79" s="291"/>
      <c r="EM79" s="291"/>
      <c r="EN79" s="291"/>
      <c r="EO79" s="291"/>
      <c r="EP79" s="291"/>
      <c r="EQ79" s="291"/>
      <c r="ER79" s="291"/>
      <c r="ES79" s="291"/>
      <c r="ET79" s="291"/>
      <c r="EU79" s="291"/>
      <c r="EV79" s="291"/>
      <c r="EW79" s="291"/>
      <c r="EX79" s="291"/>
      <c r="EY79" s="291"/>
      <c r="EZ79" s="291"/>
      <c r="FA79" s="291"/>
      <c r="FB79" s="291"/>
      <c r="FC79" s="291"/>
      <c r="FD79" s="291"/>
      <c r="FE79" s="291"/>
      <c r="FF79" s="291"/>
      <c r="FG79" s="291"/>
      <c r="FH79" s="291"/>
      <c r="FI79" s="291"/>
      <c r="FJ79" s="291"/>
      <c r="FK79" s="291"/>
      <c r="FL79" s="291"/>
      <c r="FM79" s="291"/>
      <c r="FN79" s="291"/>
      <c r="FO79" s="291"/>
      <c r="FP79" s="291"/>
      <c r="FQ79" s="291"/>
      <c r="FR79" s="291"/>
      <c r="FS79" s="291"/>
      <c r="FT79" s="291"/>
      <c r="FU79" s="291"/>
      <c r="FV79" s="291"/>
      <c r="FW79" s="291"/>
      <c r="FX79" s="291"/>
      <c r="FY79" s="291"/>
      <c r="FZ79" s="291"/>
      <c r="GA79" s="291"/>
      <c r="GB79" s="291"/>
      <c r="GC79" s="291"/>
      <c r="GD79" s="291"/>
      <c r="GE79" s="291"/>
      <c r="GF79" s="291"/>
      <c r="GG79" s="291"/>
      <c r="GH79" s="291"/>
      <c r="GI79" s="291"/>
      <c r="GJ79" s="291"/>
      <c r="GK79" s="291"/>
      <c r="GL79" s="291"/>
      <c r="GM79" s="291"/>
      <c r="GN79" s="291"/>
      <c r="GO79" s="291"/>
      <c r="GP79" s="291"/>
      <c r="GQ79" s="291"/>
      <c r="GR79" s="291"/>
      <c r="GS79" s="291"/>
      <c r="GT79" s="291"/>
      <c r="GU79" s="291"/>
      <c r="GV79" s="291"/>
      <c r="GW79" s="291"/>
      <c r="GX79" s="291"/>
      <c r="GY79" s="291"/>
      <c r="GZ79" s="291"/>
      <c r="HA79" s="291"/>
      <c r="HB79" s="291"/>
      <c r="HC79" s="291"/>
      <c r="HD79" s="291"/>
      <c r="HE79" s="291"/>
      <c r="HF79" s="291"/>
      <c r="HG79" s="291"/>
      <c r="HH79" s="291"/>
      <c r="HI79" s="291"/>
      <c r="HJ79" s="291"/>
      <c r="HK79" s="291"/>
      <c r="HL79" s="291"/>
      <c r="HM79" s="291"/>
      <c r="HN79" s="291"/>
      <c r="HO79" s="291"/>
      <c r="HP79" s="291"/>
      <c r="HQ79" s="291"/>
      <c r="HR79" s="291"/>
      <c r="HS79" s="291"/>
      <c r="HT79" s="291"/>
      <c r="HU79" s="291"/>
      <c r="HV79" s="291"/>
      <c r="HW79" s="291"/>
      <c r="HX79" s="291"/>
      <c r="HY79" s="291"/>
      <c r="HZ79" s="291"/>
      <c r="IA79" s="291"/>
      <c r="IB79" s="291"/>
      <c r="IC79" s="291"/>
      <c r="ID79" s="291"/>
      <c r="IE79" s="291"/>
      <c r="IF79" s="291"/>
      <c r="IG79" s="291"/>
      <c r="IH79" s="291"/>
      <c r="II79" s="291"/>
      <c r="IJ79" s="291"/>
      <c r="IK79" s="291"/>
      <c r="IL79" s="291"/>
      <c r="IM79" s="291"/>
      <c r="IN79" s="291"/>
      <c r="IO79" s="291"/>
      <c r="IP79" s="291"/>
      <c r="IQ79" s="291"/>
      <c r="IR79" s="291"/>
      <c r="IS79" s="291"/>
      <c r="IT79" s="291"/>
      <c r="IU79" s="291"/>
      <c r="IV79" s="291"/>
      <c r="IW79" s="291"/>
      <c r="IX79" s="291"/>
      <c r="IY79" s="291"/>
      <c r="IZ79" s="291"/>
      <c r="JA79" s="291"/>
      <c r="JB79" s="291"/>
      <c r="JC79" s="291"/>
      <c r="JD79" s="291"/>
      <c r="JE79" s="291"/>
      <c r="JF79" s="291"/>
      <c r="JG79" s="291"/>
      <c r="JH79" s="291"/>
      <c r="JI79" s="291"/>
      <c r="JJ79" s="291"/>
      <c r="JK79" s="291"/>
      <c r="JL79" s="291"/>
      <c r="JM79" s="291"/>
      <c r="JN79" s="291"/>
      <c r="JO79" s="291"/>
      <c r="JP79" s="291"/>
      <c r="JQ79" s="291"/>
      <c r="JR79" s="291"/>
      <c r="JS79" s="291"/>
      <c r="JT79" s="291"/>
      <c r="JU79" s="291"/>
      <c r="JV79" s="291"/>
      <c r="JW79" s="291"/>
      <c r="JX79" s="291"/>
      <c r="JY79" s="291"/>
      <c r="JZ79" s="291"/>
      <c r="KA79" s="291"/>
      <c r="KB79" s="291"/>
      <c r="KC79" s="291"/>
      <c r="KD79" s="291"/>
      <c r="KE79" s="291"/>
      <c r="KF79" s="291"/>
      <c r="KG79" s="291"/>
      <c r="KH79" s="291"/>
      <c r="KI79" s="291"/>
      <c r="KJ79" s="291"/>
      <c r="KK79" s="291"/>
      <c r="KL79" s="291"/>
      <c r="KM79" s="291"/>
      <c r="KN79" s="291"/>
      <c r="KO79" s="291"/>
      <c r="KP79" s="291"/>
      <c r="KQ79" s="291"/>
      <c r="KR79" s="291"/>
      <c r="KS79" s="291"/>
      <c r="KT79" s="291"/>
      <c r="KU79" s="291"/>
      <c r="KV79" s="291"/>
      <c r="KW79" s="291"/>
      <c r="KX79" s="291"/>
      <c r="KY79" s="291"/>
      <c r="KZ79" s="291"/>
      <c r="LA79" s="291"/>
      <c r="LB79" s="291"/>
      <c r="LC79" s="291"/>
      <c r="LD79" s="291"/>
      <c r="LE79" s="291"/>
      <c r="LF79" s="291"/>
      <c r="LG79" s="291"/>
      <c r="LH79" s="291"/>
      <c r="LI79" s="291"/>
      <c r="LJ79" s="291"/>
      <c r="LK79" s="291"/>
      <c r="LL79" s="291"/>
      <c r="LM79" s="291"/>
      <c r="LN79" s="291"/>
      <c r="LO79" s="291"/>
      <c r="LP79" s="291"/>
      <c r="LQ79" s="291"/>
      <c r="LR79" s="291"/>
      <c r="LS79" s="291"/>
      <c r="LT79" s="291"/>
      <c r="LU79" s="291"/>
      <c r="LV79" s="291"/>
      <c r="LW79" s="291"/>
      <c r="LX79" s="291"/>
      <c r="LY79" s="291"/>
      <c r="LZ79" s="291"/>
      <c r="MA79" s="291"/>
      <c r="MB79" s="291"/>
      <c r="MC79" s="291"/>
      <c r="MD79" s="291"/>
      <c r="ME79" s="291"/>
      <c r="MF79" s="291"/>
      <c r="MG79" s="291"/>
      <c r="MH79" s="291"/>
      <c r="MI79" s="291"/>
      <c r="MJ79" s="291"/>
      <c r="MK79" s="291"/>
      <c r="ML79" s="291"/>
      <c r="MM79" s="291"/>
      <c r="MN79" s="291"/>
      <c r="MO79" s="291"/>
      <c r="MP79" s="291"/>
      <c r="MQ79" s="291"/>
      <c r="MR79" s="291"/>
      <c r="MS79" s="291"/>
      <c r="MT79" s="291"/>
      <c r="MU79" s="291"/>
      <c r="MV79" s="291"/>
      <c r="MW79" s="291"/>
      <c r="MX79" s="291"/>
      <c r="MY79" s="291"/>
      <c r="MZ79" s="291"/>
      <c r="NA79" s="291"/>
      <c r="NB79" s="291"/>
      <c r="NC79" s="291"/>
      <c r="ND79" s="291"/>
      <c r="NE79" s="291"/>
      <c r="NF79" s="291"/>
      <c r="NG79" s="291"/>
      <c r="NH79" s="291"/>
      <c r="NI79" s="291"/>
      <c r="NJ79" s="291"/>
      <c r="NK79" s="291"/>
      <c r="NL79" s="291"/>
      <c r="NM79" s="291"/>
      <c r="NN79" s="291"/>
      <c r="NO79" s="291"/>
      <c r="NP79" s="291"/>
      <c r="NQ79" s="291"/>
      <c r="NR79" s="291"/>
      <c r="NS79" s="291"/>
      <c r="NT79" s="291"/>
      <c r="NU79" s="291"/>
      <c r="NV79" s="291"/>
      <c r="NW79" s="291"/>
      <c r="NX79" s="291"/>
      <c r="NY79" s="291"/>
      <c r="NZ79" s="291"/>
      <c r="OA79" s="291"/>
      <c r="OB79" s="291"/>
      <c r="OC79" s="291"/>
      <c r="OD79" s="291"/>
      <c r="OE79" s="291"/>
      <c r="OF79" s="291"/>
      <c r="OG79" s="291"/>
      <c r="OH79" s="291"/>
      <c r="OI79" s="291"/>
      <c r="OJ79" s="291"/>
      <c r="OK79" s="291"/>
      <c r="OL79" s="291"/>
      <c r="OM79" s="291"/>
      <c r="ON79" s="291"/>
      <c r="OO79" s="291"/>
      <c r="OP79" s="291"/>
      <c r="OQ79" s="291"/>
      <c r="OR79" s="291"/>
      <c r="OS79" s="291"/>
      <c r="OT79" s="291"/>
      <c r="OU79" s="291"/>
      <c r="OV79" s="291"/>
      <c r="OW79" s="291"/>
      <c r="OX79" s="291"/>
      <c r="OY79" s="291"/>
      <c r="OZ79" s="291"/>
      <c r="PA79" s="291"/>
      <c r="PB79" s="291"/>
      <c r="PC79" s="291"/>
      <c r="PD79" s="291"/>
      <c r="PE79" s="291"/>
      <c r="PF79" s="291"/>
      <c r="PG79" s="291"/>
      <c r="PH79" s="291"/>
      <c r="PI79" s="291"/>
      <c r="PJ79" s="291"/>
      <c r="PK79" s="291"/>
      <c r="PL79" s="291"/>
      <c r="PM79" s="291"/>
      <c r="PN79" s="291"/>
      <c r="PO79" s="291"/>
      <c r="PP79" s="291"/>
      <c r="PQ79" s="291"/>
      <c r="PR79" s="291"/>
      <c r="PS79" s="291"/>
      <c r="PT79" s="291"/>
      <c r="PU79" s="291"/>
      <c r="PV79" s="291"/>
      <c r="PW79" s="291"/>
      <c r="PX79" s="291"/>
      <c r="PY79" s="291"/>
      <c r="PZ79" s="291"/>
      <c r="QA79" s="291"/>
      <c r="QB79" s="291"/>
      <c r="QC79" s="291"/>
      <c r="QD79" s="291"/>
      <c r="QE79" s="291"/>
      <c r="QF79" s="291"/>
      <c r="QG79" s="291"/>
      <c r="QH79" s="291"/>
      <c r="QI79" s="291"/>
      <c r="QJ79" s="291"/>
      <c r="QK79" s="291"/>
      <c r="QL79" s="291"/>
      <c r="QM79" s="291"/>
      <c r="QN79" s="291"/>
      <c r="QO79" s="291"/>
      <c r="QP79" s="291"/>
      <c r="QQ79" s="291"/>
      <c r="QR79" s="291"/>
      <c r="QS79" s="291"/>
      <c r="QT79" s="291"/>
      <c r="QU79" s="291"/>
      <c r="QV79" s="291"/>
      <c r="QW79" s="291"/>
      <c r="QX79" s="291"/>
      <c r="QY79" s="291"/>
      <c r="QZ79" s="291"/>
      <c r="RA79" s="291"/>
      <c r="RB79" s="291"/>
      <c r="RC79" s="291"/>
      <c r="RD79" s="291"/>
      <c r="RE79" s="291"/>
      <c r="RF79" s="291"/>
      <c r="RG79" s="291"/>
      <c r="RH79" s="291"/>
      <c r="RI79" s="291"/>
      <c r="RJ79" s="291"/>
      <c r="RK79" s="291"/>
      <c r="RL79" s="291"/>
      <c r="RM79" s="291"/>
      <c r="RN79" s="291"/>
      <c r="RO79" s="291"/>
      <c r="RP79" s="291"/>
      <c r="RQ79" s="291"/>
      <c r="RR79" s="291"/>
      <c r="RS79" s="291"/>
      <c r="RT79" s="291"/>
      <c r="RU79" s="291"/>
      <c r="RV79" s="291"/>
      <c r="RW79" s="291"/>
      <c r="RX79" s="291"/>
      <c r="RY79" s="291"/>
      <c r="RZ79" s="291"/>
      <c r="SA79" s="291"/>
      <c r="SB79" s="291"/>
      <c r="SC79" s="291"/>
      <c r="SD79" s="291"/>
      <c r="SE79" s="291"/>
      <c r="SF79" s="291"/>
      <c r="SG79" s="291"/>
      <c r="SH79" s="291"/>
      <c r="SI79" s="291"/>
      <c r="SJ79" s="291"/>
      <c r="SK79" s="291"/>
      <c r="SL79" s="291"/>
      <c r="SM79" s="291"/>
      <c r="SN79" s="291"/>
      <c r="SO79" s="291"/>
      <c r="SP79" s="291"/>
      <c r="SQ79" s="291"/>
      <c r="SR79" s="291"/>
      <c r="SS79" s="291"/>
      <c r="ST79" s="291"/>
      <c r="SU79" s="291"/>
      <c r="SV79" s="291"/>
      <c r="SW79" s="291"/>
      <c r="SX79" s="291"/>
      <c r="SY79" s="291"/>
      <c r="SZ79" s="291"/>
      <c r="TA79" s="291"/>
      <c r="TB79" s="291"/>
      <c r="TC79" s="291"/>
      <c r="TD79" s="291"/>
      <c r="TE79" s="291"/>
      <c r="TF79" s="291"/>
      <c r="TG79" s="291"/>
      <c r="TH79" s="291"/>
      <c r="TI79" s="291"/>
      <c r="TJ79" s="291"/>
      <c r="TK79" s="291"/>
      <c r="TL79" s="291"/>
      <c r="TM79" s="291"/>
      <c r="TN79" s="291"/>
      <c r="TO79" s="291"/>
      <c r="TP79" s="291"/>
      <c r="TQ79" s="291"/>
      <c r="TR79" s="291"/>
    </row>
    <row r="80" spans="1:538" s="293" customFormat="1" ht="19" customHeight="1" thickBot="1" x14ac:dyDescent="0.3">
      <c r="A80" s="1404" t="s">
        <v>268</v>
      </c>
      <c r="B80" s="1404"/>
      <c r="C80" s="1404"/>
      <c r="D80" s="1405"/>
      <c r="E80" s="1405"/>
      <c r="F80" s="1405"/>
      <c r="G80" s="1405"/>
      <c r="H80" s="1405"/>
      <c r="I80" s="1405"/>
      <c r="J80" s="1405"/>
      <c r="K80" s="503" t="e">
        <f>K78+K79</f>
        <v>#REF!</v>
      </c>
      <c r="L80" s="1405"/>
      <c r="M80" s="1405"/>
      <c r="N80" s="1405"/>
      <c r="O80" s="1405"/>
      <c r="P80" s="1405"/>
      <c r="Q80" s="1405"/>
      <c r="R80" s="1405"/>
      <c r="S80" s="412" t="e">
        <f>S78+S79</f>
        <v>#REF!</v>
      </c>
      <c r="T80" s="1406"/>
      <c r="U80" s="1407"/>
      <c r="V80" s="1407"/>
      <c r="W80" s="1407"/>
      <c r="X80" s="1407"/>
      <c r="Y80" s="1407"/>
      <c r="Z80" s="1408"/>
      <c r="AA80" s="367" t="e">
        <f>AA78+AA79</f>
        <v>#REF!</v>
      </c>
      <c r="AB80" s="1406"/>
      <c r="AC80" s="1407"/>
      <c r="AD80" s="1407"/>
      <c r="AE80" s="1407"/>
      <c r="AF80" s="1407"/>
      <c r="AG80" s="1407"/>
      <c r="AH80" s="1408"/>
      <c r="AI80" s="367" t="e">
        <f>AI78+AI79</f>
        <v>#REF!</v>
      </c>
      <c r="AJ80" s="1406"/>
      <c r="AK80" s="1407"/>
      <c r="AL80" s="1407"/>
      <c r="AM80" s="1407"/>
      <c r="AN80" s="1407"/>
      <c r="AO80" s="1407"/>
      <c r="AP80" s="1408"/>
      <c r="AQ80" s="367" t="e">
        <f>AQ78+AQ79</f>
        <v>#REF!</v>
      </c>
      <c r="AR80" s="1406"/>
      <c r="AS80" s="1407"/>
      <c r="AT80" s="1407"/>
      <c r="AU80" s="1407"/>
      <c r="AV80" s="1407"/>
      <c r="AW80" s="1407"/>
      <c r="AX80" s="1408"/>
      <c r="AY80" s="445" t="e">
        <f>AY78+AY79</f>
        <v>#REF!</v>
      </c>
      <c r="AZ80" s="446"/>
      <c r="BA80" s="368" t="e">
        <f t="shared" si="27"/>
        <v>#REF!</v>
      </c>
      <c r="BB80" s="291"/>
      <c r="BC80" s="291"/>
      <c r="BD80" s="291"/>
      <c r="BE80" s="291"/>
      <c r="BF80" s="291"/>
      <c r="BG80" s="291"/>
      <c r="BH80" s="291"/>
      <c r="BI80" s="291"/>
      <c r="BJ80" s="291"/>
      <c r="BK80" s="291"/>
      <c r="BL80" s="291"/>
      <c r="BM80" s="291"/>
      <c r="BN80" s="291"/>
      <c r="BO80" s="291"/>
      <c r="BP80" s="291"/>
      <c r="BQ80" s="291"/>
      <c r="BR80" s="291"/>
      <c r="BS80" s="291"/>
      <c r="BT80" s="291"/>
      <c r="BU80" s="291"/>
      <c r="BV80" s="291"/>
      <c r="BW80" s="291"/>
      <c r="BX80" s="291"/>
      <c r="BY80" s="291"/>
      <c r="BZ80" s="291"/>
      <c r="CA80" s="291"/>
      <c r="CB80" s="291"/>
      <c r="CC80" s="291"/>
      <c r="CD80" s="291"/>
      <c r="CE80" s="291"/>
      <c r="CF80" s="291"/>
      <c r="CG80" s="291"/>
      <c r="CH80" s="291"/>
      <c r="CI80" s="291"/>
      <c r="CJ80" s="291"/>
      <c r="CK80" s="291"/>
      <c r="CL80" s="291"/>
      <c r="CM80" s="291"/>
      <c r="CN80" s="291"/>
      <c r="CO80" s="291"/>
      <c r="CP80" s="291"/>
      <c r="CQ80" s="291"/>
      <c r="CR80" s="291"/>
      <c r="CS80" s="291"/>
      <c r="CT80" s="291"/>
      <c r="CU80" s="291"/>
      <c r="CV80" s="291"/>
      <c r="CW80" s="291"/>
      <c r="CX80" s="291"/>
      <c r="CY80" s="291"/>
      <c r="CZ80" s="291"/>
      <c r="DA80" s="291"/>
      <c r="DB80" s="291"/>
      <c r="DC80" s="291"/>
      <c r="DD80" s="291"/>
      <c r="DE80" s="291"/>
      <c r="DF80" s="291"/>
      <c r="DG80" s="291"/>
      <c r="DH80" s="291"/>
      <c r="DI80" s="291"/>
      <c r="DJ80" s="291"/>
      <c r="DK80" s="291"/>
      <c r="DL80" s="291"/>
      <c r="DM80" s="291"/>
      <c r="DN80" s="291"/>
      <c r="DO80" s="291"/>
      <c r="DP80" s="291"/>
      <c r="DQ80" s="291"/>
      <c r="DR80" s="291"/>
      <c r="DS80" s="291"/>
      <c r="DT80" s="291"/>
      <c r="DU80" s="291"/>
      <c r="DV80" s="291"/>
      <c r="DW80" s="291"/>
      <c r="DX80" s="291"/>
      <c r="DY80" s="291"/>
      <c r="DZ80" s="291"/>
      <c r="EA80" s="291"/>
      <c r="EB80" s="291"/>
      <c r="EC80" s="291"/>
      <c r="ED80" s="291"/>
      <c r="EE80" s="291"/>
      <c r="EF80" s="291"/>
      <c r="EG80" s="291"/>
      <c r="EH80" s="291"/>
      <c r="EI80" s="291"/>
      <c r="EJ80" s="291"/>
      <c r="EK80" s="291"/>
      <c r="EL80" s="291"/>
      <c r="EM80" s="291"/>
      <c r="EN80" s="291"/>
      <c r="EO80" s="291"/>
      <c r="EP80" s="291"/>
      <c r="EQ80" s="291"/>
      <c r="ER80" s="291"/>
      <c r="ES80" s="291"/>
      <c r="ET80" s="291"/>
      <c r="EU80" s="291"/>
      <c r="EV80" s="291"/>
      <c r="EW80" s="291"/>
      <c r="EX80" s="291"/>
      <c r="EY80" s="291"/>
      <c r="EZ80" s="291"/>
      <c r="FA80" s="291"/>
      <c r="FB80" s="291"/>
      <c r="FC80" s="291"/>
      <c r="FD80" s="291"/>
      <c r="FE80" s="291"/>
      <c r="FF80" s="291"/>
      <c r="FG80" s="291"/>
      <c r="FH80" s="291"/>
      <c r="FI80" s="291"/>
      <c r="FJ80" s="291"/>
      <c r="FK80" s="291"/>
      <c r="FL80" s="291"/>
      <c r="FM80" s="291"/>
      <c r="FN80" s="291"/>
      <c r="FO80" s="291"/>
      <c r="FP80" s="291"/>
      <c r="FQ80" s="291"/>
      <c r="FR80" s="291"/>
      <c r="FS80" s="291"/>
      <c r="FT80" s="291"/>
      <c r="FU80" s="291"/>
      <c r="FV80" s="291"/>
      <c r="FW80" s="291"/>
      <c r="FX80" s="291"/>
      <c r="FY80" s="291"/>
      <c r="FZ80" s="291"/>
      <c r="GA80" s="291"/>
      <c r="GB80" s="291"/>
      <c r="GC80" s="291"/>
      <c r="GD80" s="291"/>
      <c r="GE80" s="291"/>
      <c r="GF80" s="291"/>
      <c r="GG80" s="291"/>
      <c r="GH80" s="291"/>
      <c r="GI80" s="291"/>
      <c r="GJ80" s="291"/>
      <c r="GK80" s="291"/>
      <c r="GL80" s="291"/>
      <c r="GM80" s="291"/>
      <c r="GN80" s="291"/>
      <c r="GO80" s="291"/>
      <c r="GP80" s="291"/>
      <c r="GQ80" s="291"/>
      <c r="GR80" s="291"/>
      <c r="GS80" s="291"/>
      <c r="GT80" s="291"/>
      <c r="GU80" s="291"/>
      <c r="GV80" s="291"/>
      <c r="GW80" s="291"/>
      <c r="GX80" s="291"/>
      <c r="GY80" s="291"/>
      <c r="GZ80" s="291"/>
      <c r="HA80" s="291"/>
      <c r="HB80" s="291"/>
      <c r="HC80" s="291"/>
      <c r="HD80" s="291"/>
      <c r="HE80" s="291"/>
      <c r="HF80" s="291"/>
      <c r="HG80" s="291"/>
      <c r="HH80" s="291"/>
      <c r="HI80" s="291"/>
      <c r="HJ80" s="291"/>
      <c r="HK80" s="291"/>
      <c r="HL80" s="291"/>
      <c r="HM80" s="291"/>
      <c r="HN80" s="291"/>
      <c r="HO80" s="291"/>
      <c r="HP80" s="291"/>
      <c r="HQ80" s="291"/>
      <c r="HR80" s="291"/>
      <c r="HS80" s="291"/>
      <c r="HT80" s="291"/>
      <c r="HU80" s="291"/>
      <c r="HV80" s="291"/>
      <c r="HW80" s="291"/>
      <c r="HX80" s="291"/>
      <c r="HY80" s="291"/>
      <c r="HZ80" s="291"/>
      <c r="IA80" s="291"/>
      <c r="IB80" s="291"/>
      <c r="IC80" s="291"/>
      <c r="ID80" s="291"/>
      <c r="IE80" s="291"/>
      <c r="IF80" s="291"/>
      <c r="IG80" s="291"/>
      <c r="IH80" s="291"/>
      <c r="II80" s="291"/>
      <c r="IJ80" s="291"/>
      <c r="IK80" s="291"/>
      <c r="IL80" s="291"/>
      <c r="IM80" s="291"/>
      <c r="IN80" s="291"/>
      <c r="IO80" s="291"/>
      <c r="IP80" s="291"/>
      <c r="IQ80" s="291"/>
      <c r="IR80" s="291"/>
      <c r="IS80" s="291"/>
      <c r="IT80" s="291"/>
      <c r="IU80" s="291"/>
      <c r="IV80" s="291"/>
      <c r="IW80" s="291"/>
      <c r="IX80" s="291"/>
      <c r="IY80" s="291"/>
      <c r="IZ80" s="291"/>
      <c r="JA80" s="291"/>
      <c r="JB80" s="291"/>
      <c r="JC80" s="291"/>
      <c r="JD80" s="291"/>
      <c r="JE80" s="291"/>
      <c r="JF80" s="291"/>
      <c r="JG80" s="291"/>
      <c r="JH80" s="291"/>
      <c r="JI80" s="291"/>
      <c r="JJ80" s="291"/>
      <c r="JK80" s="291"/>
      <c r="JL80" s="291"/>
      <c r="JM80" s="291"/>
      <c r="JN80" s="291"/>
      <c r="JO80" s="291"/>
      <c r="JP80" s="291"/>
      <c r="JQ80" s="291"/>
      <c r="JR80" s="291"/>
      <c r="JS80" s="291"/>
      <c r="JT80" s="291"/>
      <c r="JU80" s="291"/>
      <c r="JV80" s="291"/>
      <c r="JW80" s="291"/>
      <c r="JX80" s="291"/>
      <c r="JY80" s="291"/>
      <c r="JZ80" s="291"/>
      <c r="KA80" s="291"/>
      <c r="KB80" s="291"/>
      <c r="KC80" s="291"/>
      <c r="KD80" s="291"/>
      <c r="KE80" s="291"/>
      <c r="KF80" s="291"/>
      <c r="KG80" s="291"/>
      <c r="KH80" s="291"/>
      <c r="KI80" s="291"/>
      <c r="KJ80" s="291"/>
      <c r="KK80" s="291"/>
      <c r="KL80" s="291"/>
      <c r="KM80" s="291"/>
      <c r="KN80" s="291"/>
      <c r="KO80" s="291"/>
      <c r="KP80" s="291"/>
      <c r="KQ80" s="291"/>
      <c r="KR80" s="291"/>
      <c r="KS80" s="291"/>
      <c r="KT80" s="291"/>
      <c r="KU80" s="291"/>
      <c r="KV80" s="291"/>
      <c r="KW80" s="291"/>
      <c r="KX80" s="291"/>
      <c r="KY80" s="291"/>
      <c r="KZ80" s="291"/>
      <c r="LA80" s="291"/>
      <c r="LB80" s="291"/>
      <c r="LC80" s="291"/>
      <c r="LD80" s="291"/>
      <c r="LE80" s="291"/>
      <c r="LF80" s="291"/>
      <c r="LG80" s="291"/>
      <c r="LH80" s="291"/>
      <c r="LI80" s="291"/>
      <c r="LJ80" s="291"/>
      <c r="LK80" s="291"/>
      <c r="LL80" s="291"/>
      <c r="LM80" s="291"/>
      <c r="LN80" s="291"/>
      <c r="LO80" s="291"/>
      <c r="LP80" s="291"/>
      <c r="LQ80" s="291"/>
      <c r="LR80" s="291"/>
      <c r="LS80" s="291"/>
      <c r="LT80" s="291"/>
      <c r="LU80" s="291"/>
      <c r="LV80" s="291"/>
      <c r="LW80" s="291"/>
      <c r="LX80" s="291"/>
      <c r="LY80" s="291"/>
      <c r="LZ80" s="291"/>
      <c r="MA80" s="291"/>
      <c r="MB80" s="291"/>
      <c r="MC80" s="291"/>
      <c r="MD80" s="291"/>
      <c r="ME80" s="291"/>
      <c r="MF80" s="291"/>
      <c r="MG80" s="291"/>
      <c r="MH80" s="291"/>
      <c r="MI80" s="291"/>
      <c r="MJ80" s="291"/>
      <c r="MK80" s="291"/>
      <c r="ML80" s="291"/>
      <c r="MM80" s="291"/>
      <c r="MN80" s="291"/>
      <c r="MO80" s="291"/>
      <c r="MP80" s="291"/>
      <c r="MQ80" s="291"/>
      <c r="MR80" s="291"/>
      <c r="MS80" s="291"/>
      <c r="MT80" s="291"/>
      <c r="MU80" s="291"/>
      <c r="MV80" s="291"/>
      <c r="MW80" s="291"/>
      <c r="MX80" s="291"/>
      <c r="MY80" s="291"/>
      <c r="MZ80" s="291"/>
      <c r="NA80" s="291"/>
      <c r="NB80" s="291"/>
      <c r="NC80" s="291"/>
      <c r="ND80" s="291"/>
      <c r="NE80" s="291"/>
      <c r="NF80" s="291"/>
      <c r="NG80" s="291"/>
      <c r="NH80" s="291"/>
      <c r="NI80" s="291"/>
      <c r="NJ80" s="291"/>
      <c r="NK80" s="291"/>
      <c r="NL80" s="291"/>
      <c r="NM80" s="291"/>
      <c r="NN80" s="291"/>
      <c r="NO80" s="291"/>
      <c r="NP80" s="291"/>
      <c r="NQ80" s="291"/>
      <c r="NR80" s="291"/>
      <c r="NS80" s="291"/>
      <c r="NT80" s="291"/>
      <c r="NU80" s="291"/>
      <c r="NV80" s="291"/>
      <c r="NW80" s="291"/>
      <c r="NX80" s="291"/>
      <c r="NY80" s="291"/>
      <c r="NZ80" s="291"/>
      <c r="OA80" s="291"/>
      <c r="OB80" s="291"/>
      <c r="OC80" s="291"/>
      <c r="OD80" s="291"/>
      <c r="OE80" s="291"/>
      <c r="OF80" s="291"/>
      <c r="OG80" s="291"/>
      <c r="OH80" s="291"/>
      <c r="OI80" s="291"/>
      <c r="OJ80" s="291"/>
      <c r="OK80" s="291"/>
      <c r="OL80" s="291"/>
      <c r="OM80" s="291"/>
      <c r="ON80" s="291"/>
      <c r="OO80" s="291"/>
      <c r="OP80" s="291"/>
      <c r="OQ80" s="291"/>
      <c r="OR80" s="291"/>
      <c r="OS80" s="291"/>
      <c r="OT80" s="291"/>
      <c r="OU80" s="291"/>
      <c r="OV80" s="291"/>
      <c r="OW80" s="291"/>
      <c r="OX80" s="291"/>
      <c r="OY80" s="291"/>
      <c r="OZ80" s="291"/>
      <c r="PA80" s="291"/>
      <c r="PB80" s="291"/>
      <c r="PC80" s="291"/>
      <c r="PD80" s="291"/>
      <c r="PE80" s="291"/>
      <c r="PF80" s="291"/>
      <c r="PG80" s="291"/>
      <c r="PH80" s="291"/>
      <c r="PI80" s="291"/>
      <c r="PJ80" s="291"/>
      <c r="PK80" s="291"/>
      <c r="PL80" s="291"/>
      <c r="PM80" s="291"/>
      <c r="PN80" s="291"/>
      <c r="PO80" s="291"/>
      <c r="PP80" s="291"/>
      <c r="PQ80" s="291"/>
      <c r="PR80" s="291"/>
      <c r="PS80" s="291"/>
      <c r="PT80" s="291"/>
      <c r="PU80" s="291"/>
      <c r="PV80" s="291"/>
      <c r="PW80" s="291"/>
      <c r="PX80" s="291"/>
      <c r="PY80" s="291"/>
      <c r="PZ80" s="291"/>
      <c r="QA80" s="291"/>
      <c r="QB80" s="291"/>
      <c r="QC80" s="291"/>
      <c r="QD80" s="291"/>
      <c r="QE80" s="291"/>
      <c r="QF80" s="291"/>
      <c r="QG80" s="291"/>
      <c r="QH80" s="291"/>
      <c r="QI80" s="291"/>
      <c r="QJ80" s="291"/>
      <c r="QK80" s="291"/>
      <c r="QL80" s="291"/>
      <c r="QM80" s="291"/>
      <c r="QN80" s="291"/>
      <c r="QO80" s="291"/>
      <c r="QP80" s="291"/>
      <c r="QQ80" s="291"/>
      <c r="QR80" s="291"/>
      <c r="QS80" s="291"/>
      <c r="QT80" s="291"/>
      <c r="QU80" s="291"/>
      <c r="QV80" s="291"/>
      <c r="QW80" s="291"/>
      <c r="QX80" s="291"/>
      <c r="QY80" s="291"/>
      <c r="QZ80" s="291"/>
      <c r="RA80" s="291"/>
      <c r="RB80" s="291"/>
      <c r="RC80" s="291"/>
      <c r="RD80" s="291"/>
      <c r="RE80" s="291"/>
      <c r="RF80" s="291"/>
      <c r="RG80" s="291"/>
      <c r="RH80" s="291"/>
      <c r="RI80" s="291"/>
      <c r="RJ80" s="291"/>
      <c r="RK80" s="291"/>
      <c r="RL80" s="291"/>
      <c r="RM80" s="291"/>
      <c r="RN80" s="291"/>
      <c r="RO80" s="291"/>
      <c r="RP80" s="291"/>
      <c r="RQ80" s="291"/>
      <c r="RR80" s="291"/>
      <c r="RS80" s="291"/>
      <c r="RT80" s="291"/>
      <c r="RU80" s="291"/>
      <c r="RV80" s="291"/>
      <c r="RW80" s="291"/>
      <c r="RX80" s="291"/>
      <c r="RY80" s="291"/>
      <c r="RZ80" s="291"/>
      <c r="SA80" s="291"/>
      <c r="SB80" s="291"/>
      <c r="SC80" s="291"/>
      <c r="SD80" s="291"/>
      <c r="SE80" s="291"/>
      <c r="SF80" s="291"/>
      <c r="SG80" s="291"/>
      <c r="SH80" s="291"/>
      <c r="SI80" s="291"/>
      <c r="SJ80" s="291"/>
      <c r="SK80" s="291"/>
      <c r="SL80" s="291"/>
      <c r="SM80" s="291"/>
      <c r="SN80" s="291"/>
      <c r="SO80" s="291"/>
      <c r="SP80" s="291"/>
      <c r="SQ80" s="291"/>
      <c r="SR80" s="291"/>
      <c r="SS80" s="291"/>
      <c r="ST80" s="291"/>
      <c r="SU80" s="291"/>
      <c r="SV80" s="291"/>
      <c r="SW80" s="291"/>
      <c r="SX80" s="291"/>
      <c r="SY80" s="291"/>
      <c r="SZ80" s="291"/>
      <c r="TA80" s="291"/>
      <c r="TB80" s="291"/>
      <c r="TC80" s="291"/>
      <c r="TD80" s="291"/>
      <c r="TE80" s="291"/>
      <c r="TF80" s="291"/>
      <c r="TG80" s="291"/>
      <c r="TH80" s="291"/>
      <c r="TI80" s="291"/>
      <c r="TJ80" s="291"/>
      <c r="TK80" s="291"/>
      <c r="TL80" s="291"/>
      <c r="TM80" s="291"/>
      <c r="TN80" s="291"/>
      <c r="TO80" s="291"/>
      <c r="TP80" s="291"/>
      <c r="TQ80" s="291"/>
      <c r="TR80" s="291"/>
    </row>
    <row r="81" spans="1:22" x14ac:dyDescent="0.25">
      <c r="A81" s="1393"/>
      <c r="B81" s="1394"/>
      <c r="C81" s="1394"/>
      <c r="D81" s="1394"/>
      <c r="E81" s="1394"/>
      <c r="F81" s="1394"/>
      <c r="G81" s="1394"/>
      <c r="H81" s="1394"/>
      <c r="I81" s="1394"/>
      <c r="J81" s="1394"/>
      <c r="K81" s="1394"/>
      <c r="L81" s="1395"/>
      <c r="V81" s="298" t="s">
        <v>358</v>
      </c>
    </row>
    <row r="82" spans="1:22" ht="74.25" customHeight="1" x14ac:dyDescent="0.25">
      <c r="A82" s="82" t="s">
        <v>292</v>
      </c>
      <c r="B82" s="1621" t="s">
        <v>462</v>
      </c>
      <c r="C82" s="1621"/>
      <c r="D82" s="1621"/>
      <c r="E82" s="1621"/>
      <c r="F82" s="1621"/>
      <c r="G82" s="1621"/>
      <c r="H82" s="1621"/>
      <c r="I82" s="1621"/>
      <c r="J82" s="1621"/>
      <c r="K82" s="1621"/>
      <c r="L82" s="1621"/>
      <c r="M82" s="298"/>
      <c r="N82" s="298"/>
      <c r="O82" s="298"/>
      <c r="V82" s="298"/>
    </row>
    <row r="83" spans="1:22" ht="25.5" customHeight="1" x14ac:dyDescent="0.25">
      <c r="A83" s="82" t="s">
        <v>294</v>
      </c>
      <c r="B83" s="1396" t="s">
        <v>463</v>
      </c>
      <c r="C83" s="1396"/>
      <c r="D83" s="1396"/>
      <c r="E83" s="1396"/>
      <c r="F83" s="1396"/>
      <c r="G83" s="1396"/>
      <c r="H83" s="1396"/>
      <c r="I83" s="1396"/>
      <c r="J83" s="1396"/>
      <c r="K83" s="1396"/>
      <c r="L83" s="1396"/>
      <c r="M83" s="298"/>
      <c r="N83" s="298"/>
      <c r="O83" s="298"/>
    </row>
    <row r="84" spans="1:22" ht="18" customHeight="1" x14ac:dyDescent="0.25">
      <c r="A84" s="82" t="s">
        <v>296</v>
      </c>
      <c r="B84" s="1396" t="s">
        <v>464</v>
      </c>
      <c r="C84" s="1396"/>
      <c r="D84" s="1396"/>
      <c r="E84" s="1396"/>
      <c r="F84" s="1396"/>
      <c r="G84" s="1396"/>
      <c r="H84" s="1396"/>
      <c r="I84" s="1396"/>
      <c r="J84" s="1396"/>
      <c r="K84" s="1396"/>
      <c r="L84" s="1396"/>
      <c r="M84" s="298"/>
      <c r="N84" s="298"/>
      <c r="O84" s="298"/>
    </row>
    <row r="85" spans="1:22" ht="30" customHeight="1" x14ac:dyDescent="0.25">
      <c r="A85" s="82" t="s">
        <v>465</v>
      </c>
      <c r="B85" s="1397" t="s">
        <v>466</v>
      </c>
      <c r="C85" s="1397"/>
      <c r="D85" s="1397"/>
      <c r="E85" s="1397"/>
      <c r="F85" s="1397"/>
      <c r="G85" s="1397"/>
      <c r="H85" s="1397"/>
      <c r="I85" s="1397"/>
      <c r="J85" s="1397"/>
      <c r="K85" s="1397"/>
      <c r="L85" s="1397"/>
      <c r="M85" s="310"/>
      <c r="N85" s="310"/>
      <c r="O85" s="310"/>
      <c r="P85" s="307"/>
      <c r="Q85" s="307"/>
      <c r="R85" s="307"/>
      <c r="S85" s="307"/>
      <c r="T85" s="307"/>
    </row>
    <row r="86" spans="1:22" ht="21.75" customHeight="1" x14ac:dyDescent="0.25">
      <c r="A86" s="82" t="s">
        <v>467</v>
      </c>
      <c r="B86" s="1396" t="s">
        <v>468</v>
      </c>
      <c r="C86" s="1396"/>
      <c r="D86" s="1396"/>
      <c r="E86" s="1396"/>
      <c r="F86" s="1396"/>
      <c r="G86" s="1396"/>
      <c r="H86" s="1396"/>
      <c r="I86" s="1396"/>
      <c r="J86" s="1396"/>
      <c r="K86" s="1396"/>
      <c r="L86" s="1396"/>
      <c r="M86" s="298"/>
      <c r="N86" s="298"/>
      <c r="O86" s="298"/>
    </row>
    <row r="87" spans="1:22" ht="15.5" x14ac:dyDescent="0.25">
      <c r="B87" s="61"/>
    </row>
    <row r="88" spans="1:22" ht="15.5" x14ac:dyDescent="0.25">
      <c r="B88" s="61"/>
    </row>
    <row r="89" spans="1:22" ht="15.5" x14ac:dyDescent="0.25">
      <c r="B89" s="61"/>
    </row>
    <row r="90" spans="1:22" ht="15.5" x14ac:dyDescent="0.25">
      <c r="B90" s="61"/>
    </row>
    <row r="91" spans="1:22" ht="15.5" x14ac:dyDescent="0.25">
      <c r="B91" s="61"/>
    </row>
  </sheetData>
  <mergeCells count="242">
    <mergeCell ref="AM6:AN6"/>
    <mergeCell ref="BA6:BB6"/>
    <mergeCell ref="B82:L82"/>
    <mergeCell ref="G6:H6"/>
    <mergeCell ref="O6:P6"/>
    <mergeCell ref="A39:C39"/>
    <mergeCell ref="G39:J39"/>
    <mergeCell ref="O39:R39"/>
    <mergeCell ref="W39:Z39"/>
    <mergeCell ref="AE39:AH39"/>
    <mergeCell ref="AM39:AP39"/>
    <mergeCell ref="AU39:AX39"/>
    <mergeCell ref="A40:C40"/>
    <mergeCell ref="AR40:AU40"/>
    <mergeCell ref="AW40:AX40"/>
    <mergeCell ref="AZ40:AZ41"/>
    <mergeCell ref="F41:J41"/>
    <mergeCell ref="N41:R41"/>
    <mergeCell ref="V41:Z41"/>
    <mergeCell ref="AD41:AH41"/>
    <mergeCell ref="AL41:AP41"/>
    <mergeCell ref="AT41:AX41"/>
    <mergeCell ref="Y40:Z40"/>
    <mergeCell ref="AB40:AE40"/>
    <mergeCell ref="AR5:AY5"/>
    <mergeCell ref="AZ5:BB5"/>
    <mergeCell ref="A6:C6"/>
    <mergeCell ref="D6:F6"/>
    <mergeCell ref="I6:K6"/>
    <mergeCell ref="AU6:AV6"/>
    <mergeCell ref="A1:B1"/>
    <mergeCell ref="D1:BB3"/>
    <mergeCell ref="B2:C2"/>
    <mergeCell ref="B3:C3"/>
    <mergeCell ref="A4:C5"/>
    <mergeCell ref="D4:K4"/>
    <mergeCell ref="L4:S4"/>
    <mergeCell ref="T4:AA4"/>
    <mergeCell ref="AB4:AI4"/>
    <mergeCell ref="AJ4:AQ4"/>
    <mergeCell ref="AR4:AY4"/>
    <mergeCell ref="AZ4:BB4"/>
    <mergeCell ref="D5:K5"/>
    <mergeCell ref="L5:S5"/>
    <mergeCell ref="T5:AA5"/>
    <mergeCell ref="AB5:AI5"/>
    <mergeCell ref="AJ5:AQ5"/>
    <mergeCell ref="AE6:AF6"/>
    <mergeCell ref="AG40:AH40"/>
    <mergeCell ref="AJ40:AM40"/>
    <mergeCell ref="AO40:AP40"/>
    <mergeCell ref="D40:G40"/>
    <mergeCell ref="I40:J40"/>
    <mergeCell ref="L40:O40"/>
    <mergeCell ref="Q40:R40"/>
    <mergeCell ref="T40:W40"/>
    <mergeCell ref="A43:C43"/>
    <mergeCell ref="D43:I43"/>
    <mergeCell ref="L43:Q43"/>
    <mergeCell ref="T43:Y43"/>
    <mergeCell ref="AB43:AG43"/>
    <mergeCell ref="AJ43:AO43"/>
    <mergeCell ref="AR43:AW43"/>
    <mergeCell ref="A42:C42"/>
    <mergeCell ref="D42:J42"/>
    <mergeCell ref="L42:R42"/>
    <mergeCell ref="T42:Z42"/>
    <mergeCell ref="AB42:AH42"/>
    <mergeCell ref="AZ43:AZ44"/>
    <mergeCell ref="F44:J44"/>
    <mergeCell ref="N44:R44"/>
    <mergeCell ref="V44:Z44"/>
    <mergeCell ref="AD44:AG44"/>
    <mergeCell ref="AL44:AP44"/>
    <mergeCell ref="AT44:AX44"/>
    <mergeCell ref="AJ42:AP42"/>
    <mergeCell ref="AR42:AX42"/>
    <mergeCell ref="AJ45:AP45"/>
    <mergeCell ref="AR45:AX45"/>
    <mergeCell ref="A46:B46"/>
    <mergeCell ref="D46:J46"/>
    <mergeCell ref="L46:R46"/>
    <mergeCell ref="T46:AA46"/>
    <mergeCell ref="AB46:AH46"/>
    <mergeCell ref="AJ46:AP46"/>
    <mergeCell ref="AR46:BA46"/>
    <mergeCell ref="A45:C45"/>
    <mergeCell ref="D45:J45"/>
    <mergeCell ref="L45:R45"/>
    <mergeCell ref="T45:Z45"/>
    <mergeCell ref="AB45:AH45"/>
    <mergeCell ref="AR47:AX50"/>
    <mergeCell ref="A51:C51"/>
    <mergeCell ref="D51:J51"/>
    <mergeCell ref="L51:R51"/>
    <mergeCell ref="T51:Z51"/>
    <mergeCell ref="AB51:AH51"/>
    <mergeCell ref="AJ51:AP51"/>
    <mergeCell ref="AR51:AX51"/>
    <mergeCell ref="D47:J50"/>
    <mergeCell ref="L47:R50"/>
    <mergeCell ref="T47:Z50"/>
    <mergeCell ref="AB47:AH50"/>
    <mergeCell ref="AJ47:AP50"/>
    <mergeCell ref="AL52:AP52"/>
    <mergeCell ref="AT52:AY52"/>
    <mergeCell ref="F53:J56"/>
    <mergeCell ref="N53:R56"/>
    <mergeCell ref="V53:Z56"/>
    <mergeCell ref="AD53:AH56"/>
    <mergeCell ref="AL53:AP56"/>
    <mergeCell ref="AT53:AX56"/>
    <mergeCell ref="A52:C52"/>
    <mergeCell ref="F52:K52"/>
    <mergeCell ref="N52:R52"/>
    <mergeCell ref="V52:AA52"/>
    <mergeCell ref="AD52:AH52"/>
    <mergeCell ref="AJ57:AP57"/>
    <mergeCell ref="AR57:AX57"/>
    <mergeCell ref="A58:C58"/>
    <mergeCell ref="D58:J58"/>
    <mergeCell ref="L58:R58"/>
    <mergeCell ref="T58:AA58"/>
    <mergeCell ref="AB58:AH58"/>
    <mergeCell ref="AJ58:AP58"/>
    <mergeCell ref="AR58:BA58"/>
    <mergeCell ref="A57:C57"/>
    <mergeCell ref="D57:J57"/>
    <mergeCell ref="L57:R57"/>
    <mergeCell ref="T57:Z57"/>
    <mergeCell ref="AB57:AH57"/>
    <mergeCell ref="A64:C64"/>
    <mergeCell ref="F64:J64"/>
    <mergeCell ref="N64:R64"/>
    <mergeCell ref="V64:AA64"/>
    <mergeCell ref="AD64:AH64"/>
    <mergeCell ref="AR59:AX62"/>
    <mergeCell ref="AZ59:AZ62"/>
    <mergeCell ref="A63:C63"/>
    <mergeCell ref="D63:J63"/>
    <mergeCell ref="L63:R63"/>
    <mergeCell ref="T63:Z63"/>
    <mergeCell ref="AB63:AH63"/>
    <mergeCell ref="AJ63:AP63"/>
    <mergeCell ref="AR63:AX63"/>
    <mergeCell ref="D59:J62"/>
    <mergeCell ref="L59:R62"/>
    <mergeCell ref="T59:Z62"/>
    <mergeCell ref="AB59:AH62"/>
    <mergeCell ref="AJ59:AP62"/>
    <mergeCell ref="AL64:AP64"/>
    <mergeCell ref="AT64:BA64"/>
    <mergeCell ref="F65:J66"/>
    <mergeCell ref="N65:R66"/>
    <mergeCell ref="V65:Z66"/>
    <mergeCell ref="AD65:AH66"/>
    <mergeCell ref="AL65:AP66"/>
    <mergeCell ref="AT65:AX66"/>
    <mergeCell ref="AZ65:AZ66"/>
    <mergeCell ref="AJ67:AP67"/>
    <mergeCell ref="AR67:AX67"/>
    <mergeCell ref="A68:C68"/>
    <mergeCell ref="D68:J68"/>
    <mergeCell ref="T68:Z68"/>
    <mergeCell ref="AB68:AH68"/>
    <mergeCell ref="AJ68:AP68"/>
    <mergeCell ref="AR68:AX68"/>
    <mergeCell ref="A67:C67"/>
    <mergeCell ref="D67:J67"/>
    <mergeCell ref="L67:R67"/>
    <mergeCell ref="T67:Z67"/>
    <mergeCell ref="AB67:AH67"/>
    <mergeCell ref="AL69:AP69"/>
    <mergeCell ref="AT69:BA69"/>
    <mergeCell ref="F70:J71"/>
    <mergeCell ref="N70:R71"/>
    <mergeCell ref="V70:Z71"/>
    <mergeCell ref="AD70:AH71"/>
    <mergeCell ref="AT70:AX71"/>
    <mergeCell ref="AZ70:AZ71"/>
    <mergeCell ref="A69:C69"/>
    <mergeCell ref="F69:J69"/>
    <mergeCell ref="N69:R69"/>
    <mergeCell ref="V69:AA69"/>
    <mergeCell ref="AD69:AH69"/>
    <mergeCell ref="AJ72:AP72"/>
    <mergeCell ref="AR72:AX72"/>
    <mergeCell ref="A73:C73"/>
    <mergeCell ref="D73:J73"/>
    <mergeCell ref="L73:R73"/>
    <mergeCell ref="T73:Z73"/>
    <mergeCell ref="AB73:AH73"/>
    <mergeCell ref="AJ73:AP73"/>
    <mergeCell ref="AR73:AX73"/>
    <mergeCell ref="A72:C72"/>
    <mergeCell ref="D72:J72"/>
    <mergeCell ref="L72:R72"/>
    <mergeCell ref="T72:Z72"/>
    <mergeCell ref="AB72:AH72"/>
    <mergeCell ref="AT74:BA74"/>
    <mergeCell ref="F75:J76"/>
    <mergeCell ref="AD75:AH76"/>
    <mergeCell ref="AT75:AX76"/>
    <mergeCell ref="AZ75:AZ76"/>
    <mergeCell ref="A74:C74"/>
    <mergeCell ref="F74:J74"/>
    <mergeCell ref="N74:R74"/>
    <mergeCell ref="V74:AA74"/>
    <mergeCell ref="AD74:AH74"/>
    <mergeCell ref="AJ77:AP77"/>
    <mergeCell ref="AR77:AX77"/>
    <mergeCell ref="A78:C78"/>
    <mergeCell ref="D78:J78"/>
    <mergeCell ref="L78:R78"/>
    <mergeCell ref="T78:Z78"/>
    <mergeCell ref="AB78:AH78"/>
    <mergeCell ref="AJ78:AP78"/>
    <mergeCell ref="AR78:AX78"/>
    <mergeCell ref="A77:C77"/>
    <mergeCell ref="D77:J77"/>
    <mergeCell ref="L77:R77"/>
    <mergeCell ref="T77:Z77"/>
    <mergeCell ref="AB77:AH77"/>
    <mergeCell ref="A81:L81"/>
    <mergeCell ref="B83:L83"/>
    <mergeCell ref="B84:L84"/>
    <mergeCell ref="B85:L85"/>
    <mergeCell ref="B86:L86"/>
    <mergeCell ref="AL79:AP79"/>
    <mergeCell ref="AT79:AX79"/>
    <mergeCell ref="A80:C80"/>
    <mergeCell ref="D80:J80"/>
    <mergeCell ref="L80:R80"/>
    <mergeCell ref="T80:Z80"/>
    <mergeCell ref="AB80:AH80"/>
    <mergeCell ref="AJ80:AP80"/>
    <mergeCell ref="AR80:AX80"/>
    <mergeCell ref="A79:B79"/>
    <mergeCell ref="F79:J79"/>
    <mergeCell ref="N79:R79"/>
    <mergeCell ref="V79:Z79"/>
    <mergeCell ref="AD79:AH79"/>
  </mergeCells>
  <phoneticPr fontId="20" type="noConversion"/>
  <pageMargins left="0.25" right="0.25" top="0.75" bottom="0.75" header="0.3" footer="0.3"/>
  <pageSetup scale="42" fitToHeight="3" orientation="landscape"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3">
    <tabColor rgb="FFF79646"/>
  </sheetPr>
  <dimension ref="A1:TR84"/>
  <sheetViews>
    <sheetView workbookViewId="0">
      <pane xSplit="2" topLeftCell="C1" activePane="topRight" state="frozen"/>
      <selection pane="topRight" activeCell="C28" sqref="C28"/>
    </sheetView>
  </sheetViews>
  <sheetFormatPr defaultColWidth="8.453125" defaultRowHeight="12.5" x14ac:dyDescent="0.25"/>
  <cols>
    <col min="1" max="1" width="18.81640625" style="291" customWidth="1"/>
    <col min="2" max="2" width="42.453125" style="291" customWidth="1"/>
    <col min="3" max="3" width="35.453125" style="291" customWidth="1"/>
    <col min="4" max="4" width="13.453125" style="291" customWidth="1"/>
    <col min="5" max="5" width="14.453125" style="291" bestFit="1" customWidth="1"/>
    <col min="6" max="6" width="12.81640625" style="291" bestFit="1" customWidth="1"/>
    <col min="7" max="7" width="12.453125" style="291" customWidth="1"/>
    <col min="8" max="8" width="12.81640625" style="291" bestFit="1" customWidth="1"/>
    <col min="9" max="9" width="12.453125" style="291" customWidth="1"/>
    <col min="10" max="10" width="12.81640625" style="291" bestFit="1" customWidth="1"/>
    <col min="11" max="11" width="12.453125" style="291" customWidth="1"/>
    <col min="12" max="12" width="14" style="291" customWidth="1"/>
    <col min="13" max="13" width="12.453125" style="291" customWidth="1"/>
    <col min="14" max="14" width="12.81640625" style="291" bestFit="1" customWidth="1"/>
    <col min="15" max="15" width="12.453125" style="291" customWidth="1"/>
    <col min="16" max="16" width="12.81640625" style="291" bestFit="1" customWidth="1"/>
    <col min="17" max="17" width="12.453125" style="291" customWidth="1"/>
    <col min="18" max="18" width="12.81640625" style="291" bestFit="1" customWidth="1"/>
    <col min="19" max="19" width="11.453125" style="291" customWidth="1"/>
    <col min="20" max="20" width="16.54296875" style="291" customWidth="1"/>
    <col min="21" max="21" width="12.453125" style="291" customWidth="1"/>
    <col min="22" max="22" width="12.81640625" style="291" bestFit="1" customWidth="1"/>
    <col min="23" max="23" width="12.453125" style="291" customWidth="1"/>
    <col min="24" max="24" width="12.81640625" style="291" bestFit="1" customWidth="1"/>
    <col min="25" max="25" width="12.453125" style="291" customWidth="1"/>
    <col min="26" max="26" width="12.81640625" style="291" bestFit="1" customWidth="1"/>
    <col min="27" max="27" width="11.453125" style="291" customWidth="1"/>
    <col min="28" max="28" width="14.54296875" style="291" customWidth="1"/>
    <col min="29" max="29" width="12.453125" style="291" customWidth="1"/>
    <col min="30" max="30" width="12.81640625" style="291" bestFit="1" customWidth="1"/>
    <col min="31" max="31" width="12.453125" style="291" customWidth="1"/>
    <col min="32" max="32" width="12.81640625" style="291" bestFit="1" customWidth="1"/>
    <col min="33" max="33" width="12.453125" style="291" customWidth="1"/>
    <col min="34" max="34" width="12.81640625" style="291" bestFit="1" customWidth="1"/>
    <col min="35" max="35" width="11.453125" style="291" customWidth="1"/>
    <col min="36" max="36" width="14.7265625" style="291" customWidth="1"/>
    <col min="37" max="37" width="12.453125" style="291" customWidth="1"/>
    <col min="38" max="38" width="12.81640625" style="291" bestFit="1" customWidth="1"/>
    <col min="39" max="39" width="12.453125" style="291" customWidth="1"/>
    <col min="40" max="40" width="12.81640625" style="291" bestFit="1" customWidth="1"/>
    <col min="41" max="41" width="12.453125" style="291" customWidth="1"/>
    <col min="42" max="42" width="12.81640625" style="291" bestFit="1" customWidth="1"/>
    <col min="43" max="43" width="11.453125" style="291" customWidth="1"/>
    <col min="44" max="44" width="14.54296875" style="291" customWidth="1"/>
    <col min="45" max="45" width="12.453125" style="291" customWidth="1"/>
    <col min="46" max="46" width="12.81640625" style="291" bestFit="1" customWidth="1"/>
    <col min="47" max="47" width="12.453125" style="291" customWidth="1"/>
    <col min="48" max="48" width="16.54296875" style="291" bestFit="1" customWidth="1"/>
    <col min="49" max="49" width="12.453125" style="291" customWidth="1"/>
    <col min="50" max="50" width="12.81640625" style="291" bestFit="1" customWidth="1"/>
    <col min="51" max="51" width="11.453125" style="291" customWidth="1"/>
    <col min="52" max="52" width="11.1796875" style="291" customWidth="1"/>
    <col min="53" max="53" width="13" style="291" customWidth="1"/>
    <col min="54" max="54" width="12.453125" style="291" customWidth="1"/>
    <col min="55" max="16384" width="8.453125" style="291"/>
  </cols>
  <sheetData>
    <row r="1" spans="1:54" ht="27.65" customHeight="1" x14ac:dyDescent="0.25">
      <c r="A1" s="1586" t="s">
        <v>469</v>
      </c>
      <c r="B1" s="1587"/>
      <c r="C1" s="312" t="s">
        <v>426</v>
      </c>
      <c r="D1" s="1588"/>
      <c r="E1" s="1589"/>
      <c r="F1" s="1589"/>
      <c r="G1" s="1589"/>
      <c r="H1" s="1589"/>
      <c r="I1" s="1589"/>
      <c r="J1" s="1589"/>
      <c r="K1" s="1589"/>
      <c r="L1" s="1589"/>
      <c r="M1" s="1589"/>
      <c r="N1" s="1589"/>
      <c r="O1" s="1589"/>
      <c r="P1" s="1589"/>
      <c r="Q1" s="1589"/>
      <c r="R1" s="1589"/>
      <c r="S1" s="1589"/>
      <c r="T1" s="1589"/>
      <c r="U1" s="1589"/>
      <c r="V1" s="1589"/>
      <c r="W1" s="1589"/>
      <c r="X1" s="1589"/>
      <c r="Y1" s="1589"/>
      <c r="Z1" s="1589"/>
      <c r="AA1" s="1589"/>
      <c r="AB1" s="1589"/>
      <c r="AC1" s="1589"/>
      <c r="AD1" s="1589"/>
      <c r="AE1" s="1589"/>
      <c r="AF1" s="1589"/>
      <c r="AG1" s="1589"/>
      <c r="AH1" s="1589"/>
      <c r="AI1" s="1589"/>
      <c r="AJ1" s="1589"/>
      <c r="AK1" s="1589"/>
      <c r="AL1" s="1589"/>
      <c r="AM1" s="1589"/>
      <c r="AN1" s="1589"/>
      <c r="AO1" s="1589"/>
      <c r="AP1" s="1589"/>
      <c r="AQ1" s="1589"/>
      <c r="AR1" s="1589"/>
      <c r="AS1" s="1589"/>
      <c r="AT1" s="1589"/>
      <c r="AU1" s="1589"/>
      <c r="AV1" s="1589"/>
      <c r="AW1" s="1589"/>
      <c r="AX1" s="1589"/>
      <c r="AY1" s="1589"/>
      <c r="AZ1" s="1589"/>
      <c r="BA1" s="1589"/>
      <c r="BB1" s="1589"/>
    </row>
    <row r="2" spans="1:54" ht="13" x14ac:dyDescent="0.25">
      <c r="A2" s="311" t="s">
        <v>320</v>
      </c>
      <c r="B2" s="1590" t="str">
        <f>General!D4</f>
        <v>Name</v>
      </c>
      <c r="C2" s="1591"/>
      <c r="D2" s="1588"/>
      <c r="E2" s="1589"/>
      <c r="F2" s="1589"/>
      <c r="G2" s="1589"/>
      <c r="H2" s="1589"/>
      <c r="I2" s="1589"/>
      <c r="J2" s="1589"/>
      <c r="K2" s="1589"/>
      <c r="L2" s="1589"/>
      <c r="M2" s="1589"/>
      <c r="N2" s="1589"/>
      <c r="O2" s="1589"/>
      <c r="P2" s="1589"/>
      <c r="Q2" s="1589"/>
      <c r="R2" s="1589"/>
      <c r="S2" s="1589"/>
      <c r="T2" s="1589"/>
      <c r="U2" s="1589"/>
      <c r="V2" s="1589"/>
      <c r="W2" s="1589"/>
      <c r="X2" s="1589"/>
      <c r="Y2" s="1589"/>
      <c r="Z2" s="1589"/>
      <c r="AA2" s="1589"/>
      <c r="AB2" s="1589"/>
      <c r="AC2" s="1589"/>
      <c r="AD2" s="1589"/>
      <c r="AE2" s="1589"/>
      <c r="AF2" s="1589"/>
      <c r="AG2" s="1589"/>
      <c r="AH2" s="1589"/>
      <c r="AI2" s="1589"/>
      <c r="AJ2" s="1589"/>
      <c r="AK2" s="1589"/>
      <c r="AL2" s="1589"/>
      <c r="AM2" s="1589"/>
      <c r="AN2" s="1589"/>
      <c r="AO2" s="1589"/>
      <c r="AP2" s="1589"/>
      <c r="AQ2" s="1589"/>
      <c r="AR2" s="1589"/>
      <c r="AS2" s="1589"/>
      <c r="AT2" s="1589"/>
      <c r="AU2" s="1589"/>
      <c r="AV2" s="1589"/>
      <c r="AW2" s="1589"/>
      <c r="AX2" s="1589"/>
      <c r="AY2" s="1589"/>
      <c r="AZ2" s="1589"/>
      <c r="BA2" s="1589"/>
      <c r="BB2" s="1589"/>
    </row>
    <row r="3" spans="1:54" ht="13" x14ac:dyDescent="0.25">
      <c r="A3" s="311" t="s">
        <v>321</v>
      </c>
      <c r="B3" s="1590" t="str">
        <f>General!D5</f>
        <v>Name</v>
      </c>
      <c r="C3" s="1591"/>
      <c r="D3" s="1588"/>
      <c r="E3" s="1589"/>
      <c r="F3" s="1589"/>
      <c r="G3" s="1589"/>
      <c r="H3" s="1589"/>
      <c r="I3" s="1589"/>
      <c r="J3" s="1589"/>
      <c r="K3" s="1589"/>
      <c r="L3" s="1589"/>
      <c r="M3" s="1589"/>
      <c r="N3" s="1589"/>
      <c r="O3" s="1589"/>
      <c r="P3" s="1589"/>
      <c r="Q3" s="1589"/>
      <c r="R3" s="1589"/>
      <c r="S3" s="1589"/>
      <c r="T3" s="1589"/>
      <c r="U3" s="1589"/>
      <c r="V3" s="1589"/>
      <c r="W3" s="1589"/>
      <c r="X3" s="1589"/>
      <c r="Y3" s="1589"/>
      <c r="Z3" s="1589"/>
      <c r="AA3" s="1589"/>
      <c r="AB3" s="1589"/>
      <c r="AC3" s="1589"/>
      <c r="AD3" s="1589"/>
      <c r="AE3" s="1589"/>
      <c r="AF3" s="1589"/>
      <c r="AG3" s="1589"/>
      <c r="AH3" s="1589"/>
      <c r="AI3" s="1589"/>
      <c r="AJ3" s="1589"/>
      <c r="AK3" s="1589"/>
      <c r="AL3" s="1589"/>
      <c r="AM3" s="1589"/>
      <c r="AN3" s="1589"/>
      <c r="AO3" s="1589"/>
      <c r="AP3" s="1589"/>
      <c r="AQ3" s="1589"/>
      <c r="AR3" s="1589"/>
      <c r="AS3" s="1589"/>
      <c r="AT3" s="1589"/>
      <c r="AU3" s="1589"/>
      <c r="AV3" s="1589"/>
      <c r="AW3" s="1589"/>
      <c r="AX3" s="1589"/>
      <c r="AY3" s="1589"/>
      <c r="AZ3" s="1589"/>
      <c r="BA3" s="1589"/>
      <c r="BB3" s="1589"/>
    </row>
    <row r="4" spans="1:54" ht="13.5" customHeight="1" thickBot="1" x14ac:dyDescent="0.3">
      <c r="A4" s="1592"/>
      <c r="B4" s="1592"/>
      <c r="C4" s="1592"/>
      <c r="D4" s="1593" t="s">
        <v>427</v>
      </c>
      <c r="E4" s="1593"/>
      <c r="F4" s="1593"/>
      <c r="G4" s="1593"/>
      <c r="H4" s="1593"/>
      <c r="I4" s="1593"/>
      <c r="J4" s="1593"/>
      <c r="K4" s="1594"/>
      <c r="L4" s="1595" t="s">
        <v>427</v>
      </c>
      <c r="M4" s="1596"/>
      <c r="N4" s="1596"/>
      <c r="O4" s="1596"/>
      <c r="P4" s="1596"/>
      <c r="Q4" s="1596"/>
      <c r="R4" s="1596"/>
      <c r="S4" s="1597"/>
      <c r="T4" s="1598" t="s">
        <v>427</v>
      </c>
      <c r="U4" s="1599"/>
      <c r="V4" s="1599"/>
      <c r="W4" s="1599"/>
      <c r="X4" s="1599"/>
      <c r="Y4" s="1599"/>
      <c r="Z4" s="1599"/>
      <c r="AA4" s="1600"/>
      <c r="AB4" s="1601" t="s">
        <v>427</v>
      </c>
      <c r="AC4" s="1602"/>
      <c r="AD4" s="1602"/>
      <c r="AE4" s="1602"/>
      <c r="AF4" s="1602"/>
      <c r="AG4" s="1602"/>
      <c r="AH4" s="1602"/>
      <c r="AI4" s="1603"/>
      <c r="AJ4" s="1595" t="s">
        <v>427</v>
      </c>
      <c r="AK4" s="1596"/>
      <c r="AL4" s="1596"/>
      <c r="AM4" s="1596"/>
      <c r="AN4" s="1596"/>
      <c r="AO4" s="1596"/>
      <c r="AP4" s="1596"/>
      <c r="AQ4" s="1597"/>
      <c r="AR4" s="1604" t="s">
        <v>427</v>
      </c>
      <c r="AS4" s="1593"/>
      <c r="AT4" s="1593"/>
      <c r="AU4" s="1593"/>
      <c r="AV4" s="1593"/>
      <c r="AW4" s="1593"/>
      <c r="AX4" s="1593"/>
      <c r="AY4" s="1605"/>
      <c r="AZ4" s="1606"/>
      <c r="BA4" s="1607"/>
      <c r="BB4" s="1607"/>
    </row>
    <row r="5" spans="1:54" x14ac:dyDescent="0.25">
      <c r="A5" s="1592"/>
      <c r="B5" s="1592"/>
      <c r="C5" s="1592"/>
      <c r="D5" s="1608" t="str">
        <f>Period1_Label</f>
        <v>FY 1</v>
      </c>
      <c r="E5" s="1609"/>
      <c r="F5" s="1609"/>
      <c r="G5" s="1609"/>
      <c r="H5" s="1609"/>
      <c r="I5" s="1609"/>
      <c r="J5" s="1609"/>
      <c r="K5" s="1610"/>
      <c r="L5" s="1611" t="str">
        <f>Period2_Label</f>
        <v>FY 2</v>
      </c>
      <c r="M5" s="1576"/>
      <c r="N5" s="1576"/>
      <c r="O5" s="1576"/>
      <c r="P5" s="1576"/>
      <c r="Q5" s="1576"/>
      <c r="R5" s="1576"/>
      <c r="S5" s="1612"/>
      <c r="T5" s="1613" t="str">
        <f>Period3_Label</f>
        <v>FY 3</v>
      </c>
      <c r="U5" s="1614"/>
      <c r="V5" s="1614"/>
      <c r="W5" s="1614"/>
      <c r="X5" s="1614"/>
      <c r="Y5" s="1614"/>
      <c r="Z5" s="1614"/>
      <c r="AA5" s="1615"/>
      <c r="AB5" s="1611" t="str">
        <f>Period4_Label</f>
        <v>FY 4</v>
      </c>
      <c r="AC5" s="1576"/>
      <c r="AD5" s="1576"/>
      <c r="AE5" s="1576"/>
      <c r="AF5" s="1576"/>
      <c r="AG5" s="1576"/>
      <c r="AH5" s="1576"/>
      <c r="AI5" s="1612"/>
      <c r="AJ5" s="1613" t="str">
        <f>Period5_Label</f>
        <v>FY 5</v>
      </c>
      <c r="AK5" s="1614"/>
      <c r="AL5" s="1614"/>
      <c r="AM5" s="1614"/>
      <c r="AN5" s="1614"/>
      <c r="AO5" s="1614"/>
      <c r="AP5" s="1614"/>
      <c r="AQ5" s="1616"/>
      <c r="AR5" s="1575" t="str">
        <f>Period6_Label</f>
        <v>FY 6</v>
      </c>
      <c r="AS5" s="1576"/>
      <c r="AT5" s="1576"/>
      <c r="AU5" s="1576"/>
      <c r="AV5" s="1576"/>
      <c r="AW5" s="1576"/>
      <c r="AX5" s="1576"/>
      <c r="AY5" s="1577"/>
      <c r="AZ5" s="1578" t="s">
        <v>345</v>
      </c>
      <c r="BA5" s="1579"/>
      <c r="BB5" s="1580"/>
    </row>
    <row r="6" spans="1:54" x14ac:dyDescent="0.25">
      <c r="A6" s="1409" t="s">
        <v>428</v>
      </c>
      <c r="B6" s="1409"/>
      <c r="C6" s="1409"/>
      <c r="D6" s="1482"/>
      <c r="E6" s="1482"/>
      <c r="F6" s="1483"/>
      <c r="G6" s="1581" t="str">
        <f>CONCATENATE(TEXT('Proposer Constants'!C14,"MM/DD/YY")," to ",TEXT('Proposer Constants'!C15,"MM/DD/YY"))</f>
        <v>06/01/25 to 05/31/26</v>
      </c>
      <c r="H6" s="1622"/>
      <c r="I6" s="1581"/>
      <c r="J6" s="1582"/>
      <c r="K6" s="1583"/>
      <c r="L6" s="322"/>
      <c r="M6" s="323"/>
      <c r="N6" s="324"/>
      <c r="O6" s="1584" t="str">
        <f>CONCATENATE(TEXT('Proposer Constants'!D14,"MM/DD/YY")," to ",TEXT('Proposer Constants'!D15,"MM/DD/YY"))</f>
        <v>06/01/26 to 05/31/27</v>
      </c>
      <c r="P6" s="1585"/>
      <c r="Q6" s="324"/>
      <c r="R6" s="324"/>
      <c r="S6" s="325"/>
      <c r="T6" s="319"/>
      <c r="U6" s="320"/>
      <c r="V6" s="316"/>
      <c r="W6" s="320" t="str">
        <f>CONCATENATE(TEXT('Proposer Constants'!E14,"MM/DD/YY")," to ",TEXT('Proposer Constants'!E15,"MM/DD/YY"))</f>
        <v>06/01/27 to 05/31/28</v>
      </c>
      <c r="X6" s="316"/>
      <c r="Y6" s="316"/>
      <c r="Z6" s="316"/>
      <c r="AA6" s="317"/>
      <c r="AB6" s="322"/>
      <c r="AC6" s="322"/>
      <c r="AD6" s="322"/>
      <c r="AE6" s="1584" t="str">
        <f>CONCATENATE(TEXT('Proposer Constants'!F14,"MM/DD/YY")," to ",TEXT('Proposer Constants'!F15,"MM/DD/YY"))</f>
        <v>06/01/28 to 05/31/29</v>
      </c>
      <c r="AF6" s="1585"/>
      <c r="AG6" s="322"/>
      <c r="AH6" s="324"/>
      <c r="AI6" s="325"/>
      <c r="AJ6" s="319"/>
      <c r="AK6" s="319"/>
      <c r="AL6" s="319"/>
      <c r="AM6" s="1617" t="str">
        <f>CONCATENATE(TEXT('Proposer Constants'!G14,"MM/DD/YY")," to ",TEXT('Proposer Constants'!G15,"MM/DD/YY"))</f>
        <v>06/01/29 to 05/31/30</v>
      </c>
      <c r="AN6" s="1618"/>
      <c r="AO6" s="319"/>
      <c r="AP6" s="316"/>
      <c r="AQ6" s="321"/>
      <c r="AR6" s="326"/>
      <c r="AS6" s="322"/>
      <c r="AT6" s="322"/>
      <c r="AU6" s="1584" t="str">
        <f>CONCATENATE(TEXT('Proposer Constants'!H14,"MM/DD/YY")," to ",TEXT('Proposer Constants'!H15,"MM/DD/YY"))</f>
        <v>06/01/30 to 05/31/31</v>
      </c>
      <c r="AV6" s="1585"/>
      <c r="AW6" s="322"/>
      <c r="AX6" s="324"/>
      <c r="AY6" s="327"/>
      <c r="AZ6" s="515" t="s">
        <v>429</v>
      </c>
      <c r="BA6" s="1619" t="s">
        <v>430</v>
      </c>
      <c r="BB6" s="1620"/>
    </row>
    <row r="7" spans="1:54" s="299" customFormat="1" ht="34.5" x14ac:dyDescent="0.25">
      <c r="A7" s="489"/>
      <c r="B7" s="376" t="s">
        <v>431</v>
      </c>
      <c r="C7" s="376" t="s">
        <v>432</v>
      </c>
      <c r="D7" s="373" t="s">
        <v>327</v>
      </c>
      <c r="E7" s="376" t="s">
        <v>328</v>
      </c>
      <c r="F7" s="377" t="s">
        <v>433</v>
      </c>
      <c r="G7" s="378" t="s">
        <v>434</v>
      </c>
      <c r="H7" s="378" t="s">
        <v>435</v>
      </c>
      <c r="I7" s="379" t="s">
        <v>436</v>
      </c>
      <c r="J7" s="379" t="s">
        <v>437</v>
      </c>
      <c r="K7" s="376" t="s">
        <v>329</v>
      </c>
      <c r="L7" s="373" t="s">
        <v>327</v>
      </c>
      <c r="M7" s="376" t="s">
        <v>328</v>
      </c>
      <c r="N7" s="377" t="s">
        <v>433</v>
      </c>
      <c r="O7" s="378" t="s">
        <v>434</v>
      </c>
      <c r="P7" s="378" t="s">
        <v>435</v>
      </c>
      <c r="Q7" s="379" t="s">
        <v>436</v>
      </c>
      <c r="R7" s="379" t="s">
        <v>437</v>
      </c>
      <c r="S7" s="372" t="s">
        <v>329</v>
      </c>
      <c r="T7" s="373" t="s">
        <v>327</v>
      </c>
      <c r="U7" s="376" t="s">
        <v>328</v>
      </c>
      <c r="V7" s="377" t="s">
        <v>433</v>
      </c>
      <c r="W7" s="378" t="s">
        <v>434</v>
      </c>
      <c r="X7" s="378" t="s">
        <v>435</v>
      </c>
      <c r="Y7" s="379" t="s">
        <v>436</v>
      </c>
      <c r="Z7" s="379" t="s">
        <v>437</v>
      </c>
      <c r="AA7" s="372" t="s">
        <v>329</v>
      </c>
      <c r="AB7" s="373" t="s">
        <v>327</v>
      </c>
      <c r="AC7" s="376" t="s">
        <v>328</v>
      </c>
      <c r="AD7" s="377" t="s">
        <v>433</v>
      </c>
      <c r="AE7" s="378" t="s">
        <v>434</v>
      </c>
      <c r="AF7" s="378" t="s">
        <v>435</v>
      </c>
      <c r="AG7" s="379" t="s">
        <v>436</v>
      </c>
      <c r="AH7" s="379" t="s">
        <v>437</v>
      </c>
      <c r="AI7" s="372" t="s">
        <v>329</v>
      </c>
      <c r="AJ7" s="373" t="s">
        <v>327</v>
      </c>
      <c r="AK7" s="376" t="s">
        <v>328</v>
      </c>
      <c r="AL7" s="377" t="s">
        <v>433</v>
      </c>
      <c r="AM7" s="378" t="s">
        <v>434</v>
      </c>
      <c r="AN7" s="378" t="s">
        <v>435</v>
      </c>
      <c r="AO7" s="379" t="s">
        <v>436</v>
      </c>
      <c r="AP7" s="379" t="s">
        <v>437</v>
      </c>
      <c r="AQ7" s="372" t="s">
        <v>329</v>
      </c>
      <c r="AR7" s="374" t="s">
        <v>327</v>
      </c>
      <c r="AS7" s="376" t="s">
        <v>328</v>
      </c>
      <c r="AT7" s="377" t="s">
        <v>433</v>
      </c>
      <c r="AU7" s="378" t="s">
        <v>434</v>
      </c>
      <c r="AV7" s="378" t="s">
        <v>435</v>
      </c>
      <c r="AW7" s="379" t="s">
        <v>436</v>
      </c>
      <c r="AX7" s="379" t="s">
        <v>437</v>
      </c>
      <c r="AY7" s="372" t="s">
        <v>329</v>
      </c>
      <c r="AZ7" s="516" t="s">
        <v>327</v>
      </c>
      <c r="BA7" s="517" t="s">
        <v>329</v>
      </c>
      <c r="BB7" s="518" t="s">
        <v>438</v>
      </c>
    </row>
    <row r="8" spans="1:54" x14ac:dyDescent="0.25">
      <c r="A8" s="490"/>
      <c r="B8" s="375" t="str">
        <f>IF(ISBLANK('Labor Rates'!D8),"",'Labor Rates'!D8)</f>
        <v/>
      </c>
      <c r="C8" s="375" t="str">
        <f>IF(ISBLANK('Labor Rates'!E8),"",'Labor Rates'!E8)</f>
        <v/>
      </c>
      <c r="D8" s="432">
        <v>1920</v>
      </c>
      <c r="E8" s="385" t="e">
        <f>'Labor Rates'!#REF!</f>
        <v>#REF!</v>
      </c>
      <c r="F8" s="385" t="e">
        <f>D8*E8</f>
        <v>#REF!</v>
      </c>
      <c r="G8" s="414" t="e">
        <f>'Labor Rates'!#REF!</f>
        <v>#REF!</v>
      </c>
      <c r="H8" s="381" t="e">
        <f>F8*G8</f>
        <v>#REF!</v>
      </c>
      <c r="I8" s="415" t="e">
        <f>'Labor Rates'!#REF!</f>
        <v>#REF!</v>
      </c>
      <c r="J8" s="380" t="e">
        <f>(F8+H8)*I8</f>
        <v>#REF!</v>
      </c>
      <c r="K8" s="475" t="e">
        <f>F8+H8+J8</f>
        <v>#REF!</v>
      </c>
      <c r="L8" s="432">
        <v>1920</v>
      </c>
      <c r="M8" s="480" t="e">
        <f>'Labor Rates'!#REF!</f>
        <v>#REF!</v>
      </c>
      <c r="N8" s="385" t="e">
        <f>L8*M8</f>
        <v>#REF!</v>
      </c>
      <c r="O8" s="414" t="e">
        <f>'Labor Rates'!#REF!</f>
        <v>#REF!</v>
      </c>
      <c r="P8" s="381" t="e">
        <f>N8*O8</f>
        <v>#REF!</v>
      </c>
      <c r="Q8" s="415" t="e">
        <f>'Labor Rates'!#REF!</f>
        <v>#REF!</v>
      </c>
      <c r="R8" s="380" t="e">
        <f>(N8+P8)*Q8</f>
        <v>#REF!</v>
      </c>
      <c r="S8" s="366" t="e">
        <f t="shared" ref="S8:S31" si="0">ROUND(L8*M8*(1+O8)*(1+Q8),0)</f>
        <v>#REF!</v>
      </c>
      <c r="T8" s="357">
        <v>1920</v>
      </c>
      <c r="U8" s="480" t="e">
        <f>'Labor Rates'!#REF!</f>
        <v>#REF!</v>
      </c>
      <c r="V8" s="385" t="e">
        <f>T8*U8</f>
        <v>#REF!</v>
      </c>
      <c r="W8" s="414" t="e">
        <f>'Labor Rates'!#REF!</f>
        <v>#REF!</v>
      </c>
      <c r="X8" s="381" t="e">
        <f>V8*W8</f>
        <v>#REF!</v>
      </c>
      <c r="Y8" s="415" t="e">
        <f>'Labor Rates'!#REF!</f>
        <v>#REF!</v>
      </c>
      <c r="Z8" s="380" t="e">
        <f>(V8+X8)*Y8</f>
        <v>#REF!</v>
      </c>
      <c r="AA8" s="366" t="e">
        <f t="shared" ref="AA8:AA31" si="1">ROUND(T8*U8*(1+W8)*(1+Y8),0)</f>
        <v>#REF!</v>
      </c>
      <c r="AB8" s="357">
        <v>1920</v>
      </c>
      <c r="AC8" s="480" t="e">
        <f>'Labor Rates'!#REF!</f>
        <v>#REF!</v>
      </c>
      <c r="AD8" s="385" t="e">
        <f>AB8*AC8</f>
        <v>#REF!</v>
      </c>
      <c r="AE8" s="414" t="e">
        <f>'Labor Rates'!#REF!</f>
        <v>#REF!</v>
      </c>
      <c r="AF8" s="381" t="e">
        <f>AD8*AE8</f>
        <v>#REF!</v>
      </c>
      <c r="AG8" s="415" t="e">
        <f>'Labor Rates'!#REF!</f>
        <v>#REF!</v>
      </c>
      <c r="AH8" s="380" t="e">
        <f>(AD8+AF8)*AG8</f>
        <v>#REF!</v>
      </c>
      <c r="AI8" s="366" t="e">
        <f t="shared" ref="AI8:AI31" si="2">ROUND(AB8*AC8*(1+AE8)*(1+AG8),0)</f>
        <v>#REF!</v>
      </c>
      <c r="AJ8" s="357">
        <v>1920</v>
      </c>
      <c r="AK8" s="480" t="e">
        <f>'Labor Rates'!#REF!</f>
        <v>#REF!</v>
      </c>
      <c r="AL8" s="385" t="e">
        <f>AJ8*AK8</f>
        <v>#REF!</v>
      </c>
      <c r="AM8" s="309" t="e">
        <f>'Labor Rates'!#REF!</f>
        <v>#REF!</v>
      </c>
      <c r="AN8" s="381" t="e">
        <f>AL8*AM8</f>
        <v>#REF!</v>
      </c>
      <c r="AO8" s="309" t="e">
        <f>'Labor Rates'!#REF!</f>
        <v>#REF!</v>
      </c>
      <c r="AP8" s="380" t="e">
        <f>(AL8+AN8)*AO8</f>
        <v>#REF!</v>
      </c>
      <c r="AQ8" s="366" t="e">
        <f t="shared" ref="AQ8:AQ31" si="3">ROUND(AJ8*AK8*(1+AM8)*(1+AO8),0)</f>
        <v>#REF!</v>
      </c>
      <c r="AR8" s="357">
        <v>1920</v>
      </c>
      <c r="AS8" s="480" t="e">
        <f>'Labor Rates'!#REF!</f>
        <v>#REF!</v>
      </c>
      <c r="AT8" s="385" t="e">
        <f>AR8*AS8</f>
        <v>#REF!</v>
      </c>
      <c r="AU8" s="414" t="e">
        <f>'Labor Rates'!#REF!</f>
        <v>#REF!</v>
      </c>
      <c r="AV8" s="381" t="e">
        <f>AT8*AU8</f>
        <v>#REF!</v>
      </c>
      <c r="AW8" s="415" t="e">
        <f>'Labor Rates'!#REF!</f>
        <v>#REF!</v>
      </c>
      <c r="AX8" s="380" t="e">
        <f>(AT8+AV8)*AW8</f>
        <v>#REF!</v>
      </c>
      <c r="AY8" s="366" t="e">
        <f t="shared" ref="AY8:AY31" si="4">ROUND(AR8*AS8*(1+AU8)*(1+AW8),0)</f>
        <v>#REF!</v>
      </c>
      <c r="AZ8" s="476">
        <f t="shared" ref="AZ8:AZ31" si="5">D8+L8+T8+AB8+AJ8+AR8</f>
        <v>11520</v>
      </c>
      <c r="BA8" s="477" t="e">
        <f t="shared" ref="BA8:BA31" si="6">F8+N8+V8+AD8+AL8+AT8</f>
        <v>#REF!</v>
      </c>
      <c r="BB8" s="431" t="e">
        <f t="shared" ref="BB8:BB31" si="7">K8+S8+AA8+AI8+AQ8+AY8</f>
        <v>#REF!</v>
      </c>
    </row>
    <row r="9" spans="1:54" x14ac:dyDescent="0.25">
      <c r="A9" s="490"/>
      <c r="B9" s="375" t="str">
        <f>IF(ISBLANK('Labor Rates'!D9),"",'Labor Rates'!D9)</f>
        <v/>
      </c>
      <c r="C9" s="375" t="str">
        <f>IF(ISBLANK('Labor Rates'!E9),"",'Labor Rates'!E9)</f>
        <v/>
      </c>
      <c r="D9" s="432">
        <v>1920</v>
      </c>
      <c r="E9" s="385" t="e">
        <f>'Labor Rates'!#REF!</f>
        <v>#REF!</v>
      </c>
      <c r="F9" s="385" t="e">
        <f t="shared" ref="F9:F31" si="8">D9*E9</f>
        <v>#REF!</v>
      </c>
      <c r="G9" s="414" t="e">
        <f>'Labor Rates'!#REF!</f>
        <v>#REF!</v>
      </c>
      <c r="H9" s="381" t="e">
        <f t="shared" ref="H9:H31" si="9">F9*G9</f>
        <v>#REF!</v>
      </c>
      <c r="I9" s="415" t="e">
        <f>'Labor Rates'!#REF!</f>
        <v>#REF!</v>
      </c>
      <c r="J9" s="380" t="e">
        <f t="shared" ref="J9:J31" si="10">(F9+H9)*I9</f>
        <v>#REF!</v>
      </c>
      <c r="K9" s="475" t="e">
        <f t="shared" ref="K9:K31" si="11">F9+H9+J9</f>
        <v>#REF!</v>
      </c>
      <c r="L9" s="432">
        <v>1920</v>
      </c>
      <c r="M9" s="480" t="e">
        <f>'Labor Rates'!#REF!</f>
        <v>#REF!</v>
      </c>
      <c r="N9" s="385" t="e">
        <f t="shared" ref="N9:N31" si="12">L9*M9</f>
        <v>#REF!</v>
      </c>
      <c r="O9" s="414" t="e">
        <f>'Labor Rates'!#REF!</f>
        <v>#REF!</v>
      </c>
      <c r="P9" s="381" t="e">
        <f t="shared" ref="P9:P31" si="13">N9*O9</f>
        <v>#REF!</v>
      </c>
      <c r="Q9" s="415" t="e">
        <f>'Labor Rates'!#REF!</f>
        <v>#REF!</v>
      </c>
      <c r="R9" s="380" t="e">
        <f t="shared" ref="R9:R31" si="14">(N9+P9)*Q9</f>
        <v>#REF!</v>
      </c>
      <c r="S9" s="366" t="e">
        <f t="shared" si="0"/>
        <v>#REF!</v>
      </c>
      <c r="T9" s="357">
        <v>1920</v>
      </c>
      <c r="U9" s="480" t="e">
        <f>'Labor Rates'!#REF!</f>
        <v>#REF!</v>
      </c>
      <c r="V9" s="385" t="e">
        <f t="shared" ref="V9:V31" si="15">T9*U9</f>
        <v>#REF!</v>
      </c>
      <c r="W9" s="414" t="e">
        <f>'Labor Rates'!#REF!</f>
        <v>#REF!</v>
      </c>
      <c r="X9" s="381" t="e">
        <f t="shared" ref="X9:X31" si="16">V9*W9</f>
        <v>#REF!</v>
      </c>
      <c r="Y9" s="415" t="e">
        <f>'Labor Rates'!#REF!</f>
        <v>#REF!</v>
      </c>
      <c r="Z9" s="380" t="e">
        <f t="shared" ref="Z9:Z31" si="17">(V9+X9)*Y9</f>
        <v>#REF!</v>
      </c>
      <c r="AA9" s="366" t="e">
        <f t="shared" si="1"/>
        <v>#REF!</v>
      </c>
      <c r="AB9" s="357">
        <v>1920</v>
      </c>
      <c r="AC9" s="480" t="e">
        <f>'Labor Rates'!#REF!</f>
        <v>#REF!</v>
      </c>
      <c r="AD9" s="385" t="e">
        <f t="shared" ref="AD9:AD31" si="18">AB9*AC9</f>
        <v>#REF!</v>
      </c>
      <c r="AE9" s="414" t="e">
        <f>'Labor Rates'!#REF!</f>
        <v>#REF!</v>
      </c>
      <c r="AF9" s="381" t="e">
        <f t="shared" ref="AF9:AF31" si="19">AD9*AE9</f>
        <v>#REF!</v>
      </c>
      <c r="AG9" s="415" t="e">
        <f>'Labor Rates'!#REF!</f>
        <v>#REF!</v>
      </c>
      <c r="AH9" s="380" t="e">
        <f t="shared" ref="AH9:AH31" si="20">(AD9+AF9)*AG9</f>
        <v>#REF!</v>
      </c>
      <c r="AI9" s="366" t="e">
        <f t="shared" si="2"/>
        <v>#REF!</v>
      </c>
      <c r="AJ9" s="357">
        <v>1920</v>
      </c>
      <c r="AK9" s="480" t="e">
        <f>'Labor Rates'!#REF!</f>
        <v>#REF!</v>
      </c>
      <c r="AL9" s="385" t="e">
        <f t="shared" ref="AL9:AL31" si="21">AJ9*AK9</f>
        <v>#REF!</v>
      </c>
      <c r="AM9" s="309" t="e">
        <f>'Labor Rates'!#REF!</f>
        <v>#REF!</v>
      </c>
      <c r="AN9" s="381" t="e">
        <f t="shared" ref="AN9:AN31" si="22">AL9*AM9</f>
        <v>#REF!</v>
      </c>
      <c r="AO9" s="309" t="e">
        <f>'Labor Rates'!#REF!</f>
        <v>#REF!</v>
      </c>
      <c r="AP9" s="380" t="e">
        <f t="shared" ref="AP9:AP31" si="23">(AL9+AN9)*AO9</f>
        <v>#REF!</v>
      </c>
      <c r="AQ9" s="366" t="e">
        <f t="shared" si="3"/>
        <v>#REF!</v>
      </c>
      <c r="AR9" s="357">
        <v>1920</v>
      </c>
      <c r="AS9" s="480" t="e">
        <f>'Labor Rates'!#REF!</f>
        <v>#REF!</v>
      </c>
      <c r="AT9" s="385" t="e">
        <f t="shared" ref="AT9:AT31" si="24">AR9*AS9</f>
        <v>#REF!</v>
      </c>
      <c r="AU9" s="414" t="e">
        <f>'Labor Rates'!#REF!</f>
        <v>#REF!</v>
      </c>
      <c r="AV9" s="381" t="e">
        <f t="shared" ref="AV9:AV31" si="25">AT9*AU9</f>
        <v>#REF!</v>
      </c>
      <c r="AW9" s="415" t="e">
        <f>'Labor Rates'!#REF!</f>
        <v>#REF!</v>
      </c>
      <c r="AX9" s="380" t="e">
        <f t="shared" ref="AX9:AX31" si="26">(AT9+AV9)*AW9</f>
        <v>#REF!</v>
      </c>
      <c r="AY9" s="366" t="e">
        <f t="shared" si="4"/>
        <v>#REF!</v>
      </c>
      <c r="AZ9" s="476">
        <f t="shared" si="5"/>
        <v>11520</v>
      </c>
      <c r="BA9" s="477" t="e">
        <f t="shared" si="6"/>
        <v>#REF!</v>
      </c>
      <c r="BB9" s="431" t="e">
        <f t="shared" si="7"/>
        <v>#REF!</v>
      </c>
    </row>
    <row r="10" spans="1:54" x14ac:dyDescent="0.25">
      <c r="A10" s="490"/>
      <c r="B10" s="375" t="str">
        <f>IF(ISBLANK('Labor Rates'!D10),"",'Labor Rates'!D10)</f>
        <v/>
      </c>
      <c r="C10" s="375" t="str">
        <f>IF(ISBLANK('Labor Rates'!E10),"",'Labor Rates'!E10)</f>
        <v/>
      </c>
      <c r="D10" s="432">
        <v>1920</v>
      </c>
      <c r="E10" s="385" t="e">
        <f>'Labor Rates'!#REF!</f>
        <v>#REF!</v>
      </c>
      <c r="F10" s="385" t="e">
        <f t="shared" si="8"/>
        <v>#REF!</v>
      </c>
      <c r="G10" s="414" t="e">
        <f>'Labor Rates'!#REF!</f>
        <v>#REF!</v>
      </c>
      <c r="H10" s="381" t="e">
        <f t="shared" si="9"/>
        <v>#REF!</v>
      </c>
      <c r="I10" s="415" t="e">
        <f>'Labor Rates'!#REF!</f>
        <v>#REF!</v>
      </c>
      <c r="J10" s="380" t="e">
        <f t="shared" si="10"/>
        <v>#REF!</v>
      </c>
      <c r="K10" s="475" t="e">
        <f t="shared" si="11"/>
        <v>#REF!</v>
      </c>
      <c r="L10" s="432">
        <v>1920</v>
      </c>
      <c r="M10" s="480" t="e">
        <f>'Labor Rates'!#REF!</f>
        <v>#REF!</v>
      </c>
      <c r="N10" s="385" t="e">
        <f t="shared" si="12"/>
        <v>#REF!</v>
      </c>
      <c r="O10" s="414" t="e">
        <f>'Labor Rates'!#REF!</f>
        <v>#REF!</v>
      </c>
      <c r="P10" s="381" t="e">
        <f t="shared" si="13"/>
        <v>#REF!</v>
      </c>
      <c r="Q10" s="415" t="e">
        <f>'Labor Rates'!#REF!</f>
        <v>#REF!</v>
      </c>
      <c r="R10" s="380" t="e">
        <f t="shared" si="14"/>
        <v>#REF!</v>
      </c>
      <c r="S10" s="366" t="e">
        <f t="shared" si="0"/>
        <v>#REF!</v>
      </c>
      <c r="T10" s="357">
        <v>1920</v>
      </c>
      <c r="U10" s="480" t="e">
        <f>'Labor Rates'!#REF!</f>
        <v>#REF!</v>
      </c>
      <c r="V10" s="385" t="e">
        <f t="shared" si="15"/>
        <v>#REF!</v>
      </c>
      <c r="W10" s="414" t="e">
        <f>'Labor Rates'!#REF!</f>
        <v>#REF!</v>
      </c>
      <c r="X10" s="381" t="e">
        <f t="shared" si="16"/>
        <v>#REF!</v>
      </c>
      <c r="Y10" s="415" t="e">
        <f>'Labor Rates'!#REF!</f>
        <v>#REF!</v>
      </c>
      <c r="Z10" s="380" t="e">
        <f t="shared" si="17"/>
        <v>#REF!</v>
      </c>
      <c r="AA10" s="366" t="e">
        <f t="shared" si="1"/>
        <v>#REF!</v>
      </c>
      <c r="AB10" s="357">
        <v>1920</v>
      </c>
      <c r="AC10" s="480" t="e">
        <f>'Labor Rates'!#REF!</f>
        <v>#REF!</v>
      </c>
      <c r="AD10" s="385" t="e">
        <f t="shared" si="18"/>
        <v>#REF!</v>
      </c>
      <c r="AE10" s="414" t="e">
        <f>'Labor Rates'!#REF!</f>
        <v>#REF!</v>
      </c>
      <c r="AF10" s="381" t="e">
        <f t="shared" si="19"/>
        <v>#REF!</v>
      </c>
      <c r="AG10" s="415" t="e">
        <f>'Labor Rates'!#REF!</f>
        <v>#REF!</v>
      </c>
      <c r="AH10" s="380" t="e">
        <f t="shared" si="20"/>
        <v>#REF!</v>
      </c>
      <c r="AI10" s="366" t="e">
        <f t="shared" si="2"/>
        <v>#REF!</v>
      </c>
      <c r="AJ10" s="357">
        <v>1920</v>
      </c>
      <c r="AK10" s="480" t="e">
        <f>'Labor Rates'!#REF!</f>
        <v>#REF!</v>
      </c>
      <c r="AL10" s="385" t="e">
        <f t="shared" si="21"/>
        <v>#REF!</v>
      </c>
      <c r="AM10" s="309" t="e">
        <f>'Labor Rates'!#REF!</f>
        <v>#REF!</v>
      </c>
      <c r="AN10" s="381" t="e">
        <f t="shared" si="22"/>
        <v>#REF!</v>
      </c>
      <c r="AO10" s="309" t="e">
        <f>'Labor Rates'!#REF!</f>
        <v>#REF!</v>
      </c>
      <c r="AP10" s="380" t="e">
        <f t="shared" si="23"/>
        <v>#REF!</v>
      </c>
      <c r="AQ10" s="366" t="e">
        <f t="shared" si="3"/>
        <v>#REF!</v>
      </c>
      <c r="AR10" s="357">
        <v>1920</v>
      </c>
      <c r="AS10" s="480" t="e">
        <f>'Labor Rates'!#REF!</f>
        <v>#REF!</v>
      </c>
      <c r="AT10" s="385" t="e">
        <f t="shared" si="24"/>
        <v>#REF!</v>
      </c>
      <c r="AU10" s="414" t="e">
        <f>'Labor Rates'!#REF!</f>
        <v>#REF!</v>
      </c>
      <c r="AV10" s="381" t="e">
        <f t="shared" si="25"/>
        <v>#REF!</v>
      </c>
      <c r="AW10" s="415" t="e">
        <f>'Labor Rates'!#REF!</f>
        <v>#REF!</v>
      </c>
      <c r="AX10" s="380" t="e">
        <f t="shared" si="26"/>
        <v>#REF!</v>
      </c>
      <c r="AY10" s="366" t="e">
        <f t="shared" si="4"/>
        <v>#REF!</v>
      </c>
      <c r="AZ10" s="476">
        <f t="shared" si="5"/>
        <v>11520</v>
      </c>
      <c r="BA10" s="477" t="e">
        <f t="shared" si="6"/>
        <v>#REF!</v>
      </c>
      <c r="BB10" s="431" t="e">
        <f t="shared" si="7"/>
        <v>#REF!</v>
      </c>
    </row>
    <row r="11" spans="1:54" x14ac:dyDescent="0.25">
      <c r="A11" s="490"/>
      <c r="B11" s="375" t="str">
        <f>IF(ISBLANK('Labor Rates'!D11),"",'Labor Rates'!D11)</f>
        <v/>
      </c>
      <c r="C11" s="375" t="str">
        <f>IF(ISBLANK('Labor Rates'!E11),"",'Labor Rates'!E11)</f>
        <v/>
      </c>
      <c r="D11" s="432">
        <v>1920</v>
      </c>
      <c r="E11" s="385" t="e">
        <f>'Labor Rates'!#REF!</f>
        <v>#REF!</v>
      </c>
      <c r="F11" s="385" t="e">
        <f t="shared" si="8"/>
        <v>#REF!</v>
      </c>
      <c r="G11" s="414" t="e">
        <f>'Labor Rates'!#REF!</f>
        <v>#REF!</v>
      </c>
      <c r="H11" s="381" t="e">
        <f t="shared" si="9"/>
        <v>#REF!</v>
      </c>
      <c r="I11" s="415" t="e">
        <f>'Labor Rates'!#REF!</f>
        <v>#REF!</v>
      </c>
      <c r="J11" s="380" t="e">
        <f t="shared" si="10"/>
        <v>#REF!</v>
      </c>
      <c r="K11" s="475" t="e">
        <f t="shared" si="11"/>
        <v>#REF!</v>
      </c>
      <c r="L11" s="432">
        <v>1920</v>
      </c>
      <c r="M11" s="480" t="e">
        <f>'Labor Rates'!#REF!</f>
        <v>#REF!</v>
      </c>
      <c r="N11" s="385" t="e">
        <f t="shared" si="12"/>
        <v>#REF!</v>
      </c>
      <c r="O11" s="414" t="e">
        <f>'Labor Rates'!#REF!</f>
        <v>#REF!</v>
      </c>
      <c r="P11" s="381" t="e">
        <f t="shared" si="13"/>
        <v>#REF!</v>
      </c>
      <c r="Q11" s="415" t="e">
        <f>'Labor Rates'!#REF!</f>
        <v>#REF!</v>
      </c>
      <c r="R11" s="380" t="e">
        <f t="shared" si="14"/>
        <v>#REF!</v>
      </c>
      <c r="S11" s="366" t="e">
        <f t="shared" si="0"/>
        <v>#REF!</v>
      </c>
      <c r="T11" s="357">
        <v>1920</v>
      </c>
      <c r="U11" s="480" t="e">
        <f>'Labor Rates'!#REF!</f>
        <v>#REF!</v>
      </c>
      <c r="V11" s="385" t="e">
        <f t="shared" si="15"/>
        <v>#REF!</v>
      </c>
      <c r="W11" s="414" t="e">
        <f>'Labor Rates'!#REF!</f>
        <v>#REF!</v>
      </c>
      <c r="X11" s="381" t="e">
        <f t="shared" si="16"/>
        <v>#REF!</v>
      </c>
      <c r="Y11" s="415" t="e">
        <f>'Labor Rates'!#REF!</f>
        <v>#REF!</v>
      </c>
      <c r="Z11" s="380" t="e">
        <f t="shared" si="17"/>
        <v>#REF!</v>
      </c>
      <c r="AA11" s="366" t="e">
        <f t="shared" si="1"/>
        <v>#REF!</v>
      </c>
      <c r="AB11" s="357">
        <v>1920</v>
      </c>
      <c r="AC11" s="480" t="e">
        <f>'Labor Rates'!#REF!</f>
        <v>#REF!</v>
      </c>
      <c r="AD11" s="385" t="e">
        <f t="shared" si="18"/>
        <v>#REF!</v>
      </c>
      <c r="AE11" s="414" t="e">
        <f>'Labor Rates'!#REF!</f>
        <v>#REF!</v>
      </c>
      <c r="AF11" s="381" t="e">
        <f t="shared" si="19"/>
        <v>#REF!</v>
      </c>
      <c r="AG11" s="415" t="e">
        <f>'Labor Rates'!#REF!</f>
        <v>#REF!</v>
      </c>
      <c r="AH11" s="380" t="e">
        <f t="shared" si="20"/>
        <v>#REF!</v>
      </c>
      <c r="AI11" s="366" t="e">
        <f t="shared" si="2"/>
        <v>#REF!</v>
      </c>
      <c r="AJ11" s="357">
        <v>1920</v>
      </c>
      <c r="AK11" s="480" t="e">
        <f>'Labor Rates'!#REF!</f>
        <v>#REF!</v>
      </c>
      <c r="AL11" s="385" t="e">
        <f t="shared" si="21"/>
        <v>#REF!</v>
      </c>
      <c r="AM11" s="309" t="e">
        <f>'Labor Rates'!#REF!</f>
        <v>#REF!</v>
      </c>
      <c r="AN11" s="381" t="e">
        <f t="shared" si="22"/>
        <v>#REF!</v>
      </c>
      <c r="AO11" s="309" t="e">
        <f>'Labor Rates'!#REF!</f>
        <v>#REF!</v>
      </c>
      <c r="AP11" s="380" t="e">
        <f t="shared" si="23"/>
        <v>#REF!</v>
      </c>
      <c r="AQ11" s="366" t="e">
        <f t="shared" si="3"/>
        <v>#REF!</v>
      </c>
      <c r="AR11" s="357">
        <v>1920</v>
      </c>
      <c r="AS11" s="480" t="e">
        <f>'Labor Rates'!#REF!</f>
        <v>#REF!</v>
      </c>
      <c r="AT11" s="385" t="e">
        <f t="shared" si="24"/>
        <v>#REF!</v>
      </c>
      <c r="AU11" s="414" t="e">
        <f>'Labor Rates'!#REF!</f>
        <v>#REF!</v>
      </c>
      <c r="AV11" s="381" t="e">
        <f t="shared" si="25"/>
        <v>#REF!</v>
      </c>
      <c r="AW11" s="415" t="e">
        <f>'Labor Rates'!#REF!</f>
        <v>#REF!</v>
      </c>
      <c r="AX11" s="380" t="e">
        <f t="shared" si="26"/>
        <v>#REF!</v>
      </c>
      <c r="AY11" s="366" t="e">
        <f t="shared" si="4"/>
        <v>#REF!</v>
      </c>
      <c r="AZ11" s="476">
        <f t="shared" si="5"/>
        <v>11520</v>
      </c>
      <c r="BA11" s="477" t="e">
        <f t="shared" si="6"/>
        <v>#REF!</v>
      </c>
      <c r="BB11" s="431" t="e">
        <f t="shared" si="7"/>
        <v>#REF!</v>
      </c>
    </row>
    <row r="12" spans="1:54" x14ac:dyDescent="0.25">
      <c r="A12" s="490"/>
      <c r="B12" s="375" t="str">
        <f>IF(ISBLANK('Labor Rates'!D12),"",'Labor Rates'!D12)</f>
        <v/>
      </c>
      <c r="C12" s="375" t="str">
        <f>IF(ISBLANK('Labor Rates'!E12),"",'Labor Rates'!E12)</f>
        <v/>
      </c>
      <c r="D12" s="432">
        <v>1920</v>
      </c>
      <c r="E12" s="385" t="e">
        <f>'Labor Rates'!#REF!</f>
        <v>#REF!</v>
      </c>
      <c r="F12" s="385" t="e">
        <f t="shared" si="8"/>
        <v>#REF!</v>
      </c>
      <c r="G12" s="414" t="e">
        <f>'Labor Rates'!#REF!</f>
        <v>#REF!</v>
      </c>
      <c r="H12" s="381" t="e">
        <f t="shared" si="9"/>
        <v>#REF!</v>
      </c>
      <c r="I12" s="415" t="e">
        <f>'Labor Rates'!#REF!</f>
        <v>#REF!</v>
      </c>
      <c r="J12" s="380" t="e">
        <f t="shared" si="10"/>
        <v>#REF!</v>
      </c>
      <c r="K12" s="475" t="e">
        <f t="shared" si="11"/>
        <v>#REF!</v>
      </c>
      <c r="L12" s="432">
        <v>1920</v>
      </c>
      <c r="M12" s="480" t="e">
        <f>'Labor Rates'!#REF!</f>
        <v>#REF!</v>
      </c>
      <c r="N12" s="385" t="e">
        <f t="shared" si="12"/>
        <v>#REF!</v>
      </c>
      <c r="O12" s="414" t="e">
        <f>'Labor Rates'!#REF!</f>
        <v>#REF!</v>
      </c>
      <c r="P12" s="381" t="e">
        <f t="shared" si="13"/>
        <v>#REF!</v>
      </c>
      <c r="Q12" s="415" t="e">
        <f>'Labor Rates'!#REF!</f>
        <v>#REF!</v>
      </c>
      <c r="R12" s="380" t="e">
        <f t="shared" si="14"/>
        <v>#REF!</v>
      </c>
      <c r="S12" s="366" t="e">
        <f t="shared" si="0"/>
        <v>#REF!</v>
      </c>
      <c r="T12" s="357">
        <v>1920</v>
      </c>
      <c r="U12" s="480" t="e">
        <f>'Labor Rates'!#REF!</f>
        <v>#REF!</v>
      </c>
      <c r="V12" s="385" t="e">
        <f t="shared" si="15"/>
        <v>#REF!</v>
      </c>
      <c r="W12" s="414" t="e">
        <f>'Labor Rates'!#REF!</f>
        <v>#REF!</v>
      </c>
      <c r="X12" s="381" t="e">
        <f t="shared" si="16"/>
        <v>#REF!</v>
      </c>
      <c r="Y12" s="415" t="e">
        <f>'Labor Rates'!#REF!</f>
        <v>#REF!</v>
      </c>
      <c r="Z12" s="380" t="e">
        <f t="shared" si="17"/>
        <v>#REF!</v>
      </c>
      <c r="AA12" s="366" t="e">
        <f t="shared" si="1"/>
        <v>#REF!</v>
      </c>
      <c r="AB12" s="357">
        <v>1920</v>
      </c>
      <c r="AC12" s="480" t="e">
        <f>'Labor Rates'!#REF!</f>
        <v>#REF!</v>
      </c>
      <c r="AD12" s="385" t="e">
        <f t="shared" si="18"/>
        <v>#REF!</v>
      </c>
      <c r="AE12" s="414" t="e">
        <f>'Labor Rates'!#REF!</f>
        <v>#REF!</v>
      </c>
      <c r="AF12" s="381" t="e">
        <f t="shared" si="19"/>
        <v>#REF!</v>
      </c>
      <c r="AG12" s="415" t="e">
        <f>'Labor Rates'!#REF!</f>
        <v>#REF!</v>
      </c>
      <c r="AH12" s="380" t="e">
        <f t="shared" si="20"/>
        <v>#REF!</v>
      </c>
      <c r="AI12" s="366" t="e">
        <f t="shared" si="2"/>
        <v>#REF!</v>
      </c>
      <c r="AJ12" s="357">
        <v>1920</v>
      </c>
      <c r="AK12" s="480" t="e">
        <f>'Labor Rates'!#REF!</f>
        <v>#REF!</v>
      </c>
      <c r="AL12" s="385" t="e">
        <f t="shared" si="21"/>
        <v>#REF!</v>
      </c>
      <c r="AM12" s="309" t="e">
        <f>'Labor Rates'!#REF!</f>
        <v>#REF!</v>
      </c>
      <c r="AN12" s="381" t="e">
        <f t="shared" si="22"/>
        <v>#REF!</v>
      </c>
      <c r="AO12" s="309" t="e">
        <f>'Labor Rates'!#REF!</f>
        <v>#REF!</v>
      </c>
      <c r="AP12" s="380" t="e">
        <f t="shared" si="23"/>
        <v>#REF!</v>
      </c>
      <c r="AQ12" s="366" t="e">
        <f t="shared" si="3"/>
        <v>#REF!</v>
      </c>
      <c r="AR12" s="357">
        <v>1920</v>
      </c>
      <c r="AS12" s="480" t="e">
        <f>'Labor Rates'!#REF!</f>
        <v>#REF!</v>
      </c>
      <c r="AT12" s="385" t="e">
        <f t="shared" si="24"/>
        <v>#REF!</v>
      </c>
      <c r="AU12" s="414" t="e">
        <f>'Labor Rates'!#REF!</f>
        <v>#REF!</v>
      </c>
      <c r="AV12" s="381" t="e">
        <f t="shared" si="25"/>
        <v>#REF!</v>
      </c>
      <c r="AW12" s="415" t="e">
        <f>'Labor Rates'!#REF!</f>
        <v>#REF!</v>
      </c>
      <c r="AX12" s="380" t="e">
        <f t="shared" si="26"/>
        <v>#REF!</v>
      </c>
      <c r="AY12" s="366" t="e">
        <f t="shared" si="4"/>
        <v>#REF!</v>
      </c>
      <c r="AZ12" s="476">
        <f t="shared" si="5"/>
        <v>11520</v>
      </c>
      <c r="BA12" s="477" t="e">
        <f t="shared" si="6"/>
        <v>#REF!</v>
      </c>
      <c r="BB12" s="431" t="e">
        <f t="shared" si="7"/>
        <v>#REF!</v>
      </c>
    </row>
    <row r="13" spans="1:54" x14ac:dyDescent="0.25">
      <c r="A13" s="490"/>
      <c r="B13" s="375" t="str">
        <f>IF(ISBLANK('Labor Rates'!D13),"",'Labor Rates'!D13)</f>
        <v/>
      </c>
      <c r="C13" s="375" t="str">
        <f>IF(ISBLANK('Labor Rates'!E13),"",'Labor Rates'!E13)</f>
        <v/>
      </c>
      <c r="D13" s="432">
        <v>1920</v>
      </c>
      <c r="E13" s="385" t="e">
        <f>'Labor Rates'!#REF!</f>
        <v>#REF!</v>
      </c>
      <c r="F13" s="385" t="e">
        <f t="shared" si="8"/>
        <v>#REF!</v>
      </c>
      <c r="G13" s="414" t="e">
        <f>'Labor Rates'!#REF!</f>
        <v>#REF!</v>
      </c>
      <c r="H13" s="381" t="e">
        <f t="shared" si="9"/>
        <v>#REF!</v>
      </c>
      <c r="I13" s="415" t="e">
        <f>'Labor Rates'!#REF!</f>
        <v>#REF!</v>
      </c>
      <c r="J13" s="380" t="e">
        <f t="shared" si="10"/>
        <v>#REF!</v>
      </c>
      <c r="K13" s="475" t="e">
        <f t="shared" si="11"/>
        <v>#REF!</v>
      </c>
      <c r="L13" s="432">
        <v>1920</v>
      </c>
      <c r="M13" s="480" t="e">
        <f>'Labor Rates'!#REF!</f>
        <v>#REF!</v>
      </c>
      <c r="N13" s="385" t="e">
        <f t="shared" si="12"/>
        <v>#REF!</v>
      </c>
      <c r="O13" s="414" t="e">
        <f>'Labor Rates'!#REF!</f>
        <v>#REF!</v>
      </c>
      <c r="P13" s="381" t="e">
        <f t="shared" si="13"/>
        <v>#REF!</v>
      </c>
      <c r="Q13" s="415" t="e">
        <f>'Labor Rates'!#REF!</f>
        <v>#REF!</v>
      </c>
      <c r="R13" s="380" t="e">
        <f t="shared" si="14"/>
        <v>#REF!</v>
      </c>
      <c r="S13" s="366" t="e">
        <f t="shared" si="0"/>
        <v>#REF!</v>
      </c>
      <c r="T13" s="357">
        <v>1920</v>
      </c>
      <c r="U13" s="480" t="e">
        <f>'Labor Rates'!#REF!</f>
        <v>#REF!</v>
      </c>
      <c r="V13" s="385" t="e">
        <f t="shared" si="15"/>
        <v>#REF!</v>
      </c>
      <c r="W13" s="414" t="e">
        <f>'Labor Rates'!#REF!</f>
        <v>#REF!</v>
      </c>
      <c r="X13" s="381" t="e">
        <f t="shared" si="16"/>
        <v>#REF!</v>
      </c>
      <c r="Y13" s="415" t="e">
        <f>'Labor Rates'!#REF!</f>
        <v>#REF!</v>
      </c>
      <c r="Z13" s="380" t="e">
        <f t="shared" si="17"/>
        <v>#REF!</v>
      </c>
      <c r="AA13" s="366" t="e">
        <f t="shared" si="1"/>
        <v>#REF!</v>
      </c>
      <c r="AB13" s="357">
        <v>1920</v>
      </c>
      <c r="AC13" s="480" t="e">
        <f>'Labor Rates'!#REF!</f>
        <v>#REF!</v>
      </c>
      <c r="AD13" s="385" t="e">
        <f t="shared" si="18"/>
        <v>#REF!</v>
      </c>
      <c r="AE13" s="414" t="e">
        <f>'Labor Rates'!#REF!</f>
        <v>#REF!</v>
      </c>
      <c r="AF13" s="381" t="e">
        <f t="shared" si="19"/>
        <v>#REF!</v>
      </c>
      <c r="AG13" s="415" t="e">
        <f>'Labor Rates'!#REF!</f>
        <v>#REF!</v>
      </c>
      <c r="AH13" s="380" t="e">
        <f t="shared" si="20"/>
        <v>#REF!</v>
      </c>
      <c r="AI13" s="366" t="e">
        <f t="shared" si="2"/>
        <v>#REF!</v>
      </c>
      <c r="AJ13" s="357">
        <v>1920</v>
      </c>
      <c r="AK13" s="480" t="e">
        <f>'Labor Rates'!#REF!</f>
        <v>#REF!</v>
      </c>
      <c r="AL13" s="385" t="e">
        <f t="shared" si="21"/>
        <v>#REF!</v>
      </c>
      <c r="AM13" s="309" t="e">
        <f>'Labor Rates'!#REF!</f>
        <v>#REF!</v>
      </c>
      <c r="AN13" s="381" t="e">
        <f t="shared" si="22"/>
        <v>#REF!</v>
      </c>
      <c r="AO13" s="309" t="e">
        <f>'Labor Rates'!#REF!</f>
        <v>#REF!</v>
      </c>
      <c r="AP13" s="380" t="e">
        <f t="shared" si="23"/>
        <v>#REF!</v>
      </c>
      <c r="AQ13" s="366" t="e">
        <f t="shared" si="3"/>
        <v>#REF!</v>
      </c>
      <c r="AR13" s="357">
        <v>1920</v>
      </c>
      <c r="AS13" s="480" t="e">
        <f>'Labor Rates'!#REF!</f>
        <v>#REF!</v>
      </c>
      <c r="AT13" s="385" t="e">
        <f t="shared" si="24"/>
        <v>#REF!</v>
      </c>
      <c r="AU13" s="414" t="e">
        <f>'Labor Rates'!#REF!</f>
        <v>#REF!</v>
      </c>
      <c r="AV13" s="381" t="e">
        <f t="shared" si="25"/>
        <v>#REF!</v>
      </c>
      <c r="AW13" s="415" t="e">
        <f>'Labor Rates'!#REF!</f>
        <v>#REF!</v>
      </c>
      <c r="AX13" s="380" t="e">
        <f t="shared" si="26"/>
        <v>#REF!</v>
      </c>
      <c r="AY13" s="366" t="e">
        <f t="shared" si="4"/>
        <v>#REF!</v>
      </c>
      <c r="AZ13" s="476">
        <f t="shared" si="5"/>
        <v>11520</v>
      </c>
      <c r="BA13" s="477" t="e">
        <f t="shared" si="6"/>
        <v>#REF!</v>
      </c>
      <c r="BB13" s="431" t="e">
        <f t="shared" si="7"/>
        <v>#REF!</v>
      </c>
    </row>
    <row r="14" spans="1:54" x14ac:dyDescent="0.25">
      <c r="A14" s="490"/>
      <c r="B14" s="375" t="str">
        <f>IF(ISBLANK('Labor Rates'!D14),"",'Labor Rates'!D14)</f>
        <v/>
      </c>
      <c r="C14" s="375" t="str">
        <f>IF(ISBLANK('Labor Rates'!E14),"",'Labor Rates'!E14)</f>
        <v/>
      </c>
      <c r="D14" s="432">
        <v>1920</v>
      </c>
      <c r="E14" s="385" t="e">
        <f>'Labor Rates'!#REF!</f>
        <v>#REF!</v>
      </c>
      <c r="F14" s="385" t="e">
        <f t="shared" si="8"/>
        <v>#REF!</v>
      </c>
      <c r="G14" s="414" t="e">
        <f>'Labor Rates'!#REF!</f>
        <v>#REF!</v>
      </c>
      <c r="H14" s="381" t="e">
        <f t="shared" si="9"/>
        <v>#REF!</v>
      </c>
      <c r="I14" s="415" t="e">
        <f>'Labor Rates'!#REF!</f>
        <v>#REF!</v>
      </c>
      <c r="J14" s="380" t="e">
        <f t="shared" si="10"/>
        <v>#REF!</v>
      </c>
      <c r="K14" s="475" t="e">
        <f t="shared" si="11"/>
        <v>#REF!</v>
      </c>
      <c r="L14" s="432">
        <v>1920</v>
      </c>
      <c r="M14" s="480" t="e">
        <f>'Labor Rates'!#REF!</f>
        <v>#REF!</v>
      </c>
      <c r="N14" s="385" t="e">
        <f t="shared" si="12"/>
        <v>#REF!</v>
      </c>
      <c r="O14" s="414" t="e">
        <f>'Labor Rates'!#REF!</f>
        <v>#REF!</v>
      </c>
      <c r="P14" s="381" t="e">
        <f t="shared" si="13"/>
        <v>#REF!</v>
      </c>
      <c r="Q14" s="415" t="e">
        <f>'Labor Rates'!#REF!</f>
        <v>#REF!</v>
      </c>
      <c r="R14" s="380" t="e">
        <f t="shared" si="14"/>
        <v>#REF!</v>
      </c>
      <c r="S14" s="366" t="e">
        <f t="shared" si="0"/>
        <v>#REF!</v>
      </c>
      <c r="T14" s="357">
        <v>1920</v>
      </c>
      <c r="U14" s="480" t="e">
        <f>'Labor Rates'!#REF!</f>
        <v>#REF!</v>
      </c>
      <c r="V14" s="385" t="e">
        <f t="shared" si="15"/>
        <v>#REF!</v>
      </c>
      <c r="W14" s="414" t="e">
        <f>'Labor Rates'!#REF!</f>
        <v>#REF!</v>
      </c>
      <c r="X14" s="381" t="e">
        <f t="shared" si="16"/>
        <v>#REF!</v>
      </c>
      <c r="Y14" s="415" t="e">
        <f>'Labor Rates'!#REF!</f>
        <v>#REF!</v>
      </c>
      <c r="Z14" s="380" t="e">
        <f t="shared" si="17"/>
        <v>#REF!</v>
      </c>
      <c r="AA14" s="366" t="e">
        <f t="shared" si="1"/>
        <v>#REF!</v>
      </c>
      <c r="AB14" s="357">
        <v>1920</v>
      </c>
      <c r="AC14" s="480" t="e">
        <f>'Labor Rates'!#REF!</f>
        <v>#REF!</v>
      </c>
      <c r="AD14" s="385" t="e">
        <f t="shared" si="18"/>
        <v>#REF!</v>
      </c>
      <c r="AE14" s="414" t="e">
        <f>'Labor Rates'!#REF!</f>
        <v>#REF!</v>
      </c>
      <c r="AF14" s="381" t="e">
        <f t="shared" si="19"/>
        <v>#REF!</v>
      </c>
      <c r="AG14" s="415" t="e">
        <f>'Labor Rates'!#REF!</f>
        <v>#REF!</v>
      </c>
      <c r="AH14" s="380" t="e">
        <f t="shared" si="20"/>
        <v>#REF!</v>
      </c>
      <c r="AI14" s="366" t="e">
        <f t="shared" si="2"/>
        <v>#REF!</v>
      </c>
      <c r="AJ14" s="357">
        <v>1920</v>
      </c>
      <c r="AK14" s="480" t="e">
        <f>'Labor Rates'!#REF!</f>
        <v>#REF!</v>
      </c>
      <c r="AL14" s="385" t="e">
        <f t="shared" si="21"/>
        <v>#REF!</v>
      </c>
      <c r="AM14" s="309" t="e">
        <f>'Labor Rates'!#REF!</f>
        <v>#REF!</v>
      </c>
      <c r="AN14" s="381" t="e">
        <f t="shared" si="22"/>
        <v>#REF!</v>
      </c>
      <c r="AO14" s="309" t="e">
        <f>'Labor Rates'!#REF!</f>
        <v>#REF!</v>
      </c>
      <c r="AP14" s="380" t="e">
        <f t="shared" si="23"/>
        <v>#REF!</v>
      </c>
      <c r="AQ14" s="366" t="e">
        <f t="shared" si="3"/>
        <v>#REF!</v>
      </c>
      <c r="AR14" s="357">
        <v>1920</v>
      </c>
      <c r="AS14" s="480" t="e">
        <f>'Labor Rates'!#REF!</f>
        <v>#REF!</v>
      </c>
      <c r="AT14" s="385" t="e">
        <f t="shared" si="24"/>
        <v>#REF!</v>
      </c>
      <c r="AU14" s="414" t="e">
        <f>'Labor Rates'!#REF!</f>
        <v>#REF!</v>
      </c>
      <c r="AV14" s="381" t="e">
        <f t="shared" si="25"/>
        <v>#REF!</v>
      </c>
      <c r="AW14" s="415" t="e">
        <f>'Labor Rates'!#REF!</f>
        <v>#REF!</v>
      </c>
      <c r="AX14" s="380" t="e">
        <f t="shared" si="26"/>
        <v>#REF!</v>
      </c>
      <c r="AY14" s="366" t="e">
        <f t="shared" si="4"/>
        <v>#REF!</v>
      </c>
      <c r="AZ14" s="476">
        <f t="shared" si="5"/>
        <v>11520</v>
      </c>
      <c r="BA14" s="477" t="e">
        <f t="shared" si="6"/>
        <v>#REF!</v>
      </c>
      <c r="BB14" s="431" t="e">
        <f t="shared" si="7"/>
        <v>#REF!</v>
      </c>
    </row>
    <row r="15" spans="1:54" x14ac:dyDescent="0.25">
      <c r="A15" s="490"/>
      <c r="B15" s="375" t="str">
        <f>IF(ISBLANK('Labor Rates'!D15),"",'Labor Rates'!D15)</f>
        <v/>
      </c>
      <c r="C15" s="375" t="str">
        <f>IF(ISBLANK('Labor Rates'!E15),"",'Labor Rates'!E15)</f>
        <v/>
      </c>
      <c r="D15" s="432">
        <v>1920</v>
      </c>
      <c r="E15" s="385" t="e">
        <f>'Labor Rates'!#REF!</f>
        <v>#REF!</v>
      </c>
      <c r="F15" s="385" t="e">
        <f t="shared" si="8"/>
        <v>#REF!</v>
      </c>
      <c r="G15" s="414" t="e">
        <f>'Labor Rates'!#REF!</f>
        <v>#REF!</v>
      </c>
      <c r="H15" s="381" t="e">
        <f t="shared" si="9"/>
        <v>#REF!</v>
      </c>
      <c r="I15" s="415" t="e">
        <f>'Labor Rates'!#REF!</f>
        <v>#REF!</v>
      </c>
      <c r="J15" s="380" t="e">
        <f t="shared" si="10"/>
        <v>#REF!</v>
      </c>
      <c r="K15" s="475" t="e">
        <f t="shared" si="11"/>
        <v>#REF!</v>
      </c>
      <c r="L15" s="432">
        <v>1920</v>
      </c>
      <c r="M15" s="480" t="e">
        <f>'Labor Rates'!#REF!</f>
        <v>#REF!</v>
      </c>
      <c r="N15" s="385" t="e">
        <f t="shared" si="12"/>
        <v>#REF!</v>
      </c>
      <c r="O15" s="414" t="e">
        <f>'Labor Rates'!#REF!</f>
        <v>#REF!</v>
      </c>
      <c r="P15" s="381" t="e">
        <f t="shared" si="13"/>
        <v>#REF!</v>
      </c>
      <c r="Q15" s="415" t="e">
        <f>'Labor Rates'!#REF!</f>
        <v>#REF!</v>
      </c>
      <c r="R15" s="380" t="e">
        <f t="shared" si="14"/>
        <v>#REF!</v>
      </c>
      <c r="S15" s="366" t="e">
        <f t="shared" si="0"/>
        <v>#REF!</v>
      </c>
      <c r="T15" s="357">
        <v>1920</v>
      </c>
      <c r="U15" s="480" t="e">
        <f>'Labor Rates'!#REF!</f>
        <v>#REF!</v>
      </c>
      <c r="V15" s="385" t="e">
        <f t="shared" si="15"/>
        <v>#REF!</v>
      </c>
      <c r="W15" s="414" t="e">
        <f>'Labor Rates'!#REF!</f>
        <v>#REF!</v>
      </c>
      <c r="X15" s="381" t="e">
        <f t="shared" si="16"/>
        <v>#REF!</v>
      </c>
      <c r="Y15" s="415" t="e">
        <f>'Labor Rates'!#REF!</f>
        <v>#REF!</v>
      </c>
      <c r="Z15" s="380" t="e">
        <f t="shared" si="17"/>
        <v>#REF!</v>
      </c>
      <c r="AA15" s="366" t="e">
        <f t="shared" si="1"/>
        <v>#REF!</v>
      </c>
      <c r="AB15" s="357">
        <v>1920</v>
      </c>
      <c r="AC15" s="480" t="e">
        <f>'Labor Rates'!#REF!</f>
        <v>#REF!</v>
      </c>
      <c r="AD15" s="385" t="e">
        <f t="shared" si="18"/>
        <v>#REF!</v>
      </c>
      <c r="AE15" s="414" t="e">
        <f>'Labor Rates'!#REF!</f>
        <v>#REF!</v>
      </c>
      <c r="AF15" s="381" t="e">
        <f t="shared" si="19"/>
        <v>#REF!</v>
      </c>
      <c r="AG15" s="415" t="e">
        <f>'Labor Rates'!#REF!</f>
        <v>#REF!</v>
      </c>
      <c r="AH15" s="380" t="e">
        <f t="shared" si="20"/>
        <v>#REF!</v>
      </c>
      <c r="AI15" s="366" t="e">
        <f t="shared" si="2"/>
        <v>#REF!</v>
      </c>
      <c r="AJ15" s="357">
        <v>1920</v>
      </c>
      <c r="AK15" s="480" t="e">
        <f>'Labor Rates'!#REF!</f>
        <v>#REF!</v>
      </c>
      <c r="AL15" s="385" t="e">
        <f t="shared" si="21"/>
        <v>#REF!</v>
      </c>
      <c r="AM15" s="309" t="e">
        <f>'Labor Rates'!#REF!</f>
        <v>#REF!</v>
      </c>
      <c r="AN15" s="381" t="e">
        <f t="shared" si="22"/>
        <v>#REF!</v>
      </c>
      <c r="AO15" s="309" t="e">
        <f>'Labor Rates'!#REF!</f>
        <v>#REF!</v>
      </c>
      <c r="AP15" s="380" t="e">
        <f t="shared" si="23"/>
        <v>#REF!</v>
      </c>
      <c r="AQ15" s="366" t="e">
        <f t="shared" si="3"/>
        <v>#REF!</v>
      </c>
      <c r="AR15" s="357">
        <v>1920</v>
      </c>
      <c r="AS15" s="480" t="e">
        <f>'Labor Rates'!#REF!</f>
        <v>#REF!</v>
      </c>
      <c r="AT15" s="385" t="e">
        <f t="shared" si="24"/>
        <v>#REF!</v>
      </c>
      <c r="AU15" s="414" t="e">
        <f>'Labor Rates'!#REF!</f>
        <v>#REF!</v>
      </c>
      <c r="AV15" s="381" t="e">
        <f t="shared" si="25"/>
        <v>#REF!</v>
      </c>
      <c r="AW15" s="415" t="e">
        <f>'Labor Rates'!#REF!</f>
        <v>#REF!</v>
      </c>
      <c r="AX15" s="380" t="e">
        <f t="shared" si="26"/>
        <v>#REF!</v>
      </c>
      <c r="AY15" s="366" t="e">
        <f t="shared" si="4"/>
        <v>#REF!</v>
      </c>
      <c r="AZ15" s="476">
        <f t="shared" si="5"/>
        <v>11520</v>
      </c>
      <c r="BA15" s="477" t="e">
        <f t="shared" si="6"/>
        <v>#REF!</v>
      </c>
      <c r="BB15" s="431" t="e">
        <f t="shared" si="7"/>
        <v>#REF!</v>
      </c>
    </row>
    <row r="16" spans="1:54" x14ac:dyDescent="0.25">
      <c r="A16" s="490"/>
      <c r="B16" s="375" t="str">
        <f>IF(ISBLANK('Labor Rates'!D16),"",'Labor Rates'!D16)</f>
        <v/>
      </c>
      <c r="C16" s="375" t="str">
        <f>IF(ISBLANK('Labor Rates'!E16),"",'Labor Rates'!E16)</f>
        <v/>
      </c>
      <c r="D16" s="432">
        <v>1920</v>
      </c>
      <c r="E16" s="385" t="e">
        <f>'Labor Rates'!#REF!</f>
        <v>#REF!</v>
      </c>
      <c r="F16" s="385" t="e">
        <f t="shared" si="8"/>
        <v>#REF!</v>
      </c>
      <c r="G16" s="414" t="e">
        <f>'Labor Rates'!#REF!</f>
        <v>#REF!</v>
      </c>
      <c r="H16" s="381" t="e">
        <f t="shared" si="9"/>
        <v>#REF!</v>
      </c>
      <c r="I16" s="415" t="e">
        <f>'Labor Rates'!#REF!</f>
        <v>#REF!</v>
      </c>
      <c r="J16" s="380" t="e">
        <f t="shared" si="10"/>
        <v>#REF!</v>
      </c>
      <c r="K16" s="475" t="e">
        <f t="shared" si="11"/>
        <v>#REF!</v>
      </c>
      <c r="L16" s="432">
        <v>1920</v>
      </c>
      <c r="M16" s="480" t="e">
        <f>'Labor Rates'!#REF!</f>
        <v>#REF!</v>
      </c>
      <c r="N16" s="385" t="e">
        <f t="shared" si="12"/>
        <v>#REF!</v>
      </c>
      <c r="O16" s="414" t="e">
        <f>'Labor Rates'!#REF!</f>
        <v>#REF!</v>
      </c>
      <c r="P16" s="381" t="e">
        <f t="shared" si="13"/>
        <v>#REF!</v>
      </c>
      <c r="Q16" s="415" t="e">
        <f>'Labor Rates'!#REF!</f>
        <v>#REF!</v>
      </c>
      <c r="R16" s="380" t="e">
        <f t="shared" si="14"/>
        <v>#REF!</v>
      </c>
      <c r="S16" s="366" t="e">
        <f t="shared" si="0"/>
        <v>#REF!</v>
      </c>
      <c r="T16" s="357">
        <v>1920</v>
      </c>
      <c r="U16" s="480" t="e">
        <f>'Labor Rates'!#REF!</f>
        <v>#REF!</v>
      </c>
      <c r="V16" s="385" t="e">
        <f t="shared" si="15"/>
        <v>#REF!</v>
      </c>
      <c r="W16" s="414" t="e">
        <f>'Labor Rates'!#REF!</f>
        <v>#REF!</v>
      </c>
      <c r="X16" s="381" t="e">
        <f t="shared" si="16"/>
        <v>#REF!</v>
      </c>
      <c r="Y16" s="415" t="e">
        <f>'Labor Rates'!#REF!</f>
        <v>#REF!</v>
      </c>
      <c r="Z16" s="380" t="e">
        <f t="shared" si="17"/>
        <v>#REF!</v>
      </c>
      <c r="AA16" s="366" t="e">
        <f t="shared" si="1"/>
        <v>#REF!</v>
      </c>
      <c r="AB16" s="357">
        <v>1920</v>
      </c>
      <c r="AC16" s="480" t="e">
        <f>'Labor Rates'!#REF!</f>
        <v>#REF!</v>
      </c>
      <c r="AD16" s="385" t="e">
        <f t="shared" si="18"/>
        <v>#REF!</v>
      </c>
      <c r="AE16" s="414" t="e">
        <f>'Labor Rates'!#REF!</f>
        <v>#REF!</v>
      </c>
      <c r="AF16" s="381" t="e">
        <f t="shared" si="19"/>
        <v>#REF!</v>
      </c>
      <c r="AG16" s="415" t="e">
        <f>'Labor Rates'!#REF!</f>
        <v>#REF!</v>
      </c>
      <c r="AH16" s="380" t="e">
        <f t="shared" si="20"/>
        <v>#REF!</v>
      </c>
      <c r="AI16" s="366" t="e">
        <f t="shared" si="2"/>
        <v>#REF!</v>
      </c>
      <c r="AJ16" s="357">
        <v>1920</v>
      </c>
      <c r="AK16" s="480" t="e">
        <f>'Labor Rates'!#REF!</f>
        <v>#REF!</v>
      </c>
      <c r="AL16" s="385" t="e">
        <f t="shared" si="21"/>
        <v>#REF!</v>
      </c>
      <c r="AM16" s="309" t="e">
        <f>'Labor Rates'!#REF!</f>
        <v>#REF!</v>
      </c>
      <c r="AN16" s="381" t="e">
        <f t="shared" si="22"/>
        <v>#REF!</v>
      </c>
      <c r="AO16" s="309" t="e">
        <f>'Labor Rates'!#REF!</f>
        <v>#REF!</v>
      </c>
      <c r="AP16" s="380" t="e">
        <f t="shared" si="23"/>
        <v>#REF!</v>
      </c>
      <c r="AQ16" s="366" t="e">
        <f t="shared" si="3"/>
        <v>#REF!</v>
      </c>
      <c r="AR16" s="357">
        <v>1920</v>
      </c>
      <c r="AS16" s="480" t="e">
        <f>'Labor Rates'!#REF!</f>
        <v>#REF!</v>
      </c>
      <c r="AT16" s="385" t="e">
        <f t="shared" si="24"/>
        <v>#REF!</v>
      </c>
      <c r="AU16" s="414" t="e">
        <f>'Labor Rates'!#REF!</f>
        <v>#REF!</v>
      </c>
      <c r="AV16" s="381" t="e">
        <f t="shared" si="25"/>
        <v>#REF!</v>
      </c>
      <c r="AW16" s="415" t="e">
        <f>'Labor Rates'!#REF!</f>
        <v>#REF!</v>
      </c>
      <c r="AX16" s="380" t="e">
        <f t="shared" si="26"/>
        <v>#REF!</v>
      </c>
      <c r="AY16" s="366" t="e">
        <f t="shared" si="4"/>
        <v>#REF!</v>
      </c>
      <c r="AZ16" s="476">
        <f t="shared" si="5"/>
        <v>11520</v>
      </c>
      <c r="BA16" s="477" t="e">
        <f t="shared" si="6"/>
        <v>#REF!</v>
      </c>
      <c r="BB16" s="431" t="e">
        <f t="shared" si="7"/>
        <v>#REF!</v>
      </c>
    </row>
    <row r="17" spans="1:538" x14ac:dyDescent="0.25">
      <c r="A17" s="490"/>
      <c r="B17" s="375" t="str">
        <f>IF(ISBLANK('Labor Rates'!D17),"",'Labor Rates'!D17)</f>
        <v/>
      </c>
      <c r="C17" s="375" t="str">
        <f>IF(ISBLANK('Labor Rates'!E17),"",'Labor Rates'!E17)</f>
        <v/>
      </c>
      <c r="D17" s="432">
        <v>1920</v>
      </c>
      <c r="E17" s="385" t="e">
        <f>'Labor Rates'!#REF!</f>
        <v>#REF!</v>
      </c>
      <c r="F17" s="385" t="e">
        <f t="shared" si="8"/>
        <v>#REF!</v>
      </c>
      <c r="G17" s="414" t="e">
        <f>'Labor Rates'!#REF!</f>
        <v>#REF!</v>
      </c>
      <c r="H17" s="381" t="e">
        <f t="shared" si="9"/>
        <v>#REF!</v>
      </c>
      <c r="I17" s="415" t="e">
        <f>'Labor Rates'!#REF!</f>
        <v>#REF!</v>
      </c>
      <c r="J17" s="380" t="e">
        <f t="shared" si="10"/>
        <v>#REF!</v>
      </c>
      <c r="K17" s="475" t="e">
        <f t="shared" si="11"/>
        <v>#REF!</v>
      </c>
      <c r="L17" s="432">
        <v>1920</v>
      </c>
      <c r="M17" s="480" t="e">
        <f>'Labor Rates'!#REF!</f>
        <v>#REF!</v>
      </c>
      <c r="N17" s="385" t="e">
        <f t="shared" si="12"/>
        <v>#REF!</v>
      </c>
      <c r="O17" s="414" t="e">
        <f>'Labor Rates'!#REF!</f>
        <v>#REF!</v>
      </c>
      <c r="P17" s="381" t="e">
        <f t="shared" si="13"/>
        <v>#REF!</v>
      </c>
      <c r="Q17" s="415" t="e">
        <f>'Labor Rates'!#REF!</f>
        <v>#REF!</v>
      </c>
      <c r="R17" s="380" t="e">
        <f t="shared" si="14"/>
        <v>#REF!</v>
      </c>
      <c r="S17" s="366" t="e">
        <f t="shared" si="0"/>
        <v>#REF!</v>
      </c>
      <c r="T17" s="357">
        <v>1920</v>
      </c>
      <c r="U17" s="480" t="e">
        <f>'Labor Rates'!#REF!</f>
        <v>#REF!</v>
      </c>
      <c r="V17" s="385" t="e">
        <f t="shared" si="15"/>
        <v>#REF!</v>
      </c>
      <c r="W17" s="414" t="e">
        <f>'Labor Rates'!#REF!</f>
        <v>#REF!</v>
      </c>
      <c r="X17" s="381" t="e">
        <f t="shared" si="16"/>
        <v>#REF!</v>
      </c>
      <c r="Y17" s="415" t="e">
        <f>'Labor Rates'!#REF!</f>
        <v>#REF!</v>
      </c>
      <c r="Z17" s="380" t="e">
        <f t="shared" si="17"/>
        <v>#REF!</v>
      </c>
      <c r="AA17" s="366" t="e">
        <f t="shared" si="1"/>
        <v>#REF!</v>
      </c>
      <c r="AB17" s="357">
        <v>1920</v>
      </c>
      <c r="AC17" s="480" t="e">
        <f>'Labor Rates'!#REF!</f>
        <v>#REF!</v>
      </c>
      <c r="AD17" s="385" t="e">
        <f t="shared" si="18"/>
        <v>#REF!</v>
      </c>
      <c r="AE17" s="414" t="e">
        <f>'Labor Rates'!#REF!</f>
        <v>#REF!</v>
      </c>
      <c r="AF17" s="381" t="e">
        <f t="shared" si="19"/>
        <v>#REF!</v>
      </c>
      <c r="AG17" s="415" t="e">
        <f>'Labor Rates'!#REF!</f>
        <v>#REF!</v>
      </c>
      <c r="AH17" s="380" t="e">
        <f t="shared" si="20"/>
        <v>#REF!</v>
      </c>
      <c r="AI17" s="366" t="e">
        <f t="shared" si="2"/>
        <v>#REF!</v>
      </c>
      <c r="AJ17" s="357">
        <v>1920</v>
      </c>
      <c r="AK17" s="480" t="e">
        <f>'Labor Rates'!#REF!</f>
        <v>#REF!</v>
      </c>
      <c r="AL17" s="385" t="e">
        <f t="shared" si="21"/>
        <v>#REF!</v>
      </c>
      <c r="AM17" s="309" t="e">
        <f>'Labor Rates'!#REF!</f>
        <v>#REF!</v>
      </c>
      <c r="AN17" s="381" t="e">
        <f t="shared" si="22"/>
        <v>#REF!</v>
      </c>
      <c r="AO17" s="309" t="e">
        <f>'Labor Rates'!#REF!</f>
        <v>#REF!</v>
      </c>
      <c r="AP17" s="380" t="e">
        <f t="shared" si="23"/>
        <v>#REF!</v>
      </c>
      <c r="AQ17" s="366" t="e">
        <f t="shared" si="3"/>
        <v>#REF!</v>
      </c>
      <c r="AR17" s="357">
        <v>1920</v>
      </c>
      <c r="AS17" s="480" t="e">
        <f>'Labor Rates'!#REF!</f>
        <v>#REF!</v>
      </c>
      <c r="AT17" s="385" t="e">
        <f t="shared" si="24"/>
        <v>#REF!</v>
      </c>
      <c r="AU17" s="414" t="e">
        <f>'Labor Rates'!#REF!</f>
        <v>#REF!</v>
      </c>
      <c r="AV17" s="381" t="e">
        <f t="shared" si="25"/>
        <v>#REF!</v>
      </c>
      <c r="AW17" s="415" t="e">
        <f>'Labor Rates'!#REF!</f>
        <v>#REF!</v>
      </c>
      <c r="AX17" s="380" t="e">
        <f t="shared" si="26"/>
        <v>#REF!</v>
      </c>
      <c r="AY17" s="366" t="e">
        <f t="shared" si="4"/>
        <v>#REF!</v>
      </c>
      <c r="AZ17" s="476">
        <f t="shared" si="5"/>
        <v>11520</v>
      </c>
      <c r="BA17" s="477" t="e">
        <f t="shared" si="6"/>
        <v>#REF!</v>
      </c>
      <c r="BB17" s="431" t="e">
        <f t="shared" si="7"/>
        <v>#REF!</v>
      </c>
    </row>
    <row r="18" spans="1:538" x14ac:dyDescent="0.25">
      <c r="A18" s="490"/>
      <c r="B18" s="375" t="str">
        <f>IF(ISBLANK('Labor Rates'!D18),"",'Labor Rates'!D18)</f>
        <v/>
      </c>
      <c r="C18" s="375" t="str">
        <f>IF(ISBLANK('Labor Rates'!E18),"",'Labor Rates'!E18)</f>
        <v/>
      </c>
      <c r="D18" s="432">
        <v>1920</v>
      </c>
      <c r="E18" s="385" t="e">
        <f>'Labor Rates'!#REF!</f>
        <v>#REF!</v>
      </c>
      <c r="F18" s="385" t="e">
        <f t="shared" si="8"/>
        <v>#REF!</v>
      </c>
      <c r="G18" s="414" t="e">
        <f>'Labor Rates'!#REF!</f>
        <v>#REF!</v>
      </c>
      <c r="H18" s="381" t="e">
        <f t="shared" si="9"/>
        <v>#REF!</v>
      </c>
      <c r="I18" s="415" t="e">
        <f>'Labor Rates'!#REF!</f>
        <v>#REF!</v>
      </c>
      <c r="J18" s="380" t="e">
        <f t="shared" si="10"/>
        <v>#REF!</v>
      </c>
      <c r="K18" s="475" t="e">
        <f t="shared" si="11"/>
        <v>#REF!</v>
      </c>
      <c r="L18" s="432">
        <v>1920</v>
      </c>
      <c r="M18" s="480" t="e">
        <f>'Labor Rates'!#REF!</f>
        <v>#REF!</v>
      </c>
      <c r="N18" s="385" t="e">
        <f t="shared" si="12"/>
        <v>#REF!</v>
      </c>
      <c r="O18" s="414" t="e">
        <f>'Labor Rates'!#REF!</f>
        <v>#REF!</v>
      </c>
      <c r="P18" s="381" t="e">
        <f t="shared" si="13"/>
        <v>#REF!</v>
      </c>
      <c r="Q18" s="415" t="e">
        <f>'Labor Rates'!#REF!</f>
        <v>#REF!</v>
      </c>
      <c r="R18" s="380" t="e">
        <f t="shared" si="14"/>
        <v>#REF!</v>
      </c>
      <c r="S18" s="366" t="e">
        <f t="shared" si="0"/>
        <v>#REF!</v>
      </c>
      <c r="T18" s="357">
        <v>1920</v>
      </c>
      <c r="U18" s="480" t="e">
        <f>'Labor Rates'!#REF!</f>
        <v>#REF!</v>
      </c>
      <c r="V18" s="385" t="e">
        <f t="shared" si="15"/>
        <v>#REF!</v>
      </c>
      <c r="W18" s="414" t="e">
        <f>'Labor Rates'!#REF!</f>
        <v>#REF!</v>
      </c>
      <c r="X18" s="381" t="e">
        <f t="shared" si="16"/>
        <v>#REF!</v>
      </c>
      <c r="Y18" s="415" t="e">
        <f>'Labor Rates'!#REF!</f>
        <v>#REF!</v>
      </c>
      <c r="Z18" s="380" t="e">
        <f t="shared" si="17"/>
        <v>#REF!</v>
      </c>
      <c r="AA18" s="366" t="e">
        <f t="shared" si="1"/>
        <v>#REF!</v>
      </c>
      <c r="AB18" s="357">
        <v>1920</v>
      </c>
      <c r="AC18" s="480" t="e">
        <f>'Labor Rates'!#REF!</f>
        <v>#REF!</v>
      </c>
      <c r="AD18" s="385" t="e">
        <f t="shared" si="18"/>
        <v>#REF!</v>
      </c>
      <c r="AE18" s="414" t="e">
        <f>'Labor Rates'!#REF!</f>
        <v>#REF!</v>
      </c>
      <c r="AF18" s="381" t="e">
        <f t="shared" si="19"/>
        <v>#REF!</v>
      </c>
      <c r="AG18" s="415" t="e">
        <f>'Labor Rates'!#REF!</f>
        <v>#REF!</v>
      </c>
      <c r="AH18" s="380" t="e">
        <f t="shared" si="20"/>
        <v>#REF!</v>
      </c>
      <c r="AI18" s="366" t="e">
        <f t="shared" si="2"/>
        <v>#REF!</v>
      </c>
      <c r="AJ18" s="357">
        <v>1920</v>
      </c>
      <c r="AK18" s="480" t="e">
        <f>'Labor Rates'!#REF!</f>
        <v>#REF!</v>
      </c>
      <c r="AL18" s="385" t="e">
        <f t="shared" si="21"/>
        <v>#REF!</v>
      </c>
      <c r="AM18" s="309" t="e">
        <f>'Labor Rates'!#REF!</f>
        <v>#REF!</v>
      </c>
      <c r="AN18" s="381" t="e">
        <f t="shared" si="22"/>
        <v>#REF!</v>
      </c>
      <c r="AO18" s="309" t="e">
        <f>'Labor Rates'!#REF!</f>
        <v>#REF!</v>
      </c>
      <c r="AP18" s="380" t="e">
        <f t="shared" si="23"/>
        <v>#REF!</v>
      </c>
      <c r="AQ18" s="366" t="e">
        <f t="shared" si="3"/>
        <v>#REF!</v>
      </c>
      <c r="AR18" s="357">
        <v>1920</v>
      </c>
      <c r="AS18" s="480" t="e">
        <f>'Labor Rates'!#REF!</f>
        <v>#REF!</v>
      </c>
      <c r="AT18" s="385" t="e">
        <f t="shared" si="24"/>
        <v>#REF!</v>
      </c>
      <c r="AU18" s="414" t="e">
        <f>'Labor Rates'!#REF!</f>
        <v>#REF!</v>
      </c>
      <c r="AV18" s="381" t="e">
        <f t="shared" si="25"/>
        <v>#REF!</v>
      </c>
      <c r="AW18" s="415" t="e">
        <f>'Labor Rates'!#REF!</f>
        <v>#REF!</v>
      </c>
      <c r="AX18" s="380" t="e">
        <f t="shared" si="26"/>
        <v>#REF!</v>
      </c>
      <c r="AY18" s="366" t="e">
        <f t="shared" si="4"/>
        <v>#REF!</v>
      </c>
      <c r="AZ18" s="476">
        <f t="shared" si="5"/>
        <v>11520</v>
      </c>
      <c r="BA18" s="477" t="e">
        <f t="shared" si="6"/>
        <v>#REF!</v>
      </c>
      <c r="BB18" s="431" t="e">
        <f t="shared" si="7"/>
        <v>#REF!</v>
      </c>
    </row>
    <row r="19" spans="1:538" x14ac:dyDescent="0.25">
      <c r="A19" s="490"/>
      <c r="B19" s="375" t="str">
        <f>IF(ISBLANK('Labor Rates'!D19),"",'Labor Rates'!D19)</f>
        <v/>
      </c>
      <c r="C19" s="375" t="str">
        <f>IF(ISBLANK('Labor Rates'!E19),"",'Labor Rates'!E19)</f>
        <v/>
      </c>
      <c r="D19" s="432">
        <v>1920</v>
      </c>
      <c r="E19" s="385" t="e">
        <f>'Labor Rates'!#REF!</f>
        <v>#REF!</v>
      </c>
      <c r="F19" s="385" t="e">
        <f t="shared" si="8"/>
        <v>#REF!</v>
      </c>
      <c r="G19" s="414" t="e">
        <f>'Labor Rates'!#REF!</f>
        <v>#REF!</v>
      </c>
      <c r="H19" s="381" t="e">
        <f t="shared" si="9"/>
        <v>#REF!</v>
      </c>
      <c r="I19" s="415" t="e">
        <f>'Labor Rates'!#REF!</f>
        <v>#REF!</v>
      </c>
      <c r="J19" s="380" t="e">
        <f t="shared" si="10"/>
        <v>#REF!</v>
      </c>
      <c r="K19" s="475" t="e">
        <f t="shared" si="11"/>
        <v>#REF!</v>
      </c>
      <c r="L19" s="432">
        <v>1920</v>
      </c>
      <c r="M19" s="480" t="e">
        <f>'Labor Rates'!#REF!</f>
        <v>#REF!</v>
      </c>
      <c r="N19" s="385" t="e">
        <f t="shared" si="12"/>
        <v>#REF!</v>
      </c>
      <c r="O19" s="414" t="e">
        <f>'Labor Rates'!#REF!</f>
        <v>#REF!</v>
      </c>
      <c r="P19" s="381" t="e">
        <f t="shared" si="13"/>
        <v>#REF!</v>
      </c>
      <c r="Q19" s="415" t="e">
        <f>'Labor Rates'!#REF!</f>
        <v>#REF!</v>
      </c>
      <c r="R19" s="380" t="e">
        <f t="shared" si="14"/>
        <v>#REF!</v>
      </c>
      <c r="S19" s="366" t="e">
        <f t="shared" si="0"/>
        <v>#REF!</v>
      </c>
      <c r="T19" s="357">
        <v>1920</v>
      </c>
      <c r="U19" s="480" t="e">
        <f>'Labor Rates'!#REF!</f>
        <v>#REF!</v>
      </c>
      <c r="V19" s="385" t="e">
        <f t="shared" si="15"/>
        <v>#REF!</v>
      </c>
      <c r="W19" s="414" t="e">
        <f>'Labor Rates'!#REF!</f>
        <v>#REF!</v>
      </c>
      <c r="X19" s="381" t="e">
        <f t="shared" si="16"/>
        <v>#REF!</v>
      </c>
      <c r="Y19" s="415" t="e">
        <f>'Labor Rates'!#REF!</f>
        <v>#REF!</v>
      </c>
      <c r="Z19" s="380" t="e">
        <f t="shared" si="17"/>
        <v>#REF!</v>
      </c>
      <c r="AA19" s="366" t="e">
        <f t="shared" si="1"/>
        <v>#REF!</v>
      </c>
      <c r="AB19" s="357">
        <v>1920</v>
      </c>
      <c r="AC19" s="480" t="e">
        <f>'Labor Rates'!#REF!</f>
        <v>#REF!</v>
      </c>
      <c r="AD19" s="385" t="e">
        <f t="shared" si="18"/>
        <v>#REF!</v>
      </c>
      <c r="AE19" s="414" t="e">
        <f>'Labor Rates'!#REF!</f>
        <v>#REF!</v>
      </c>
      <c r="AF19" s="381" t="e">
        <f t="shared" si="19"/>
        <v>#REF!</v>
      </c>
      <c r="AG19" s="415" t="e">
        <f>'Labor Rates'!#REF!</f>
        <v>#REF!</v>
      </c>
      <c r="AH19" s="380" t="e">
        <f t="shared" si="20"/>
        <v>#REF!</v>
      </c>
      <c r="AI19" s="366" t="e">
        <f t="shared" si="2"/>
        <v>#REF!</v>
      </c>
      <c r="AJ19" s="357">
        <v>1920</v>
      </c>
      <c r="AK19" s="480" t="e">
        <f>'Labor Rates'!#REF!</f>
        <v>#REF!</v>
      </c>
      <c r="AL19" s="385" t="e">
        <f t="shared" si="21"/>
        <v>#REF!</v>
      </c>
      <c r="AM19" s="309" t="e">
        <f>'Labor Rates'!#REF!</f>
        <v>#REF!</v>
      </c>
      <c r="AN19" s="381" t="e">
        <f t="shared" si="22"/>
        <v>#REF!</v>
      </c>
      <c r="AO19" s="309" t="e">
        <f>'Labor Rates'!#REF!</f>
        <v>#REF!</v>
      </c>
      <c r="AP19" s="380" t="e">
        <f t="shared" si="23"/>
        <v>#REF!</v>
      </c>
      <c r="AQ19" s="366" t="e">
        <f t="shared" si="3"/>
        <v>#REF!</v>
      </c>
      <c r="AR19" s="357">
        <v>1920</v>
      </c>
      <c r="AS19" s="480" t="e">
        <f>'Labor Rates'!#REF!</f>
        <v>#REF!</v>
      </c>
      <c r="AT19" s="385" t="e">
        <f t="shared" si="24"/>
        <v>#REF!</v>
      </c>
      <c r="AU19" s="414" t="e">
        <f>'Labor Rates'!#REF!</f>
        <v>#REF!</v>
      </c>
      <c r="AV19" s="381" t="e">
        <f t="shared" si="25"/>
        <v>#REF!</v>
      </c>
      <c r="AW19" s="415" t="e">
        <f>'Labor Rates'!#REF!</f>
        <v>#REF!</v>
      </c>
      <c r="AX19" s="380" t="e">
        <f t="shared" si="26"/>
        <v>#REF!</v>
      </c>
      <c r="AY19" s="366" t="e">
        <f t="shared" si="4"/>
        <v>#REF!</v>
      </c>
      <c r="AZ19" s="476">
        <f t="shared" si="5"/>
        <v>11520</v>
      </c>
      <c r="BA19" s="477" t="e">
        <f t="shared" si="6"/>
        <v>#REF!</v>
      </c>
      <c r="BB19" s="431" t="e">
        <f t="shared" si="7"/>
        <v>#REF!</v>
      </c>
    </row>
    <row r="20" spans="1:538" x14ac:dyDescent="0.25">
      <c r="A20" s="490"/>
      <c r="B20" s="375" t="str">
        <f>IF(ISBLANK('Labor Rates'!D20),"",'Labor Rates'!D20)</f>
        <v/>
      </c>
      <c r="C20" s="375" t="str">
        <f>IF(ISBLANK('Labor Rates'!E20),"",'Labor Rates'!E20)</f>
        <v/>
      </c>
      <c r="D20" s="432">
        <v>1920</v>
      </c>
      <c r="E20" s="385" t="e">
        <f>'Labor Rates'!#REF!</f>
        <v>#REF!</v>
      </c>
      <c r="F20" s="385" t="e">
        <f t="shared" si="8"/>
        <v>#REF!</v>
      </c>
      <c r="G20" s="414" t="e">
        <f>'Labor Rates'!#REF!</f>
        <v>#REF!</v>
      </c>
      <c r="H20" s="381" t="e">
        <f t="shared" si="9"/>
        <v>#REF!</v>
      </c>
      <c r="I20" s="415" t="e">
        <f>'Labor Rates'!#REF!</f>
        <v>#REF!</v>
      </c>
      <c r="J20" s="380" t="e">
        <f t="shared" si="10"/>
        <v>#REF!</v>
      </c>
      <c r="K20" s="475" t="e">
        <f t="shared" si="11"/>
        <v>#REF!</v>
      </c>
      <c r="L20" s="432">
        <v>1920</v>
      </c>
      <c r="M20" s="480" t="e">
        <f>'Labor Rates'!#REF!</f>
        <v>#REF!</v>
      </c>
      <c r="N20" s="385" t="e">
        <f t="shared" si="12"/>
        <v>#REF!</v>
      </c>
      <c r="O20" s="414" t="e">
        <f>'Labor Rates'!#REF!</f>
        <v>#REF!</v>
      </c>
      <c r="P20" s="381" t="e">
        <f t="shared" si="13"/>
        <v>#REF!</v>
      </c>
      <c r="Q20" s="415" t="e">
        <f>'Labor Rates'!#REF!</f>
        <v>#REF!</v>
      </c>
      <c r="R20" s="380" t="e">
        <f t="shared" si="14"/>
        <v>#REF!</v>
      </c>
      <c r="S20" s="366" t="e">
        <f t="shared" si="0"/>
        <v>#REF!</v>
      </c>
      <c r="T20" s="357">
        <v>1920</v>
      </c>
      <c r="U20" s="480" t="e">
        <f>'Labor Rates'!#REF!</f>
        <v>#REF!</v>
      </c>
      <c r="V20" s="385" t="e">
        <f t="shared" si="15"/>
        <v>#REF!</v>
      </c>
      <c r="W20" s="414" t="e">
        <f>'Labor Rates'!#REF!</f>
        <v>#REF!</v>
      </c>
      <c r="X20" s="381" t="e">
        <f t="shared" si="16"/>
        <v>#REF!</v>
      </c>
      <c r="Y20" s="415" t="e">
        <f>'Labor Rates'!#REF!</f>
        <v>#REF!</v>
      </c>
      <c r="Z20" s="380" t="e">
        <f t="shared" si="17"/>
        <v>#REF!</v>
      </c>
      <c r="AA20" s="366" t="e">
        <f t="shared" si="1"/>
        <v>#REF!</v>
      </c>
      <c r="AB20" s="357">
        <v>1920</v>
      </c>
      <c r="AC20" s="480" t="e">
        <f>'Labor Rates'!#REF!</f>
        <v>#REF!</v>
      </c>
      <c r="AD20" s="385" t="e">
        <f t="shared" si="18"/>
        <v>#REF!</v>
      </c>
      <c r="AE20" s="414" t="e">
        <f>'Labor Rates'!#REF!</f>
        <v>#REF!</v>
      </c>
      <c r="AF20" s="381" t="e">
        <f t="shared" si="19"/>
        <v>#REF!</v>
      </c>
      <c r="AG20" s="415" t="e">
        <f>'Labor Rates'!#REF!</f>
        <v>#REF!</v>
      </c>
      <c r="AH20" s="380" t="e">
        <f t="shared" si="20"/>
        <v>#REF!</v>
      </c>
      <c r="AI20" s="366" t="e">
        <f t="shared" si="2"/>
        <v>#REF!</v>
      </c>
      <c r="AJ20" s="357">
        <v>1920</v>
      </c>
      <c r="AK20" s="480" t="e">
        <f>'Labor Rates'!#REF!</f>
        <v>#REF!</v>
      </c>
      <c r="AL20" s="385" t="e">
        <f t="shared" si="21"/>
        <v>#REF!</v>
      </c>
      <c r="AM20" s="309" t="e">
        <f>'Labor Rates'!#REF!</f>
        <v>#REF!</v>
      </c>
      <c r="AN20" s="381" t="e">
        <f t="shared" si="22"/>
        <v>#REF!</v>
      </c>
      <c r="AO20" s="309" t="e">
        <f>'Labor Rates'!#REF!</f>
        <v>#REF!</v>
      </c>
      <c r="AP20" s="380" t="e">
        <f t="shared" si="23"/>
        <v>#REF!</v>
      </c>
      <c r="AQ20" s="366" t="e">
        <f t="shared" si="3"/>
        <v>#REF!</v>
      </c>
      <c r="AR20" s="357">
        <v>1920</v>
      </c>
      <c r="AS20" s="480" t="e">
        <f>'Labor Rates'!#REF!</f>
        <v>#REF!</v>
      </c>
      <c r="AT20" s="385" t="e">
        <f t="shared" si="24"/>
        <v>#REF!</v>
      </c>
      <c r="AU20" s="414" t="e">
        <f>'Labor Rates'!#REF!</f>
        <v>#REF!</v>
      </c>
      <c r="AV20" s="381" t="e">
        <f t="shared" si="25"/>
        <v>#REF!</v>
      </c>
      <c r="AW20" s="415" t="e">
        <f>'Labor Rates'!#REF!</f>
        <v>#REF!</v>
      </c>
      <c r="AX20" s="380" t="e">
        <f t="shared" si="26"/>
        <v>#REF!</v>
      </c>
      <c r="AY20" s="366" t="e">
        <f t="shared" si="4"/>
        <v>#REF!</v>
      </c>
      <c r="AZ20" s="476">
        <f t="shared" si="5"/>
        <v>11520</v>
      </c>
      <c r="BA20" s="477" t="e">
        <f t="shared" si="6"/>
        <v>#REF!</v>
      </c>
      <c r="BB20" s="431" t="e">
        <f t="shared" si="7"/>
        <v>#REF!</v>
      </c>
    </row>
    <row r="21" spans="1:538" x14ac:dyDescent="0.25">
      <c r="A21" s="490"/>
      <c r="B21" s="375" t="str">
        <f>IF(ISBLANK('Labor Rates'!D21),"",'Labor Rates'!D21)</f>
        <v/>
      </c>
      <c r="C21" s="375" t="str">
        <f>IF(ISBLANK('Labor Rates'!E21),"",'Labor Rates'!E21)</f>
        <v/>
      </c>
      <c r="D21" s="432">
        <v>1920</v>
      </c>
      <c r="E21" s="385" t="e">
        <f>'Labor Rates'!#REF!</f>
        <v>#REF!</v>
      </c>
      <c r="F21" s="385" t="e">
        <f t="shared" si="8"/>
        <v>#REF!</v>
      </c>
      <c r="G21" s="414" t="e">
        <f>'Labor Rates'!#REF!</f>
        <v>#REF!</v>
      </c>
      <c r="H21" s="381" t="e">
        <f t="shared" si="9"/>
        <v>#REF!</v>
      </c>
      <c r="I21" s="415" t="e">
        <f>'Labor Rates'!#REF!</f>
        <v>#REF!</v>
      </c>
      <c r="J21" s="380" t="e">
        <f t="shared" si="10"/>
        <v>#REF!</v>
      </c>
      <c r="K21" s="475" t="e">
        <f t="shared" si="11"/>
        <v>#REF!</v>
      </c>
      <c r="L21" s="432">
        <v>1920</v>
      </c>
      <c r="M21" s="480" t="e">
        <f>'Labor Rates'!#REF!</f>
        <v>#REF!</v>
      </c>
      <c r="N21" s="385" t="e">
        <f t="shared" si="12"/>
        <v>#REF!</v>
      </c>
      <c r="O21" s="414" t="e">
        <f>'Labor Rates'!#REF!</f>
        <v>#REF!</v>
      </c>
      <c r="P21" s="381" t="e">
        <f t="shared" si="13"/>
        <v>#REF!</v>
      </c>
      <c r="Q21" s="415" t="e">
        <f>'Labor Rates'!#REF!</f>
        <v>#REF!</v>
      </c>
      <c r="R21" s="380" t="e">
        <f t="shared" si="14"/>
        <v>#REF!</v>
      </c>
      <c r="S21" s="366" t="e">
        <f t="shared" si="0"/>
        <v>#REF!</v>
      </c>
      <c r="T21" s="357">
        <v>1920</v>
      </c>
      <c r="U21" s="480" t="e">
        <f>'Labor Rates'!#REF!</f>
        <v>#REF!</v>
      </c>
      <c r="V21" s="385" t="e">
        <f t="shared" si="15"/>
        <v>#REF!</v>
      </c>
      <c r="W21" s="414" t="e">
        <f>'Labor Rates'!#REF!</f>
        <v>#REF!</v>
      </c>
      <c r="X21" s="381" t="e">
        <f t="shared" si="16"/>
        <v>#REF!</v>
      </c>
      <c r="Y21" s="415" t="e">
        <f>'Labor Rates'!#REF!</f>
        <v>#REF!</v>
      </c>
      <c r="Z21" s="380" t="e">
        <f t="shared" si="17"/>
        <v>#REF!</v>
      </c>
      <c r="AA21" s="366" t="e">
        <f t="shared" si="1"/>
        <v>#REF!</v>
      </c>
      <c r="AB21" s="357">
        <v>1920</v>
      </c>
      <c r="AC21" s="480" t="e">
        <f>'Labor Rates'!#REF!</f>
        <v>#REF!</v>
      </c>
      <c r="AD21" s="385" t="e">
        <f t="shared" si="18"/>
        <v>#REF!</v>
      </c>
      <c r="AE21" s="414" t="e">
        <f>'Labor Rates'!#REF!</f>
        <v>#REF!</v>
      </c>
      <c r="AF21" s="381" t="e">
        <f t="shared" si="19"/>
        <v>#REF!</v>
      </c>
      <c r="AG21" s="415" t="e">
        <f>'Labor Rates'!#REF!</f>
        <v>#REF!</v>
      </c>
      <c r="AH21" s="380" t="e">
        <f t="shared" si="20"/>
        <v>#REF!</v>
      </c>
      <c r="AI21" s="366" t="e">
        <f t="shared" si="2"/>
        <v>#REF!</v>
      </c>
      <c r="AJ21" s="357">
        <v>1920</v>
      </c>
      <c r="AK21" s="480" t="e">
        <f>'Labor Rates'!#REF!</f>
        <v>#REF!</v>
      </c>
      <c r="AL21" s="385" t="e">
        <f t="shared" si="21"/>
        <v>#REF!</v>
      </c>
      <c r="AM21" s="309" t="e">
        <f>'Labor Rates'!#REF!</f>
        <v>#REF!</v>
      </c>
      <c r="AN21" s="381" t="e">
        <f t="shared" si="22"/>
        <v>#REF!</v>
      </c>
      <c r="AO21" s="309" t="e">
        <f>'Labor Rates'!#REF!</f>
        <v>#REF!</v>
      </c>
      <c r="AP21" s="380" t="e">
        <f t="shared" si="23"/>
        <v>#REF!</v>
      </c>
      <c r="AQ21" s="366" t="e">
        <f t="shared" si="3"/>
        <v>#REF!</v>
      </c>
      <c r="AR21" s="357">
        <v>1920</v>
      </c>
      <c r="AS21" s="480" t="e">
        <f>'Labor Rates'!#REF!</f>
        <v>#REF!</v>
      </c>
      <c r="AT21" s="385" t="e">
        <f t="shared" si="24"/>
        <v>#REF!</v>
      </c>
      <c r="AU21" s="414" t="e">
        <f>'Labor Rates'!#REF!</f>
        <v>#REF!</v>
      </c>
      <c r="AV21" s="381" t="e">
        <f t="shared" si="25"/>
        <v>#REF!</v>
      </c>
      <c r="AW21" s="415" t="e">
        <f>'Labor Rates'!#REF!</f>
        <v>#REF!</v>
      </c>
      <c r="AX21" s="380" t="e">
        <f t="shared" si="26"/>
        <v>#REF!</v>
      </c>
      <c r="AY21" s="366" t="e">
        <f t="shared" si="4"/>
        <v>#REF!</v>
      </c>
      <c r="AZ21" s="476">
        <f t="shared" si="5"/>
        <v>11520</v>
      </c>
      <c r="BA21" s="477" t="e">
        <f t="shared" si="6"/>
        <v>#REF!</v>
      </c>
      <c r="BB21" s="431" t="e">
        <f t="shared" si="7"/>
        <v>#REF!</v>
      </c>
    </row>
    <row r="22" spans="1:538" x14ac:dyDescent="0.25">
      <c r="A22" s="490"/>
      <c r="B22" s="375" t="str">
        <f>IF(ISBLANK('Labor Rates'!D22),"",'Labor Rates'!D22)</f>
        <v/>
      </c>
      <c r="C22" s="375" t="str">
        <f>IF(ISBLANK('Labor Rates'!E22),"",'Labor Rates'!E22)</f>
        <v/>
      </c>
      <c r="D22" s="432">
        <v>1920</v>
      </c>
      <c r="E22" s="385" t="e">
        <f>'Labor Rates'!#REF!</f>
        <v>#REF!</v>
      </c>
      <c r="F22" s="385" t="e">
        <f t="shared" si="8"/>
        <v>#REF!</v>
      </c>
      <c r="G22" s="414" t="e">
        <f>'Labor Rates'!#REF!</f>
        <v>#REF!</v>
      </c>
      <c r="H22" s="381" t="e">
        <f t="shared" si="9"/>
        <v>#REF!</v>
      </c>
      <c r="I22" s="415" t="e">
        <f>'Labor Rates'!#REF!</f>
        <v>#REF!</v>
      </c>
      <c r="J22" s="380" t="e">
        <f t="shared" si="10"/>
        <v>#REF!</v>
      </c>
      <c r="K22" s="475" t="e">
        <f t="shared" si="11"/>
        <v>#REF!</v>
      </c>
      <c r="L22" s="432">
        <v>1920</v>
      </c>
      <c r="M22" s="480" t="e">
        <f>'Labor Rates'!#REF!</f>
        <v>#REF!</v>
      </c>
      <c r="N22" s="385" t="e">
        <f t="shared" si="12"/>
        <v>#REF!</v>
      </c>
      <c r="O22" s="414" t="e">
        <f>'Labor Rates'!#REF!</f>
        <v>#REF!</v>
      </c>
      <c r="P22" s="381" t="e">
        <f t="shared" si="13"/>
        <v>#REF!</v>
      </c>
      <c r="Q22" s="415" t="e">
        <f>'Labor Rates'!#REF!</f>
        <v>#REF!</v>
      </c>
      <c r="R22" s="380" t="e">
        <f t="shared" si="14"/>
        <v>#REF!</v>
      </c>
      <c r="S22" s="366" t="e">
        <f t="shared" si="0"/>
        <v>#REF!</v>
      </c>
      <c r="T22" s="357">
        <v>1920</v>
      </c>
      <c r="U22" s="480" t="e">
        <f>'Labor Rates'!#REF!</f>
        <v>#REF!</v>
      </c>
      <c r="V22" s="385" t="e">
        <f t="shared" si="15"/>
        <v>#REF!</v>
      </c>
      <c r="W22" s="414" t="e">
        <f>'Labor Rates'!#REF!</f>
        <v>#REF!</v>
      </c>
      <c r="X22" s="381" t="e">
        <f t="shared" si="16"/>
        <v>#REF!</v>
      </c>
      <c r="Y22" s="415" t="e">
        <f>'Labor Rates'!#REF!</f>
        <v>#REF!</v>
      </c>
      <c r="Z22" s="380" t="e">
        <f t="shared" si="17"/>
        <v>#REF!</v>
      </c>
      <c r="AA22" s="366" t="e">
        <f t="shared" si="1"/>
        <v>#REF!</v>
      </c>
      <c r="AB22" s="357">
        <v>1920</v>
      </c>
      <c r="AC22" s="480" t="e">
        <f>'Labor Rates'!#REF!</f>
        <v>#REF!</v>
      </c>
      <c r="AD22" s="385" t="e">
        <f t="shared" si="18"/>
        <v>#REF!</v>
      </c>
      <c r="AE22" s="414" t="e">
        <f>'Labor Rates'!#REF!</f>
        <v>#REF!</v>
      </c>
      <c r="AF22" s="381" t="e">
        <f t="shared" si="19"/>
        <v>#REF!</v>
      </c>
      <c r="AG22" s="415" t="e">
        <f>'Labor Rates'!#REF!</f>
        <v>#REF!</v>
      </c>
      <c r="AH22" s="380" t="e">
        <f t="shared" si="20"/>
        <v>#REF!</v>
      </c>
      <c r="AI22" s="366" t="e">
        <f t="shared" si="2"/>
        <v>#REF!</v>
      </c>
      <c r="AJ22" s="357">
        <v>1920</v>
      </c>
      <c r="AK22" s="480" t="e">
        <f>'Labor Rates'!#REF!</f>
        <v>#REF!</v>
      </c>
      <c r="AL22" s="385" t="e">
        <f t="shared" si="21"/>
        <v>#REF!</v>
      </c>
      <c r="AM22" s="309" t="e">
        <f>'Labor Rates'!#REF!</f>
        <v>#REF!</v>
      </c>
      <c r="AN22" s="381" t="e">
        <f t="shared" si="22"/>
        <v>#REF!</v>
      </c>
      <c r="AO22" s="309" t="e">
        <f>'Labor Rates'!#REF!</f>
        <v>#REF!</v>
      </c>
      <c r="AP22" s="380" t="e">
        <f t="shared" si="23"/>
        <v>#REF!</v>
      </c>
      <c r="AQ22" s="366" t="e">
        <f t="shared" si="3"/>
        <v>#REF!</v>
      </c>
      <c r="AR22" s="357">
        <v>1920</v>
      </c>
      <c r="AS22" s="480" t="e">
        <f>'Labor Rates'!#REF!</f>
        <v>#REF!</v>
      </c>
      <c r="AT22" s="385" t="e">
        <f t="shared" si="24"/>
        <v>#REF!</v>
      </c>
      <c r="AU22" s="414" t="e">
        <f>'Labor Rates'!#REF!</f>
        <v>#REF!</v>
      </c>
      <c r="AV22" s="381" t="e">
        <f t="shared" si="25"/>
        <v>#REF!</v>
      </c>
      <c r="AW22" s="415" t="e">
        <f>'Labor Rates'!#REF!</f>
        <v>#REF!</v>
      </c>
      <c r="AX22" s="380" t="e">
        <f t="shared" si="26"/>
        <v>#REF!</v>
      </c>
      <c r="AY22" s="366" t="e">
        <f t="shared" si="4"/>
        <v>#REF!</v>
      </c>
      <c r="AZ22" s="476">
        <f t="shared" si="5"/>
        <v>11520</v>
      </c>
      <c r="BA22" s="477" t="e">
        <f t="shared" si="6"/>
        <v>#REF!</v>
      </c>
      <c r="BB22" s="431" t="e">
        <f t="shared" si="7"/>
        <v>#REF!</v>
      </c>
    </row>
    <row r="23" spans="1:538" x14ac:dyDescent="0.25">
      <c r="A23" s="490"/>
      <c r="B23" s="375" t="str">
        <f>IF(ISBLANK('Labor Rates'!D23),"",'Labor Rates'!D23)</f>
        <v/>
      </c>
      <c r="C23" s="375" t="str">
        <f>IF(ISBLANK('Labor Rates'!E23),"",'Labor Rates'!E23)</f>
        <v/>
      </c>
      <c r="D23" s="432">
        <v>1920</v>
      </c>
      <c r="E23" s="385" t="e">
        <f>'Labor Rates'!#REF!</f>
        <v>#REF!</v>
      </c>
      <c r="F23" s="385" t="e">
        <f t="shared" si="8"/>
        <v>#REF!</v>
      </c>
      <c r="G23" s="414" t="e">
        <f>'Labor Rates'!#REF!</f>
        <v>#REF!</v>
      </c>
      <c r="H23" s="381" t="e">
        <f t="shared" si="9"/>
        <v>#REF!</v>
      </c>
      <c r="I23" s="415" t="e">
        <f>'Labor Rates'!#REF!</f>
        <v>#REF!</v>
      </c>
      <c r="J23" s="380" t="e">
        <f t="shared" si="10"/>
        <v>#REF!</v>
      </c>
      <c r="K23" s="475" t="e">
        <f t="shared" si="11"/>
        <v>#REF!</v>
      </c>
      <c r="L23" s="432">
        <v>1920</v>
      </c>
      <c r="M23" s="480" t="e">
        <f>'Labor Rates'!#REF!</f>
        <v>#REF!</v>
      </c>
      <c r="N23" s="385" t="e">
        <f t="shared" si="12"/>
        <v>#REF!</v>
      </c>
      <c r="O23" s="414" t="e">
        <f>'Labor Rates'!#REF!</f>
        <v>#REF!</v>
      </c>
      <c r="P23" s="381" t="e">
        <f t="shared" si="13"/>
        <v>#REF!</v>
      </c>
      <c r="Q23" s="415" t="e">
        <f>'Labor Rates'!#REF!</f>
        <v>#REF!</v>
      </c>
      <c r="R23" s="380" t="e">
        <f t="shared" si="14"/>
        <v>#REF!</v>
      </c>
      <c r="S23" s="366" t="e">
        <f t="shared" si="0"/>
        <v>#REF!</v>
      </c>
      <c r="T23" s="357">
        <v>1920</v>
      </c>
      <c r="U23" s="480" t="e">
        <f>'Labor Rates'!#REF!</f>
        <v>#REF!</v>
      </c>
      <c r="V23" s="385" t="e">
        <f t="shared" si="15"/>
        <v>#REF!</v>
      </c>
      <c r="W23" s="414" t="e">
        <f>'Labor Rates'!#REF!</f>
        <v>#REF!</v>
      </c>
      <c r="X23" s="381" t="e">
        <f t="shared" si="16"/>
        <v>#REF!</v>
      </c>
      <c r="Y23" s="415" t="e">
        <f>'Labor Rates'!#REF!</f>
        <v>#REF!</v>
      </c>
      <c r="Z23" s="380" t="e">
        <f t="shared" si="17"/>
        <v>#REF!</v>
      </c>
      <c r="AA23" s="366" t="e">
        <f t="shared" si="1"/>
        <v>#REF!</v>
      </c>
      <c r="AB23" s="357">
        <v>1920</v>
      </c>
      <c r="AC23" s="480" t="e">
        <f>'Labor Rates'!#REF!</f>
        <v>#REF!</v>
      </c>
      <c r="AD23" s="385" t="e">
        <f t="shared" si="18"/>
        <v>#REF!</v>
      </c>
      <c r="AE23" s="414" t="e">
        <f>'Labor Rates'!#REF!</f>
        <v>#REF!</v>
      </c>
      <c r="AF23" s="381" t="e">
        <f t="shared" si="19"/>
        <v>#REF!</v>
      </c>
      <c r="AG23" s="415" t="e">
        <f>'Labor Rates'!#REF!</f>
        <v>#REF!</v>
      </c>
      <c r="AH23" s="380" t="e">
        <f t="shared" si="20"/>
        <v>#REF!</v>
      </c>
      <c r="AI23" s="366" t="e">
        <f t="shared" si="2"/>
        <v>#REF!</v>
      </c>
      <c r="AJ23" s="357">
        <v>1920</v>
      </c>
      <c r="AK23" s="480" t="e">
        <f>'Labor Rates'!#REF!</f>
        <v>#REF!</v>
      </c>
      <c r="AL23" s="385" t="e">
        <f t="shared" si="21"/>
        <v>#REF!</v>
      </c>
      <c r="AM23" s="309" t="e">
        <f>'Labor Rates'!#REF!</f>
        <v>#REF!</v>
      </c>
      <c r="AN23" s="381" t="e">
        <f t="shared" si="22"/>
        <v>#REF!</v>
      </c>
      <c r="AO23" s="309" t="e">
        <f>'Labor Rates'!#REF!</f>
        <v>#REF!</v>
      </c>
      <c r="AP23" s="380" t="e">
        <f t="shared" si="23"/>
        <v>#REF!</v>
      </c>
      <c r="AQ23" s="366" t="e">
        <f t="shared" si="3"/>
        <v>#REF!</v>
      </c>
      <c r="AR23" s="357">
        <v>1920</v>
      </c>
      <c r="AS23" s="480" t="e">
        <f>'Labor Rates'!#REF!</f>
        <v>#REF!</v>
      </c>
      <c r="AT23" s="385" t="e">
        <f t="shared" si="24"/>
        <v>#REF!</v>
      </c>
      <c r="AU23" s="414" t="e">
        <f>'Labor Rates'!#REF!</f>
        <v>#REF!</v>
      </c>
      <c r="AV23" s="381" t="e">
        <f t="shared" si="25"/>
        <v>#REF!</v>
      </c>
      <c r="AW23" s="415" t="e">
        <f>'Labor Rates'!#REF!</f>
        <v>#REF!</v>
      </c>
      <c r="AX23" s="380" t="e">
        <f t="shared" si="26"/>
        <v>#REF!</v>
      </c>
      <c r="AY23" s="366" t="e">
        <f t="shared" si="4"/>
        <v>#REF!</v>
      </c>
      <c r="AZ23" s="476">
        <f t="shared" si="5"/>
        <v>11520</v>
      </c>
      <c r="BA23" s="477" t="e">
        <f t="shared" si="6"/>
        <v>#REF!</v>
      </c>
      <c r="BB23" s="431" t="e">
        <f t="shared" si="7"/>
        <v>#REF!</v>
      </c>
    </row>
    <row r="24" spans="1:538" x14ac:dyDescent="0.25">
      <c r="A24" s="490"/>
      <c r="B24" s="375" t="str">
        <f>IF(ISBLANK('Labor Rates'!D24),"",'Labor Rates'!D24)</f>
        <v/>
      </c>
      <c r="C24" s="375" t="str">
        <f>IF(ISBLANK('Labor Rates'!E24),"",'Labor Rates'!E24)</f>
        <v/>
      </c>
      <c r="D24" s="432">
        <v>1920</v>
      </c>
      <c r="E24" s="385" t="e">
        <f>'Labor Rates'!#REF!</f>
        <v>#REF!</v>
      </c>
      <c r="F24" s="385" t="e">
        <f t="shared" si="8"/>
        <v>#REF!</v>
      </c>
      <c r="G24" s="414" t="e">
        <f>'Labor Rates'!#REF!</f>
        <v>#REF!</v>
      </c>
      <c r="H24" s="381" t="e">
        <f t="shared" si="9"/>
        <v>#REF!</v>
      </c>
      <c r="I24" s="415" t="e">
        <f>'Labor Rates'!#REF!</f>
        <v>#REF!</v>
      </c>
      <c r="J24" s="380" t="e">
        <f t="shared" si="10"/>
        <v>#REF!</v>
      </c>
      <c r="K24" s="475" t="e">
        <f t="shared" si="11"/>
        <v>#REF!</v>
      </c>
      <c r="L24" s="432">
        <v>1920</v>
      </c>
      <c r="M24" s="480" t="e">
        <f>'Labor Rates'!#REF!</f>
        <v>#REF!</v>
      </c>
      <c r="N24" s="385" t="e">
        <f t="shared" si="12"/>
        <v>#REF!</v>
      </c>
      <c r="O24" s="414" t="e">
        <f>'Labor Rates'!#REF!</f>
        <v>#REF!</v>
      </c>
      <c r="P24" s="381" t="e">
        <f t="shared" si="13"/>
        <v>#REF!</v>
      </c>
      <c r="Q24" s="415" t="e">
        <f>'Labor Rates'!#REF!</f>
        <v>#REF!</v>
      </c>
      <c r="R24" s="380" t="e">
        <f t="shared" si="14"/>
        <v>#REF!</v>
      </c>
      <c r="S24" s="366" t="e">
        <f t="shared" si="0"/>
        <v>#REF!</v>
      </c>
      <c r="T24" s="357">
        <v>1920</v>
      </c>
      <c r="U24" s="480" t="e">
        <f>'Labor Rates'!#REF!</f>
        <v>#REF!</v>
      </c>
      <c r="V24" s="385" t="e">
        <f t="shared" si="15"/>
        <v>#REF!</v>
      </c>
      <c r="W24" s="414" t="e">
        <f>'Labor Rates'!#REF!</f>
        <v>#REF!</v>
      </c>
      <c r="X24" s="381" t="e">
        <f t="shared" si="16"/>
        <v>#REF!</v>
      </c>
      <c r="Y24" s="415" t="e">
        <f>'Labor Rates'!#REF!</f>
        <v>#REF!</v>
      </c>
      <c r="Z24" s="380" t="e">
        <f t="shared" si="17"/>
        <v>#REF!</v>
      </c>
      <c r="AA24" s="366" t="e">
        <f t="shared" si="1"/>
        <v>#REF!</v>
      </c>
      <c r="AB24" s="357">
        <v>1920</v>
      </c>
      <c r="AC24" s="480" t="e">
        <f>'Labor Rates'!#REF!</f>
        <v>#REF!</v>
      </c>
      <c r="AD24" s="385" t="e">
        <f t="shared" si="18"/>
        <v>#REF!</v>
      </c>
      <c r="AE24" s="414" t="e">
        <f>'Labor Rates'!#REF!</f>
        <v>#REF!</v>
      </c>
      <c r="AF24" s="381" t="e">
        <f t="shared" si="19"/>
        <v>#REF!</v>
      </c>
      <c r="AG24" s="415" t="e">
        <f>'Labor Rates'!#REF!</f>
        <v>#REF!</v>
      </c>
      <c r="AH24" s="380" t="e">
        <f t="shared" si="20"/>
        <v>#REF!</v>
      </c>
      <c r="AI24" s="366" t="e">
        <f t="shared" si="2"/>
        <v>#REF!</v>
      </c>
      <c r="AJ24" s="357">
        <v>1920</v>
      </c>
      <c r="AK24" s="480" t="e">
        <f>'Labor Rates'!#REF!</f>
        <v>#REF!</v>
      </c>
      <c r="AL24" s="385" t="e">
        <f t="shared" si="21"/>
        <v>#REF!</v>
      </c>
      <c r="AM24" s="309" t="e">
        <f>'Labor Rates'!#REF!</f>
        <v>#REF!</v>
      </c>
      <c r="AN24" s="381" t="e">
        <f t="shared" si="22"/>
        <v>#REF!</v>
      </c>
      <c r="AO24" s="309" t="e">
        <f>'Labor Rates'!#REF!</f>
        <v>#REF!</v>
      </c>
      <c r="AP24" s="380" t="e">
        <f t="shared" si="23"/>
        <v>#REF!</v>
      </c>
      <c r="AQ24" s="366" t="e">
        <f t="shared" si="3"/>
        <v>#REF!</v>
      </c>
      <c r="AR24" s="357">
        <v>1920</v>
      </c>
      <c r="AS24" s="480" t="e">
        <f>'Labor Rates'!#REF!</f>
        <v>#REF!</v>
      </c>
      <c r="AT24" s="385" t="e">
        <f t="shared" si="24"/>
        <v>#REF!</v>
      </c>
      <c r="AU24" s="414" t="e">
        <f>'Labor Rates'!#REF!</f>
        <v>#REF!</v>
      </c>
      <c r="AV24" s="381" t="e">
        <f t="shared" si="25"/>
        <v>#REF!</v>
      </c>
      <c r="AW24" s="415" t="e">
        <f>'Labor Rates'!#REF!</f>
        <v>#REF!</v>
      </c>
      <c r="AX24" s="380" t="e">
        <f t="shared" si="26"/>
        <v>#REF!</v>
      </c>
      <c r="AY24" s="366" t="e">
        <f t="shared" si="4"/>
        <v>#REF!</v>
      </c>
      <c r="AZ24" s="476">
        <f t="shared" si="5"/>
        <v>11520</v>
      </c>
      <c r="BA24" s="477" t="e">
        <f t="shared" si="6"/>
        <v>#REF!</v>
      </c>
      <c r="BB24" s="431" t="e">
        <f t="shared" si="7"/>
        <v>#REF!</v>
      </c>
    </row>
    <row r="25" spans="1:538" x14ac:dyDescent="0.25">
      <c r="A25" s="490"/>
      <c r="B25" s="375" t="str">
        <f>IF(ISBLANK('Labor Rates'!D25),"",'Labor Rates'!D25)</f>
        <v/>
      </c>
      <c r="C25" s="375" t="str">
        <f>IF(ISBLANK('Labor Rates'!E25),"",'Labor Rates'!E25)</f>
        <v/>
      </c>
      <c r="D25" s="432">
        <v>1920</v>
      </c>
      <c r="E25" s="385" t="e">
        <f>'Labor Rates'!#REF!</f>
        <v>#REF!</v>
      </c>
      <c r="F25" s="385" t="e">
        <f t="shared" si="8"/>
        <v>#REF!</v>
      </c>
      <c r="G25" s="414" t="e">
        <f>'Labor Rates'!#REF!</f>
        <v>#REF!</v>
      </c>
      <c r="H25" s="381" t="e">
        <f t="shared" si="9"/>
        <v>#REF!</v>
      </c>
      <c r="I25" s="415" t="e">
        <f>'Labor Rates'!#REF!</f>
        <v>#REF!</v>
      </c>
      <c r="J25" s="380" t="e">
        <f t="shared" si="10"/>
        <v>#REF!</v>
      </c>
      <c r="K25" s="475" t="e">
        <f t="shared" si="11"/>
        <v>#REF!</v>
      </c>
      <c r="L25" s="432">
        <v>1920</v>
      </c>
      <c r="M25" s="480" t="e">
        <f>'Labor Rates'!#REF!</f>
        <v>#REF!</v>
      </c>
      <c r="N25" s="385" t="e">
        <f t="shared" si="12"/>
        <v>#REF!</v>
      </c>
      <c r="O25" s="414" t="e">
        <f>'Labor Rates'!#REF!</f>
        <v>#REF!</v>
      </c>
      <c r="P25" s="381" t="e">
        <f t="shared" si="13"/>
        <v>#REF!</v>
      </c>
      <c r="Q25" s="415" t="e">
        <f>'Labor Rates'!#REF!</f>
        <v>#REF!</v>
      </c>
      <c r="R25" s="380" t="e">
        <f t="shared" si="14"/>
        <v>#REF!</v>
      </c>
      <c r="S25" s="366" t="e">
        <f t="shared" si="0"/>
        <v>#REF!</v>
      </c>
      <c r="T25" s="357">
        <v>1920</v>
      </c>
      <c r="U25" s="480" t="e">
        <f>'Labor Rates'!#REF!</f>
        <v>#REF!</v>
      </c>
      <c r="V25" s="385" t="e">
        <f t="shared" si="15"/>
        <v>#REF!</v>
      </c>
      <c r="W25" s="414" t="e">
        <f>'Labor Rates'!#REF!</f>
        <v>#REF!</v>
      </c>
      <c r="X25" s="381" t="e">
        <f t="shared" si="16"/>
        <v>#REF!</v>
      </c>
      <c r="Y25" s="415" t="e">
        <f>'Labor Rates'!#REF!</f>
        <v>#REF!</v>
      </c>
      <c r="Z25" s="380" t="e">
        <f t="shared" si="17"/>
        <v>#REF!</v>
      </c>
      <c r="AA25" s="366" t="e">
        <f t="shared" si="1"/>
        <v>#REF!</v>
      </c>
      <c r="AB25" s="357">
        <v>1920</v>
      </c>
      <c r="AC25" s="480" t="e">
        <f>'Labor Rates'!#REF!</f>
        <v>#REF!</v>
      </c>
      <c r="AD25" s="385" t="e">
        <f t="shared" si="18"/>
        <v>#REF!</v>
      </c>
      <c r="AE25" s="414" t="e">
        <f>'Labor Rates'!#REF!</f>
        <v>#REF!</v>
      </c>
      <c r="AF25" s="381" t="e">
        <f t="shared" si="19"/>
        <v>#REF!</v>
      </c>
      <c r="AG25" s="415" t="e">
        <f>'Labor Rates'!#REF!</f>
        <v>#REF!</v>
      </c>
      <c r="AH25" s="380" t="e">
        <f t="shared" si="20"/>
        <v>#REF!</v>
      </c>
      <c r="AI25" s="366" t="e">
        <f t="shared" si="2"/>
        <v>#REF!</v>
      </c>
      <c r="AJ25" s="357">
        <v>1920</v>
      </c>
      <c r="AK25" s="480" t="e">
        <f>'Labor Rates'!#REF!</f>
        <v>#REF!</v>
      </c>
      <c r="AL25" s="385" t="e">
        <f t="shared" si="21"/>
        <v>#REF!</v>
      </c>
      <c r="AM25" s="309" t="e">
        <f>'Labor Rates'!#REF!</f>
        <v>#REF!</v>
      </c>
      <c r="AN25" s="381" t="e">
        <f t="shared" si="22"/>
        <v>#REF!</v>
      </c>
      <c r="AO25" s="309" t="e">
        <f>'Labor Rates'!#REF!</f>
        <v>#REF!</v>
      </c>
      <c r="AP25" s="380" t="e">
        <f t="shared" si="23"/>
        <v>#REF!</v>
      </c>
      <c r="AQ25" s="366" t="e">
        <f t="shared" si="3"/>
        <v>#REF!</v>
      </c>
      <c r="AR25" s="357">
        <v>1920</v>
      </c>
      <c r="AS25" s="480" t="e">
        <f>'Labor Rates'!#REF!</f>
        <v>#REF!</v>
      </c>
      <c r="AT25" s="385" t="e">
        <f t="shared" si="24"/>
        <v>#REF!</v>
      </c>
      <c r="AU25" s="414" t="e">
        <f>'Labor Rates'!#REF!</f>
        <v>#REF!</v>
      </c>
      <c r="AV25" s="381" t="e">
        <f t="shared" si="25"/>
        <v>#REF!</v>
      </c>
      <c r="AW25" s="415" t="e">
        <f>'Labor Rates'!#REF!</f>
        <v>#REF!</v>
      </c>
      <c r="AX25" s="380" t="e">
        <f t="shared" si="26"/>
        <v>#REF!</v>
      </c>
      <c r="AY25" s="366" t="e">
        <f t="shared" si="4"/>
        <v>#REF!</v>
      </c>
      <c r="AZ25" s="476">
        <f t="shared" si="5"/>
        <v>11520</v>
      </c>
      <c r="BA25" s="477" t="e">
        <f t="shared" si="6"/>
        <v>#REF!</v>
      </c>
      <c r="BB25" s="431" t="e">
        <f t="shared" si="7"/>
        <v>#REF!</v>
      </c>
    </row>
    <row r="26" spans="1:538" x14ac:dyDescent="0.25">
      <c r="A26" s="490"/>
      <c r="B26" s="375" t="str">
        <f>IF(ISBLANK('Labor Rates'!D26),"",'Labor Rates'!D26)</f>
        <v/>
      </c>
      <c r="C26" s="375" t="str">
        <f>IF(ISBLANK('Labor Rates'!E26),"",'Labor Rates'!E26)</f>
        <v/>
      </c>
      <c r="D26" s="432">
        <v>1920</v>
      </c>
      <c r="E26" s="385" t="e">
        <f>'Labor Rates'!#REF!</f>
        <v>#REF!</v>
      </c>
      <c r="F26" s="385" t="e">
        <f t="shared" si="8"/>
        <v>#REF!</v>
      </c>
      <c r="G26" s="414" t="e">
        <f>'Labor Rates'!#REF!</f>
        <v>#REF!</v>
      </c>
      <c r="H26" s="381" t="e">
        <f t="shared" si="9"/>
        <v>#REF!</v>
      </c>
      <c r="I26" s="415" t="e">
        <f>'Labor Rates'!#REF!</f>
        <v>#REF!</v>
      </c>
      <c r="J26" s="380" t="e">
        <f t="shared" si="10"/>
        <v>#REF!</v>
      </c>
      <c r="K26" s="475" t="e">
        <f t="shared" si="11"/>
        <v>#REF!</v>
      </c>
      <c r="L26" s="432">
        <v>1920</v>
      </c>
      <c r="M26" s="480" t="e">
        <f>'Labor Rates'!#REF!</f>
        <v>#REF!</v>
      </c>
      <c r="N26" s="385" t="e">
        <f t="shared" si="12"/>
        <v>#REF!</v>
      </c>
      <c r="O26" s="414" t="e">
        <f>'Labor Rates'!#REF!</f>
        <v>#REF!</v>
      </c>
      <c r="P26" s="381" t="e">
        <f t="shared" si="13"/>
        <v>#REF!</v>
      </c>
      <c r="Q26" s="415" t="e">
        <f>'Labor Rates'!#REF!</f>
        <v>#REF!</v>
      </c>
      <c r="R26" s="380" t="e">
        <f t="shared" si="14"/>
        <v>#REF!</v>
      </c>
      <c r="S26" s="366" t="e">
        <f t="shared" si="0"/>
        <v>#REF!</v>
      </c>
      <c r="T26" s="357">
        <v>1920</v>
      </c>
      <c r="U26" s="480" t="e">
        <f>'Labor Rates'!#REF!</f>
        <v>#REF!</v>
      </c>
      <c r="V26" s="385" t="e">
        <f t="shared" si="15"/>
        <v>#REF!</v>
      </c>
      <c r="W26" s="414" t="e">
        <f>'Labor Rates'!#REF!</f>
        <v>#REF!</v>
      </c>
      <c r="X26" s="381" t="e">
        <f t="shared" si="16"/>
        <v>#REF!</v>
      </c>
      <c r="Y26" s="415" t="e">
        <f>'Labor Rates'!#REF!</f>
        <v>#REF!</v>
      </c>
      <c r="Z26" s="380" t="e">
        <f t="shared" si="17"/>
        <v>#REF!</v>
      </c>
      <c r="AA26" s="366" t="e">
        <f t="shared" si="1"/>
        <v>#REF!</v>
      </c>
      <c r="AB26" s="357">
        <v>1920</v>
      </c>
      <c r="AC26" s="480" t="e">
        <f>'Labor Rates'!#REF!</f>
        <v>#REF!</v>
      </c>
      <c r="AD26" s="385" t="e">
        <f t="shared" si="18"/>
        <v>#REF!</v>
      </c>
      <c r="AE26" s="414" t="e">
        <f>'Labor Rates'!#REF!</f>
        <v>#REF!</v>
      </c>
      <c r="AF26" s="381" t="e">
        <f t="shared" si="19"/>
        <v>#REF!</v>
      </c>
      <c r="AG26" s="415" t="e">
        <f>'Labor Rates'!#REF!</f>
        <v>#REF!</v>
      </c>
      <c r="AH26" s="380" t="e">
        <f t="shared" si="20"/>
        <v>#REF!</v>
      </c>
      <c r="AI26" s="366" t="e">
        <f t="shared" si="2"/>
        <v>#REF!</v>
      </c>
      <c r="AJ26" s="357">
        <v>1920</v>
      </c>
      <c r="AK26" s="480" t="e">
        <f>'Labor Rates'!#REF!</f>
        <v>#REF!</v>
      </c>
      <c r="AL26" s="385" t="e">
        <f t="shared" si="21"/>
        <v>#REF!</v>
      </c>
      <c r="AM26" s="309" t="e">
        <f>'Labor Rates'!#REF!</f>
        <v>#REF!</v>
      </c>
      <c r="AN26" s="381" t="e">
        <f t="shared" si="22"/>
        <v>#REF!</v>
      </c>
      <c r="AO26" s="309" t="e">
        <f>'Labor Rates'!#REF!</f>
        <v>#REF!</v>
      </c>
      <c r="AP26" s="380" t="e">
        <f t="shared" si="23"/>
        <v>#REF!</v>
      </c>
      <c r="AQ26" s="366" t="e">
        <f t="shared" si="3"/>
        <v>#REF!</v>
      </c>
      <c r="AR26" s="357">
        <v>1920</v>
      </c>
      <c r="AS26" s="480" t="e">
        <f>'Labor Rates'!#REF!</f>
        <v>#REF!</v>
      </c>
      <c r="AT26" s="385" t="e">
        <f t="shared" si="24"/>
        <v>#REF!</v>
      </c>
      <c r="AU26" s="414" t="e">
        <f>'Labor Rates'!#REF!</f>
        <v>#REF!</v>
      </c>
      <c r="AV26" s="381" t="e">
        <f t="shared" si="25"/>
        <v>#REF!</v>
      </c>
      <c r="AW26" s="415" t="e">
        <f>'Labor Rates'!#REF!</f>
        <v>#REF!</v>
      </c>
      <c r="AX26" s="380" t="e">
        <f t="shared" si="26"/>
        <v>#REF!</v>
      </c>
      <c r="AY26" s="366" t="e">
        <f t="shared" si="4"/>
        <v>#REF!</v>
      </c>
      <c r="AZ26" s="476">
        <f t="shared" si="5"/>
        <v>11520</v>
      </c>
      <c r="BA26" s="477" t="e">
        <f t="shared" si="6"/>
        <v>#REF!</v>
      </c>
      <c r="BB26" s="431" t="e">
        <f t="shared" si="7"/>
        <v>#REF!</v>
      </c>
    </row>
    <row r="27" spans="1:538" x14ac:dyDescent="0.25">
      <c r="A27" s="490"/>
      <c r="B27" s="375" t="str">
        <f>IF(ISBLANK('Labor Rates'!D27),"",'Labor Rates'!D27)</f>
        <v/>
      </c>
      <c r="C27" s="375" t="str">
        <f>IF(ISBLANK('Labor Rates'!E27),"",'Labor Rates'!E27)</f>
        <v/>
      </c>
      <c r="D27" s="432">
        <v>1920</v>
      </c>
      <c r="E27" s="385" t="e">
        <f>'Labor Rates'!#REF!</f>
        <v>#REF!</v>
      </c>
      <c r="F27" s="385" t="e">
        <f t="shared" si="8"/>
        <v>#REF!</v>
      </c>
      <c r="G27" s="414" t="e">
        <f>'Labor Rates'!#REF!</f>
        <v>#REF!</v>
      </c>
      <c r="H27" s="381" t="e">
        <f t="shared" si="9"/>
        <v>#REF!</v>
      </c>
      <c r="I27" s="415" t="e">
        <f>'Labor Rates'!#REF!</f>
        <v>#REF!</v>
      </c>
      <c r="J27" s="380" t="e">
        <f t="shared" si="10"/>
        <v>#REF!</v>
      </c>
      <c r="K27" s="475" t="e">
        <f t="shared" si="11"/>
        <v>#REF!</v>
      </c>
      <c r="L27" s="432">
        <v>1920</v>
      </c>
      <c r="M27" s="480" t="e">
        <f>'Labor Rates'!#REF!</f>
        <v>#REF!</v>
      </c>
      <c r="N27" s="385" t="e">
        <f t="shared" si="12"/>
        <v>#REF!</v>
      </c>
      <c r="O27" s="414" t="e">
        <f>'Labor Rates'!#REF!</f>
        <v>#REF!</v>
      </c>
      <c r="P27" s="381" t="e">
        <f t="shared" si="13"/>
        <v>#REF!</v>
      </c>
      <c r="Q27" s="415" t="e">
        <f>'Labor Rates'!#REF!</f>
        <v>#REF!</v>
      </c>
      <c r="R27" s="380" t="e">
        <f t="shared" si="14"/>
        <v>#REF!</v>
      </c>
      <c r="S27" s="366" t="e">
        <f t="shared" si="0"/>
        <v>#REF!</v>
      </c>
      <c r="T27" s="357">
        <v>1920</v>
      </c>
      <c r="U27" s="480" t="e">
        <f>'Labor Rates'!#REF!</f>
        <v>#REF!</v>
      </c>
      <c r="V27" s="385" t="e">
        <f t="shared" si="15"/>
        <v>#REF!</v>
      </c>
      <c r="W27" s="414" t="e">
        <f>'Labor Rates'!#REF!</f>
        <v>#REF!</v>
      </c>
      <c r="X27" s="381" t="e">
        <f t="shared" si="16"/>
        <v>#REF!</v>
      </c>
      <c r="Y27" s="415" t="e">
        <f>'Labor Rates'!#REF!</f>
        <v>#REF!</v>
      </c>
      <c r="Z27" s="380" t="e">
        <f t="shared" si="17"/>
        <v>#REF!</v>
      </c>
      <c r="AA27" s="366" t="e">
        <f t="shared" si="1"/>
        <v>#REF!</v>
      </c>
      <c r="AB27" s="357">
        <v>1920</v>
      </c>
      <c r="AC27" s="480" t="e">
        <f>'Labor Rates'!#REF!</f>
        <v>#REF!</v>
      </c>
      <c r="AD27" s="385" t="e">
        <f t="shared" si="18"/>
        <v>#REF!</v>
      </c>
      <c r="AE27" s="414" t="e">
        <f>'Labor Rates'!#REF!</f>
        <v>#REF!</v>
      </c>
      <c r="AF27" s="381" t="e">
        <f t="shared" si="19"/>
        <v>#REF!</v>
      </c>
      <c r="AG27" s="415" t="e">
        <f>'Labor Rates'!#REF!</f>
        <v>#REF!</v>
      </c>
      <c r="AH27" s="380" t="e">
        <f t="shared" si="20"/>
        <v>#REF!</v>
      </c>
      <c r="AI27" s="366" t="e">
        <f t="shared" si="2"/>
        <v>#REF!</v>
      </c>
      <c r="AJ27" s="357">
        <v>1920</v>
      </c>
      <c r="AK27" s="480" t="e">
        <f>'Labor Rates'!#REF!</f>
        <v>#REF!</v>
      </c>
      <c r="AL27" s="385" t="e">
        <f t="shared" si="21"/>
        <v>#REF!</v>
      </c>
      <c r="AM27" s="309" t="e">
        <f>'Labor Rates'!#REF!</f>
        <v>#REF!</v>
      </c>
      <c r="AN27" s="381" t="e">
        <f t="shared" si="22"/>
        <v>#REF!</v>
      </c>
      <c r="AO27" s="309" t="e">
        <f>'Labor Rates'!#REF!</f>
        <v>#REF!</v>
      </c>
      <c r="AP27" s="380" t="e">
        <f t="shared" si="23"/>
        <v>#REF!</v>
      </c>
      <c r="AQ27" s="366" t="e">
        <f t="shared" si="3"/>
        <v>#REF!</v>
      </c>
      <c r="AR27" s="357">
        <v>1920</v>
      </c>
      <c r="AS27" s="480" t="e">
        <f>'Labor Rates'!#REF!</f>
        <v>#REF!</v>
      </c>
      <c r="AT27" s="385" t="e">
        <f t="shared" si="24"/>
        <v>#REF!</v>
      </c>
      <c r="AU27" s="414" t="e">
        <f>'Labor Rates'!#REF!</f>
        <v>#REF!</v>
      </c>
      <c r="AV27" s="381" t="e">
        <f t="shared" si="25"/>
        <v>#REF!</v>
      </c>
      <c r="AW27" s="415" t="e">
        <f>'Labor Rates'!#REF!</f>
        <v>#REF!</v>
      </c>
      <c r="AX27" s="380" t="e">
        <f t="shared" si="26"/>
        <v>#REF!</v>
      </c>
      <c r="AY27" s="366" t="e">
        <f t="shared" si="4"/>
        <v>#REF!</v>
      </c>
      <c r="AZ27" s="476">
        <f t="shared" si="5"/>
        <v>11520</v>
      </c>
      <c r="BA27" s="477" t="e">
        <f t="shared" si="6"/>
        <v>#REF!</v>
      </c>
      <c r="BB27" s="431" t="e">
        <f t="shared" si="7"/>
        <v>#REF!</v>
      </c>
    </row>
    <row r="28" spans="1:538" x14ac:dyDescent="0.25">
      <c r="A28" s="490"/>
      <c r="B28" s="375" t="str">
        <f>IF(ISBLANK('Labor Rates'!D28),"",'Labor Rates'!D28)</f>
        <v/>
      </c>
      <c r="C28" s="375" t="str">
        <f>IF(ISBLANK('Labor Rates'!E28),"",'Labor Rates'!E28)</f>
        <v/>
      </c>
      <c r="D28" s="432">
        <v>1920</v>
      </c>
      <c r="E28" s="385" t="e">
        <f>'Labor Rates'!#REF!</f>
        <v>#REF!</v>
      </c>
      <c r="F28" s="385" t="e">
        <f t="shared" si="8"/>
        <v>#REF!</v>
      </c>
      <c r="G28" s="414" t="e">
        <f>'Labor Rates'!#REF!</f>
        <v>#REF!</v>
      </c>
      <c r="H28" s="381" t="e">
        <f t="shared" si="9"/>
        <v>#REF!</v>
      </c>
      <c r="I28" s="415" t="e">
        <f>'Labor Rates'!#REF!</f>
        <v>#REF!</v>
      </c>
      <c r="J28" s="380" t="e">
        <f t="shared" si="10"/>
        <v>#REF!</v>
      </c>
      <c r="K28" s="475" t="e">
        <f t="shared" si="11"/>
        <v>#REF!</v>
      </c>
      <c r="L28" s="432">
        <v>1920</v>
      </c>
      <c r="M28" s="480" t="e">
        <f>'Labor Rates'!#REF!</f>
        <v>#REF!</v>
      </c>
      <c r="N28" s="385" t="e">
        <f t="shared" si="12"/>
        <v>#REF!</v>
      </c>
      <c r="O28" s="414" t="e">
        <f>'Labor Rates'!#REF!</f>
        <v>#REF!</v>
      </c>
      <c r="P28" s="381" t="e">
        <f t="shared" si="13"/>
        <v>#REF!</v>
      </c>
      <c r="Q28" s="415" t="e">
        <f>'Labor Rates'!#REF!</f>
        <v>#REF!</v>
      </c>
      <c r="R28" s="380" t="e">
        <f t="shared" si="14"/>
        <v>#REF!</v>
      </c>
      <c r="S28" s="366" t="e">
        <f t="shared" si="0"/>
        <v>#REF!</v>
      </c>
      <c r="T28" s="357">
        <v>1920</v>
      </c>
      <c r="U28" s="480" t="e">
        <f>'Labor Rates'!#REF!</f>
        <v>#REF!</v>
      </c>
      <c r="V28" s="385" t="e">
        <f t="shared" si="15"/>
        <v>#REF!</v>
      </c>
      <c r="W28" s="414" t="e">
        <f>'Labor Rates'!#REF!</f>
        <v>#REF!</v>
      </c>
      <c r="X28" s="381" t="e">
        <f t="shared" si="16"/>
        <v>#REF!</v>
      </c>
      <c r="Y28" s="415" t="e">
        <f>'Labor Rates'!#REF!</f>
        <v>#REF!</v>
      </c>
      <c r="Z28" s="380" t="e">
        <f t="shared" si="17"/>
        <v>#REF!</v>
      </c>
      <c r="AA28" s="366" t="e">
        <f t="shared" si="1"/>
        <v>#REF!</v>
      </c>
      <c r="AB28" s="357">
        <v>1920</v>
      </c>
      <c r="AC28" s="480" t="e">
        <f>'Labor Rates'!#REF!</f>
        <v>#REF!</v>
      </c>
      <c r="AD28" s="385" t="e">
        <f t="shared" si="18"/>
        <v>#REF!</v>
      </c>
      <c r="AE28" s="414" t="e">
        <f>'Labor Rates'!#REF!</f>
        <v>#REF!</v>
      </c>
      <c r="AF28" s="381" t="e">
        <f t="shared" si="19"/>
        <v>#REF!</v>
      </c>
      <c r="AG28" s="415" t="e">
        <f>'Labor Rates'!#REF!</f>
        <v>#REF!</v>
      </c>
      <c r="AH28" s="380" t="e">
        <f t="shared" si="20"/>
        <v>#REF!</v>
      </c>
      <c r="AI28" s="366" t="e">
        <f t="shared" si="2"/>
        <v>#REF!</v>
      </c>
      <c r="AJ28" s="357">
        <v>1920</v>
      </c>
      <c r="AK28" s="480" t="e">
        <f>'Labor Rates'!#REF!</f>
        <v>#REF!</v>
      </c>
      <c r="AL28" s="385" t="e">
        <f t="shared" si="21"/>
        <v>#REF!</v>
      </c>
      <c r="AM28" s="309" t="e">
        <f>'Labor Rates'!#REF!</f>
        <v>#REF!</v>
      </c>
      <c r="AN28" s="381" t="e">
        <f t="shared" si="22"/>
        <v>#REF!</v>
      </c>
      <c r="AO28" s="309" t="e">
        <f>'Labor Rates'!#REF!</f>
        <v>#REF!</v>
      </c>
      <c r="AP28" s="380" t="e">
        <f t="shared" si="23"/>
        <v>#REF!</v>
      </c>
      <c r="AQ28" s="366" t="e">
        <f t="shared" si="3"/>
        <v>#REF!</v>
      </c>
      <c r="AR28" s="357">
        <v>1920</v>
      </c>
      <c r="AS28" s="480" t="e">
        <f>'Labor Rates'!#REF!</f>
        <v>#REF!</v>
      </c>
      <c r="AT28" s="385" t="e">
        <f t="shared" si="24"/>
        <v>#REF!</v>
      </c>
      <c r="AU28" s="414" t="e">
        <f>'Labor Rates'!#REF!</f>
        <v>#REF!</v>
      </c>
      <c r="AV28" s="381" t="e">
        <f t="shared" si="25"/>
        <v>#REF!</v>
      </c>
      <c r="AW28" s="415" t="e">
        <f>'Labor Rates'!#REF!</f>
        <v>#REF!</v>
      </c>
      <c r="AX28" s="380" t="e">
        <f t="shared" si="26"/>
        <v>#REF!</v>
      </c>
      <c r="AY28" s="366" t="e">
        <f t="shared" si="4"/>
        <v>#REF!</v>
      </c>
      <c r="AZ28" s="476">
        <f t="shared" si="5"/>
        <v>11520</v>
      </c>
      <c r="BA28" s="477" t="e">
        <f t="shared" si="6"/>
        <v>#REF!</v>
      </c>
      <c r="BB28" s="431" t="e">
        <f t="shared" si="7"/>
        <v>#REF!</v>
      </c>
    </row>
    <row r="29" spans="1:538" x14ac:dyDescent="0.25">
      <c r="A29" s="490"/>
      <c r="B29" s="375" t="str">
        <f>IF(ISBLANK('Labor Rates'!D29),"",'Labor Rates'!D29)</f>
        <v/>
      </c>
      <c r="C29" s="375" t="str">
        <f>IF(ISBLANK('Labor Rates'!E29),"",'Labor Rates'!E29)</f>
        <v/>
      </c>
      <c r="D29" s="432">
        <v>1920</v>
      </c>
      <c r="E29" s="385" t="e">
        <f>'Labor Rates'!#REF!</f>
        <v>#REF!</v>
      </c>
      <c r="F29" s="385" t="e">
        <f t="shared" si="8"/>
        <v>#REF!</v>
      </c>
      <c r="G29" s="414" t="e">
        <f>'Labor Rates'!#REF!</f>
        <v>#REF!</v>
      </c>
      <c r="H29" s="381" t="e">
        <f t="shared" si="9"/>
        <v>#REF!</v>
      </c>
      <c r="I29" s="415" t="e">
        <f>'Labor Rates'!#REF!</f>
        <v>#REF!</v>
      </c>
      <c r="J29" s="380" t="e">
        <f t="shared" si="10"/>
        <v>#REF!</v>
      </c>
      <c r="K29" s="475" t="e">
        <f t="shared" si="11"/>
        <v>#REF!</v>
      </c>
      <c r="L29" s="432">
        <v>1920</v>
      </c>
      <c r="M29" s="480" t="e">
        <f>'Labor Rates'!#REF!</f>
        <v>#REF!</v>
      </c>
      <c r="N29" s="385" t="e">
        <f t="shared" si="12"/>
        <v>#REF!</v>
      </c>
      <c r="O29" s="414" t="e">
        <f>'Labor Rates'!#REF!</f>
        <v>#REF!</v>
      </c>
      <c r="P29" s="381" t="e">
        <f t="shared" si="13"/>
        <v>#REF!</v>
      </c>
      <c r="Q29" s="415" t="e">
        <f>'Labor Rates'!#REF!</f>
        <v>#REF!</v>
      </c>
      <c r="R29" s="380" t="e">
        <f t="shared" si="14"/>
        <v>#REF!</v>
      </c>
      <c r="S29" s="366" t="e">
        <f t="shared" si="0"/>
        <v>#REF!</v>
      </c>
      <c r="T29" s="357">
        <v>1920</v>
      </c>
      <c r="U29" s="480" t="e">
        <f>'Labor Rates'!#REF!</f>
        <v>#REF!</v>
      </c>
      <c r="V29" s="385" t="e">
        <f t="shared" si="15"/>
        <v>#REF!</v>
      </c>
      <c r="W29" s="414" t="e">
        <f>'Labor Rates'!#REF!</f>
        <v>#REF!</v>
      </c>
      <c r="X29" s="381" t="e">
        <f t="shared" si="16"/>
        <v>#REF!</v>
      </c>
      <c r="Y29" s="415" t="e">
        <f>'Labor Rates'!#REF!</f>
        <v>#REF!</v>
      </c>
      <c r="Z29" s="380" t="e">
        <f t="shared" si="17"/>
        <v>#REF!</v>
      </c>
      <c r="AA29" s="366" t="e">
        <f t="shared" si="1"/>
        <v>#REF!</v>
      </c>
      <c r="AB29" s="357">
        <v>1920</v>
      </c>
      <c r="AC29" s="480" t="e">
        <f>'Labor Rates'!#REF!</f>
        <v>#REF!</v>
      </c>
      <c r="AD29" s="385" t="e">
        <f t="shared" si="18"/>
        <v>#REF!</v>
      </c>
      <c r="AE29" s="414" t="e">
        <f>'Labor Rates'!#REF!</f>
        <v>#REF!</v>
      </c>
      <c r="AF29" s="381" t="e">
        <f t="shared" si="19"/>
        <v>#REF!</v>
      </c>
      <c r="AG29" s="415" t="e">
        <f>'Labor Rates'!#REF!</f>
        <v>#REF!</v>
      </c>
      <c r="AH29" s="380" t="e">
        <f t="shared" si="20"/>
        <v>#REF!</v>
      </c>
      <c r="AI29" s="366" t="e">
        <f t="shared" si="2"/>
        <v>#REF!</v>
      </c>
      <c r="AJ29" s="357">
        <v>1920</v>
      </c>
      <c r="AK29" s="480" t="e">
        <f>'Labor Rates'!#REF!</f>
        <v>#REF!</v>
      </c>
      <c r="AL29" s="385" t="e">
        <f t="shared" si="21"/>
        <v>#REF!</v>
      </c>
      <c r="AM29" s="309" t="e">
        <f>'Labor Rates'!#REF!</f>
        <v>#REF!</v>
      </c>
      <c r="AN29" s="381" t="e">
        <f t="shared" si="22"/>
        <v>#REF!</v>
      </c>
      <c r="AO29" s="309" t="e">
        <f>'Labor Rates'!#REF!</f>
        <v>#REF!</v>
      </c>
      <c r="AP29" s="380" t="e">
        <f t="shared" si="23"/>
        <v>#REF!</v>
      </c>
      <c r="AQ29" s="366" t="e">
        <f t="shared" si="3"/>
        <v>#REF!</v>
      </c>
      <c r="AR29" s="357">
        <v>1920</v>
      </c>
      <c r="AS29" s="480" t="e">
        <f>'Labor Rates'!#REF!</f>
        <v>#REF!</v>
      </c>
      <c r="AT29" s="385" t="e">
        <f t="shared" si="24"/>
        <v>#REF!</v>
      </c>
      <c r="AU29" s="414" t="e">
        <f>'Labor Rates'!#REF!</f>
        <v>#REF!</v>
      </c>
      <c r="AV29" s="381" t="e">
        <f t="shared" si="25"/>
        <v>#REF!</v>
      </c>
      <c r="AW29" s="415" t="e">
        <f>'Labor Rates'!#REF!</f>
        <v>#REF!</v>
      </c>
      <c r="AX29" s="380" t="e">
        <f t="shared" si="26"/>
        <v>#REF!</v>
      </c>
      <c r="AY29" s="366" t="e">
        <f t="shared" si="4"/>
        <v>#REF!</v>
      </c>
      <c r="AZ29" s="476">
        <f t="shared" si="5"/>
        <v>11520</v>
      </c>
      <c r="BA29" s="477" t="e">
        <f t="shared" si="6"/>
        <v>#REF!</v>
      </c>
      <c r="BB29" s="431" t="e">
        <f t="shared" si="7"/>
        <v>#REF!</v>
      </c>
    </row>
    <row r="30" spans="1:538" x14ac:dyDescent="0.25">
      <c r="A30" s="490"/>
      <c r="B30" s="375" t="str">
        <f>IF(ISBLANK('Labor Rates'!D30),"",'Labor Rates'!D30)</f>
        <v/>
      </c>
      <c r="C30" s="375" t="str">
        <f>IF(ISBLANK('Labor Rates'!E30),"",'Labor Rates'!E30)</f>
        <v/>
      </c>
      <c r="D30" s="432">
        <v>1920</v>
      </c>
      <c r="E30" s="385" t="e">
        <f>'Labor Rates'!#REF!</f>
        <v>#REF!</v>
      </c>
      <c r="F30" s="385" t="e">
        <f t="shared" si="8"/>
        <v>#REF!</v>
      </c>
      <c r="G30" s="414" t="e">
        <f>'Labor Rates'!#REF!</f>
        <v>#REF!</v>
      </c>
      <c r="H30" s="381" t="e">
        <f t="shared" si="9"/>
        <v>#REF!</v>
      </c>
      <c r="I30" s="415" t="e">
        <f>'Labor Rates'!#REF!</f>
        <v>#REF!</v>
      </c>
      <c r="J30" s="380" t="e">
        <f t="shared" si="10"/>
        <v>#REF!</v>
      </c>
      <c r="K30" s="475" t="e">
        <f t="shared" si="11"/>
        <v>#REF!</v>
      </c>
      <c r="L30" s="432">
        <v>1920</v>
      </c>
      <c r="M30" s="480" t="e">
        <f>'Labor Rates'!#REF!</f>
        <v>#REF!</v>
      </c>
      <c r="N30" s="385" t="e">
        <f t="shared" si="12"/>
        <v>#REF!</v>
      </c>
      <c r="O30" s="414" t="e">
        <f>'Labor Rates'!#REF!</f>
        <v>#REF!</v>
      </c>
      <c r="P30" s="381" t="e">
        <f t="shared" si="13"/>
        <v>#REF!</v>
      </c>
      <c r="Q30" s="415" t="e">
        <f>'Labor Rates'!#REF!</f>
        <v>#REF!</v>
      </c>
      <c r="R30" s="380" t="e">
        <f t="shared" si="14"/>
        <v>#REF!</v>
      </c>
      <c r="S30" s="366" t="e">
        <f t="shared" si="0"/>
        <v>#REF!</v>
      </c>
      <c r="T30" s="357">
        <v>1920</v>
      </c>
      <c r="U30" s="480" t="e">
        <f>'Labor Rates'!#REF!</f>
        <v>#REF!</v>
      </c>
      <c r="V30" s="385" t="e">
        <f t="shared" si="15"/>
        <v>#REF!</v>
      </c>
      <c r="W30" s="414" t="e">
        <f>'Labor Rates'!#REF!</f>
        <v>#REF!</v>
      </c>
      <c r="X30" s="381" t="e">
        <f t="shared" si="16"/>
        <v>#REF!</v>
      </c>
      <c r="Y30" s="415" t="e">
        <f>'Labor Rates'!#REF!</f>
        <v>#REF!</v>
      </c>
      <c r="Z30" s="380" t="e">
        <f t="shared" si="17"/>
        <v>#REF!</v>
      </c>
      <c r="AA30" s="366" t="e">
        <f t="shared" si="1"/>
        <v>#REF!</v>
      </c>
      <c r="AB30" s="357">
        <v>1920</v>
      </c>
      <c r="AC30" s="480" t="e">
        <f>'Labor Rates'!#REF!</f>
        <v>#REF!</v>
      </c>
      <c r="AD30" s="385" t="e">
        <f t="shared" si="18"/>
        <v>#REF!</v>
      </c>
      <c r="AE30" s="414" t="e">
        <f>'Labor Rates'!#REF!</f>
        <v>#REF!</v>
      </c>
      <c r="AF30" s="381" t="e">
        <f t="shared" si="19"/>
        <v>#REF!</v>
      </c>
      <c r="AG30" s="415" t="e">
        <f>'Labor Rates'!#REF!</f>
        <v>#REF!</v>
      </c>
      <c r="AH30" s="380" t="e">
        <f t="shared" si="20"/>
        <v>#REF!</v>
      </c>
      <c r="AI30" s="366" t="e">
        <f t="shared" si="2"/>
        <v>#REF!</v>
      </c>
      <c r="AJ30" s="357">
        <v>1920</v>
      </c>
      <c r="AK30" s="480" t="e">
        <f>'Labor Rates'!#REF!</f>
        <v>#REF!</v>
      </c>
      <c r="AL30" s="385" t="e">
        <f t="shared" si="21"/>
        <v>#REF!</v>
      </c>
      <c r="AM30" s="309" t="e">
        <f>'Labor Rates'!#REF!</f>
        <v>#REF!</v>
      </c>
      <c r="AN30" s="381" t="e">
        <f t="shared" si="22"/>
        <v>#REF!</v>
      </c>
      <c r="AO30" s="309" t="e">
        <f>'Labor Rates'!#REF!</f>
        <v>#REF!</v>
      </c>
      <c r="AP30" s="380" t="e">
        <f t="shared" si="23"/>
        <v>#REF!</v>
      </c>
      <c r="AQ30" s="366" t="e">
        <f t="shared" si="3"/>
        <v>#REF!</v>
      </c>
      <c r="AR30" s="357">
        <v>1920</v>
      </c>
      <c r="AS30" s="480" t="e">
        <f>'Labor Rates'!#REF!</f>
        <v>#REF!</v>
      </c>
      <c r="AT30" s="385" t="e">
        <f t="shared" si="24"/>
        <v>#REF!</v>
      </c>
      <c r="AU30" s="414" t="e">
        <f>'Labor Rates'!#REF!</f>
        <v>#REF!</v>
      </c>
      <c r="AV30" s="381" t="e">
        <f t="shared" si="25"/>
        <v>#REF!</v>
      </c>
      <c r="AW30" s="415" t="e">
        <f>'Labor Rates'!#REF!</f>
        <v>#REF!</v>
      </c>
      <c r="AX30" s="380" t="e">
        <f t="shared" si="26"/>
        <v>#REF!</v>
      </c>
      <c r="AY30" s="366" t="e">
        <f t="shared" si="4"/>
        <v>#REF!</v>
      </c>
      <c r="AZ30" s="476">
        <f t="shared" si="5"/>
        <v>11520</v>
      </c>
      <c r="BA30" s="477" t="e">
        <f t="shared" si="6"/>
        <v>#REF!</v>
      </c>
      <c r="BB30" s="431" t="e">
        <f t="shared" si="7"/>
        <v>#REF!</v>
      </c>
    </row>
    <row r="31" spans="1:538" x14ac:dyDescent="0.25">
      <c r="A31" s="490"/>
      <c r="B31" s="375" t="str">
        <f>IF(ISBLANK('Labor Rates'!D31),"",'Labor Rates'!D31)</f>
        <v/>
      </c>
      <c r="C31" s="375" t="str">
        <f>IF(ISBLANK('Labor Rates'!E31),"",'Labor Rates'!E31)</f>
        <v/>
      </c>
      <c r="D31" s="432">
        <v>1920</v>
      </c>
      <c r="E31" s="385" t="e">
        <f>'Labor Rates'!#REF!</f>
        <v>#REF!</v>
      </c>
      <c r="F31" s="385" t="e">
        <f t="shared" si="8"/>
        <v>#REF!</v>
      </c>
      <c r="G31" s="414" t="e">
        <f>'Labor Rates'!#REF!</f>
        <v>#REF!</v>
      </c>
      <c r="H31" s="381" t="e">
        <f t="shared" si="9"/>
        <v>#REF!</v>
      </c>
      <c r="I31" s="415" t="e">
        <f>'Labor Rates'!#REF!</f>
        <v>#REF!</v>
      </c>
      <c r="J31" s="380" t="e">
        <f t="shared" si="10"/>
        <v>#REF!</v>
      </c>
      <c r="K31" s="475" t="e">
        <f t="shared" si="11"/>
        <v>#REF!</v>
      </c>
      <c r="L31" s="432">
        <v>1920</v>
      </c>
      <c r="M31" s="480" t="e">
        <f>'Labor Rates'!#REF!</f>
        <v>#REF!</v>
      </c>
      <c r="N31" s="385" t="e">
        <f t="shared" si="12"/>
        <v>#REF!</v>
      </c>
      <c r="O31" s="414" t="e">
        <f>'Labor Rates'!#REF!</f>
        <v>#REF!</v>
      </c>
      <c r="P31" s="381" t="e">
        <f t="shared" si="13"/>
        <v>#REF!</v>
      </c>
      <c r="Q31" s="415" t="e">
        <f>'Labor Rates'!#REF!</f>
        <v>#REF!</v>
      </c>
      <c r="R31" s="380" t="e">
        <f t="shared" si="14"/>
        <v>#REF!</v>
      </c>
      <c r="S31" s="366" t="e">
        <f t="shared" si="0"/>
        <v>#REF!</v>
      </c>
      <c r="T31" s="357">
        <v>1920</v>
      </c>
      <c r="U31" s="480" t="e">
        <f>'Labor Rates'!#REF!</f>
        <v>#REF!</v>
      </c>
      <c r="V31" s="385" t="e">
        <f t="shared" si="15"/>
        <v>#REF!</v>
      </c>
      <c r="W31" s="414" t="e">
        <f>'Labor Rates'!#REF!</f>
        <v>#REF!</v>
      </c>
      <c r="X31" s="381" t="e">
        <f t="shared" si="16"/>
        <v>#REF!</v>
      </c>
      <c r="Y31" s="415" t="e">
        <f>'Labor Rates'!#REF!</f>
        <v>#REF!</v>
      </c>
      <c r="Z31" s="380" t="e">
        <f t="shared" si="17"/>
        <v>#REF!</v>
      </c>
      <c r="AA31" s="366" t="e">
        <f t="shared" si="1"/>
        <v>#REF!</v>
      </c>
      <c r="AB31" s="357">
        <v>1920</v>
      </c>
      <c r="AC31" s="480" t="e">
        <f>'Labor Rates'!#REF!</f>
        <v>#REF!</v>
      </c>
      <c r="AD31" s="385" t="e">
        <f t="shared" si="18"/>
        <v>#REF!</v>
      </c>
      <c r="AE31" s="414" t="e">
        <f>'Labor Rates'!#REF!</f>
        <v>#REF!</v>
      </c>
      <c r="AF31" s="381" t="e">
        <f t="shared" si="19"/>
        <v>#REF!</v>
      </c>
      <c r="AG31" s="415" t="e">
        <f>'Labor Rates'!#REF!</f>
        <v>#REF!</v>
      </c>
      <c r="AH31" s="380" t="e">
        <f t="shared" si="20"/>
        <v>#REF!</v>
      </c>
      <c r="AI31" s="366" t="e">
        <f t="shared" si="2"/>
        <v>#REF!</v>
      </c>
      <c r="AJ31" s="357">
        <v>1920</v>
      </c>
      <c r="AK31" s="480" t="e">
        <f>'Labor Rates'!#REF!</f>
        <v>#REF!</v>
      </c>
      <c r="AL31" s="385" t="e">
        <f t="shared" si="21"/>
        <v>#REF!</v>
      </c>
      <c r="AM31" s="309" t="e">
        <f>'Labor Rates'!#REF!</f>
        <v>#REF!</v>
      </c>
      <c r="AN31" s="381" t="e">
        <f t="shared" si="22"/>
        <v>#REF!</v>
      </c>
      <c r="AO31" s="309" t="e">
        <f>'Labor Rates'!#REF!</f>
        <v>#REF!</v>
      </c>
      <c r="AP31" s="380" t="e">
        <f t="shared" si="23"/>
        <v>#REF!</v>
      </c>
      <c r="AQ31" s="366" t="e">
        <f t="shared" si="3"/>
        <v>#REF!</v>
      </c>
      <c r="AR31" s="357">
        <v>1920</v>
      </c>
      <c r="AS31" s="480" t="e">
        <f>'Labor Rates'!#REF!</f>
        <v>#REF!</v>
      </c>
      <c r="AT31" s="385" t="e">
        <f t="shared" si="24"/>
        <v>#REF!</v>
      </c>
      <c r="AU31" s="414" t="e">
        <f>'Labor Rates'!#REF!</f>
        <v>#REF!</v>
      </c>
      <c r="AV31" s="381" t="e">
        <f t="shared" si="25"/>
        <v>#REF!</v>
      </c>
      <c r="AW31" s="415" t="e">
        <f>'Labor Rates'!#REF!</f>
        <v>#REF!</v>
      </c>
      <c r="AX31" s="380" t="e">
        <f t="shared" si="26"/>
        <v>#REF!</v>
      </c>
      <c r="AY31" s="366" t="e">
        <f t="shared" si="4"/>
        <v>#REF!</v>
      </c>
      <c r="AZ31" s="476">
        <f t="shared" si="5"/>
        <v>11520</v>
      </c>
      <c r="BA31" s="477" t="e">
        <f t="shared" si="6"/>
        <v>#REF!</v>
      </c>
      <c r="BB31" s="431" t="e">
        <f t="shared" si="7"/>
        <v>#REF!</v>
      </c>
    </row>
    <row r="32" spans="1:538" s="337" customFormat="1" x14ac:dyDescent="0.25">
      <c r="A32" s="1623" t="s">
        <v>442</v>
      </c>
      <c r="B32" s="1623"/>
      <c r="C32" s="1623"/>
      <c r="D32" s="371">
        <f>SUM(D8:D31)</f>
        <v>46080</v>
      </c>
      <c r="E32" s="507"/>
      <c r="F32" s="345" t="e">
        <f>SUM(F8:F31)</f>
        <v>#REF!</v>
      </c>
      <c r="G32" s="1624"/>
      <c r="H32" s="1625"/>
      <c r="I32" s="1625"/>
      <c r="J32" s="1625"/>
      <c r="K32" s="477"/>
      <c r="L32" s="371">
        <f>SUM(L8:L31)</f>
        <v>46080</v>
      </c>
      <c r="M32" s="344"/>
      <c r="N32" s="345" t="e">
        <f>SUM(N8:N31)</f>
        <v>#REF!</v>
      </c>
      <c r="O32" s="1626"/>
      <c r="P32" s="1627"/>
      <c r="Q32" s="1627"/>
      <c r="R32" s="1628"/>
      <c r="S32" s="334"/>
      <c r="T32" s="371">
        <f>SUM(T8:T31)</f>
        <v>46080</v>
      </c>
      <c r="U32" s="344"/>
      <c r="V32" s="345" t="e">
        <f>SUM(V8:V31)</f>
        <v>#REF!</v>
      </c>
      <c r="W32" s="1626"/>
      <c r="X32" s="1627"/>
      <c r="Y32" s="1627"/>
      <c r="Z32" s="1628"/>
      <c r="AA32" s="334"/>
      <c r="AB32" s="371">
        <f>SUM(AB8:AB31)</f>
        <v>46080</v>
      </c>
      <c r="AC32" s="343"/>
      <c r="AD32" s="345" t="e">
        <f>SUM(AD8:AD31)</f>
        <v>#REF!</v>
      </c>
      <c r="AE32" s="1629"/>
      <c r="AF32" s="1630"/>
      <c r="AG32" s="1630"/>
      <c r="AH32" s="1631"/>
      <c r="AI32" s="334"/>
      <c r="AJ32" s="371">
        <f>SUM(AJ8:AJ31)</f>
        <v>46080</v>
      </c>
      <c r="AK32" s="343"/>
      <c r="AL32" s="333" t="e">
        <f>SUM(AL8:AL31)</f>
        <v>#REF!</v>
      </c>
      <c r="AM32" s="1629"/>
      <c r="AN32" s="1630"/>
      <c r="AO32" s="1630"/>
      <c r="AP32" s="1631"/>
      <c r="AQ32" s="334"/>
      <c r="AR32" s="370">
        <f>SUM(AR8:AR31)</f>
        <v>46080</v>
      </c>
      <c r="AS32" s="343"/>
      <c r="AT32" s="345" t="e">
        <f>SUM(AT8:AT31)</f>
        <v>#REF!</v>
      </c>
      <c r="AU32" s="1629"/>
      <c r="AV32" s="1630"/>
      <c r="AW32" s="1630"/>
      <c r="AX32" s="1631"/>
      <c r="AY32" s="359"/>
      <c r="AZ32" s="369">
        <f>SUM(AZ8:AZ31)</f>
        <v>276480</v>
      </c>
      <c r="BA32" s="386" t="e">
        <f>F32+N32+V32+AD32+AL32+AT32</f>
        <v>#REF!</v>
      </c>
      <c r="BB32" s="387" t="e">
        <f>SUM(BB8:BB31)</f>
        <v>#REF!</v>
      </c>
      <c r="BC32" s="291"/>
      <c r="BD32" s="291"/>
      <c r="BE32" s="291"/>
      <c r="BF32" s="291"/>
      <c r="BG32" s="291"/>
      <c r="BH32" s="291"/>
      <c r="BI32" s="291"/>
      <c r="BJ32" s="291"/>
      <c r="BK32" s="291"/>
      <c r="BL32" s="291"/>
      <c r="BM32" s="291"/>
      <c r="BN32" s="291"/>
      <c r="BO32" s="291"/>
      <c r="BP32" s="291"/>
      <c r="BQ32" s="291"/>
      <c r="BR32" s="291"/>
      <c r="BS32" s="291"/>
      <c r="BT32" s="291"/>
      <c r="BU32" s="291"/>
      <c r="BV32" s="291"/>
      <c r="BW32" s="291"/>
      <c r="BX32" s="291"/>
      <c r="BY32" s="291"/>
      <c r="BZ32" s="291"/>
      <c r="CA32" s="291"/>
      <c r="CB32" s="291"/>
      <c r="CC32" s="291"/>
      <c r="CD32" s="291"/>
      <c r="CE32" s="291"/>
      <c r="CF32" s="291"/>
      <c r="CG32" s="291"/>
      <c r="CH32" s="291"/>
      <c r="CI32" s="291"/>
      <c r="CJ32" s="291"/>
      <c r="CK32" s="291"/>
      <c r="CL32" s="291"/>
      <c r="CM32" s="291"/>
      <c r="CN32" s="291"/>
      <c r="CO32" s="291"/>
      <c r="CP32" s="291"/>
      <c r="CQ32" s="291"/>
      <c r="CR32" s="291"/>
      <c r="CS32" s="291"/>
      <c r="CT32" s="291"/>
      <c r="CU32" s="291"/>
      <c r="CV32" s="291"/>
      <c r="CW32" s="291"/>
      <c r="CX32" s="291"/>
      <c r="CY32" s="291"/>
      <c r="CZ32" s="291"/>
      <c r="DA32" s="291"/>
      <c r="DB32" s="291"/>
      <c r="DC32" s="291"/>
      <c r="DD32" s="291"/>
      <c r="DE32" s="291"/>
      <c r="DF32" s="291"/>
      <c r="DG32" s="291"/>
      <c r="DH32" s="291"/>
      <c r="DI32" s="291"/>
      <c r="DJ32" s="291"/>
      <c r="DK32" s="291"/>
      <c r="DL32" s="291"/>
      <c r="DM32" s="291"/>
      <c r="DN32" s="291"/>
      <c r="DO32" s="291"/>
      <c r="DP32" s="291"/>
      <c r="DQ32" s="291"/>
      <c r="DR32" s="291"/>
      <c r="DS32" s="291"/>
      <c r="DT32" s="291"/>
      <c r="DU32" s="291"/>
      <c r="DV32" s="291"/>
      <c r="DW32" s="291"/>
      <c r="DX32" s="291"/>
      <c r="DY32" s="291"/>
      <c r="DZ32" s="291"/>
      <c r="EA32" s="291"/>
      <c r="EB32" s="291"/>
      <c r="EC32" s="291"/>
      <c r="ED32" s="291"/>
      <c r="EE32" s="291"/>
      <c r="EF32" s="291"/>
      <c r="EG32" s="291"/>
      <c r="EH32" s="291"/>
      <c r="EI32" s="291"/>
      <c r="EJ32" s="291"/>
      <c r="EK32" s="291"/>
      <c r="EL32" s="291"/>
      <c r="EM32" s="291"/>
      <c r="EN32" s="291"/>
      <c r="EO32" s="291"/>
      <c r="EP32" s="291"/>
      <c r="EQ32" s="291"/>
      <c r="ER32" s="291"/>
      <c r="ES32" s="291"/>
      <c r="ET32" s="291"/>
      <c r="EU32" s="291"/>
      <c r="EV32" s="291"/>
      <c r="EW32" s="291"/>
      <c r="EX32" s="291"/>
      <c r="EY32" s="291"/>
      <c r="EZ32" s="291"/>
      <c r="FA32" s="291"/>
      <c r="FB32" s="291"/>
      <c r="FC32" s="291"/>
      <c r="FD32" s="291"/>
      <c r="FE32" s="291"/>
      <c r="FF32" s="291"/>
      <c r="FG32" s="291"/>
      <c r="FH32" s="291"/>
      <c r="FI32" s="291"/>
      <c r="FJ32" s="291"/>
      <c r="FK32" s="291"/>
      <c r="FL32" s="291"/>
      <c r="FM32" s="291"/>
      <c r="FN32" s="291"/>
      <c r="FO32" s="291"/>
      <c r="FP32" s="291"/>
      <c r="FQ32" s="291"/>
      <c r="FR32" s="291"/>
      <c r="FS32" s="291"/>
      <c r="FT32" s="291"/>
      <c r="FU32" s="291"/>
      <c r="FV32" s="291"/>
      <c r="FW32" s="291"/>
      <c r="FX32" s="291"/>
      <c r="FY32" s="291"/>
      <c r="FZ32" s="291"/>
      <c r="GA32" s="291"/>
      <c r="GB32" s="291"/>
      <c r="GC32" s="291"/>
      <c r="GD32" s="291"/>
      <c r="GE32" s="291"/>
      <c r="GF32" s="291"/>
      <c r="GG32" s="291"/>
      <c r="GH32" s="291"/>
      <c r="GI32" s="291"/>
      <c r="GJ32" s="291"/>
      <c r="GK32" s="291"/>
      <c r="GL32" s="291"/>
      <c r="GM32" s="291"/>
      <c r="GN32" s="291"/>
      <c r="GO32" s="291"/>
      <c r="GP32" s="291"/>
      <c r="GQ32" s="291"/>
      <c r="GR32" s="291"/>
      <c r="GS32" s="291"/>
      <c r="GT32" s="291"/>
      <c r="GU32" s="291"/>
      <c r="GV32" s="291"/>
      <c r="GW32" s="291"/>
      <c r="GX32" s="291"/>
      <c r="GY32" s="291"/>
      <c r="GZ32" s="291"/>
      <c r="HA32" s="291"/>
      <c r="HB32" s="291"/>
      <c r="HC32" s="291"/>
      <c r="HD32" s="291"/>
      <c r="HE32" s="291"/>
      <c r="HF32" s="291"/>
      <c r="HG32" s="291"/>
      <c r="HH32" s="291"/>
      <c r="HI32" s="291"/>
      <c r="HJ32" s="291"/>
      <c r="HK32" s="291"/>
      <c r="HL32" s="291"/>
      <c r="HM32" s="291"/>
      <c r="HN32" s="291"/>
      <c r="HO32" s="291"/>
      <c r="HP32" s="291"/>
      <c r="HQ32" s="291"/>
      <c r="HR32" s="291"/>
      <c r="HS32" s="291"/>
      <c r="HT32" s="291"/>
      <c r="HU32" s="291"/>
      <c r="HV32" s="291"/>
      <c r="HW32" s="291"/>
      <c r="HX32" s="291"/>
      <c r="HY32" s="291"/>
      <c r="HZ32" s="291"/>
      <c r="IA32" s="291"/>
      <c r="IB32" s="291"/>
      <c r="IC32" s="291"/>
      <c r="ID32" s="291"/>
      <c r="IE32" s="291"/>
      <c r="IF32" s="291"/>
      <c r="IG32" s="291"/>
      <c r="IH32" s="291"/>
      <c r="II32" s="291"/>
      <c r="IJ32" s="291"/>
      <c r="IK32" s="291"/>
      <c r="IL32" s="291"/>
      <c r="IM32" s="291"/>
      <c r="IN32" s="291"/>
      <c r="IO32" s="291"/>
      <c r="IP32" s="291"/>
      <c r="IQ32" s="291"/>
      <c r="IR32" s="291"/>
      <c r="IS32" s="291"/>
      <c r="IT32" s="291"/>
      <c r="IU32" s="291"/>
      <c r="IV32" s="291"/>
      <c r="IW32" s="291"/>
      <c r="IX32" s="291"/>
      <c r="IY32" s="291"/>
      <c r="IZ32" s="291"/>
      <c r="JA32" s="291"/>
      <c r="JB32" s="291"/>
      <c r="JC32" s="291"/>
      <c r="JD32" s="291"/>
      <c r="JE32" s="291"/>
      <c r="JF32" s="291"/>
      <c r="JG32" s="291"/>
      <c r="JH32" s="291"/>
      <c r="JI32" s="291"/>
      <c r="JJ32" s="291"/>
      <c r="JK32" s="291"/>
      <c r="JL32" s="291"/>
      <c r="JM32" s="291"/>
      <c r="JN32" s="291"/>
      <c r="JO32" s="291"/>
      <c r="JP32" s="291"/>
      <c r="JQ32" s="291"/>
      <c r="JR32" s="291"/>
      <c r="JS32" s="291"/>
      <c r="JT32" s="291"/>
      <c r="JU32" s="291"/>
      <c r="JV32" s="291"/>
      <c r="JW32" s="291"/>
      <c r="JX32" s="291"/>
      <c r="JY32" s="291"/>
      <c r="JZ32" s="291"/>
      <c r="KA32" s="291"/>
      <c r="KB32" s="291"/>
      <c r="KC32" s="291"/>
      <c r="KD32" s="291"/>
      <c r="KE32" s="291"/>
      <c r="KF32" s="291"/>
      <c r="KG32" s="291"/>
      <c r="KH32" s="291"/>
      <c r="KI32" s="291"/>
      <c r="KJ32" s="291"/>
      <c r="KK32" s="291"/>
      <c r="KL32" s="291"/>
      <c r="KM32" s="291"/>
      <c r="KN32" s="291"/>
      <c r="KO32" s="291"/>
      <c r="KP32" s="291"/>
      <c r="KQ32" s="291"/>
      <c r="KR32" s="291"/>
      <c r="KS32" s="291"/>
      <c r="KT32" s="291"/>
      <c r="KU32" s="291"/>
      <c r="KV32" s="291"/>
      <c r="KW32" s="291"/>
      <c r="KX32" s="291"/>
      <c r="KY32" s="291"/>
      <c r="KZ32" s="291"/>
      <c r="LA32" s="291"/>
      <c r="LB32" s="291"/>
      <c r="LC32" s="291"/>
      <c r="LD32" s="291"/>
      <c r="LE32" s="291"/>
      <c r="LF32" s="291"/>
      <c r="LG32" s="291"/>
      <c r="LH32" s="291"/>
      <c r="LI32" s="291"/>
      <c r="LJ32" s="291"/>
      <c r="LK32" s="291"/>
      <c r="LL32" s="291"/>
      <c r="LM32" s="291"/>
      <c r="LN32" s="291"/>
      <c r="LO32" s="291"/>
      <c r="LP32" s="291"/>
      <c r="LQ32" s="291"/>
      <c r="LR32" s="291"/>
      <c r="LS32" s="291"/>
      <c r="LT32" s="291"/>
      <c r="LU32" s="291"/>
      <c r="LV32" s="291"/>
      <c r="LW32" s="291"/>
      <c r="LX32" s="291"/>
      <c r="LY32" s="291"/>
      <c r="LZ32" s="291"/>
      <c r="MA32" s="291"/>
      <c r="MB32" s="291"/>
      <c r="MC32" s="291"/>
      <c r="MD32" s="291"/>
      <c r="ME32" s="291"/>
      <c r="MF32" s="291"/>
      <c r="MG32" s="291"/>
      <c r="MH32" s="291"/>
      <c r="MI32" s="291"/>
      <c r="MJ32" s="291"/>
      <c r="MK32" s="291"/>
      <c r="ML32" s="291"/>
      <c r="MM32" s="291"/>
      <c r="MN32" s="291"/>
      <c r="MO32" s="291"/>
      <c r="MP32" s="291"/>
      <c r="MQ32" s="291"/>
      <c r="MR32" s="291"/>
      <c r="MS32" s="291"/>
      <c r="MT32" s="291"/>
      <c r="MU32" s="291"/>
      <c r="MV32" s="291"/>
      <c r="MW32" s="291"/>
      <c r="MX32" s="291"/>
      <c r="MY32" s="291"/>
      <c r="MZ32" s="291"/>
      <c r="NA32" s="291"/>
      <c r="NB32" s="291"/>
      <c r="NC32" s="291"/>
      <c r="ND32" s="291"/>
      <c r="NE32" s="291"/>
      <c r="NF32" s="291"/>
      <c r="NG32" s="291"/>
      <c r="NH32" s="291"/>
      <c r="NI32" s="291"/>
      <c r="NJ32" s="291"/>
      <c r="NK32" s="291"/>
      <c r="NL32" s="291"/>
      <c r="NM32" s="291"/>
      <c r="NN32" s="291"/>
      <c r="NO32" s="291"/>
      <c r="NP32" s="291"/>
      <c r="NQ32" s="291"/>
      <c r="NR32" s="291"/>
      <c r="NS32" s="291"/>
      <c r="NT32" s="291"/>
      <c r="NU32" s="291"/>
      <c r="NV32" s="291"/>
      <c r="NW32" s="291"/>
      <c r="NX32" s="291"/>
      <c r="NY32" s="291"/>
      <c r="NZ32" s="291"/>
      <c r="OA32" s="291"/>
      <c r="OB32" s="291"/>
      <c r="OC32" s="291"/>
      <c r="OD32" s="291"/>
      <c r="OE32" s="291"/>
      <c r="OF32" s="291"/>
      <c r="OG32" s="291"/>
      <c r="OH32" s="291"/>
      <c r="OI32" s="291"/>
      <c r="OJ32" s="291"/>
      <c r="OK32" s="291"/>
      <c r="OL32" s="291"/>
      <c r="OM32" s="291"/>
      <c r="ON32" s="291"/>
      <c r="OO32" s="291"/>
      <c r="OP32" s="291"/>
      <c r="OQ32" s="291"/>
      <c r="OR32" s="291"/>
      <c r="OS32" s="291"/>
      <c r="OT32" s="291"/>
      <c r="OU32" s="291"/>
      <c r="OV32" s="291"/>
      <c r="OW32" s="291"/>
      <c r="OX32" s="291"/>
      <c r="OY32" s="291"/>
      <c r="OZ32" s="291"/>
      <c r="PA32" s="291"/>
      <c r="PB32" s="291"/>
      <c r="PC32" s="291"/>
      <c r="PD32" s="291"/>
      <c r="PE32" s="291"/>
      <c r="PF32" s="291"/>
      <c r="PG32" s="291"/>
      <c r="PH32" s="291"/>
      <c r="PI32" s="291"/>
      <c r="PJ32" s="291"/>
      <c r="PK32" s="291"/>
      <c r="PL32" s="291"/>
      <c r="PM32" s="291"/>
      <c r="PN32" s="291"/>
      <c r="PO32" s="291"/>
      <c r="PP32" s="291"/>
      <c r="PQ32" s="291"/>
      <c r="PR32" s="291"/>
      <c r="PS32" s="291"/>
      <c r="PT32" s="291"/>
      <c r="PU32" s="291"/>
      <c r="PV32" s="291"/>
      <c r="PW32" s="291"/>
      <c r="PX32" s="291"/>
      <c r="PY32" s="291"/>
      <c r="PZ32" s="291"/>
      <c r="QA32" s="291"/>
      <c r="QB32" s="291"/>
      <c r="QC32" s="291"/>
      <c r="QD32" s="291"/>
      <c r="QE32" s="291"/>
      <c r="QF32" s="291"/>
      <c r="QG32" s="291"/>
      <c r="QH32" s="291"/>
      <c r="QI32" s="291"/>
      <c r="QJ32" s="291"/>
      <c r="QK32" s="291"/>
      <c r="QL32" s="291"/>
      <c r="QM32" s="291"/>
      <c r="QN32" s="291"/>
      <c r="QO32" s="291"/>
      <c r="QP32" s="291"/>
      <c r="QQ32" s="291"/>
      <c r="QR32" s="291"/>
      <c r="QS32" s="291"/>
      <c r="QT32" s="291"/>
      <c r="QU32" s="291"/>
      <c r="QV32" s="291"/>
      <c r="QW32" s="291"/>
      <c r="QX32" s="291"/>
      <c r="QY32" s="291"/>
      <c r="QZ32" s="291"/>
      <c r="RA32" s="291"/>
      <c r="RB32" s="291"/>
      <c r="RC32" s="291"/>
      <c r="RD32" s="291"/>
      <c r="RE32" s="291"/>
      <c r="RF32" s="291"/>
      <c r="RG32" s="291"/>
      <c r="RH32" s="291"/>
      <c r="RI32" s="291"/>
      <c r="RJ32" s="291"/>
      <c r="RK32" s="291"/>
      <c r="RL32" s="291"/>
      <c r="RM32" s="291"/>
      <c r="RN32" s="291"/>
      <c r="RO32" s="291"/>
      <c r="RP32" s="291"/>
      <c r="RQ32" s="291"/>
      <c r="RR32" s="291"/>
      <c r="RS32" s="291"/>
      <c r="RT32" s="291"/>
      <c r="RU32" s="291"/>
      <c r="RV32" s="291"/>
      <c r="RW32" s="291"/>
      <c r="RX32" s="291"/>
      <c r="RY32" s="291"/>
      <c r="RZ32" s="291"/>
      <c r="SA32" s="291"/>
      <c r="SB32" s="291"/>
      <c r="SC32" s="291"/>
      <c r="SD32" s="291"/>
      <c r="SE32" s="291"/>
      <c r="SF32" s="291"/>
      <c r="SG32" s="291"/>
      <c r="SH32" s="291"/>
      <c r="SI32" s="291"/>
      <c r="SJ32" s="291"/>
      <c r="SK32" s="291"/>
      <c r="SL32" s="291"/>
      <c r="SM32" s="291"/>
      <c r="SN32" s="291"/>
      <c r="SO32" s="291"/>
      <c r="SP32" s="291"/>
      <c r="SQ32" s="291"/>
      <c r="SR32" s="291"/>
      <c r="SS32" s="291"/>
      <c r="ST32" s="291"/>
      <c r="SU32" s="291"/>
      <c r="SV32" s="291"/>
      <c r="SW32" s="291"/>
      <c r="SX32" s="291"/>
      <c r="SY32" s="291"/>
      <c r="SZ32" s="291"/>
      <c r="TA32" s="291"/>
      <c r="TB32" s="291"/>
      <c r="TC32" s="291"/>
      <c r="TD32" s="291"/>
      <c r="TE32" s="291"/>
      <c r="TF32" s="291"/>
      <c r="TG32" s="291"/>
      <c r="TH32" s="291"/>
      <c r="TI32" s="291"/>
      <c r="TJ32" s="291"/>
      <c r="TK32" s="291"/>
      <c r="TL32" s="291"/>
      <c r="TM32" s="291"/>
      <c r="TN32" s="291"/>
      <c r="TO32" s="291"/>
      <c r="TP32" s="291"/>
      <c r="TQ32" s="291"/>
      <c r="TR32" s="291"/>
    </row>
    <row r="33" spans="1:538" ht="12.65" customHeight="1" x14ac:dyDescent="0.25">
      <c r="A33" s="1632" t="s">
        <v>443</v>
      </c>
      <c r="B33" s="1632"/>
      <c r="C33" s="1632"/>
      <c r="D33" s="1568"/>
      <c r="E33" s="1568"/>
      <c r="F33" s="1568"/>
      <c r="G33" s="1569"/>
      <c r="H33" s="348" t="e">
        <f>SUM(H8:H31)</f>
        <v>#REF!</v>
      </c>
      <c r="I33" s="1570"/>
      <c r="J33" s="1571"/>
      <c r="K33" s="477" t="e">
        <f>H33</f>
        <v>#REF!</v>
      </c>
      <c r="L33" s="1559"/>
      <c r="M33" s="1559"/>
      <c r="N33" s="1559"/>
      <c r="O33" s="1560"/>
      <c r="P33" s="347" t="e">
        <f>SUM(P8:P31)</f>
        <v>#REF!</v>
      </c>
      <c r="Q33" s="1564"/>
      <c r="R33" s="1566"/>
      <c r="S33" s="302" t="e">
        <f>P33</f>
        <v>#REF!</v>
      </c>
      <c r="T33" s="1558"/>
      <c r="U33" s="1559"/>
      <c r="V33" s="1559"/>
      <c r="W33" s="1560"/>
      <c r="X33" s="347" t="e">
        <f>SUM(X8:X31)</f>
        <v>#REF!</v>
      </c>
      <c r="Y33" s="1564"/>
      <c r="Z33" s="1566"/>
      <c r="AA33" s="302" t="e">
        <f>X33</f>
        <v>#REF!</v>
      </c>
      <c r="AB33" s="1558"/>
      <c r="AC33" s="1559"/>
      <c r="AD33" s="1559"/>
      <c r="AE33" s="1560"/>
      <c r="AF33" s="347" t="e">
        <f>SUM(AF8:AF31)</f>
        <v>#REF!</v>
      </c>
      <c r="AG33" s="1564"/>
      <c r="AH33" s="1566"/>
      <c r="AI33" s="302" t="e">
        <f>AF33</f>
        <v>#REF!</v>
      </c>
      <c r="AJ33" s="1558"/>
      <c r="AK33" s="1559"/>
      <c r="AL33" s="1559"/>
      <c r="AM33" s="1560"/>
      <c r="AN33" s="347" t="e">
        <f>SUM(AN8:AN31)</f>
        <v>#REF!</v>
      </c>
      <c r="AO33" s="1564"/>
      <c r="AP33" s="1566"/>
      <c r="AQ33" s="302" t="e">
        <f>AN33</f>
        <v>#REF!</v>
      </c>
      <c r="AR33" s="1558"/>
      <c r="AS33" s="1559"/>
      <c r="AT33" s="1559"/>
      <c r="AU33" s="1560"/>
      <c r="AV33" s="347" t="e">
        <f>SUM(AV8:AV31)</f>
        <v>#REF!</v>
      </c>
      <c r="AW33" s="1564"/>
      <c r="AX33" s="1566"/>
      <c r="AY33" s="406" t="e">
        <f>AV33</f>
        <v>#REF!</v>
      </c>
      <c r="AZ33" s="1439"/>
      <c r="BA33" s="431" t="e">
        <f>K33+S33+AA33+AI33+AQ33+AY33</f>
        <v>#REF!</v>
      </c>
    </row>
    <row r="34" spans="1:538" s="384" customFormat="1" ht="12.65" customHeight="1" x14ac:dyDescent="0.25">
      <c r="A34" s="382"/>
      <c r="B34" s="296" t="s">
        <v>444</v>
      </c>
      <c r="C34" s="487"/>
      <c r="D34" s="314" t="e">
        <f>F32</f>
        <v>#REF!</v>
      </c>
      <c r="E34" s="356">
        <v>0</v>
      </c>
      <c r="F34" s="1570"/>
      <c r="G34" s="1571"/>
      <c r="H34" s="1571"/>
      <c r="I34" s="1571"/>
      <c r="J34" s="1571"/>
      <c r="K34" s="495" t="e">
        <f>D34*E34</f>
        <v>#REF!</v>
      </c>
      <c r="L34" s="314" t="e">
        <f>N32</f>
        <v>#REF!</v>
      </c>
      <c r="M34" s="356">
        <v>0</v>
      </c>
      <c r="N34" s="1564"/>
      <c r="O34" s="1565"/>
      <c r="P34" s="1565"/>
      <c r="Q34" s="1565"/>
      <c r="R34" s="1566"/>
      <c r="S34" s="315" t="e">
        <f>L34*M34</f>
        <v>#REF!</v>
      </c>
      <c r="T34" s="314" t="e">
        <f>V32</f>
        <v>#REF!</v>
      </c>
      <c r="U34" s="356">
        <v>0</v>
      </c>
      <c r="V34" s="1564"/>
      <c r="W34" s="1565"/>
      <c r="X34" s="1565"/>
      <c r="Y34" s="1565"/>
      <c r="Z34" s="1566"/>
      <c r="AA34" s="315" t="e">
        <f>T34*U34</f>
        <v>#REF!</v>
      </c>
      <c r="AB34" s="314" t="e">
        <f>AD32</f>
        <v>#REF!</v>
      </c>
      <c r="AC34" s="356">
        <v>0</v>
      </c>
      <c r="AD34" s="1564"/>
      <c r="AE34" s="1565"/>
      <c r="AF34" s="1565"/>
      <c r="AG34" s="1565"/>
      <c r="AH34" s="1566"/>
      <c r="AI34" s="302" t="e">
        <f>AB34*AC34</f>
        <v>#REF!</v>
      </c>
      <c r="AJ34" s="314" t="e">
        <f>AL32</f>
        <v>#REF!</v>
      </c>
      <c r="AK34" s="313">
        <v>0</v>
      </c>
      <c r="AL34" s="1564"/>
      <c r="AM34" s="1565"/>
      <c r="AN34" s="1565"/>
      <c r="AO34" s="1565"/>
      <c r="AP34" s="1566"/>
      <c r="AQ34" s="315" t="e">
        <f>AJ34*AK34</f>
        <v>#REF!</v>
      </c>
      <c r="AR34" s="314" t="e">
        <f>AT32</f>
        <v>#REF!</v>
      </c>
      <c r="AS34" s="313">
        <v>0</v>
      </c>
      <c r="AT34" s="1564"/>
      <c r="AU34" s="1565"/>
      <c r="AV34" s="1565"/>
      <c r="AW34" s="1565"/>
      <c r="AX34" s="1566"/>
      <c r="AY34" s="406" t="e">
        <f>AR34*AS34</f>
        <v>#REF!</v>
      </c>
      <c r="AZ34" s="1440"/>
      <c r="BA34" s="431" t="e">
        <f>K34+S34+AA34+AI34+AQ34+AY34</f>
        <v>#REF!</v>
      </c>
      <c r="BB34" s="291"/>
      <c r="BC34" s="291"/>
      <c r="BD34" s="291"/>
      <c r="BE34" s="291"/>
      <c r="BF34" s="291"/>
      <c r="BG34" s="291"/>
      <c r="BH34" s="291"/>
      <c r="BI34" s="291"/>
      <c r="BJ34" s="291"/>
      <c r="BK34" s="291"/>
      <c r="BL34" s="291"/>
      <c r="BM34" s="291"/>
      <c r="BN34" s="291"/>
      <c r="BO34" s="291"/>
      <c r="BP34" s="291"/>
      <c r="BQ34" s="291"/>
      <c r="BR34" s="291"/>
      <c r="BS34" s="291"/>
      <c r="BT34" s="291"/>
      <c r="BU34" s="291"/>
      <c r="BV34" s="291"/>
      <c r="BW34" s="291"/>
      <c r="BX34" s="291"/>
      <c r="BY34" s="291"/>
      <c r="BZ34" s="291"/>
      <c r="CA34" s="291"/>
      <c r="CB34" s="291"/>
      <c r="CC34" s="291"/>
      <c r="CD34" s="291"/>
      <c r="CE34" s="291"/>
      <c r="CF34" s="291"/>
      <c r="CG34" s="291"/>
      <c r="CH34" s="291"/>
      <c r="CI34" s="291"/>
      <c r="CJ34" s="291"/>
      <c r="CK34" s="291"/>
      <c r="CL34" s="291"/>
      <c r="CM34" s="291"/>
      <c r="CN34" s="291"/>
      <c r="CO34" s="291"/>
      <c r="CP34" s="291"/>
      <c r="CQ34" s="291"/>
      <c r="CR34" s="291"/>
      <c r="CS34" s="291"/>
      <c r="CT34" s="291"/>
      <c r="CU34" s="291"/>
      <c r="CV34" s="291"/>
      <c r="CW34" s="291"/>
      <c r="CX34" s="291"/>
      <c r="CY34" s="291"/>
      <c r="CZ34" s="291"/>
      <c r="DA34" s="291"/>
      <c r="DB34" s="291"/>
      <c r="DC34" s="291"/>
      <c r="DD34" s="291"/>
      <c r="DE34" s="291"/>
      <c r="DF34" s="291"/>
      <c r="DG34" s="291"/>
      <c r="DH34" s="291"/>
      <c r="DI34" s="291"/>
      <c r="DJ34" s="291"/>
      <c r="DK34" s="291"/>
      <c r="DL34" s="291"/>
      <c r="DM34" s="291"/>
      <c r="DN34" s="291"/>
      <c r="DO34" s="291"/>
      <c r="DP34" s="291"/>
      <c r="DQ34" s="291"/>
      <c r="DR34" s="291"/>
      <c r="DS34" s="291"/>
      <c r="DT34" s="291"/>
      <c r="DU34" s="291"/>
      <c r="DV34" s="291"/>
      <c r="DW34" s="291"/>
      <c r="DX34" s="291"/>
      <c r="DY34" s="291"/>
      <c r="DZ34" s="291"/>
      <c r="EA34" s="291"/>
      <c r="EB34" s="291"/>
      <c r="EC34" s="291"/>
      <c r="ED34" s="291"/>
      <c r="EE34" s="291"/>
      <c r="EF34" s="291"/>
      <c r="EG34" s="291"/>
      <c r="EH34" s="291"/>
      <c r="EI34" s="291"/>
      <c r="EJ34" s="291"/>
      <c r="EK34" s="291"/>
      <c r="EL34" s="291"/>
      <c r="EM34" s="291"/>
      <c r="EN34" s="291"/>
      <c r="EO34" s="291"/>
      <c r="EP34" s="291"/>
      <c r="EQ34" s="291"/>
      <c r="ER34" s="291"/>
      <c r="ES34" s="291"/>
      <c r="ET34" s="291"/>
      <c r="EU34" s="291"/>
      <c r="EV34" s="291"/>
      <c r="EW34" s="291"/>
      <c r="EX34" s="291"/>
      <c r="EY34" s="291"/>
      <c r="EZ34" s="291"/>
      <c r="FA34" s="291"/>
      <c r="FB34" s="291"/>
      <c r="FC34" s="291"/>
      <c r="FD34" s="291"/>
      <c r="FE34" s="291"/>
      <c r="FF34" s="291"/>
      <c r="FG34" s="291"/>
      <c r="FH34" s="291"/>
      <c r="FI34" s="291"/>
      <c r="FJ34" s="291"/>
      <c r="FK34" s="291"/>
      <c r="FL34" s="291"/>
      <c r="FM34" s="291"/>
      <c r="FN34" s="291"/>
      <c r="FO34" s="291"/>
      <c r="FP34" s="291"/>
      <c r="FQ34" s="291"/>
      <c r="FR34" s="291"/>
      <c r="FS34" s="291"/>
      <c r="FT34" s="291"/>
      <c r="FU34" s="291"/>
      <c r="FV34" s="291"/>
      <c r="FW34" s="291"/>
      <c r="FX34" s="291"/>
      <c r="FY34" s="291"/>
      <c r="FZ34" s="291"/>
      <c r="GA34" s="291"/>
      <c r="GB34" s="291"/>
      <c r="GC34" s="291"/>
      <c r="GD34" s="291"/>
      <c r="GE34" s="291"/>
      <c r="GF34" s="291"/>
      <c r="GG34" s="291"/>
      <c r="GH34" s="291"/>
      <c r="GI34" s="291"/>
      <c r="GJ34" s="291"/>
      <c r="GK34" s="291"/>
      <c r="GL34" s="291"/>
      <c r="GM34" s="291"/>
      <c r="GN34" s="291"/>
      <c r="GO34" s="291"/>
      <c r="GP34" s="291"/>
      <c r="GQ34" s="291"/>
      <c r="GR34" s="291"/>
      <c r="GS34" s="291"/>
      <c r="GT34" s="291"/>
      <c r="GU34" s="291"/>
      <c r="GV34" s="291"/>
      <c r="GW34" s="291"/>
      <c r="GX34" s="291"/>
      <c r="GY34" s="291"/>
      <c r="GZ34" s="291"/>
      <c r="HA34" s="291"/>
      <c r="HB34" s="291"/>
      <c r="HC34" s="291"/>
      <c r="HD34" s="291"/>
      <c r="HE34" s="291"/>
      <c r="HF34" s="291"/>
      <c r="HG34" s="291"/>
      <c r="HH34" s="291"/>
      <c r="HI34" s="291"/>
      <c r="HJ34" s="291"/>
      <c r="HK34" s="291"/>
      <c r="HL34" s="291"/>
      <c r="HM34" s="291"/>
      <c r="HN34" s="291"/>
      <c r="HO34" s="291"/>
      <c r="HP34" s="291"/>
      <c r="HQ34" s="291"/>
      <c r="HR34" s="291"/>
      <c r="HS34" s="291"/>
      <c r="HT34" s="291"/>
      <c r="HU34" s="291"/>
      <c r="HV34" s="291"/>
      <c r="HW34" s="291"/>
      <c r="HX34" s="291"/>
      <c r="HY34" s="291"/>
      <c r="HZ34" s="291"/>
      <c r="IA34" s="291"/>
      <c r="IB34" s="291"/>
      <c r="IC34" s="291"/>
      <c r="ID34" s="291"/>
      <c r="IE34" s="291"/>
      <c r="IF34" s="291"/>
      <c r="IG34" s="291"/>
      <c r="IH34" s="291"/>
      <c r="II34" s="291"/>
      <c r="IJ34" s="291"/>
      <c r="IK34" s="291"/>
      <c r="IL34" s="291"/>
      <c r="IM34" s="291"/>
      <c r="IN34" s="291"/>
      <c r="IO34" s="291"/>
      <c r="IP34" s="291"/>
      <c r="IQ34" s="291"/>
      <c r="IR34" s="291"/>
      <c r="IS34" s="291"/>
      <c r="IT34" s="291"/>
      <c r="IU34" s="291"/>
      <c r="IV34" s="291"/>
      <c r="IW34" s="291"/>
      <c r="IX34" s="291"/>
      <c r="IY34" s="291"/>
      <c r="IZ34" s="291"/>
      <c r="JA34" s="291"/>
      <c r="JB34" s="291"/>
      <c r="JC34" s="291"/>
      <c r="JD34" s="291"/>
      <c r="JE34" s="291"/>
      <c r="JF34" s="291"/>
      <c r="JG34" s="291"/>
      <c r="JH34" s="291"/>
      <c r="JI34" s="291"/>
      <c r="JJ34" s="291"/>
      <c r="JK34" s="291"/>
      <c r="JL34" s="291"/>
      <c r="JM34" s="291"/>
      <c r="JN34" s="291"/>
      <c r="JO34" s="291"/>
      <c r="JP34" s="291"/>
      <c r="JQ34" s="291"/>
      <c r="JR34" s="291"/>
      <c r="JS34" s="291"/>
      <c r="JT34" s="291"/>
      <c r="JU34" s="291"/>
      <c r="JV34" s="291"/>
      <c r="JW34" s="291"/>
      <c r="JX34" s="291"/>
      <c r="JY34" s="291"/>
      <c r="JZ34" s="291"/>
      <c r="KA34" s="291"/>
      <c r="KB34" s="291"/>
      <c r="KC34" s="291"/>
      <c r="KD34" s="291"/>
      <c r="KE34" s="291"/>
      <c r="KF34" s="291"/>
      <c r="KG34" s="291"/>
      <c r="KH34" s="291"/>
      <c r="KI34" s="291"/>
      <c r="KJ34" s="291"/>
      <c r="KK34" s="291"/>
      <c r="KL34" s="291"/>
      <c r="KM34" s="291"/>
      <c r="KN34" s="291"/>
      <c r="KO34" s="291"/>
      <c r="KP34" s="291"/>
      <c r="KQ34" s="291"/>
      <c r="KR34" s="291"/>
      <c r="KS34" s="291"/>
      <c r="KT34" s="291"/>
      <c r="KU34" s="291"/>
      <c r="KV34" s="291"/>
      <c r="KW34" s="291"/>
      <c r="KX34" s="291"/>
      <c r="KY34" s="291"/>
      <c r="KZ34" s="291"/>
      <c r="LA34" s="291"/>
      <c r="LB34" s="291"/>
      <c r="LC34" s="291"/>
      <c r="LD34" s="291"/>
      <c r="LE34" s="291"/>
      <c r="LF34" s="291"/>
      <c r="LG34" s="291"/>
      <c r="LH34" s="291"/>
      <c r="LI34" s="291"/>
      <c r="LJ34" s="291"/>
      <c r="LK34" s="291"/>
      <c r="LL34" s="291"/>
      <c r="LM34" s="291"/>
      <c r="LN34" s="291"/>
      <c r="LO34" s="291"/>
      <c r="LP34" s="291"/>
      <c r="LQ34" s="291"/>
      <c r="LR34" s="291"/>
      <c r="LS34" s="291"/>
      <c r="LT34" s="291"/>
      <c r="LU34" s="291"/>
      <c r="LV34" s="291"/>
      <c r="LW34" s="291"/>
      <c r="LX34" s="291"/>
      <c r="LY34" s="291"/>
      <c r="LZ34" s="291"/>
      <c r="MA34" s="291"/>
      <c r="MB34" s="291"/>
      <c r="MC34" s="291"/>
      <c r="MD34" s="291"/>
      <c r="ME34" s="291"/>
      <c r="MF34" s="291"/>
      <c r="MG34" s="291"/>
      <c r="MH34" s="291"/>
      <c r="MI34" s="291"/>
      <c r="MJ34" s="291"/>
      <c r="MK34" s="291"/>
      <c r="ML34" s="291"/>
      <c r="MM34" s="291"/>
      <c r="MN34" s="291"/>
      <c r="MO34" s="291"/>
      <c r="MP34" s="291"/>
      <c r="MQ34" s="291"/>
      <c r="MR34" s="291"/>
      <c r="MS34" s="291"/>
      <c r="MT34" s="291"/>
      <c r="MU34" s="291"/>
      <c r="MV34" s="291"/>
      <c r="MW34" s="291"/>
      <c r="MX34" s="291"/>
      <c r="MY34" s="291"/>
      <c r="MZ34" s="291"/>
      <c r="NA34" s="291"/>
      <c r="NB34" s="291"/>
      <c r="NC34" s="291"/>
      <c r="ND34" s="291"/>
      <c r="NE34" s="291"/>
      <c r="NF34" s="291"/>
      <c r="NG34" s="291"/>
      <c r="NH34" s="291"/>
      <c r="NI34" s="291"/>
      <c r="NJ34" s="291"/>
      <c r="NK34" s="291"/>
      <c r="NL34" s="291"/>
      <c r="NM34" s="291"/>
      <c r="NN34" s="291"/>
      <c r="NO34" s="291"/>
      <c r="NP34" s="291"/>
      <c r="NQ34" s="291"/>
      <c r="NR34" s="291"/>
      <c r="NS34" s="291"/>
      <c r="NT34" s="291"/>
      <c r="NU34" s="291"/>
      <c r="NV34" s="291"/>
      <c r="NW34" s="291"/>
      <c r="NX34" s="291"/>
      <c r="NY34" s="291"/>
      <c r="NZ34" s="291"/>
      <c r="OA34" s="291"/>
      <c r="OB34" s="291"/>
      <c r="OC34" s="291"/>
      <c r="OD34" s="291"/>
      <c r="OE34" s="291"/>
      <c r="OF34" s="291"/>
      <c r="OG34" s="291"/>
      <c r="OH34" s="291"/>
      <c r="OI34" s="291"/>
      <c r="OJ34" s="291"/>
      <c r="OK34" s="291"/>
      <c r="OL34" s="291"/>
      <c r="OM34" s="291"/>
      <c r="ON34" s="291"/>
      <c r="OO34" s="291"/>
      <c r="OP34" s="291"/>
      <c r="OQ34" s="291"/>
      <c r="OR34" s="291"/>
      <c r="OS34" s="291"/>
      <c r="OT34" s="291"/>
      <c r="OU34" s="291"/>
      <c r="OV34" s="291"/>
      <c r="OW34" s="291"/>
      <c r="OX34" s="291"/>
      <c r="OY34" s="291"/>
      <c r="OZ34" s="291"/>
      <c r="PA34" s="291"/>
      <c r="PB34" s="291"/>
      <c r="PC34" s="291"/>
      <c r="PD34" s="291"/>
      <c r="PE34" s="291"/>
      <c r="PF34" s="291"/>
      <c r="PG34" s="291"/>
      <c r="PH34" s="291"/>
      <c r="PI34" s="291"/>
      <c r="PJ34" s="291"/>
      <c r="PK34" s="291"/>
      <c r="PL34" s="291"/>
      <c r="PM34" s="291"/>
      <c r="PN34" s="291"/>
      <c r="PO34" s="291"/>
      <c r="PP34" s="291"/>
      <c r="PQ34" s="291"/>
      <c r="PR34" s="291"/>
      <c r="PS34" s="291"/>
      <c r="PT34" s="291"/>
      <c r="PU34" s="291"/>
      <c r="PV34" s="291"/>
      <c r="PW34" s="291"/>
      <c r="PX34" s="291"/>
      <c r="PY34" s="291"/>
      <c r="PZ34" s="291"/>
      <c r="QA34" s="291"/>
      <c r="QB34" s="291"/>
      <c r="QC34" s="291"/>
      <c r="QD34" s="291"/>
      <c r="QE34" s="291"/>
      <c r="QF34" s="291"/>
      <c r="QG34" s="291"/>
      <c r="QH34" s="291"/>
      <c r="QI34" s="291"/>
      <c r="QJ34" s="291"/>
      <c r="QK34" s="291"/>
      <c r="QL34" s="291"/>
      <c r="QM34" s="291"/>
      <c r="QN34" s="291"/>
      <c r="QO34" s="291"/>
      <c r="QP34" s="291"/>
      <c r="QQ34" s="291"/>
      <c r="QR34" s="291"/>
      <c r="QS34" s="291"/>
      <c r="QT34" s="291"/>
      <c r="QU34" s="291"/>
      <c r="QV34" s="291"/>
      <c r="QW34" s="291"/>
      <c r="QX34" s="291"/>
      <c r="QY34" s="291"/>
      <c r="QZ34" s="291"/>
      <c r="RA34" s="291"/>
      <c r="RB34" s="291"/>
      <c r="RC34" s="291"/>
      <c r="RD34" s="291"/>
      <c r="RE34" s="291"/>
      <c r="RF34" s="291"/>
      <c r="RG34" s="291"/>
      <c r="RH34" s="291"/>
      <c r="RI34" s="291"/>
      <c r="RJ34" s="291"/>
      <c r="RK34" s="291"/>
      <c r="RL34" s="291"/>
      <c r="RM34" s="291"/>
      <c r="RN34" s="291"/>
      <c r="RO34" s="291"/>
      <c r="RP34" s="291"/>
      <c r="RQ34" s="291"/>
      <c r="RR34" s="291"/>
      <c r="RS34" s="291"/>
      <c r="RT34" s="291"/>
      <c r="RU34" s="291"/>
      <c r="RV34" s="291"/>
      <c r="RW34" s="291"/>
      <c r="RX34" s="291"/>
      <c r="RY34" s="291"/>
      <c r="RZ34" s="291"/>
      <c r="SA34" s="291"/>
      <c r="SB34" s="291"/>
      <c r="SC34" s="291"/>
      <c r="SD34" s="291"/>
      <c r="SE34" s="291"/>
      <c r="SF34" s="291"/>
      <c r="SG34" s="291"/>
      <c r="SH34" s="291"/>
      <c r="SI34" s="291"/>
      <c r="SJ34" s="291"/>
      <c r="SK34" s="291"/>
      <c r="SL34" s="291"/>
      <c r="SM34" s="291"/>
      <c r="SN34" s="291"/>
      <c r="SO34" s="291"/>
      <c r="SP34" s="291"/>
      <c r="SQ34" s="291"/>
      <c r="SR34" s="291"/>
      <c r="SS34" s="291"/>
      <c r="ST34" s="291"/>
      <c r="SU34" s="291"/>
      <c r="SV34" s="291"/>
      <c r="SW34" s="291"/>
      <c r="SX34" s="291"/>
      <c r="SY34" s="291"/>
      <c r="SZ34" s="291"/>
      <c r="TA34" s="291"/>
      <c r="TB34" s="291"/>
      <c r="TC34" s="291"/>
      <c r="TD34" s="291"/>
      <c r="TE34" s="291"/>
      <c r="TF34" s="291"/>
      <c r="TG34" s="291"/>
      <c r="TH34" s="291"/>
      <c r="TI34" s="291"/>
      <c r="TJ34" s="291"/>
      <c r="TK34" s="291"/>
      <c r="TL34" s="291"/>
      <c r="TM34" s="291"/>
      <c r="TN34" s="291"/>
      <c r="TO34" s="291"/>
      <c r="TP34" s="291"/>
      <c r="TQ34" s="291"/>
      <c r="TR34" s="291"/>
    </row>
    <row r="35" spans="1:538" s="384" customFormat="1" x14ac:dyDescent="0.25">
      <c r="A35" s="1561" t="s">
        <v>248</v>
      </c>
      <c r="B35" s="1561"/>
      <c r="C35" s="1561"/>
      <c r="D35" s="1494"/>
      <c r="E35" s="1494"/>
      <c r="F35" s="1494"/>
      <c r="G35" s="1494"/>
      <c r="H35" s="1494"/>
      <c r="I35" s="1494"/>
      <c r="J35" s="1494"/>
      <c r="K35" s="496" t="e">
        <f>SUM(K33:K34)</f>
        <v>#REF!</v>
      </c>
      <c r="L35" s="1494"/>
      <c r="M35" s="1494"/>
      <c r="N35" s="1494"/>
      <c r="O35" s="1494"/>
      <c r="P35" s="1494"/>
      <c r="Q35" s="1494"/>
      <c r="R35" s="1495"/>
      <c r="S35" s="346" t="e">
        <f>SUM(S33:S34)</f>
        <v>#REF!</v>
      </c>
      <c r="T35" s="1496"/>
      <c r="U35" s="1494"/>
      <c r="V35" s="1494"/>
      <c r="W35" s="1494"/>
      <c r="X35" s="1494"/>
      <c r="Y35" s="1494"/>
      <c r="Z35" s="1495"/>
      <c r="AA35" s="346" t="e">
        <f>SUM(AA33:AA34)</f>
        <v>#REF!</v>
      </c>
      <c r="AB35" s="1496"/>
      <c r="AC35" s="1494"/>
      <c r="AD35" s="1494"/>
      <c r="AE35" s="1494"/>
      <c r="AF35" s="1494"/>
      <c r="AG35" s="1494"/>
      <c r="AH35" s="1495"/>
      <c r="AI35" s="346" t="e">
        <f>SUM(AI33:AI34)</f>
        <v>#REF!</v>
      </c>
      <c r="AJ35" s="1496"/>
      <c r="AK35" s="1494"/>
      <c r="AL35" s="1494"/>
      <c r="AM35" s="1494"/>
      <c r="AN35" s="1494"/>
      <c r="AO35" s="1494"/>
      <c r="AP35" s="1495"/>
      <c r="AQ35" s="346" t="e">
        <f>SUM(AQ33:AQ34)</f>
        <v>#REF!</v>
      </c>
      <c r="AR35" s="1496"/>
      <c r="AS35" s="1494"/>
      <c r="AT35" s="1494"/>
      <c r="AU35" s="1494"/>
      <c r="AV35" s="1494"/>
      <c r="AW35" s="1494"/>
      <c r="AX35" s="1495"/>
      <c r="AY35" s="407" t="e">
        <f>SUM(AY33:AY34)</f>
        <v>#REF!</v>
      </c>
      <c r="AZ35" s="409"/>
      <c r="BA35" s="383" t="e">
        <f>SUM(D35:AY35)</f>
        <v>#REF!</v>
      </c>
      <c r="BB35" s="291"/>
      <c r="BC35" s="291"/>
      <c r="BD35" s="291"/>
      <c r="BE35" s="291"/>
      <c r="BF35" s="291"/>
      <c r="BG35" s="291"/>
      <c r="BH35" s="291"/>
      <c r="BI35" s="291"/>
      <c r="BJ35" s="291"/>
      <c r="BK35" s="291"/>
      <c r="BL35" s="291"/>
      <c r="BM35" s="291"/>
      <c r="BN35" s="291"/>
      <c r="BO35" s="291"/>
      <c r="BP35" s="291"/>
      <c r="BQ35" s="291"/>
      <c r="BR35" s="291"/>
      <c r="BS35" s="291"/>
      <c r="BT35" s="291"/>
      <c r="BU35" s="291"/>
      <c r="BV35" s="291"/>
      <c r="BW35" s="291"/>
      <c r="BX35" s="291"/>
      <c r="BY35" s="291"/>
      <c r="BZ35" s="291"/>
      <c r="CA35" s="291"/>
      <c r="CB35" s="291"/>
      <c r="CC35" s="291"/>
      <c r="CD35" s="291"/>
      <c r="CE35" s="291"/>
      <c r="CF35" s="291"/>
      <c r="CG35" s="291"/>
      <c r="CH35" s="291"/>
      <c r="CI35" s="291"/>
      <c r="CJ35" s="291"/>
      <c r="CK35" s="291"/>
      <c r="CL35" s="291"/>
      <c r="CM35" s="291"/>
      <c r="CN35" s="291"/>
      <c r="CO35" s="291"/>
      <c r="CP35" s="291"/>
      <c r="CQ35" s="291"/>
      <c r="CR35" s="291"/>
      <c r="CS35" s="291"/>
      <c r="CT35" s="291"/>
      <c r="CU35" s="291"/>
      <c r="CV35" s="291"/>
      <c r="CW35" s="291"/>
      <c r="CX35" s="291"/>
      <c r="CY35" s="291"/>
      <c r="CZ35" s="291"/>
      <c r="DA35" s="291"/>
      <c r="DB35" s="291"/>
      <c r="DC35" s="291"/>
      <c r="DD35" s="291"/>
      <c r="DE35" s="291"/>
      <c r="DF35" s="291"/>
      <c r="DG35" s="291"/>
      <c r="DH35" s="291"/>
      <c r="DI35" s="291"/>
      <c r="DJ35" s="291"/>
      <c r="DK35" s="291"/>
      <c r="DL35" s="291"/>
      <c r="DM35" s="291"/>
      <c r="DN35" s="291"/>
      <c r="DO35" s="291"/>
      <c r="DP35" s="291"/>
      <c r="DQ35" s="291"/>
      <c r="DR35" s="291"/>
      <c r="DS35" s="291"/>
      <c r="DT35" s="291"/>
      <c r="DU35" s="291"/>
      <c r="DV35" s="291"/>
      <c r="DW35" s="291"/>
      <c r="DX35" s="291"/>
      <c r="DY35" s="291"/>
      <c r="DZ35" s="291"/>
      <c r="EA35" s="291"/>
      <c r="EB35" s="291"/>
      <c r="EC35" s="291"/>
      <c r="ED35" s="291"/>
      <c r="EE35" s="291"/>
      <c r="EF35" s="291"/>
      <c r="EG35" s="291"/>
      <c r="EH35" s="291"/>
      <c r="EI35" s="291"/>
      <c r="EJ35" s="291"/>
      <c r="EK35" s="291"/>
      <c r="EL35" s="291"/>
      <c r="EM35" s="291"/>
      <c r="EN35" s="291"/>
      <c r="EO35" s="291"/>
      <c r="EP35" s="291"/>
      <c r="EQ35" s="291"/>
      <c r="ER35" s="291"/>
      <c r="ES35" s="291"/>
      <c r="ET35" s="291"/>
      <c r="EU35" s="291"/>
      <c r="EV35" s="291"/>
      <c r="EW35" s="291"/>
      <c r="EX35" s="291"/>
      <c r="EY35" s="291"/>
      <c r="EZ35" s="291"/>
      <c r="FA35" s="291"/>
      <c r="FB35" s="291"/>
      <c r="FC35" s="291"/>
      <c r="FD35" s="291"/>
      <c r="FE35" s="291"/>
      <c r="FF35" s="291"/>
      <c r="FG35" s="291"/>
      <c r="FH35" s="291"/>
      <c r="FI35" s="291"/>
      <c r="FJ35" s="291"/>
      <c r="FK35" s="291"/>
      <c r="FL35" s="291"/>
      <c r="FM35" s="291"/>
      <c r="FN35" s="291"/>
      <c r="FO35" s="291"/>
      <c r="FP35" s="291"/>
      <c r="FQ35" s="291"/>
      <c r="FR35" s="291"/>
      <c r="FS35" s="291"/>
      <c r="FT35" s="291"/>
      <c r="FU35" s="291"/>
      <c r="FV35" s="291"/>
      <c r="FW35" s="291"/>
      <c r="FX35" s="291"/>
      <c r="FY35" s="291"/>
      <c r="FZ35" s="291"/>
      <c r="GA35" s="291"/>
      <c r="GB35" s="291"/>
      <c r="GC35" s="291"/>
      <c r="GD35" s="291"/>
      <c r="GE35" s="291"/>
      <c r="GF35" s="291"/>
      <c r="GG35" s="291"/>
      <c r="GH35" s="291"/>
      <c r="GI35" s="291"/>
      <c r="GJ35" s="291"/>
      <c r="GK35" s="291"/>
      <c r="GL35" s="291"/>
      <c r="GM35" s="291"/>
      <c r="GN35" s="291"/>
      <c r="GO35" s="291"/>
      <c r="GP35" s="291"/>
      <c r="GQ35" s="291"/>
      <c r="GR35" s="291"/>
      <c r="GS35" s="291"/>
      <c r="GT35" s="291"/>
      <c r="GU35" s="291"/>
      <c r="GV35" s="291"/>
      <c r="GW35" s="291"/>
      <c r="GX35" s="291"/>
      <c r="GY35" s="291"/>
      <c r="GZ35" s="291"/>
      <c r="HA35" s="291"/>
      <c r="HB35" s="291"/>
      <c r="HC35" s="291"/>
      <c r="HD35" s="291"/>
      <c r="HE35" s="291"/>
      <c r="HF35" s="291"/>
      <c r="HG35" s="291"/>
      <c r="HH35" s="291"/>
      <c r="HI35" s="291"/>
      <c r="HJ35" s="291"/>
      <c r="HK35" s="291"/>
      <c r="HL35" s="291"/>
      <c r="HM35" s="291"/>
      <c r="HN35" s="291"/>
      <c r="HO35" s="291"/>
      <c r="HP35" s="291"/>
      <c r="HQ35" s="291"/>
      <c r="HR35" s="291"/>
      <c r="HS35" s="291"/>
      <c r="HT35" s="291"/>
      <c r="HU35" s="291"/>
      <c r="HV35" s="291"/>
      <c r="HW35" s="291"/>
      <c r="HX35" s="291"/>
      <c r="HY35" s="291"/>
      <c r="HZ35" s="291"/>
      <c r="IA35" s="291"/>
      <c r="IB35" s="291"/>
      <c r="IC35" s="291"/>
      <c r="ID35" s="291"/>
      <c r="IE35" s="291"/>
      <c r="IF35" s="291"/>
      <c r="IG35" s="291"/>
      <c r="IH35" s="291"/>
      <c r="II35" s="291"/>
      <c r="IJ35" s="291"/>
      <c r="IK35" s="291"/>
      <c r="IL35" s="291"/>
      <c r="IM35" s="291"/>
      <c r="IN35" s="291"/>
      <c r="IO35" s="291"/>
      <c r="IP35" s="291"/>
      <c r="IQ35" s="291"/>
      <c r="IR35" s="291"/>
      <c r="IS35" s="291"/>
      <c r="IT35" s="291"/>
      <c r="IU35" s="291"/>
      <c r="IV35" s="291"/>
      <c r="IW35" s="291"/>
      <c r="IX35" s="291"/>
      <c r="IY35" s="291"/>
      <c r="IZ35" s="291"/>
      <c r="JA35" s="291"/>
      <c r="JB35" s="291"/>
      <c r="JC35" s="291"/>
      <c r="JD35" s="291"/>
      <c r="JE35" s="291"/>
      <c r="JF35" s="291"/>
      <c r="JG35" s="291"/>
      <c r="JH35" s="291"/>
      <c r="JI35" s="291"/>
      <c r="JJ35" s="291"/>
      <c r="JK35" s="291"/>
      <c r="JL35" s="291"/>
      <c r="JM35" s="291"/>
      <c r="JN35" s="291"/>
      <c r="JO35" s="291"/>
      <c r="JP35" s="291"/>
      <c r="JQ35" s="291"/>
      <c r="JR35" s="291"/>
      <c r="JS35" s="291"/>
      <c r="JT35" s="291"/>
      <c r="JU35" s="291"/>
      <c r="JV35" s="291"/>
      <c r="JW35" s="291"/>
      <c r="JX35" s="291"/>
      <c r="JY35" s="291"/>
      <c r="JZ35" s="291"/>
      <c r="KA35" s="291"/>
      <c r="KB35" s="291"/>
      <c r="KC35" s="291"/>
      <c r="KD35" s="291"/>
      <c r="KE35" s="291"/>
      <c r="KF35" s="291"/>
      <c r="KG35" s="291"/>
      <c r="KH35" s="291"/>
      <c r="KI35" s="291"/>
      <c r="KJ35" s="291"/>
      <c r="KK35" s="291"/>
      <c r="KL35" s="291"/>
      <c r="KM35" s="291"/>
      <c r="KN35" s="291"/>
      <c r="KO35" s="291"/>
      <c r="KP35" s="291"/>
      <c r="KQ35" s="291"/>
      <c r="KR35" s="291"/>
      <c r="KS35" s="291"/>
      <c r="KT35" s="291"/>
      <c r="KU35" s="291"/>
      <c r="KV35" s="291"/>
      <c r="KW35" s="291"/>
      <c r="KX35" s="291"/>
      <c r="KY35" s="291"/>
      <c r="KZ35" s="291"/>
      <c r="LA35" s="291"/>
      <c r="LB35" s="291"/>
      <c r="LC35" s="291"/>
      <c r="LD35" s="291"/>
      <c r="LE35" s="291"/>
      <c r="LF35" s="291"/>
      <c r="LG35" s="291"/>
      <c r="LH35" s="291"/>
      <c r="LI35" s="291"/>
      <c r="LJ35" s="291"/>
      <c r="LK35" s="291"/>
      <c r="LL35" s="291"/>
      <c r="LM35" s="291"/>
      <c r="LN35" s="291"/>
      <c r="LO35" s="291"/>
      <c r="LP35" s="291"/>
      <c r="LQ35" s="291"/>
      <c r="LR35" s="291"/>
      <c r="LS35" s="291"/>
      <c r="LT35" s="291"/>
      <c r="LU35" s="291"/>
      <c r="LV35" s="291"/>
      <c r="LW35" s="291"/>
      <c r="LX35" s="291"/>
      <c r="LY35" s="291"/>
      <c r="LZ35" s="291"/>
      <c r="MA35" s="291"/>
      <c r="MB35" s="291"/>
      <c r="MC35" s="291"/>
      <c r="MD35" s="291"/>
      <c r="ME35" s="291"/>
      <c r="MF35" s="291"/>
      <c r="MG35" s="291"/>
      <c r="MH35" s="291"/>
      <c r="MI35" s="291"/>
      <c r="MJ35" s="291"/>
      <c r="MK35" s="291"/>
      <c r="ML35" s="291"/>
      <c r="MM35" s="291"/>
      <c r="MN35" s="291"/>
      <c r="MO35" s="291"/>
      <c r="MP35" s="291"/>
      <c r="MQ35" s="291"/>
      <c r="MR35" s="291"/>
      <c r="MS35" s="291"/>
      <c r="MT35" s="291"/>
      <c r="MU35" s="291"/>
      <c r="MV35" s="291"/>
      <c r="MW35" s="291"/>
      <c r="MX35" s="291"/>
      <c r="MY35" s="291"/>
      <c r="MZ35" s="291"/>
      <c r="NA35" s="291"/>
      <c r="NB35" s="291"/>
      <c r="NC35" s="291"/>
      <c r="ND35" s="291"/>
      <c r="NE35" s="291"/>
      <c r="NF35" s="291"/>
      <c r="NG35" s="291"/>
      <c r="NH35" s="291"/>
      <c r="NI35" s="291"/>
      <c r="NJ35" s="291"/>
      <c r="NK35" s="291"/>
      <c r="NL35" s="291"/>
      <c r="NM35" s="291"/>
      <c r="NN35" s="291"/>
      <c r="NO35" s="291"/>
      <c r="NP35" s="291"/>
      <c r="NQ35" s="291"/>
      <c r="NR35" s="291"/>
      <c r="NS35" s="291"/>
      <c r="NT35" s="291"/>
      <c r="NU35" s="291"/>
      <c r="NV35" s="291"/>
      <c r="NW35" s="291"/>
      <c r="NX35" s="291"/>
      <c r="NY35" s="291"/>
      <c r="NZ35" s="291"/>
      <c r="OA35" s="291"/>
      <c r="OB35" s="291"/>
      <c r="OC35" s="291"/>
      <c r="OD35" s="291"/>
      <c r="OE35" s="291"/>
      <c r="OF35" s="291"/>
      <c r="OG35" s="291"/>
      <c r="OH35" s="291"/>
      <c r="OI35" s="291"/>
      <c r="OJ35" s="291"/>
      <c r="OK35" s="291"/>
      <c r="OL35" s="291"/>
      <c r="OM35" s="291"/>
      <c r="ON35" s="291"/>
      <c r="OO35" s="291"/>
      <c r="OP35" s="291"/>
      <c r="OQ35" s="291"/>
      <c r="OR35" s="291"/>
      <c r="OS35" s="291"/>
      <c r="OT35" s="291"/>
      <c r="OU35" s="291"/>
      <c r="OV35" s="291"/>
      <c r="OW35" s="291"/>
      <c r="OX35" s="291"/>
      <c r="OY35" s="291"/>
      <c r="OZ35" s="291"/>
      <c r="PA35" s="291"/>
      <c r="PB35" s="291"/>
      <c r="PC35" s="291"/>
      <c r="PD35" s="291"/>
      <c r="PE35" s="291"/>
      <c r="PF35" s="291"/>
      <c r="PG35" s="291"/>
      <c r="PH35" s="291"/>
      <c r="PI35" s="291"/>
      <c r="PJ35" s="291"/>
      <c r="PK35" s="291"/>
      <c r="PL35" s="291"/>
      <c r="PM35" s="291"/>
      <c r="PN35" s="291"/>
      <c r="PO35" s="291"/>
      <c r="PP35" s="291"/>
      <c r="PQ35" s="291"/>
      <c r="PR35" s="291"/>
      <c r="PS35" s="291"/>
      <c r="PT35" s="291"/>
      <c r="PU35" s="291"/>
      <c r="PV35" s="291"/>
      <c r="PW35" s="291"/>
      <c r="PX35" s="291"/>
      <c r="PY35" s="291"/>
      <c r="PZ35" s="291"/>
      <c r="QA35" s="291"/>
      <c r="QB35" s="291"/>
      <c r="QC35" s="291"/>
      <c r="QD35" s="291"/>
      <c r="QE35" s="291"/>
      <c r="QF35" s="291"/>
      <c r="QG35" s="291"/>
      <c r="QH35" s="291"/>
      <c r="QI35" s="291"/>
      <c r="QJ35" s="291"/>
      <c r="QK35" s="291"/>
      <c r="QL35" s="291"/>
      <c r="QM35" s="291"/>
      <c r="QN35" s="291"/>
      <c r="QO35" s="291"/>
      <c r="QP35" s="291"/>
      <c r="QQ35" s="291"/>
      <c r="QR35" s="291"/>
      <c r="QS35" s="291"/>
      <c r="QT35" s="291"/>
      <c r="QU35" s="291"/>
      <c r="QV35" s="291"/>
      <c r="QW35" s="291"/>
      <c r="QX35" s="291"/>
      <c r="QY35" s="291"/>
      <c r="QZ35" s="291"/>
      <c r="RA35" s="291"/>
      <c r="RB35" s="291"/>
      <c r="RC35" s="291"/>
      <c r="RD35" s="291"/>
      <c r="RE35" s="291"/>
      <c r="RF35" s="291"/>
      <c r="RG35" s="291"/>
      <c r="RH35" s="291"/>
      <c r="RI35" s="291"/>
      <c r="RJ35" s="291"/>
      <c r="RK35" s="291"/>
      <c r="RL35" s="291"/>
      <c r="RM35" s="291"/>
      <c r="RN35" s="291"/>
      <c r="RO35" s="291"/>
      <c r="RP35" s="291"/>
      <c r="RQ35" s="291"/>
      <c r="RR35" s="291"/>
      <c r="RS35" s="291"/>
      <c r="RT35" s="291"/>
      <c r="RU35" s="291"/>
      <c r="RV35" s="291"/>
      <c r="RW35" s="291"/>
      <c r="RX35" s="291"/>
      <c r="RY35" s="291"/>
      <c r="RZ35" s="291"/>
      <c r="SA35" s="291"/>
      <c r="SB35" s="291"/>
      <c r="SC35" s="291"/>
      <c r="SD35" s="291"/>
      <c r="SE35" s="291"/>
      <c r="SF35" s="291"/>
      <c r="SG35" s="291"/>
      <c r="SH35" s="291"/>
      <c r="SI35" s="291"/>
      <c r="SJ35" s="291"/>
      <c r="SK35" s="291"/>
      <c r="SL35" s="291"/>
      <c r="SM35" s="291"/>
      <c r="SN35" s="291"/>
      <c r="SO35" s="291"/>
      <c r="SP35" s="291"/>
      <c r="SQ35" s="291"/>
      <c r="SR35" s="291"/>
      <c r="SS35" s="291"/>
      <c r="ST35" s="291"/>
      <c r="SU35" s="291"/>
      <c r="SV35" s="291"/>
      <c r="SW35" s="291"/>
      <c r="SX35" s="291"/>
      <c r="SY35" s="291"/>
      <c r="SZ35" s="291"/>
      <c r="TA35" s="291"/>
      <c r="TB35" s="291"/>
      <c r="TC35" s="291"/>
      <c r="TD35" s="291"/>
      <c r="TE35" s="291"/>
      <c r="TF35" s="291"/>
      <c r="TG35" s="291"/>
      <c r="TH35" s="291"/>
      <c r="TI35" s="291"/>
      <c r="TJ35" s="291"/>
      <c r="TK35" s="291"/>
      <c r="TL35" s="291"/>
      <c r="TM35" s="291"/>
      <c r="TN35" s="291"/>
      <c r="TO35" s="291"/>
      <c r="TP35" s="291"/>
      <c r="TQ35" s="291"/>
      <c r="TR35" s="291"/>
    </row>
    <row r="36" spans="1:538" ht="12.65" customHeight="1" x14ac:dyDescent="0.25">
      <c r="A36" s="1572" t="s">
        <v>445</v>
      </c>
      <c r="B36" s="1572"/>
      <c r="C36" s="1572"/>
      <c r="D36" s="1573"/>
      <c r="E36" s="1573"/>
      <c r="F36" s="1573"/>
      <c r="G36" s="1573"/>
      <c r="H36" s="1573"/>
      <c r="I36" s="1574"/>
      <c r="J36" s="349" t="e">
        <f>SUM(J8:J31)</f>
        <v>#REF!</v>
      </c>
      <c r="K36" s="477" t="e">
        <f>J36</f>
        <v>#REF!</v>
      </c>
      <c r="L36" s="1559"/>
      <c r="M36" s="1559"/>
      <c r="N36" s="1559"/>
      <c r="O36" s="1559"/>
      <c r="P36" s="1559"/>
      <c r="Q36" s="1560"/>
      <c r="R36" s="333" t="e">
        <f>SUM(R8:R31)</f>
        <v>#REF!</v>
      </c>
      <c r="S36" s="302" t="e">
        <f>R36</f>
        <v>#REF!</v>
      </c>
      <c r="T36" s="1558"/>
      <c r="U36" s="1559"/>
      <c r="V36" s="1559"/>
      <c r="W36" s="1559"/>
      <c r="X36" s="1559"/>
      <c r="Y36" s="1560"/>
      <c r="Z36" s="333" t="e">
        <f>SUM(Z8:Z31)</f>
        <v>#REF!</v>
      </c>
      <c r="AA36" s="302" t="e">
        <f>Z36</f>
        <v>#REF!</v>
      </c>
      <c r="AB36" s="1558"/>
      <c r="AC36" s="1559"/>
      <c r="AD36" s="1559"/>
      <c r="AE36" s="1559"/>
      <c r="AF36" s="1559"/>
      <c r="AG36" s="1560"/>
      <c r="AH36" s="333" t="e">
        <f>SUM(AH8:AH31)</f>
        <v>#REF!</v>
      </c>
      <c r="AI36" s="302" t="e">
        <f>AH36</f>
        <v>#REF!</v>
      </c>
      <c r="AJ36" s="1558"/>
      <c r="AK36" s="1559"/>
      <c r="AL36" s="1559"/>
      <c r="AM36" s="1559"/>
      <c r="AN36" s="1559"/>
      <c r="AO36" s="1560"/>
      <c r="AP36" s="333" t="e">
        <f>SUM(AP8:AP31)</f>
        <v>#REF!</v>
      </c>
      <c r="AQ36" s="302" t="e">
        <f>AP36</f>
        <v>#REF!</v>
      </c>
      <c r="AR36" s="1558"/>
      <c r="AS36" s="1559"/>
      <c r="AT36" s="1559"/>
      <c r="AU36" s="1559"/>
      <c r="AV36" s="1559"/>
      <c r="AW36" s="1560"/>
      <c r="AX36" s="333" t="e">
        <f>SUM(AX8:AX31)</f>
        <v>#REF!</v>
      </c>
      <c r="AY36" s="406" t="e">
        <f>AX36</f>
        <v>#REF!</v>
      </c>
      <c r="AZ36" s="1439"/>
      <c r="BA36" s="431" t="e">
        <f>K36+S36+AA36+AI36+AQ36+AY36</f>
        <v>#REF!</v>
      </c>
    </row>
    <row r="37" spans="1:538" ht="12.65" customHeight="1" x14ac:dyDescent="0.25">
      <c r="A37" s="335"/>
      <c r="B37" s="296" t="s">
        <v>446</v>
      </c>
      <c r="C37" s="488"/>
      <c r="D37" s="427" t="e">
        <f>F32+K35</f>
        <v>#REF!</v>
      </c>
      <c r="E37" s="356">
        <v>0</v>
      </c>
      <c r="F37" s="1562"/>
      <c r="G37" s="1563"/>
      <c r="H37" s="1563"/>
      <c r="I37" s="1563"/>
      <c r="J37" s="1563"/>
      <c r="K37" s="495" t="e">
        <f>D37*E37</f>
        <v>#REF!</v>
      </c>
      <c r="L37" s="427" t="e">
        <f>N32+S35</f>
        <v>#REF!</v>
      </c>
      <c r="M37" s="356">
        <v>0</v>
      </c>
      <c r="N37" s="1564"/>
      <c r="O37" s="1565"/>
      <c r="P37" s="1565"/>
      <c r="Q37" s="1565"/>
      <c r="R37" s="1566"/>
      <c r="S37" s="302" t="e">
        <f>L37*M37</f>
        <v>#REF!</v>
      </c>
      <c r="T37" s="427" t="e">
        <f>V32+AA35</f>
        <v>#REF!</v>
      </c>
      <c r="U37" s="356">
        <v>0</v>
      </c>
      <c r="V37" s="1564"/>
      <c r="W37" s="1565"/>
      <c r="X37" s="1565"/>
      <c r="Y37" s="1565"/>
      <c r="Z37" s="1566"/>
      <c r="AA37" s="302" t="e">
        <f>T37*U37</f>
        <v>#REF!</v>
      </c>
      <c r="AB37" s="427" t="e">
        <f>AD32+AI35</f>
        <v>#REF!</v>
      </c>
      <c r="AC37" s="356">
        <v>0</v>
      </c>
      <c r="AD37" s="1564"/>
      <c r="AE37" s="1565"/>
      <c r="AF37" s="1565"/>
      <c r="AG37" s="1567"/>
      <c r="AH37" s="301"/>
      <c r="AI37" s="302" t="e">
        <f>AB37*AC37</f>
        <v>#REF!</v>
      </c>
      <c r="AJ37" s="427" t="e">
        <f>AL32+AQ35</f>
        <v>#REF!</v>
      </c>
      <c r="AK37" s="426">
        <v>0</v>
      </c>
      <c r="AL37" s="1564"/>
      <c r="AM37" s="1565"/>
      <c r="AN37" s="1565"/>
      <c r="AO37" s="1565"/>
      <c r="AP37" s="1566"/>
      <c r="AQ37" s="302" t="e">
        <f>AJ37*AK37</f>
        <v>#REF!</v>
      </c>
      <c r="AR37" s="427" t="e">
        <f>AT32+AY35</f>
        <v>#REF!</v>
      </c>
      <c r="AS37" s="426">
        <v>0</v>
      </c>
      <c r="AT37" s="1564"/>
      <c r="AU37" s="1565"/>
      <c r="AV37" s="1565"/>
      <c r="AW37" s="1565"/>
      <c r="AX37" s="1566"/>
      <c r="AY37" s="406" t="e">
        <f>AR37*AS37</f>
        <v>#REF!</v>
      </c>
      <c r="AZ37" s="1440"/>
      <c r="BA37" s="431" t="e">
        <f>K37+S37+AA37+AI37+AQ37+AY37</f>
        <v>#REF!</v>
      </c>
    </row>
    <row r="38" spans="1:538" s="337" customFormat="1" x14ac:dyDescent="0.25">
      <c r="A38" s="1556" t="s">
        <v>250</v>
      </c>
      <c r="B38" s="1556"/>
      <c r="C38" s="1556"/>
      <c r="D38" s="1557"/>
      <c r="E38" s="1557"/>
      <c r="F38" s="1557"/>
      <c r="G38" s="1557"/>
      <c r="H38" s="1557"/>
      <c r="I38" s="1557"/>
      <c r="J38" s="1557"/>
      <c r="K38" s="336" t="e">
        <f>SUM(K36:K37)</f>
        <v>#REF!</v>
      </c>
      <c r="L38" s="1541"/>
      <c r="M38" s="1541"/>
      <c r="N38" s="1541"/>
      <c r="O38" s="1541"/>
      <c r="P38" s="1541"/>
      <c r="Q38" s="1541"/>
      <c r="R38" s="1542"/>
      <c r="S38" s="334" t="e">
        <f>SUM(S36:S37)</f>
        <v>#REF!</v>
      </c>
      <c r="T38" s="1540"/>
      <c r="U38" s="1541"/>
      <c r="V38" s="1541"/>
      <c r="W38" s="1541"/>
      <c r="X38" s="1541"/>
      <c r="Y38" s="1541"/>
      <c r="Z38" s="1542"/>
      <c r="AA38" s="334" t="e">
        <f>SUM(AA36:AA37)</f>
        <v>#REF!</v>
      </c>
      <c r="AB38" s="1540"/>
      <c r="AC38" s="1541"/>
      <c r="AD38" s="1541"/>
      <c r="AE38" s="1541"/>
      <c r="AF38" s="1541"/>
      <c r="AG38" s="1541"/>
      <c r="AH38" s="1542"/>
      <c r="AI38" s="334" t="e">
        <f>SUM(AI36:AI37)</f>
        <v>#REF!</v>
      </c>
      <c r="AJ38" s="1540"/>
      <c r="AK38" s="1541"/>
      <c r="AL38" s="1541"/>
      <c r="AM38" s="1541"/>
      <c r="AN38" s="1541"/>
      <c r="AO38" s="1541"/>
      <c r="AP38" s="1542"/>
      <c r="AQ38" s="334" t="e">
        <f>SUM(AQ36:AQ37)</f>
        <v>#REF!</v>
      </c>
      <c r="AR38" s="1540"/>
      <c r="AS38" s="1541"/>
      <c r="AT38" s="1541"/>
      <c r="AU38" s="1541"/>
      <c r="AV38" s="1541"/>
      <c r="AW38" s="1541"/>
      <c r="AX38" s="1542"/>
      <c r="AY38" s="408" t="e">
        <f>SUM(AY36:AY37)</f>
        <v>#REF!</v>
      </c>
      <c r="AZ38" s="332"/>
      <c r="BA38" s="338" t="e">
        <f>K38+S38+AA38+AI38+AQ38+AY38</f>
        <v>#REF!</v>
      </c>
      <c r="BB38" s="291"/>
      <c r="BC38" s="291"/>
      <c r="BD38" s="291"/>
      <c r="BE38" s="291"/>
      <c r="BF38" s="291"/>
      <c r="BG38" s="291"/>
      <c r="BH38" s="291"/>
      <c r="BI38" s="291"/>
      <c r="BJ38" s="291"/>
      <c r="BK38" s="291"/>
      <c r="BL38" s="291"/>
      <c r="BM38" s="291"/>
      <c r="BN38" s="291"/>
      <c r="BO38" s="291"/>
      <c r="BP38" s="291"/>
      <c r="BQ38" s="291"/>
      <c r="BR38" s="291"/>
      <c r="BS38" s="291"/>
      <c r="BT38" s="291"/>
      <c r="BU38" s="291"/>
      <c r="BV38" s="291"/>
      <c r="BW38" s="291"/>
      <c r="BX38" s="291"/>
      <c r="BY38" s="291"/>
      <c r="BZ38" s="291"/>
      <c r="CA38" s="291"/>
      <c r="CB38" s="291"/>
      <c r="CC38" s="291"/>
      <c r="CD38" s="291"/>
      <c r="CE38" s="291"/>
      <c r="CF38" s="291"/>
      <c r="CG38" s="291"/>
      <c r="CH38" s="291"/>
      <c r="CI38" s="291"/>
      <c r="CJ38" s="291"/>
      <c r="CK38" s="291"/>
      <c r="CL38" s="291"/>
      <c r="CM38" s="291"/>
      <c r="CN38" s="291"/>
      <c r="CO38" s="291"/>
      <c r="CP38" s="291"/>
      <c r="CQ38" s="291"/>
      <c r="CR38" s="291"/>
      <c r="CS38" s="291"/>
      <c r="CT38" s="291"/>
      <c r="CU38" s="291"/>
      <c r="CV38" s="291"/>
      <c r="CW38" s="291"/>
      <c r="CX38" s="291"/>
      <c r="CY38" s="291"/>
      <c r="CZ38" s="291"/>
      <c r="DA38" s="291"/>
      <c r="DB38" s="291"/>
      <c r="DC38" s="291"/>
      <c r="DD38" s="291"/>
      <c r="DE38" s="291"/>
      <c r="DF38" s="291"/>
      <c r="DG38" s="291"/>
      <c r="DH38" s="291"/>
      <c r="DI38" s="291"/>
      <c r="DJ38" s="291"/>
      <c r="DK38" s="291"/>
      <c r="DL38" s="291"/>
      <c r="DM38" s="291"/>
      <c r="DN38" s="291"/>
      <c r="DO38" s="291"/>
      <c r="DP38" s="291"/>
      <c r="DQ38" s="291"/>
      <c r="DR38" s="291"/>
      <c r="DS38" s="291"/>
      <c r="DT38" s="291"/>
      <c r="DU38" s="291"/>
      <c r="DV38" s="291"/>
      <c r="DW38" s="291"/>
      <c r="DX38" s="291"/>
      <c r="DY38" s="291"/>
      <c r="DZ38" s="291"/>
      <c r="EA38" s="291"/>
      <c r="EB38" s="291"/>
      <c r="EC38" s="291"/>
      <c r="ED38" s="291"/>
      <c r="EE38" s="291"/>
      <c r="EF38" s="291"/>
      <c r="EG38" s="291"/>
      <c r="EH38" s="291"/>
      <c r="EI38" s="291"/>
      <c r="EJ38" s="291"/>
      <c r="EK38" s="291"/>
      <c r="EL38" s="291"/>
      <c r="EM38" s="291"/>
      <c r="EN38" s="291"/>
      <c r="EO38" s="291"/>
      <c r="EP38" s="291"/>
      <c r="EQ38" s="291"/>
      <c r="ER38" s="291"/>
      <c r="ES38" s="291"/>
      <c r="ET38" s="291"/>
      <c r="EU38" s="291"/>
      <c r="EV38" s="291"/>
      <c r="EW38" s="291"/>
      <c r="EX38" s="291"/>
      <c r="EY38" s="291"/>
      <c r="EZ38" s="291"/>
      <c r="FA38" s="291"/>
      <c r="FB38" s="291"/>
      <c r="FC38" s="291"/>
      <c r="FD38" s="291"/>
      <c r="FE38" s="291"/>
      <c r="FF38" s="291"/>
      <c r="FG38" s="291"/>
      <c r="FH38" s="291"/>
      <c r="FI38" s="291"/>
      <c r="FJ38" s="291"/>
      <c r="FK38" s="291"/>
      <c r="FL38" s="291"/>
      <c r="FM38" s="291"/>
      <c r="FN38" s="291"/>
      <c r="FO38" s="291"/>
      <c r="FP38" s="291"/>
      <c r="FQ38" s="291"/>
      <c r="FR38" s="291"/>
      <c r="FS38" s="291"/>
      <c r="FT38" s="291"/>
      <c r="FU38" s="291"/>
      <c r="FV38" s="291"/>
      <c r="FW38" s="291"/>
      <c r="FX38" s="291"/>
      <c r="FY38" s="291"/>
      <c r="FZ38" s="291"/>
      <c r="GA38" s="291"/>
      <c r="GB38" s="291"/>
      <c r="GC38" s="291"/>
      <c r="GD38" s="291"/>
      <c r="GE38" s="291"/>
      <c r="GF38" s="291"/>
      <c r="GG38" s="291"/>
      <c r="GH38" s="291"/>
      <c r="GI38" s="291"/>
      <c r="GJ38" s="291"/>
      <c r="GK38" s="291"/>
      <c r="GL38" s="291"/>
      <c r="GM38" s="291"/>
      <c r="GN38" s="291"/>
      <c r="GO38" s="291"/>
      <c r="GP38" s="291"/>
      <c r="GQ38" s="291"/>
      <c r="GR38" s="291"/>
      <c r="GS38" s="291"/>
      <c r="GT38" s="291"/>
      <c r="GU38" s="291"/>
      <c r="GV38" s="291"/>
      <c r="GW38" s="291"/>
      <c r="GX38" s="291"/>
      <c r="GY38" s="291"/>
      <c r="GZ38" s="291"/>
      <c r="HA38" s="291"/>
      <c r="HB38" s="291"/>
      <c r="HC38" s="291"/>
      <c r="HD38" s="291"/>
      <c r="HE38" s="291"/>
      <c r="HF38" s="291"/>
      <c r="HG38" s="291"/>
      <c r="HH38" s="291"/>
      <c r="HI38" s="291"/>
      <c r="HJ38" s="291"/>
      <c r="HK38" s="291"/>
      <c r="HL38" s="291"/>
      <c r="HM38" s="291"/>
      <c r="HN38" s="291"/>
      <c r="HO38" s="291"/>
      <c r="HP38" s="291"/>
      <c r="HQ38" s="291"/>
      <c r="HR38" s="291"/>
      <c r="HS38" s="291"/>
      <c r="HT38" s="291"/>
      <c r="HU38" s="291"/>
      <c r="HV38" s="291"/>
      <c r="HW38" s="291"/>
      <c r="HX38" s="291"/>
      <c r="HY38" s="291"/>
      <c r="HZ38" s="291"/>
      <c r="IA38" s="291"/>
      <c r="IB38" s="291"/>
      <c r="IC38" s="291"/>
      <c r="ID38" s="291"/>
      <c r="IE38" s="291"/>
      <c r="IF38" s="291"/>
      <c r="IG38" s="291"/>
      <c r="IH38" s="291"/>
      <c r="II38" s="291"/>
      <c r="IJ38" s="291"/>
      <c r="IK38" s="291"/>
      <c r="IL38" s="291"/>
      <c r="IM38" s="291"/>
      <c r="IN38" s="291"/>
      <c r="IO38" s="291"/>
      <c r="IP38" s="291"/>
      <c r="IQ38" s="291"/>
      <c r="IR38" s="291"/>
      <c r="IS38" s="291"/>
      <c r="IT38" s="291"/>
      <c r="IU38" s="291"/>
      <c r="IV38" s="291"/>
      <c r="IW38" s="291"/>
      <c r="IX38" s="291"/>
      <c r="IY38" s="291"/>
      <c r="IZ38" s="291"/>
      <c r="JA38" s="291"/>
      <c r="JB38" s="291"/>
      <c r="JC38" s="291"/>
      <c r="JD38" s="291"/>
      <c r="JE38" s="291"/>
      <c r="JF38" s="291"/>
      <c r="JG38" s="291"/>
      <c r="JH38" s="291"/>
      <c r="JI38" s="291"/>
      <c r="JJ38" s="291"/>
      <c r="JK38" s="291"/>
      <c r="JL38" s="291"/>
      <c r="JM38" s="291"/>
      <c r="JN38" s="291"/>
      <c r="JO38" s="291"/>
      <c r="JP38" s="291"/>
      <c r="JQ38" s="291"/>
      <c r="JR38" s="291"/>
      <c r="JS38" s="291"/>
      <c r="JT38" s="291"/>
      <c r="JU38" s="291"/>
      <c r="JV38" s="291"/>
      <c r="JW38" s="291"/>
      <c r="JX38" s="291"/>
      <c r="JY38" s="291"/>
      <c r="JZ38" s="291"/>
      <c r="KA38" s="291"/>
      <c r="KB38" s="291"/>
      <c r="KC38" s="291"/>
      <c r="KD38" s="291"/>
      <c r="KE38" s="291"/>
      <c r="KF38" s="291"/>
      <c r="KG38" s="291"/>
      <c r="KH38" s="291"/>
      <c r="KI38" s="291"/>
      <c r="KJ38" s="291"/>
      <c r="KK38" s="291"/>
      <c r="KL38" s="291"/>
      <c r="KM38" s="291"/>
      <c r="KN38" s="291"/>
      <c r="KO38" s="291"/>
      <c r="KP38" s="291"/>
      <c r="KQ38" s="291"/>
      <c r="KR38" s="291"/>
      <c r="KS38" s="291"/>
      <c r="KT38" s="291"/>
      <c r="KU38" s="291"/>
      <c r="KV38" s="291"/>
      <c r="KW38" s="291"/>
      <c r="KX38" s="291"/>
      <c r="KY38" s="291"/>
      <c r="KZ38" s="291"/>
      <c r="LA38" s="291"/>
      <c r="LB38" s="291"/>
      <c r="LC38" s="291"/>
      <c r="LD38" s="291"/>
      <c r="LE38" s="291"/>
      <c r="LF38" s="291"/>
      <c r="LG38" s="291"/>
      <c r="LH38" s="291"/>
      <c r="LI38" s="291"/>
      <c r="LJ38" s="291"/>
      <c r="LK38" s="291"/>
      <c r="LL38" s="291"/>
      <c r="LM38" s="291"/>
      <c r="LN38" s="291"/>
      <c r="LO38" s="291"/>
      <c r="LP38" s="291"/>
      <c r="LQ38" s="291"/>
      <c r="LR38" s="291"/>
      <c r="LS38" s="291"/>
      <c r="LT38" s="291"/>
      <c r="LU38" s="291"/>
      <c r="LV38" s="291"/>
      <c r="LW38" s="291"/>
      <c r="LX38" s="291"/>
      <c r="LY38" s="291"/>
      <c r="LZ38" s="291"/>
      <c r="MA38" s="291"/>
      <c r="MB38" s="291"/>
      <c r="MC38" s="291"/>
      <c r="MD38" s="291"/>
      <c r="ME38" s="291"/>
      <c r="MF38" s="291"/>
      <c r="MG38" s="291"/>
      <c r="MH38" s="291"/>
      <c r="MI38" s="291"/>
      <c r="MJ38" s="291"/>
      <c r="MK38" s="291"/>
      <c r="ML38" s="291"/>
      <c r="MM38" s="291"/>
      <c r="MN38" s="291"/>
      <c r="MO38" s="291"/>
      <c r="MP38" s="291"/>
      <c r="MQ38" s="291"/>
      <c r="MR38" s="291"/>
      <c r="MS38" s="291"/>
      <c r="MT38" s="291"/>
      <c r="MU38" s="291"/>
      <c r="MV38" s="291"/>
      <c r="MW38" s="291"/>
      <c r="MX38" s="291"/>
      <c r="MY38" s="291"/>
      <c r="MZ38" s="291"/>
      <c r="NA38" s="291"/>
      <c r="NB38" s="291"/>
      <c r="NC38" s="291"/>
      <c r="ND38" s="291"/>
      <c r="NE38" s="291"/>
      <c r="NF38" s="291"/>
      <c r="NG38" s="291"/>
      <c r="NH38" s="291"/>
      <c r="NI38" s="291"/>
      <c r="NJ38" s="291"/>
      <c r="NK38" s="291"/>
      <c r="NL38" s="291"/>
      <c r="NM38" s="291"/>
      <c r="NN38" s="291"/>
      <c r="NO38" s="291"/>
      <c r="NP38" s="291"/>
      <c r="NQ38" s="291"/>
      <c r="NR38" s="291"/>
      <c r="NS38" s="291"/>
      <c r="NT38" s="291"/>
      <c r="NU38" s="291"/>
      <c r="NV38" s="291"/>
      <c r="NW38" s="291"/>
      <c r="NX38" s="291"/>
      <c r="NY38" s="291"/>
      <c r="NZ38" s="291"/>
      <c r="OA38" s="291"/>
      <c r="OB38" s="291"/>
      <c r="OC38" s="291"/>
      <c r="OD38" s="291"/>
      <c r="OE38" s="291"/>
      <c r="OF38" s="291"/>
      <c r="OG38" s="291"/>
      <c r="OH38" s="291"/>
      <c r="OI38" s="291"/>
      <c r="OJ38" s="291"/>
      <c r="OK38" s="291"/>
      <c r="OL38" s="291"/>
      <c r="OM38" s="291"/>
      <c r="ON38" s="291"/>
      <c r="OO38" s="291"/>
      <c r="OP38" s="291"/>
      <c r="OQ38" s="291"/>
      <c r="OR38" s="291"/>
      <c r="OS38" s="291"/>
      <c r="OT38" s="291"/>
      <c r="OU38" s="291"/>
      <c r="OV38" s="291"/>
      <c r="OW38" s="291"/>
      <c r="OX38" s="291"/>
      <c r="OY38" s="291"/>
      <c r="OZ38" s="291"/>
      <c r="PA38" s="291"/>
      <c r="PB38" s="291"/>
      <c r="PC38" s="291"/>
      <c r="PD38" s="291"/>
      <c r="PE38" s="291"/>
      <c r="PF38" s="291"/>
      <c r="PG38" s="291"/>
      <c r="PH38" s="291"/>
      <c r="PI38" s="291"/>
      <c r="PJ38" s="291"/>
      <c r="PK38" s="291"/>
      <c r="PL38" s="291"/>
      <c r="PM38" s="291"/>
      <c r="PN38" s="291"/>
      <c r="PO38" s="291"/>
      <c r="PP38" s="291"/>
      <c r="PQ38" s="291"/>
      <c r="PR38" s="291"/>
      <c r="PS38" s="291"/>
      <c r="PT38" s="291"/>
      <c r="PU38" s="291"/>
      <c r="PV38" s="291"/>
      <c r="PW38" s="291"/>
      <c r="PX38" s="291"/>
      <c r="PY38" s="291"/>
      <c r="PZ38" s="291"/>
      <c r="QA38" s="291"/>
      <c r="QB38" s="291"/>
      <c r="QC38" s="291"/>
      <c r="QD38" s="291"/>
      <c r="QE38" s="291"/>
      <c r="QF38" s="291"/>
      <c r="QG38" s="291"/>
      <c r="QH38" s="291"/>
      <c r="QI38" s="291"/>
      <c r="QJ38" s="291"/>
      <c r="QK38" s="291"/>
      <c r="QL38" s="291"/>
      <c r="QM38" s="291"/>
      <c r="QN38" s="291"/>
      <c r="QO38" s="291"/>
      <c r="QP38" s="291"/>
      <c r="QQ38" s="291"/>
      <c r="QR38" s="291"/>
      <c r="QS38" s="291"/>
      <c r="QT38" s="291"/>
      <c r="QU38" s="291"/>
      <c r="QV38" s="291"/>
      <c r="QW38" s="291"/>
      <c r="QX38" s="291"/>
      <c r="QY38" s="291"/>
      <c r="QZ38" s="291"/>
      <c r="RA38" s="291"/>
      <c r="RB38" s="291"/>
      <c r="RC38" s="291"/>
      <c r="RD38" s="291"/>
      <c r="RE38" s="291"/>
      <c r="RF38" s="291"/>
      <c r="RG38" s="291"/>
      <c r="RH38" s="291"/>
      <c r="RI38" s="291"/>
      <c r="RJ38" s="291"/>
      <c r="RK38" s="291"/>
      <c r="RL38" s="291"/>
      <c r="RM38" s="291"/>
      <c r="RN38" s="291"/>
      <c r="RO38" s="291"/>
      <c r="RP38" s="291"/>
      <c r="RQ38" s="291"/>
      <c r="RR38" s="291"/>
      <c r="RS38" s="291"/>
      <c r="RT38" s="291"/>
      <c r="RU38" s="291"/>
      <c r="RV38" s="291"/>
      <c r="RW38" s="291"/>
      <c r="RX38" s="291"/>
      <c r="RY38" s="291"/>
      <c r="RZ38" s="291"/>
      <c r="SA38" s="291"/>
      <c r="SB38" s="291"/>
      <c r="SC38" s="291"/>
      <c r="SD38" s="291"/>
      <c r="SE38" s="291"/>
      <c r="SF38" s="291"/>
      <c r="SG38" s="291"/>
      <c r="SH38" s="291"/>
      <c r="SI38" s="291"/>
      <c r="SJ38" s="291"/>
      <c r="SK38" s="291"/>
      <c r="SL38" s="291"/>
      <c r="SM38" s="291"/>
      <c r="SN38" s="291"/>
      <c r="SO38" s="291"/>
      <c r="SP38" s="291"/>
      <c r="SQ38" s="291"/>
      <c r="SR38" s="291"/>
      <c r="SS38" s="291"/>
      <c r="ST38" s="291"/>
      <c r="SU38" s="291"/>
      <c r="SV38" s="291"/>
      <c r="SW38" s="291"/>
      <c r="SX38" s="291"/>
      <c r="SY38" s="291"/>
      <c r="SZ38" s="291"/>
      <c r="TA38" s="291"/>
      <c r="TB38" s="291"/>
      <c r="TC38" s="291"/>
      <c r="TD38" s="291"/>
      <c r="TE38" s="291"/>
      <c r="TF38" s="291"/>
      <c r="TG38" s="291"/>
      <c r="TH38" s="291"/>
      <c r="TI38" s="291"/>
      <c r="TJ38" s="291"/>
      <c r="TK38" s="291"/>
      <c r="TL38" s="291"/>
      <c r="TM38" s="291"/>
      <c r="TN38" s="291"/>
      <c r="TO38" s="291"/>
      <c r="TP38" s="291"/>
      <c r="TQ38" s="291"/>
      <c r="TR38" s="291"/>
    </row>
    <row r="39" spans="1:538" x14ac:dyDescent="0.25">
      <c r="A39" s="1543" t="s">
        <v>447</v>
      </c>
      <c r="B39" s="1544"/>
      <c r="C39" s="423" t="s">
        <v>448</v>
      </c>
      <c r="D39" s="1545"/>
      <c r="E39" s="1546"/>
      <c r="F39" s="1546"/>
      <c r="G39" s="1546"/>
      <c r="H39" s="1546"/>
      <c r="I39" s="1546"/>
      <c r="J39" s="1547"/>
      <c r="K39" s="497"/>
      <c r="L39" s="1548"/>
      <c r="M39" s="1548"/>
      <c r="N39" s="1548"/>
      <c r="O39" s="1548"/>
      <c r="P39" s="1548"/>
      <c r="Q39" s="1548"/>
      <c r="R39" s="1549"/>
      <c r="S39" s="429"/>
      <c r="T39" s="1550"/>
      <c r="U39" s="1548"/>
      <c r="V39" s="1548"/>
      <c r="W39" s="1548"/>
      <c r="X39" s="1548"/>
      <c r="Y39" s="1548"/>
      <c r="Z39" s="1548"/>
      <c r="AA39" s="1551"/>
      <c r="AB39" s="1552"/>
      <c r="AC39" s="1548"/>
      <c r="AD39" s="1548"/>
      <c r="AE39" s="1548"/>
      <c r="AF39" s="1548"/>
      <c r="AG39" s="1548"/>
      <c r="AH39" s="1553"/>
      <c r="AI39" s="351"/>
      <c r="AJ39" s="1552"/>
      <c r="AK39" s="1548"/>
      <c r="AL39" s="1548"/>
      <c r="AM39" s="1548"/>
      <c r="AN39" s="1548"/>
      <c r="AO39" s="1548"/>
      <c r="AP39" s="1553"/>
      <c r="AQ39" s="430"/>
      <c r="AR39" s="1554"/>
      <c r="AS39" s="1548"/>
      <c r="AT39" s="1548"/>
      <c r="AU39" s="1548"/>
      <c r="AV39" s="1548"/>
      <c r="AW39" s="1548"/>
      <c r="AX39" s="1548"/>
      <c r="AY39" s="1548"/>
      <c r="AZ39" s="1548"/>
      <c r="BA39" s="1555"/>
    </row>
    <row r="40" spans="1:538" x14ac:dyDescent="0.25">
      <c r="A40" s="352"/>
      <c r="B40" s="294" t="s">
        <v>337</v>
      </c>
      <c r="C40" s="304" t="s">
        <v>338</v>
      </c>
      <c r="D40" s="1537"/>
      <c r="E40" s="1538"/>
      <c r="F40" s="1538"/>
      <c r="G40" s="1538"/>
      <c r="H40" s="1538"/>
      <c r="I40" s="1538"/>
      <c r="J40" s="1539"/>
      <c r="K40" s="495">
        <v>500000</v>
      </c>
      <c r="L40" s="1461"/>
      <c r="M40" s="1461"/>
      <c r="N40" s="1461"/>
      <c r="O40" s="1461"/>
      <c r="P40" s="1461"/>
      <c r="Q40" s="1461"/>
      <c r="R40" s="1462"/>
      <c r="S40" s="302">
        <v>500000</v>
      </c>
      <c r="T40" s="1486"/>
      <c r="U40" s="1461"/>
      <c r="V40" s="1461"/>
      <c r="W40" s="1461"/>
      <c r="X40" s="1461"/>
      <c r="Y40" s="1461"/>
      <c r="Z40" s="1462"/>
      <c r="AA40" s="302">
        <v>500000</v>
      </c>
      <c r="AB40" s="1485"/>
      <c r="AC40" s="1434"/>
      <c r="AD40" s="1434"/>
      <c r="AE40" s="1434"/>
      <c r="AF40" s="1434"/>
      <c r="AG40" s="1434"/>
      <c r="AH40" s="1437"/>
      <c r="AI40" s="302">
        <v>500000</v>
      </c>
      <c r="AJ40" s="1485"/>
      <c r="AK40" s="1434"/>
      <c r="AL40" s="1434"/>
      <c r="AM40" s="1434"/>
      <c r="AN40" s="1434"/>
      <c r="AO40" s="1434"/>
      <c r="AP40" s="1437"/>
      <c r="AQ40" s="302">
        <v>500000</v>
      </c>
      <c r="AR40" s="1485"/>
      <c r="AS40" s="1434"/>
      <c r="AT40" s="1434"/>
      <c r="AU40" s="1434"/>
      <c r="AV40" s="1434"/>
      <c r="AW40" s="1434"/>
      <c r="AX40" s="1437"/>
      <c r="AY40" s="302">
        <v>500000</v>
      </c>
      <c r="AZ40" s="454"/>
      <c r="BA40" s="431">
        <f>K40+S40+AA40+AI40+AQ40+AY40</f>
        <v>3000000</v>
      </c>
    </row>
    <row r="41" spans="1:538" x14ac:dyDescent="0.25">
      <c r="A41" s="352"/>
      <c r="B41" s="294" t="s">
        <v>339</v>
      </c>
      <c r="C41" s="304" t="s">
        <v>338</v>
      </c>
      <c r="D41" s="1537"/>
      <c r="E41" s="1538"/>
      <c r="F41" s="1538"/>
      <c r="G41" s="1538"/>
      <c r="H41" s="1538"/>
      <c r="I41" s="1538"/>
      <c r="J41" s="1539"/>
      <c r="K41" s="495">
        <v>500000</v>
      </c>
      <c r="L41" s="1461"/>
      <c r="M41" s="1461"/>
      <c r="N41" s="1461"/>
      <c r="O41" s="1461"/>
      <c r="P41" s="1461"/>
      <c r="Q41" s="1461"/>
      <c r="R41" s="1462"/>
      <c r="S41" s="302">
        <v>500000</v>
      </c>
      <c r="T41" s="1486"/>
      <c r="U41" s="1461"/>
      <c r="V41" s="1461"/>
      <c r="W41" s="1461"/>
      <c r="X41" s="1461"/>
      <c r="Y41" s="1461"/>
      <c r="Z41" s="1462"/>
      <c r="AA41" s="302">
        <v>500000</v>
      </c>
      <c r="AB41" s="1486"/>
      <c r="AC41" s="1461"/>
      <c r="AD41" s="1461"/>
      <c r="AE41" s="1461"/>
      <c r="AF41" s="1461"/>
      <c r="AG41" s="1461"/>
      <c r="AH41" s="1462"/>
      <c r="AI41" s="302">
        <v>500000</v>
      </c>
      <c r="AJ41" s="1486"/>
      <c r="AK41" s="1461"/>
      <c r="AL41" s="1461"/>
      <c r="AM41" s="1461"/>
      <c r="AN41" s="1461"/>
      <c r="AO41" s="1461"/>
      <c r="AP41" s="1462"/>
      <c r="AQ41" s="302">
        <v>500000</v>
      </c>
      <c r="AR41" s="1486"/>
      <c r="AS41" s="1461"/>
      <c r="AT41" s="1461"/>
      <c r="AU41" s="1461"/>
      <c r="AV41" s="1461"/>
      <c r="AW41" s="1461"/>
      <c r="AX41" s="1462"/>
      <c r="AY41" s="302">
        <v>500000</v>
      </c>
      <c r="AZ41" s="456"/>
      <c r="BA41" s="431">
        <f>K41+S41+AA41+AI41+AQ41+AY41</f>
        <v>3000000</v>
      </c>
    </row>
    <row r="42" spans="1:538" x14ac:dyDescent="0.25">
      <c r="A42" s="352"/>
      <c r="B42" s="294" t="s">
        <v>340</v>
      </c>
      <c r="C42" s="304" t="s">
        <v>338</v>
      </c>
      <c r="D42" s="1537"/>
      <c r="E42" s="1538"/>
      <c r="F42" s="1538"/>
      <c r="G42" s="1538"/>
      <c r="H42" s="1538"/>
      <c r="I42" s="1538"/>
      <c r="J42" s="1539"/>
      <c r="K42" s="495">
        <v>500000</v>
      </c>
      <c r="L42" s="1461"/>
      <c r="M42" s="1461"/>
      <c r="N42" s="1461"/>
      <c r="O42" s="1461"/>
      <c r="P42" s="1461"/>
      <c r="Q42" s="1461"/>
      <c r="R42" s="1462"/>
      <c r="S42" s="302">
        <v>500000</v>
      </c>
      <c r="T42" s="1486"/>
      <c r="U42" s="1461"/>
      <c r="V42" s="1461"/>
      <c r="W42" s="1461"/>
      <c r="X42" s="1461"/>
      <c r="Y42" s="1461"/>
      <c r="Z42" s="1462"/>
      <c r="AA42" s="302">
        <v>500000</v>
      </c>
      <c r="AB42" s="1486"/>
      <c r="AC42" s="1461"/>
      <c r="AD42" s="1461"/>
      <c r="AE42" s="1461"/>
      <c r="AF42" s="1461"/>
      <c r="AG42" s="1461"/>
      <c r="AH42" s="1462"/>
      <c r="AI42" s="302">
        <v>500000</v>
      </c>
      <c r="AJ42" s="1486"/>
      <c r="AK42" s="1461"/>
      <c r="AL42" s="1461"/>
      <c r="AM42" s="1461"/>
      <c r="AN42" s="1461"/>
      <c r="AO42" s="1461"/>
      <c r="AP42" s="1462"/>
      <c r="AQ42" s="302">
        <v>500000</v>
      </c>
      <c r="AR42" s="1486"/>
      <c r="AS42" s="1461"/>
      <c r="AT42" s="1461"/>
      <c r="AU42" s="1461"/>
      <c r="AV42" s="1461"/>
      <c r="AW42" s="1461"/>
      <c r="AX42" s="1462"/>
      <c r="AY42" s="302">
        <v>500000</v>
      </c>
      <c r="AZ42" s="456"/>
      <c r="BA42" s="431">
        <f>K42+S42+AA42+AI42+AQ42+AY42</f>
        <v>3000000</v>
      </c>
    </row>
    <row r="43" spans="1:538" x14ac:dyDescent="0.25">
      <c r="A43" s="352"/>
      <c r="B43" s="296" t="s">
        <v>449</v>
      </c>
      <c r="C43" s="304" t="s">
        <v>338</v>
      </c>
      <c r="D43" s="1537"/>
      <c r="E43" s="1538"/>
      <c r="F43" s="1538"/>
      <c r="G43" s="1538"/>
      <c r="H43" s="1538"/>
      <c r="I43" s="1538"/>
      <c r="J43" s="1539"/>
      <c r="K43" s="495">
        <v>0</v>
      </c>
      <c r="L43" s="1436"/>
      <c r="M43" s="1436"/>
      <c r="N43" s="1436"/>
      <c r="O43" s="1436"/>
      <c r="P43" s="1436"/>
      <c r="Q43" s="1436"/>
      <c r="R43" s="1438"/>
      <c r="S43" s="302">
        <v>0</v>
      </c>
      <c r="T43" s="1487"/>
      <c r="U43" s="1436"/>
      <c r="V43" s="1436"/>
      <c r="W43" s="1436"/>
      <c r="X43" s="1436"/>
      <c r="Y43" s="1436"/>
      <c r="Z43" s="1438"/>
      <c r="AA43" s="302">
        <v>0</v>
      </c>
      <c r="AB43" s="1487"/>
      <c r="AC43" s="1436"/>
      <c r="AD43" s="1436"/>
      <c r="AE43" s="1436"/>
      <c r="AF43" s="1436"/>
      <c r="AG43" s="1436"/>
      <c r="AH43" s="1438"/>
      <c r="AI43" s="302">
        <v>0</v>
      </c>
      <c r="AJ43" s="1487"/>
      <c r="AK43" s="1436"/>
      <c r="AL43" s="1436"/>
      <c r="AM43" s="1436"/>
      <c r="AN43" s="1436"/>
      <c r="AO43" s="1436"/>
      <c r="AP43" s="1438"/>
      <c r="AQ43" s="302">
        <v>0</v>
      </c>
      <c r="AR43" s="1487"/>
      <c r="AS43" s="1436"/>
      <c r="AT43" s="1436"/>
      <c r="AU43" s="1436"/>
      <c r="AV43" s="1436"/>
      <c r="AW43" s="1436"/>
      <c r="AX43" s="1438"/>
      <c r="AY43" s="410">
        <v>0</v>
      </c>
      <c r="AZ43" s="455"/>
      <c r="BA43" s="431">
        <f>K43+S43+AA43+AI43+AQ43+AY43</f>
        <v>0</v>
      </c>
    </row>
    <row r="44" spans="1:538" s="389" customFormat="1" x14ac:dyDescent="0.25">
      <c r="A44" s="1529" t="s">
        <v>252</v>
      </c>
      <c r="B44" s="1530"/>
      <c r="C44" s="1530"/>
      <c r="D44" s="1531"/>
      <c r="E44" s="1532"/>
      <c r="F44" s="1532"/>
      <c r="G44" s="1532"/>
      <c r="H44" s="1532"/>
      <c r="I44" s="1532"/>
      <c r="J44" s="1533"/>
      <c r="K44" s="498">
        <f>SUM(K39:K43)</f>
        <v>1500000</v>
      </c>
      <c r="L44" s="1534"/>
      <c r="M44" s="1534"/>
      <c r="N44" s="1534"/>
      <c r="O44" s="1534"/>
      <c r="P44" s="1534"/>
      <c r="Q44" s="1534"/>
      <c r="R44" s="1535"/>
      <c r="S44" s="350">
        <f>SUM(S39:S43)</f>
        <v>1500000</v>
      </c>
      <c r="T44" s="1536"/>
      <c r="U44" s="1534"/>
      <c r="V44" s="1534"/>
      <c r="W44" s="1534"/>
      <c r="X44" s="1534"/>
      <c r="Y44" s="1534"/>
      <c r="Z44" s="1535"/>
      <c r="AA44" s="350">
        <f>SUM(AA39:AA43)</f>
        <v>1500000</v>
      </c>
      <c r="AB44" s="1536"/>
      <c r="AC44" s="1534"/>
      <c r="AD44" s="1534"/>
      <c r="AE44" s="1534"/>
      <c r="AF44" s="1534"/>
      <c r="AG44" s="1534"/>
      <c r="AH44" s="1535"/>
      <c r="AI44" s="350">
        <f>SUM(AI39:AI43)</f>
        <v>1500000</v>
      </c>
      <c r="AJ44" s="1536"/>
      <c r="AK44" s="1534"/>
      <c r="AL44" s="1534"/>
      <c r="AM44" s="1534"/>
      <c r="AN44" s="1534"/>
      <c r="AO44" s="1534"/>
      <c r="AP44" s="1535"/>
      <c r="AQ44" s="350">
        <f>SUM(AQ39:AQ43)</f>
        <v>1500000</v>
      </c>
      <c r="AR44" s="1536"/>
      <c r="AS44" s="1534"/>
      <c r="AT44" s="1534"/>
      <c r="AU44" s="1534"/>
      <c r="AV44" s="1534"/>
      <c r="AW44" s="1534"/>
      <c r="AX44" s="1535"/>
      <c r="AY44" s="447">
        <f>SUM(AY39:AY43)</f>
        <v>1500000</v>
      </c>
      <c r="AZ44" s="448"/>
      <c r="BA44" s="388">
        <f>K44+S44+AA44+AI44+AQ44+AY44</f>
        <v>9000000</v>
      </c>
      <c r="BB44" s="291"/>
      <c r="BC44" s="291"/>
      <c r="BD44" s="291"/>
      <c r="BE44" s="291"/>
      <c r="BF44" s="291"/>
      <c r="BG44" s="291"/>
      <c r="BH44" s="291"/>
      <c r="BI44" s="291"/>
      <c r="BJ44" s="291"/>
      <c r="BK44" s="291"/>
      <c r="BL44" s="291"/>
      <c r="BM44" s="291"/>
      <c r="BN44" s="291"/>
      <c r="BO44" s="291"/>
      <c r="BP44" s="291"/>
      <c r="BQ44" s="291"/>
      <c r="BR44" s="291"/>
      <c r="BS44" s="291"/>
      <c r="BT44" s="291"/>
      <c r="BU44" s="291"/>
      <c r="BV44" s="291"/>
      <c r="BW44" s="291"/>
      <c r="BX44" s="291"/>
      <c r="BY44" s="291"/>
      <c r="BZ44" s="291"/>
      <c r="CA44" s="291"/>
      <c r="CB44" s="291"/>
      <c r="CC44" s="291"/>
      <c r="CD44" s="291"/>
      <c r="CE44" s="291"/>
      <c r="CF44" s="291"/>
      <c r="CG44" s="291"/>
      <c r="CH44" s="291"/>
      <c r="CI44" s="291"/>
      <c r="CJ44" s="291"/>
      <c r="CK44" s="291"/>
      <c r="CL44" s="291"/>
      <c r="CM44" s="291"/>
      <c r="CN44" s="291"/>
      <c r="CO44" s="291"/>
      <c r="CP44" s="291"/>
      <c r="CQ44" s="291"/>
      <c r="CR44" s="291"/>
      <c r="CS44" s="291"/>
      <c r="CT44" s="291"/>
      <c r="CU44" s="291"/>
      <c r="CV44" s="291"/>
      <c r="CW44" s="291"/>
      <c r="CX44" s="291"/>
      <c r="CY44" s="291"/>
      <c r="CZ44" s="291"/>
      <c r="DA44" s="291"/>
      <c r="DB44" s="291"/>
      <c r="DC44" s="291"/>
      <c r="DD44" s="291"/>
      <c r="DE44" s="291"/>
      <c r="DF44" s="291"/>
      <c r="DG44" s="291"/>
      <c r="DH44" s="291"/>
      <c r="DI44" s="291"/>
      <c r="DJ44" s="291"/>
      <c r="DK44" s="291"/>
      <c r="DL44" s="291"/>
      <c r="DM44" s="291"/>
      <c r="DN44" s="291"/>
      <c r="DO44" s="291"/>
      <c r="DP44" s="291"/>
      <c r="DQ44" s="291"/>
      <c r="DR44" s="291"/>
      <c r="DS44" s="291"/>
      <c r="DT44" s="291"/>
      <c r="DU44" s="291"/>
      <c r="DV44" s="291"/>
      <c r="DW44" s="291"/>
      <c r="DX44" s="291"/>
      <c r="DY44" s="291"/>
      <c r="DZ44" s="291"/>
      <c r="EA44" s="291"/>
      <c r="EB44" s="291"/>
      <c r="EC44" s="291"/>
      <c r="ED44" s="291"/>
      <c r="EE44" s="291"/>
      <c r="EF44" s="291"/>
      <c r="EG44" s="291"/>
      <c r="EH44" s="291"/>
      <c r="EI44" s="291"/>
      <c r="EJ44" s="291"/>
      <c r="EK44" s="291"/>
      <c r="EL44" s="291"/>
      <c r="EM44" s="291"/>
      <c r="EN44" s="291"/>
      <c r="EO44" s="291"/>
      <c r="EP44" s="291"/>
      <c r="EQ44" s="291"/>
      <c r="ER44" s="291"/>
      <c r="ES44" s="291"/>
      <c r="ET44" s="291"/>
      <c r="EU44" s="291"/>
      <c r="EV44" s="291"/>
      <c r="EW44" s="291"/>
      <c r="EX44" s="291"/>
      <c r="EY44" s="291"/>
      <c r="EZ44" s="291"/>
      <c r="FA44" s="291"/>
      <c r="FB44" s="291"/>
      <c r="FC44" s="291"/>
      <c r="FD44" s="291"/>
      <c r="FE44" s="291"/>
      <c r="FF44" s="291"/>
      <c r="FG44" s="291"/>
      <c r="FH44" s="291"/>
      <c r="FI44" s="291"/>
      <c r="FJ44" s="291"/>
      <c r="FK44" s="291"/>
      <c r="FL44" s="291"/>
      <c r="FM44" s="291"/>
      <c r="FN44" s="291"/>
      <c r="FO44" s="291"/>
      <c r="FP44" s="291"/>
      <c r="FQ44" s="291"/>
      <c r="FR44" s="291"/>
      <c r="FS44" s="291"/>
      <c r="FT44" s="291"/>
      <c r="FU44" s="291"/>
      <c r="FV44" s="291"/>
      <c r="FW44" s="291"/>
      <c r="FX44" s="291"/>
      <c r="FY44" s="291"/>
      <c r="FZ44" s="291"/>
      <c r="GA44" s="291"/>
      <c r="GB44" s="291"/>
      <c r="GC44" s="291"/>
      <c r="GD44" s="291"/>
      <c r="GE44" s="291"/>
      <c r="GF44" s="291"/>
      <c r="GG44" s="291"/>
      <c r="GH44" s="291"/>
      <c r="GI44" s="291"/>
      <c r="GJ44" s="291"/>
      <c r="GK44" s="291"/>
      <c r="GL44" s="291"/>
      <c r="GM44" s="291"/>
      <c r="GN44" s="291"/>
      <c r="GO44" s="291"/>
      <c r="GP44" s="291"/>
      <c r="GQ44" s="291"/>
      <c r="GR44" s="291"/>
      <c r="GS44" s="291"/>
      <c r="GT44" s="291"/>
      <c r="GU44" s="291"/>
      <c r="GV44" s="291"/>
      <c r="GW44" s="291"/>
      <c r="GX44" s="291"/>
      <c r="GY44" s="291"/>
      <c r="GZ44" s="291"/>
      <c r="HA44" s="291"/>
      <c r="HB44" s="291"/>
      <c r="HC44" s="291"/>
      <c r="HD44" s="291"/>
      <c r="HE44" s="291"/>
      <c r="HF44" s="291"/>
      <c r="HG44" s="291"/>
      <c r="HH44" s="291"/>
      <c r="HI44" s="291"/>
      <c r="HJ44" s="291"/>
      <c r="HK44" s="291"/>
      <c r="HL44" s="291"/>
      <c r="HM44" s="291"/>
      <c r="HN44" s="291"/>
      <c r="HO44" s="291"/>
      <c r="HP44" s="291"/>
      <c r="HQ44" s="291"/>
      <c r="HR44" s="291"/>
      <c r="HS44" s="291"/>
      <c r="HT44" s="291"/>
      <c r="HU44" s="291"/>
      <c r="HV44" s="291"/>
      <c r="HW44" s="291"/>
      <c r="HX44" s="291"/>
      <c r="HY44" s="291"/>
      <c r="HZ44" s="291"/>
      <c r="IA44" s="291"/>
      <c r="IB44" s="291"/>
      <c r="IC44" s="291"/>
      <c r="ID44" s="291"/>
      <c r="IE44" s="291"/>
      <c r="IF44" s="291"/>
      <c r="IG44" s="291"/>
      <c r="IH44" s="291"/>
      <c r="II44" s="291"/>
      <c r="IJ44" s="291"/>
      <c r="IK44" s="291"/>
      <c r="IL44" s="291"/>
      <c r="IM44" s="291"/>
      <c r="IN44" s="291"/>
      <c r="IO44" s="291"/>
      <c r="IP44" s="291"/>
      <c r="IQ44" s="291"/>
      <c r="IR44" s="291"/>
      <c r="IS44" s="291"/>
      <c r="IT44" s="291"/>
      <c r="IU44" s="291"/>
      <c r="IV44" s="291"/>
      <c r="IW44" s="291"/>
      <c r="IX44" s="291"/>
      <c r="IY44" s="291"/>
      <c r="IZ44" s="291"/>
      <c r="JA44" s="291"/>
      <c r="JB44" s="291"/>
      <c r="JC44" s="291"/>
      <c r="JD44" s="291"/>
      <c r="JE44" s="291"/>
      <c r="JF44" s="291"/>
      <c r="JG44" s="291"/>
      <c r="JH44" s="291"/>
      <c r="JI44" s="291"/>
      <c r="JJ44" s="291"/>
      <c r="JK44" s="291"/>
      <c r="JL44" s="291"/>
      <c r="JM44" s="291"/>
      <c r="JN44" s="291"/>
      <c r="JO44" s="291"/>
      <c r="JP44" s="291"/>
      <c r="JQ44" s="291"/>
      <c r="JR44" s="291"/>
      <c r="JS44" s="291"/>
      <c r="JT44" s="291"/>
      <c r="JU44" s="291"/>
      <c r="JV44" s="291"/>
      <c r="JW44" s="291"/>
      <c r="JX44" s="291"/>
      <c r="JY44" s="291"/>
      <c r="JZ44" s="291"/>
      <c r="KA44" s="291"/>
      <c r="KB44" s="291"/>
      <c r="KC44" s="291"/>
      <c r="KD44" s="291"/>
      <c r="KE44" s="291"/>
      <c r="KF44" s="291"/>
      <c r="KG44" s="291"/>
      <c r="KH44" s="291"/>
      <c r="KI44" s="291"/>
      <c r="KJ44" s="291"/>
      <c r="KK44" s="291"/>
      <c r="KL44" s="291"/>
      <c r="KM44" s="291"/>
      <c r="KN44" s="291"/>
      <c r="KO44" s="291"/>
      <c r="KP44" s="291"/>
      <c r="KQ44" s="291"/>
      <c r="KR44" s="291"/>
      <c r="KS44" s="291"/>
      <c r="KT44" s="291"/>
      <c r="KU44" s="291"/>
      <c r="KV44" s="291"/>
      <c r="KW44" s="291"/>
      <c r="KX44" s="291"/>
      <c r="KY44" s="291"/>
      <c r="KZ44" s="291"/>
      <c r="LA44" s="291"/>
      <c r="LB44" s="291"/>
      <c r="LC44" s="291"/>
      <c r="LD44" s="291"/>
      <c r="LE44" s="291"/>
      <c r="LF44" s="291"/>
      <c r="LG44" s="291"/>
      <c r="LH44" s="291"/>
      <c r="LI44" s="291"/>
      <c r="LJ44" s="291"/>
      <c r="LK44" s="291"/>
      <c r="LL44" s="291"/>
      <c r="LM44" s="291"/>
      <c r="LN44" s="291"/>
      <c r="LO44" s="291"/>
      <c r="LP44" s="291"/>
      <c r="LQ44" s="291"/>
      <c r="LR44" s="291"/>
      <c r="LS44" s="291"/>
      <c r="LT44" s="291"/>
      <c r="LU44" s="291"/>
      <c r="LV44" s="291"/>
      <c r="LW44" s="291"/>
      <c r="LX44" s="291"/>
      <c r="LY44" s="291"/>
      <c r="LZ44" s="291"/>
      <c r="MA44" s="291"/>
      <c r="MB44" s="291"/>
      <c r="MC44" s="291"/>
      <c r="MD44" s="291"/>
      <c r="ME44" s="291"/>
      <c r="MF44" s="291"/>
      <c r="MG44" s="291"/>
      <c r="MH44" s="291"/>
      <c r="MI44" s="291"/>
      <c r="MJ44" s="291"/>
      <c r="MK44" s="291"/>
      <c r="ML44" s="291"/>
      <c r="MM44" s="291"/>
      <c r="MN44" s="291"/>
      <c r="MO44" s="291"/>
      <c r="MP44" s="291"/>
      <c r="MQ44" s="291"/>
      <c r="MR44" s="291"/>
      <c r="MS44" s="291"/>
      <c r="MT44" s="291"/>
      <c r="MU44" s="291"/>
      <c r="MV44" s="291"/>
      <c r="MW44" s="291"/>
      <c r="MX44" s="291"/>
      <c r="MY44" s="291"/>
      <c r="MZ44" s="291"/>
      <c r="NA44" s="291"/>
      <c r="NB44" s="291"/>
      <c r="NC44" s="291"/>
      <c r="ND44" s="291"/>
      <c r="NE44" s="291"/>
      <c r="NF44" s="291"/>
      <c r="NG44" s="291"/>
      <c r="NH44" s="291"/>
      <c r="NI44" s="291"/>
      <c r="NJ44" s="291"/>
      <c r="NK44" s="291"/>
      <c r="NL44" s="291"/>
      <c r="NM44" s="291"/>
      <c r="NN44" s="291"/>
      <c r="NO44" s="291"/>
      <c r="NP44" s="291"/>
      <c r="NQ44" s="291"/>
      <c r="NR44" s="291"/>
      <c r="NS44" s="291"/>
      <c r="NT44" s="291"/>
      <c r="NU44" s="291"/>
      <c r="NV44" s="291"/>
      <c r="NW44" s="291"/>
      <c r="NX44" s="291"/>
      <c r="NY44" s="291"/>
      <c r="NZ44" s="291"/>
      <c r="OA44" s="291"/>
      <c r="OB44" s="291"/>
      <c r="OC44" s="291"/>
      <c r="OD44" s="291"/>
      <c r="OE44" s="291"/>
      <c r="OF44" s="291"/>
      <c r="OG44" s="291"/>
      <c r="OH44" s="291"/>
      <c r="OI44" s="291"/>
      <c r="OJ44" s="291"/>
      <c r="OK44" s="291"/>
      <c r="OL44" s="291"/>
      <c r="OM44" s="291"/>
      <c r="ON44" s="291"/>
      <c r="OO44" s="291"/>
      <c r="OP44" s="291"/>
      <c r="OQ44" s="291"/>
      <c r="OR44" s="291"/>
      <c r="OS44" s="291"/>
      <c r="OT44" s="291"/>
      <c r="OU44" s="291"/>
      <c r="OV44" s="291"/>
      <c r="OW44" s="291"/>
      <c r="OX44" s="291"/>
      <c r="OY44" s="291"/>
      <c r="OZ44" s="291"/>
      <c r="PA44" s="291"/>
      <c r="PB44" s="291"/>
      <c r="PC44" s="291"/>
      <c r="PD44" s="291"/>
      <c r="PE44" s="291"/>
      <c r="PF44" s="291"/>
      <c r="PG44" s="291"/>
      <c r="PH44" s="291"/>
      <c r="PI44" s="291"/>
      <c r="PJ44" s="291"/>
      <c r="PK44" s="291"/>
      <c r="PL44" s="291"/>
      <c r="PM44" s="291"/>
      <c r="PN44" s="291"/>
      <c r="PO44" s="291"/>
      <c r="PP44" s="291"/>
      <c r="PQ44" s="291"/>
      <c r="PR44" s="291"/>
      <c r="PS44" s="291"/>
      <c r="PT44" s="291"/>
      <c r="PU44" s="291"/>
      <c r="PV44" s="291"/>
      <c r="PW44" s="291"/>
      <c r="PX44" s="291"/>
      <c r="PY44" s="291"/>
      <c r="PZ44" s="291"/>
      <c r="QA44" s="291"/>
      <c r="QB44" s="291"/>
      <c r="QC44" s="291"/>
      <c r="QD44" s="291"/>
      <c r="QE44" s="291"/>
      <c r="QF44" s="291"/>
      <c r="QG44" s="291"/>
      <c r="QH44" s="291"/>
      <c r="QI44" s="291"/>
      <c r="QJ44" s="291"/>
      <c r="QK44" s="291"/>
      <c r="QL44" s="291"/>
      <c r="QM44" s="291"/>
      <c r="QN44" s="291"/>
      <c r="QO44" s="291"/>
      <c r="QP44" s="291"/>
      <c r="QQ44" s="291"/>
      <c r="QR44" s="291"/>
      <c r="QS44" s="291"/>
      <c r="QT44" s="291"/>
      <c r="QU44" s="291"/>
      <c r="QV44" s="291"/>
      <c r="QW44" s="291"/>
      <c r="QX44" s="291"/>
      <c r="QY44" s="291"/>
      <c r="QZ44" s="291"/>
      <c r="RA44" s="291"/>
      <c r="RB44" s="291"/>
      <c r="RC44" s="291"/>
      <c r="RD44" s="291"/>
      <c r="RE44" s="291"/>
      <c r="RF44" s="291"/>
      <c r="RG44" s="291"/>
      <c r="RH44" s="291"/>
      <c r="RI44" s="291"/>
      <c r="RJ44" s="291"/>
      <c r="RK44" s="291"/>
      <c r="RL44" s="291"/>
      <c r="RM44" s="291"/>
      <c r="RN44" s="291"/>
      <c r="RO44" s="291"/>
      <c r="RP44" s="291"/>
      <c r="RQ44" s="291"/>
      <c r="RR44" s="291"/>
      <c r="RS44" s="291"/>
      <c r="RT44" s="291"/>
      <c r="RU44" s="291"/>
      <c r="RV44" s="291"/>
      <c r="RW44" s="291"/>
      <c r="RX44" s="291"/>
      <c r="RY44" s="291"/>
      <c r="RZ44" s="291"/>
      <c r="SA44" s="291"/>
      <c r="SB44" s="291"/>
      <c r="SC44" s="291"/>
      <c r="SD44" s="291"/>
      <c r="SE44" s="291"/>
      <c r="SF44" s="291"/>
      <c r="SG44" s="291"/>
      <c r="SH44" s="291"/>
      <c r="SI44" s="291"/>
      <c r="SJ44" s="291"/>
      <c r="SK44" s="291"/>
      <c r="SL44" s="291"/>
      <c r="SM44" s="291"/>
      <c r="SN44" s="291"/>
      <c r="SO44" s="291"/>
      <c r="SP44" s="291"/>
      <c r="SQ44" s="291"/>
      <c r="SR44" s="291"/>
      <c r="SS44" s="291"/>
      <c r="ST44" s="291"/>
      <c r="SU44" s="291"/>
      <c r="SV44" s="291"/>
      <c r="SW44" s="291"/>
      <c r="SX44" s="291"/>
      <c r="SY44" s="291"/>
      <c r="SZ44" s="291"/>
      <c r="TA44" s="291"/>
      <c r="TB44" s="291"/>
      <c r="TC44" s="291"/>
      <c r="TD44" s="291"/>
      <c r="TE44" s="291"/>
      <c r="TF44" s="291"/>
      <c r="TG44" s="291"/>
      <c r="TH44" s="291"/>
      <c r="TI44" s="291"/>
      <c r="TJ44" s="291"/>
      <c r="TK44" s="291"/>
      <c r="TL44" s="291"/>
      <c r="TM44" s="291"/>
      <c r="TN44" s="291"/>
      <c r="TO44" s="291"/>
      <c r="TP44" s="291"/>
      <c r="TQ44" s="291"/>
      <c r="TR44" s="291"/>
    </row>
    <row r="45" spans="1:538" x14ac:dyDescent="0.25">
      <c r="A45" s="1526" t="s">
        <v>342</v>
      </c>
      <c r="B45" s="1526"/>
      <c r="C45" s="1526"/>
      <c r="D45" s="483" t="s">
        <v>327</v>
      </c>
      <c r="E45" s="482" t="s">
        <v>343</v>
      </c>
      <c r="F45" s="1527"/>
      <c r="G45" s="1527"/>
      <c r="H45" s="1527"/>
      <c r="I45" s="1527"/>
      <c r="J45" s="1527"/>
      <c r="K45" s="1527"/>
      <c r="L45" s="1184" t="s">
        <v>327</v>
      </c>
      <c r="M45" s="1185" t="s">
        <v>343</v>
      </c>
      <c r="N45" s="1513"/>
      <c r="O45" s="1514"/>
      <c r="P45" s="1514"/>
      <c r="Q45" s="1514"/>
      <c r="R45" s="1516"/>
      <c r="S45" s="469"/>
      <c r="T45" s="467" t="s">
        <v>327</v>
      </c>
      <c r="U45" s="1185" t="s">
        <v>343</v>
      </c>
      <c r="V45" s="1513"/>
      <c r="W45" s="1514"/>
      <c r="X45" s="1514"/>
      <c r="Y45" s="1514"/>
      <c r="Z45" s="1514"/>
      <c r="AA45" s="1528"/>
      <c r="AB45" s="467" t="s">
        <v>327</v>
      </c>
      <c r="AC45" s="1185" t="s">
        <v>343</v>
      </c>
      <c r="AD45" s="1513"/>
      <c r="AE45" s="1514"/>
      <c r="AF45" s="1514"/>
      <c r="AG45" s="1514"/>
      <c r="AH45" s="1516"/>
      <c r="AI45" s="469"/>
      <c r="AJ45" s="467" t="s">
        <v>327</v>
      </c>
      <c r="AK45" s="1185" t="s">
        <v>343</v>
      </c>
      <c r="AL45" s="1513"/>
      <c r="AM45" s="1514"/>
      <c r="AN45" s="1514"/>
      <c r="AO45" s="1514"/>
      <c r="AP45" s="1515"/>
      <c r="AQ45" s="318"/>
      <c r="AR45" s="467" t="s">
        <v>327</v>
      </c>
      <c r="AS45" s="1185" t="s">
        <v>343</v>
      </c>
      <c r="AT45" s="1513"/>
      <c r="AU45" s="1514"/>
      <c r="AV45" s="1514"/>
      <c r="AW45" s="1514"/>
      <c r="AX45" s="1514"/>
      <c r="AY45" s="1516"/>
      <c r="AZ45" s="470" t="s">
        <v>327</v>
      </c>
      <c r="BA45" s="474"/>
    </row>
    <row r="46" spans="1:538" x14ac:dyDescent="0.25">
      <c r="A46" s="484"/>
      <c r="B46" s="294" t="s">
        <v>347</v>
      </c>
      <c r="C46" s="485" t="s">
        <v>348</v>
      </c>
      <c r="D46" s="432">
        <v>1920</v>
      </c>
      <c r="E46" s="358">
        <v>170</v>
      </c>
      <c r="F46" s="1460"/>
      <c r="G46" s="1461"/>
      <c r="H46" s="1461"/>
      <c r="I46" s="1461"/>
      <c r="J46" s="1461"/>
      <c r="K46" s="477">
        <f>D46*E46</f>
        <v>326400</v>
      </c>
      <c r="L46" s="432">
        <v>1920</v>
      </c>
      <c r="M46" s="358">
        <v>170</v>
      </c>
      <c r="N46" s="1460"/>
      <c r="O46" s="1461"/>
      <c r="P46" s="1461"/>
      <c r="Q46" s="1461"/>
      <c r="R46" s="1462"/>
      <c r="S46" s="300">
        <f>L46*M46</f>
        <v>326400</v>
      </c>
      <c r="T46" s="357">
        <v>1920</v>
      </c>
      <c r="U46" s="358">
        <v>170</v>
      </c>
      <c r="V46" s="1460"/>
      <c r="W46" s="1461"/>
      <c r="X46" s="1461"/>
      <c r="Y46" s="1461"/>
      <c r="Z46" s="1462"/>
      <c r="AA46" s="300">
        <f>T46*U46</f>
        <v>326400</v>
      </c>
      <c r="AB46" s="357">
        <v>1920</v>
      </c>
      <c r="AC46" s="358">
        <v>170</v>
      </c>
      <c r="AD46" s="1460"/>
      <c r="AE46" s="1461"/>
      <c r="AF46" s="1461"/>
      <c r="AG46" s="1461"/>
      <c r="AH46" s="1462"/>
      <c r="AI46" s="300">
        <f>AB46*AC46</f>
        <v>326400</v>
      </c>
      <c r="AJ46" s="357">
        <v>1920</v>
      </c>
      <c r="AK46" s="358">
        <v>170</v>
      </c>
      <c r="AL46" s="1517"/>
      <c r="AM46" s="1518"/>
      <c r="AN46" s="1518"/>
      <c r="AO46" s="1518"/>
      <c r="AP46" s="1519"/>
      <c r="AQ46" s="300">
        <f>AJ46*AK46</f>
        <v>326400</v>
      </c>
      <c r="AR46" s="357">
        <v>1920</v>
      </c>
      <c r="AS46" s="358">
        <v>170</v>
      </c>
      <c r="AT46" s="1460"/>
      <c r="AU46" s="1461"/>
      <c r="AV46" s="1461"/>
      <c r="AW46" s="1461"/>
      <c r="AX46" s="1462"/>
      <c r="AY46" s="460">
        <f>AR46*AS46</f>
        <v>326400</v>
      </c>
      <c r="AZ46" s="463">
        <f>SUM(D46,L46,T46,AB46,AJ46,AR46)</f>
        <v>11520</v>
      </c>
      <c r="BA46" s="431">
        <f>K46+S46+AA46+AI46+AQ46+AY46</f>
        <v>1958400</v>
      </c>
    </row>
    <row r="47" spans="1:538" x14ac:dyDescent="0.25">
      <c r="A47" s="484"/>
      <c r="B47" s="294" t="s">
        <v>349</v>
      </c>
      <c r="C47" s="485" t="s">
        <v>348</v>
      </c>
      <c r="D47" s="432">
        <v>1920</v>
      </c>
      <c r="E47" s="358">
        <v>150</v>
      </c>
      <c r="F47" s="1460"/>
      <c r="G47" s="1461"/>
      <c r="H47" s="1461"/>
      <c r="I47" s="1461"/>
      <c r="J47" s="1461"/>
      <c r="K47" s="477">
        <f>D47*E47</f>
        <v>288000</v>
      </c>
      <c r="L47" s="432">
        <v>1920</v>
      </c>
      <c r="M47" s="358">
        <v>150</v>
      </c>
      <c r="N47" s="1460"/>
      <c r="O47" s="1461"/>
      <c r="P47" s="1461"/>
      <c r="Q47" s="1461"/>
      <c r="R47" s="1462"/>
      <c r="S47" s="300">
        <f>L47*M47</f>
        <v>288000</v>
      </c>
      <c r="T47" s="357">
        <v>1920</v>
      </c>
      <c r="U47" s="358">
        <v>150</v>
      </c>
      <c r="V47" s="1460"/>
      <c r="W47" s="1461"/>
      <c r="X47" s="1461"/>
      <c r="Y47" s="1461"/>
      <c r="Z47" s="1462"/>
      <c r="AA47" s="300">
        <f>T47*U47</f>
        <v>288000</v>
      </c>
      <c r="AB47" s="357">
        <v>1920</v>
      </c>
      <c r="AC47" s="358">
        <v>150</v>
      </c>
      <c r="AD47" s="1460"/>
      <c r="AE47" s="1461"/>
      <c r="AF47" s="1461"/>
      <c r="AG47" s="1461"/>
      <c r="AH47" s="1462"/>
      <c r="AI47" s="300">
        <f>AB47*AC47</f>
        <v>288000</v>
      </c>
      <c r="AJ47" s="357">
        <v>1920</v>
      </c>
      <c r="AK47" s="358">
        <v>150</v>
      </c>
      <c r="AL47" s="1520"/>
      <c r="AM47" s="1521"/>
      <c r="AN47" s="1521"/>
      <c r="AO47" s="1521"/>
      <c r="AP47" s="1522"/>
      <c r="AQ47" s="300">
        <f>AJ47*AK47</f>
        <v>288000</v>
      </c>
      <c r="AR47" s="357">
        <v>1920</v>
      </c>
      <c r="AS47" s="358">
        <v>150</v>
      </c>
      <c r="AT47" s="1460"/>
      <c r="AU47" s="1461"/>
      <c r="AV47" s="1461"/>
      <c r="AW47" s="1461"/>
      <c r="AX47" s="1462"/>
      <c r="AY47" s="406">
        <f>AR47*AS47</f>
        <v>288000</v>
      </c>
      <c r="AZ47" s="463">
        <f>SUM(D47,L47,T47,AB47,AJ47,AR47)</f>
        <v>11520</v>
      </c>
      <c r="BA47" s="431">
        <f>K47+S47+AA47+AI47+AQ47+AY47</f>
        <v>1728000</v>
      </c>
    </row>
    <row r="48" spans="1:538" x14ac:dyDescent="0.25">
      <c r="A48" s="484"/>
      <c r="B48" s="294" t="s">
        <v>350</v>
      </c>
      <c r="C48" s="485" t="s">
        <v>348</v>
      </c>
      <c r="D48" s="432">
        <v>1920</v>
      </c>
      <c r="E48" s="358">
        <v>100</v>
      </c>
      <c r="F48" s="1460"/>
      <c r="G48" s="1461"/>
      <c r="H48" s="1461"/>
      <c r="I48" s="1461"/>
      <c r="J48" s="1461"/>
      <c r="K48" s="477">
        <f>D48*E48</f>
        <v>192000</v>
      </c>
      <c r="L48" s="432">
        <v>1920</v>
      </c>
      <c r="M48" s="358">
        <v>100</v>
      </c>
      <c r="N48" s="1460"/>
      <c r="O48" s="1461"/>
      <c r="P48" s="1461"/>
      <c r="Q48" s="1461"/>
      <c r="R48" s="1462"/>
      <c r="S48" s="300">
        <f>L48*M48</f>
        <v>192000</v>
      </c>
      <c r="T48" s="357">
        <v>1920</v>
      </c>
      <c r="U48" s="358">
        <v>100</v>
      </c>
      <c r="V48" s="1460"/>
      <c r="W48" s="1461"/>
      <c r="X48" s="1461"/>
      <c r="Y48" s="1461"/>
      <c r="Z48" s="1462"/>
      <c r="AA48" s="300">
        <f>T48*U48</f>
        <v>192000</v>
      </c>
      <c r="AB48" s="357">
        <v>1920</v>
      </c>
      <c r="AC48" s="358">
        <v>100</v>
      </c>
      <c r="AD48" s="1460"/>
      <c r="AE48" s="1461"/>
      <c r="AF48" s="1461"/>
      <c r="AG48" s="1461"/>
      <c r="AH48" s="1462"/>
      <c r="AI48" s="300">
        <f>AB48*AC48</f>
        <v>192000</v>
      </c>
      <c r="AJ48" s="357">
        <v>1920</v>
      </c>
      <c r="AK48" s="358">
        <v>100</v>
      </c>
      <c r="AL48" s="1520"/>
      <c r="AM48" s="1521"/>
      <c r="AN48" s="1521"/>
      <c r="AO48" s="1521"/>
      <c r="AP48" s="1522"/>
      <c r="AQ48" s="300">
        <f>AJ48*AK48</f>
        <v>192000</v>
      </c>
      <c r="AR48" s="357">
        <v>1920</v>
      </c>
      <c r="AS48" s="358">
        <v>100</v>
      </c>
      <c r="AT48" s="1460"/>
      <c r="AU48" s="1461"/>
      <c r="AV48" s="1461"/>
      <c r="AW48" s="1461"/>
      <c r="AX48" s="1462"/>
      <c r="AY48" s="406">
        <f>AR48*AS48</f>
        <v>192000</v>
      </c>
      <c r="AZ48" s="463">
        <f>SUM(D48,L48,T48,AB48,AJ48,AR48)</f>
        <v>11520</v>
      </c>
      <c r="BA48" s="431">
        <f>K48+S48+AA48+AI48+AQ48+AY48</f>
        <v>1152000</v>
      </c>
    </row>
    <row r="49" spans="1:538" x14ac:dyDescent="0.25">
      <c r="A49" s="484"/>
      <c r="B49" s="296" t="s">
        <v>450</v>
      </c>
      <c r="C49" s="485" t="s">
        <v>348</v>
      </c>
      <c r="D49" s="432">
        <v>0</v>
      </c>
      <c r="E49" s="358">
        <v>0</v>
      </c>
      <c r="F49" s="1435"/>
      <c r="G49" s="1436"/>
      <c r="H49" s="1436"/>
      <c r="I49" s="1436"/>
      <c r="J49" s="1436"/>
      <c r="K49" s="477">
        <f>D49*E49</f>
        <v>0</v>
      </c>
      <c r="L49" s="432">
        <v>0</v>
      </c>
      <c r="M49" s="358">
        <v>0</v>
      </c>
      <c r="N49" s="1435"/>
      <c r="O49" s="1436"/>
      <c r="P49" s="1436"/>
      <c r="Q49" s="1436"/>
      <c r="R49" s="1438"/>
      <c r="S49" s="300">
        <f>L49*M49</f>
        <v>0</v>
      </c>
      <c r="T49" s="432">
        <v>0</v>
      </c>
      <c r="U49" s="358">
        <v>0</v>
      </c>
      <c r="V49" s="1435"/>
      <c r="W49" s="1436"/>
      <c r="X49" s="1436"/>
      <c r="Y49" s="1436"/>
      <c r="Z49" s="1438"/>
      <c r="AA49" s="300">
        <f>T49*U49</f>
        <v>0</v>
      </c>
      <c r="AB49" s="432">
        <v>0</v>
      </c>
      <c r="AC49" s="358">
        <v>0</v>
      </c>
      <c r="AD49" s="1435"/>
      <c r="AE49" s="1436"/>
      <c r="AF49" s="1436"/>
      <c r="AG49" s="1436"/>
      <c r="AH49" s="1438"/>
      <c r="AI49" s="300">
        <f>AB49*AC49</f>
        <v>0</v>
      </c>
      <c r="AJ49" s="432">
        <v>0</v>
      </c>
      <c r="AK49" s="358">
        <v>0</v>
      </c>
      <c r="AL49" s="1523"/>
      <c r="AM49" s="1524"/>
      <c r="AN49" s="1524"/>
      <c r="AO49" s="1524"/>
      <c r="AP49" s="1525"/>
      <c r="AQ49" s="300">
        <f>AJ49*AK49</f>
        <v>0</v>
      </c>
      <c r="AR49" s="437">
        <v>0</v>
      </c>
      <c r="AS49" s="434">
        <v>0</v>
      </c>
      <c r="AT49" s="1435"/>
      <c r="AU49" s="1436"/>
      <c r="AV49" s="1436"/>
      <c r="AW49" s="1436"/>
      <c r="AX49" s="1438"/>
      <c r="AY49" s="406">
        <f>AR49*AS49</f>
        <v>0</v>
      </c>
      <c r="AZ49" s="463">
        <f>SUM(D49,L49,T49,AB49,AJ49,AR49)</f>
        <v>0</v>
      </c>
      <c r="BA49" s="431">
        <f>K49+S49+AA49+AI49+AQ49+AY49</f>
        <v>0</v>
      </c>
    </row>
    <row r="50" spans="1:538" s="360" customFormat="1" x14ac:dyDescent="0.25">
      <c r="A50" s="1511" t="s">
        <v>254</v>
      </c>
      <c r="B50" s="1511"/>
      <c r="C50" s="1511"/>
      <c r="D50" s="1512"/>
      <c r="E50" s="1512"/>
      <c r="F50" s="1512"/>
      <c r="G50" s="1512"/>
      <c r="H50" s="1512"/>
      <c r="I50" s="1512"/>
      <c r="J50" s="1512"/>
      <c r="K50" s="494">
        <f>SUM(K45:K49)</f>
        <v>806400</v>
      </c>
      <c r="L50" s="1502"/>
      <c r="M50" s="1502"/>
      <c r="N50" s="1502"/>
      <c r="O50" s="1502"/>
      <c r="P50" s="1502"/>
      <c r="Q50" s="1502"/>
      <c r="R50" s="1503"/>
      <c r="S50" s="468">
        <f>SUM(S45:S49)</f>
        <v>806400</v>
      </c>
      <c r="T50" s="1501"/>
      <c r="U50" s="1502"/>
      <c r="V50" s="1502"/>
      <c r="W50" s="1502"/>
      <c r="X50" s="1502"/>
      <c r="Y50" s="1502"/>
      <c r="Z50" s="1503"/>
      <c r="AA50" s="468">
        <f>SUM(AA45:AA49)</f>
        <v>806400</v>
      </c>
      <c r="AB50" s="1501"/>
      <c r="AC50" s="1502"/>
      <c r="AD50" s="1502"/>
      <c r="AE50" s="1502"/>
      <c r="AF50" s="1502"/>
      <c r="AG50" s="1502"/>
      <c r="AH50" s="1503"/>
      <c r="AI50" s="468">
        <f>SUM(AI45:AI49)</f>
        <v>806400</v>
      </c>
      <c r="AJ50" s="1501"/>
      <c r="AK50" s="1502"/>
      <c r="AL50" s="1502"/>
      <c r="AM50" s="1502"/>
      <c r="AN50" s="1502"/>
      <c r="AO50" s="1502"/>
      <c r="AP50" s="1503"/>
      <c r="AQ50" s="468">
        <f>SUM(AQ45:AQ49)</f>
        <v>806400</v>
      </c>
      <c r="AR50" s="1501"/>
      <c r="AS50" s="1502"/>
      <c r="AT50" s="1502"/>
      <c r="AU50" s="1502"/>
      <c r="AV50" s="1502"/>
      <c r="AW50" s="1502"/>
      <c r="AX50" s="1503"/>
      <c r="AY50" s="471">
        <f>SUM(AY45:AY49)</f>
        <v>806400</v>
      </c>
      <c r="AZ50" s="472">
        <f>SUM(AZ46:AZ49)</f>
        <v>34560</v>
      </c>
      <c r="BA50" s="473">
        <f>K50+S50+AA50+AI50+AQ50+AY50</f>
        <v>4838400</v>
      </c>
      <c r="BB50" s="291"/>
      <c r="BC50" s="291"/>
      <c r="BD50" s="291"/>
      <c r="BE50" s="291"/>
      <c r="BF50" s="291"/>
      <c r="BG50" s="291"/>
      <c r="BH50" s="291"/>
      <c r="BI50" s="291"/>
      <c r="BJ50" s="291"/>
      <c r="BK50" s="291"/>
      <c r="BL50" s="291"/>
      <c r="BM50" s="291"/>
      <c r="BN50" s="291"/>
      <c r="BO50" s="291"/>
      <c r="BP50" s="291"/>
      <c r="BQ50" s="291"/>
      <c r="BR50" s="291"/>
      <c r="BS50" s="291"/>
      <c r="BT50" s="291"/>
      <c r="BU50" s="291"/>
      <c r="BV50" s="291"/>
      <c r="BW50" s="291"/>
      <c r="BX50" s="291"/>
      <c r="BY50" s="291"/>
      <c r="BZ50" s="291"/>
      <c r="CA50" s="291"/>
      <c r="CB50" s="291"/>
      <c r="CC50" s="291"/>
      <c r="CD50" s="291"/>
      <c r="CE50" s="291"/>
      <c r="CF50" s="291"/>
      <c r="CG50" s="291"/>
      <c r="CH50" s="291"/>
      <c r="CI50" s="291"/>
      <c r="CJ50" s="291"/>
      <c r="CK50" s="291"/>
      <c r="CL50" s="291"/>
      <c r="CM50" s="291"/>
      <c r="CN50" s="291"/>
      <c r="CO50" s="291"/>
      <c r="CP50" s="291"/>
      <c r="CQ50" s="291"/>
      <c r="CR50" s="291"/>
      <c r="CS50" s="291"/>
      <c r="CT50" s="291"/>
      <c r="CU50" s="291"/>
      <c r="CV50" s="291"/>
      <c r="CW50" s="291"/>
      <c r="CX50" s="291"/>
      <c r="CY50" s="291"/>
      <c r="CZ50" s="291"/>
      <c r="DA50" s="291"/>
      <c r="DB50" s="291"/>
      <c r="DC50" s="291"/>
      <c r="DD50" s="291"/>
      <c r="DE50" s="291"/>
      <c r="DF50" s="291"/>
      <c r="DG50" s="291"/>
      <c r="DH50" s="291"/>
      <c r="DI50" s="291"/>
      <c r="DJ50" s="291"/>
      <c r="DK50" s="291"/>
      <c r="DL50" s="291"/>
      <c r="DM50" s="291"/>
      <c r="DN50" s="291"/>
      <c r="DO50" s="291"/>
      <c r="DP50" s="291"/>
      <c r="DQ50" s="291"/>
      <c r="DR50" s="291"/>
      <c r="DS50" s="291"/>
      <c r="DT50" s="291"/>
      <c r="DU50" s="291"/>
      <c r="DV50" s="291"/>
      <c r="DW50" s="291"/>
      <c r="DX50" s="291"/>
      <c r="DY50" s="291"/>
      <c r="DZ50" s="291"/>
      <c r="EA50" s="291"/>
      <c r="EB50" s="291"/>
      <c r="EC50" s="291"/>
      <c r="ED50" s="291"/>
      <c r="EE50" s="291"/>
      <c r="EF50" s="291"/>
      <c r="EG50" s="291"/>
      <c r="EH50" s="291"/>
      <c r="EI50" s="291"/>
      <c r="EJ50" s="291"/>
      <c r="EK50" s="291"/>
      <c r="EL50" s="291"/>
      <c r="EM50" s="291"/>
      <c r="EN50" s="291"/>
      <c r="EO50" s="291"/>
      <c r="EP50" s="291"/>
      <c r="EQ50" s="291"/>
      <c r="ER50" s="291"/>
      <c r="ES50" s="291"/>
      <c r="ET50" s="291"/>
      <c r="EU50" s="291"/>
      <c r="EV50" s="291"/>
      <c r="EW50" s="291"/>
      <c r="EX50" s="291"/>
      <c r="EY50" s="291"/>
      <c r="EZ50" s="291"/>
      <c r="FA50" s="291"/>
      <c r="FB50" s="291"/>
      <c r="FC50" s="291"/>
      <c r="FD50" s="291"/>
      <c r="FE50" s="291"/>
      <c r="FF50" s="291"/>
      <c r="FG50" s="291"/>
      <c r="FH50" s="291"/>
      <c r="FI50" s="291"/>
      <c r="FJ50" s="291"/>
      <c r="FK50" s="291"/>
      <c r="FL50" s="291"/>
      <c r="FM50" s="291"/>
      <c r="FN50" s="291"/>
      <c r="FO50" s="291"/>
      <c r="FP50" s="291"/>
      <c r="FQ50" s="291"/>
      <c r="FR50" s="291"/>
      <c r="FS50" s="291"/>
      <c r="FT50" s="291"/>
      <c r="FU50" s="291"/>
      <c r="FV50" s="291"/>
      <c r="FW50" s="291"/>
      <c r="FX50" s="291"/>
      <c r="FY50" s="291"/>
      <c r="FZ50" s="291"/>
      <c r="GA50" s="291"/>
      <c r="GB50" s="291"/>
      <c r="GC50" s="291"/>
      <c r="GD50" s="291"/>
      <c r="GE50" s="291"/>
      <c r="GF50" s="291"/>
      <c r="GG50" s="291"/>
      <c r="GH50" s="291"/>
      <c r="GI50" s="291"/>
      <c r="GJ50" s="291"/>
      <c r="GK50" s="291"/>
      <c r="GL50" s="291"/>
      <c r="GM50" s="291"/>
      <c r="GN50" s="291"/>
      <c r="GO50" s="291"/>
      <c r="GP50" s="291"/>
      <c r="GQ50" s="291"/>
      <c r="GR50" s="291"/>
      <c r="GS50" s="291"/>
      <c r="GT50" s="291"/>
      <c r="GU50" s="291"/>
      <c r="GV50" s="291"/>
      <c r="GW50" s="291"/>
      <c r="GX50" s="291"/>
      <c r="GY50" s="291"/>
      <c r="GZ50" s="291"/>
      <c r="HA50" s="291"/>
      <c r="HB50" s="291"/>
      <c r="HC50" s="291"/>
      <c r="HD50" s="291"/>
      <c r="HE50" s="291"/>
      <c r="HF50" s="291"/>
      <c r="HG50" s="291"/>
      <c r="HH50" s="291"/>
      <c r="HI50" s="291"/>
      <c r="HJ50" s="291"/>
      <c r="HK50" s="291"/>
      <c r="HL50" s="291"/>
      <c r="HM50" s="291"/>
      <c r="HN50" s="291"/>
      <c r="HO50" s="291"/>
      <c r="HP50" s="291"/>
      <c r="HQ50" s="291"/>
      <c r="HR50" s="291"/>
      <c r="HS50" s="291"/>
      <c r="HT50" s="291"/>
      <c r="HU50" s="291"/>
      <c r="HV50" s="291"/>
      <c r="HW50" s="291"/>
      <c r="HX50" s="291"/>
      <c r="HY50" s="291"/>
      <c r="HZ50" s="291"/>
      <c r="IA50" s="291"/>
      <c r="IB50" s="291"/>
      <c r="IC50" s="291"/>
      <c r="ID50" s="291"/>
      <c r="IE50" s="291"/>
      <c r="IF50" s="291"/>
      <c r="IG50" s="291"/>
      <c r="IH50" s="291"/>
      <c r="II50" s="291"/>
      <c r="IJ50" s="291"/>
      <c r="IK50" s="291"/>
      <c r="IL50" s="291"/>
      <c r="IM50" s="291"/>
      <c r="IN50" s="291"/>
      <c r="IO50" s="291"/>
      <c r="IP50" s="291"/>
      <c r="IQ50" s="291"/>
      <c r="IR50" s="291"/>
      <c r="IS50" s="291"/>
      <c r="IT50" s="291"/>
      <c r="IU50" s="291"/>
      <c r="IV50" s="291"/>
      <c r="IW50" s="291"/>
      <c r="IX50" s="291"/>
      <c r="IY50" s="291"/>
      <c r="IZ50" s="291"/>
      <c r="JA50" s="291"/>
      <c r="JB50" s="291"/>
      <c r="JC50" s="291"/>
      <c r="JD50" s="291"/>
      <c r="JE50" s="291"/>
      <c r="JF50" s="291"/>
      <c r="JG50" s="291"/>
      <c r="JH50" s="291"/>
      <c r="JI50" s="291"/>
      <c r="JJ50" s="291"/>
      <c r="JK50" s="291"/>
      <c r="JL50" s="291"/>
      <c r="JM50" s="291"/>
      <c r="JN50" s="291"/>
      <c r="JO50" s="291"/>
      <c r="JP50" s="291"/>
      <c r="JQ50" s="291"/>
      <c r="JR50" s="291"/>
      <c r="JS50" s="291"/>
      <c r="JT50" s="291"/>
      <c r="JU50" s="291"/>
      <c r="JV50" s="291"/>
      <c r="JW50" s="291"/>
      <c r="JX50" s="291"/>
      <c r="JY50" s="291"/>
      <c r="JZ50" s="291"/>
      <c r="KA50" s="291"/>
      <c r="KB50" s="291"/>
      <c r="KC50" s="291"/>
      <c r="KD50" s="291"/>
      <c r="KE50" s="291"/>
      <c r="KF50" s="291"/>
      <c r="KG50" s="291"/>
      <c r="KH50" s="291"/>
      <c r="KI50" s="291"/>
      <c r="KJ50" s="291"/>
      <c r="KK50" s="291"/>
      <c r="KL50" s="291"/>
      <c r="KM50" s="291"/>
      <c r="KN50" s="291"/>
      <c r="KO50" s="291"/>
      <c r="KP50" s="291"/>
      <c r="KQ50" s="291"/>
      <c r="KR50" s="291"/>
      <c r="KS50" s="291"/>
      <c r="KT50" s="291"/>
      <c r="KU50" s="291"/>
      <c r="KV50" s="291"/>
      <c r="KW50" s="291"/>
      <c r="KX50" s="291"/>
      <c r="KY50" s="291"/>
      <c r="KZ50" s="291"/>
      <c r="LA50" s="291"/>
      <c r="LB50" s="291"/>
      <c r="LC50" s="291"/>
      <c r="LD50" s="291"/>
      <c r="LE50" s="291"/>
      <c r="LF50" s="291"/>
      <c r="LG50" s="291"/>
      <c r="LH50" s="291"/>
      <c r="LI50" s="291"/>
      <c r="LJ50" s="291"/>
      <c r="LK50" s="291"/>
      <c r="LL50" s="291"/>
      <c r="LM50" s="291"/>
      <c r="LN50" s="291"/>
      <c r="LO50" s="291"/>
      <c r="LP50" s="291"/>
      <c r="LQ50" s="291"/>
      <c r="LR50" s="291"/>
      <c r="LS50" s="291"/>
      <c r="LT50" s="291"/>
      <c r="LU50" s="291"/>
      <c r="LV50" s="291"/>
      <c r="LW50" s="291"/>
      <c r="LX50" s="291"/>
      <c r="LY50" s="291"/>
      <c r="LZ50" s="291"/>
      <c r="MA50" s="291"/>
      <c r="MB50" s="291"/>
      <c r="MC50" s="291"/>
      <c r="MD50" s="291"/>
      <c r="ME50" s="291"/>
      <c r="MF50" s="291"/>
      <c r="MG50" s="291"/>
      <c r="MH50" s="291"/>
      <c r="MI50" s="291"/>
      <c r="MJ50" s="291"/>
      <c r="MK50" s="291"/>
      <c r="ML50" s="291"/>
      <c r="MM50" s="291"/>
      <c r="MN50" s="291"/>
      <c r="MO50" s="291"/>
      <c r="MP50" s="291"/>
      <c r="MQ50" s="291"/>
      <c r="MR50" s="291"/>
      <c r="MS50" s="291"/>
      <c r="MT50" s="291"/>
      <c r="MU50" s="291"/>
      <c r="MV50" s="291"/>
      <c r="MW50" s="291"/>
      <c r="MX50" s="291"/>
      <c r="MY50" s="291"/>
      <c r="MZ50" s="291"/>
      <c r="NA50" s="291"/>
      <c r="NB50" s="291"/>
      <c r="NC50" s="291"/>
      <c r="ND50" s="291"/>
      <c r="NE50" s="291"/>
      <c r="NF50" s="291"/>
      <c r="NG50" s="291"/>
      <c r="NH50" s="291"/>
      <c r="NI50" s="291"/>
      <c r="NJ50" s="291"/>
      <c r="NK50" s="291"/>
      <c r="NL50" s="291"/>
      <c r="NM50" s="291"/>
      <c r="NN50" s="291"/>
      <c r="NO50" s="291"/>
      <c r="NP50" s="291"/>
      <c r="NQ50" s="291"/>
      <c r="NR50" s="291"/>
      <c r="NS50" s="291"/>
      <c r="NT50" s="291"/>
      <c r="NU50" s="291"/>
      <c r="NV50" s="291"/>
      <c r="NW50" s="291"/>
      <c r="NX50" s="291"/>
      <c r="NY50" s="291"/>
      <c r="NZ50" s="291"/>
      <c r="OA50" s="291"/>
      <c r="OB50" s="291"/>
      <c r="OC50" s="291"/>
      <c r="OD50" s="291"/>
      <c r="OE50" s="291"/>
      <c r="OF50" s="291"/>
      <c r="OG50" s="291"/>
      <c r="OH50" s="291"/>
      <c r="OI50" s="291"/>
      <c r="OJ50" s="291"/>
      <c r="OK50" s="291"/>
      <c r="OL50" s="291"/>
      <c r="OM50" s="291"/>
      <c r="ON50" s="291"/>
      <c r="OO50" s="291"/>
      <c r="OP50" s="291"/>
      <c r="OQ50" s="291"/>
      <c r="OR50" s="291"/>
      <c r="OS50" s="291"/>
      <c r="OT50" s="291"/>
      <c r="OU50" s="291"/>
      <c r="OV50" s="291"/>
      <c r="OW50" s="291"/>
      <c r="OX50" s="291"/>
      <c r="OY50" s="291"/>
      <c r="OZ50" s="291"/>
      <c r="PA50" s="291"/>
      <c r="PB50" s="291"/>
      <c r="PC50" s="291"/>
      <c r="PD50" s="291"/>
      <c r="PE50" s="291"/>
      <c r="PF50" s="291"/>
      <c r="PG50" s="291"/>
      <c r="PH50" s="291"/>
      <c r="PI50" s="291"/>
      <c r="PJ50" s="291"/>
      <c r="PK50" s="291"/>
      <c r="PL50" s="291"/>
      <c r="PM50" s="291"/>
      <c r="PN50" s="291"/>
      <c r="PO50" s="291"/>
      <c r="PP50" s="291"/>
      <c r="PQ50" s="291"/>
      <c r="PR50" s="291"/>
      <c r="PS50" s="291"/>
      <c r="PT50" s="291"/>
      <c r="PU50" s="291"/>
      <c r="PV50" s="291"/>
      <c r="PW50" s="291"/>
      <c r="PX50" s="291"/>
      <c r="PY50" s="291"/>
      <c r="PZ50" s="291"/>
      <c r="QA50" s="291"/>
      <c r="QB50" s="291"/>
      <c r="QC50" s="291"/>
      <c r="QD50" s="291"/>
      <c r="QE50" s="291"/>
      <c r="QF50" s="291"/>
      <c r="QG50" s="291"/>
      <c r="QH50" s="291"/>
      <c r="QI50" s="291"/>
      <c r="QJ50" s="291"/>
      <c r="QK50" s="291"/>
      <c r="QL50" s="291"/>
      <c r="QM50" s="291"/>
      <c r="QN50" s="291"/>
      <c r="QO50" s="291"/>
      <c r="QP50" s="291"/>
      <c r="QQ50" s="291"/>
      <c r="QR50" s="291"/>
      <c r="QS50" s="291"/>
      <c r="QT50" s="291"/>
      <c r="QU50" s="291"/>
      <c r="QV50" s="291"/>
      <c r="QW50" s="291"/>
      <c r="QX50" s="291"/>
      <c r="QY50" s="291"/>
      <c r="QZ50" s="291"/>
      <c r="RA50" s="291"/>
      <c r="RB50" s="291"/>
      <c r="RC50" s="291"/>
      <c r="RD50" s="291"/>
      <c r="RE50" s="291"/>
      <c r="RF50" s="291"/>
      <c r="RG50" s="291"/>
      <c r="RH50" s="291"/>
      <c r="RI50" s="291"/>
      <c r="RJ50" s="291"/>
      <c r="RK50" s="291"/>
      <c r="RL50" s="291"/>
      <c r="RM50" s="291"/>
      <c r="RN50" s="291"/>
      <c r="RO50" s="291"/>
      <c r="RP50" s="291"/>
      <c r="RQ50" s="291"/>
      <c r="RR50" s="291"/>
      <c r="RS50" s="291"/>
      <c r="RT50" s="291"/>
      <c r="RU50" s="291"/>
      <c r="RV50" s="291"/>
      <c r="RW50" s="291"/>
      <c r="RX50" s="291"/>
      <c r="RY50" s="291"/>
      <c r="RZ50" s="291"/>
      <c r="SA50" s="291"/>
      <c r="SB50" s="291"/>
      <c r="SC50" s="291"/>
      <c r="SD50" s="291"/>
      <c r="SE50" s="291"/>
      <c r="SF50" s="291"/>
      <c r="SG50" s="291"/>
      <c r="SH50" s="291"/>
      <c r="SI50" s="291"/>
      <c r="SJ50" s="291"/>
      <c r="SK50" s="291"/>
      <c r="SL50" s="291"/>
      <c r="SM50" s="291"/>
      <c r="SN50" s="291"/>
      <c r="SO50" s="291"/>
      <c r="SP50" s="291"/>
      <c r="SQ50" s="291"/>
      <c r="SR50" s="291"/>
      <c r="SS50" s="291"/>
      <c r="ST50" s="291"/>
      <c r="SU50" s="291"/>
      <c r="SV50" s="291"/>
      <c r="SW50" s="291"/>
      <c r="SX50" s="291"/>
      <c r="SY50" s="291"/>
      <c r="SZ50" s="291"/>
      <c r="TA50" s="291"/>
      <c r="TB50" s="291"/>
      <c r="TC50" s="291"/>
      <c r="TD50" s="291"/>
      <c r="TE50" s="291"/>
      <c r="TF50" s="291"/>
      <c r="TG50" s="291"/>
      <c r="TH50" s="291"/>
      <c r="TI50" s="291"/>
      <c r="TJ50" s="291"/>
      <c r="TK50" s="291"/>
      <c r="TL50" s="291"/>
      <c r="TM50" s="291"/>
      <c r="TN50" s="291"/>
      <c r="TO50" s="291"/>
      <c r="TP50" s="291"/>
      <c r="TQ50" s="291"/>
      <c r="TR50" s="291"/>
    </row>
    <row r="51" spans="1:538" s="363" customFormat="1" x14ac:dyDescent="0.25">
      <c r="A51" s="1504" t="s">
        <v>352</v>
      </c>
      <c r="B51" s="1505"/>
      <c r="C51" s="1505"/>
      <c r="D51" s="1506"/>
      <c r="E51" s="1507"/>
      <c r="F51" s="1507"/>
      <c r="G51" s="1507"/>
      <c r="H51" s="1507"/>
      <c r="I51" s="1507"/>
      <c r="J51" s="1508"/>
      <c r="K51" s="496"/>
      <c r="L51" s="1494"/>
      <c r="M51" s="1494"/>
      <c r="N51" s="1494"/>
      <c r="O51" s="1494"/>
      <c r="P51" s="1494"/>
      <c r="Q51" s="1494"/>
      <c r="R51" s="1495"/>
      <c r="S51" s="346"/>
      <c r="T51" s="1496"/>
      <c r="U51" s="1494"/>
      <c r="V51" s="1494"/>
      <c r="W51" s="1494"/>
      <c r="X51" s="1494"/>
      <c r="Y51" s="1494"/>
      <c r="Z51" s="1494"/>
      <c r="AA51" s="1509"/>
      <c r="AB51" s="1496"/>
      <c r="AC51" s="1494"/>
      <c r="AD51" s="1494"/>
      <c r="AE51" s="1494"/>
      <c r="AF51" s="1494"/>
      <c r="AG51" s="1494"/>
      <c r="AH51" s="1495"/>
      <c r="AI51" s="346"/>
      <c r="AJ51" s="1496"/>
      <c r="AK51" s="1494"/>
      <c r="AL51" s="1494"/>
      <c r="AM51" s="1494"/>
      <c r="AN51" s="1494"/>
      <c r="AO51" s="1494"/>
      <c r="AP51" s="1495"/>
      <c r="AQ51" s="346"/>
      <c r="AR51" s="1496"/>
      <c r="AS51" s="1494"/>
      <c r="AT51" s="1494"/>
      <c r="AU51" s="1494"/>
      <c r="AV51" s="1494"/>
      <c r="AW51" s="1494"/>
      <c r="AX51" s="1494"/>
      <c r="AY51" s="1494"/>
      <c r="AZ51" s="1507"/>
      <c r="BA51" s="1510"/>
      <c r="BB51" s="291"/>
      <c r="BC51" s="291"/>
      <c r="BD51" s="291"/>
      <c r="BE51" s="291"/>
      <c r="BF51" s="291"/>
      <c r="BG51" s="291"/>
      <c r="BH51" s="291"/>
      <c r="BI51" s="291"/>
      <c r="BJ51" s="291"/>
      <c r="BK51" s="291"/>
      <c r="BL51" s="291"/>
      <c r="BM51" s="291"/>
      <c r="BN51" s="291"/>
      <c r="BO51" s="291"/>
      <c r="BP51" s="291"/>
      <c r="BQ51" s="291"/>
      <c r="BR51" s="291"/>
      <c r="BS51" s="291"/>
      <c r="BT51" s="291"/>
      <c r="BU51" s="291"/>
      <c r="BV51" s="291"/>
      <c r="BW51" s="291"/>
      <c r="BX51" s="291"/>
      <c r="BY51" s="291"/>
      <c r="BZ51" s="291"/>
      <c r="CA51" s="291"/>
      <c r="CB51" s="291"/>
      <c r="CC51" s="291"/>
      <c r="CD51" s="291"/>
      <c r="CE51" s="291"/>
      <c r="CF51" s="291"/>
      <c r="CG51" s="291"/>
      <c r="CH51" s="291"/>
      <c r="CI51" s="291"/>
      <c r="CJ51" s="291"/>
      <c r="CK51" s="291"/>
      <c r="CL51" s="291"/>
      <c r="CM51" s="291"/>
      <c r="CN51" s="291"/>
      <c r="CO51" s="291"/>
      <c r="CP51" s="291"/>
      <c r="CQ51" s="291"/>
      <c r="CR51" s="291"/>
      <c r="CS51" s="291"/>
      <c r="CT51" s="291"/>
      <c r="CU51" s="291"/>
      <c r="CV51" s="291"/>
      <c r="CW51" s="291"/>
      <c r="CX51" s="291"/>
      <c r="CY51" s="291"/>
      <c r="CZ51" s="291"/>
      <c r="DA51" s="291"/>
      <c r="DB51" s="291"/>
      <c r="DC51" s="291"/>
      <c r="DD51" s="291"/>
      <c r="DE51" s="291"/>
      <c r="DF51" s="291"/>
      <c r="DG51" s="291"/>
      <c r="DH51" s="291"/>
      <c r="DI51" s="291"/>
      <c r="DJ51" s="291"/>
      <c r="DK51" s="291"/>
      <c r="DL51" s="291"/>
      <c r="DM51" s="291"/>
      <c r="DN51" s="291"/>
      <c r="DO51" s="291"/>
      <c r="DP51" s="291"/>
      <c r="DQ51" s="291"/>
      <c r="DR51" s="291"/>
      <c r="DS51" s="291"/>
      <c r="DT51" s="291"/>
      <c r="DU51" s="291"/>
      <c r="DV51" s="291"/>
      <c r="DW51" s="291"/>
      <c r="DX51" s="291"/>
      <c r="DY51" s="291"/>
      <c r="DZ51" s="291"/>
      <c r="EA51" s="291"/>
      <c r="EB51" s="291"/>
      <c r="EC51" s="291"/>
      <c r="ED51" s="291"/>
      <c r="EE51" s="291"/>
      <c r="EF51" s="291"/>
      <c r="EG51" s="291"/>
      <c r="EH51" s="291"/>
      <c r="EI51" s="291"/>
      <c r="EJ51" s="291"/>
      <c r="EK51" s="291"/>
      <c r="EL51" s="291"/>
      <c r="EM51" s="291"/>
      <c r="EN51" s="291"/>
      <c r="EO51" s="291"/>
      <c r="EP51" s="291"/>
      <c r="EQ51" s="291"/>
      <c r="ER51" s="291"/>
      <c r="ES51" s="291"/>
      <c r="ET51" s="291"/>
      <c r="EU51" s="291"/>
      <c r="EV51" s="291"/>
      <c r="EW51" s="291"/>
      <c r="EX51" s="291"/>
      <c r="EY51" s="291"/>
      <c r="EZ51" s="291"/>
      <c r="FA51" s="291"/>
      <c r="FB51" s="291"/>
      <c r="FC51" s="291"/>
      <c r="FD51" s="291"/>
      <c r="FE51" s="291"/>
      <c r="FF51" s="291"/>
      <c r="FG51" s="291"/>
      <c r="FH51" s="291"/>
      <c r="FI51" s="291"/>
      <c r="FJ51" s="291"/>
      <c r="FK51" s="291"/>
      <c r="FL51" s="291"/>
      <c r="FM51" s="291"/>
      <c r="FN51" s="291"/>
      <c r="FO51" s="291"/>
      <c r="FP51" s="291"/>
      <c r="FQ51" s="291"/>
      <c r="FR51" s="291"/>
      <c r="FS51" s="291"/>
      <c r="FT51" s="291"/>
      <c r="FU51" s="291"/>
      <c r="FV51" s="291"/>
      <c r="FW51" s="291"/>
      <c r="FX51" s="291"/>
      <c r="FY51" s="291"/>
      <c r="FZ51" s="291"/>
      <c r="GA51" s="291"/>
      <c r="GB51" s="291"/>
      <c r="GC51" s="291"/>
      <c r="GD51" s="291"/>
      <c r="GE51" s="291"/>
      <c r="GF51" s="291"/>
      <c r="GG51" s="291"/>
      <c r="GH51" s="291"/>
      <c r="GI51" s="291"/>
      <c r="GJ51" s="291"/>
      <c r="GK51" s="291"/>
      <c r="GL51" s="291"/>
      <c r="GM51" s="291"/>
      <c r="GN51" s="291"/>
      <c r="GO51" s="291"/>
      <c r="GP51" s="291"/>
      <c r="GQ51" s="291"/>
      <c r="GR51" s="291"/>
      <c r="GS51" s="291"/>
      <c r="GT51" s="291"/>
      <c r="GU51" s="291"/>
      <c r="GV51" s="291"/>
      <c r="GW51" s="291"/>
      <c r="GX51" s="291"/>
      <c r="GY51" s="291"/>
      <c r="GZ51" s="291"/>
      <c r="HA51" s="291"/>
      <c r="HB51" s="291"/>
      <c r="HC51" s="291"/>
      <c r="HD51" s="291"/>
      <c r="HE51" s="291"/>
      <c r="HF51" s="291"/>
      <c r="HG51" s="291"/>
      <c r="HH51" s="291"/>
      <c r="HI51" s="291"/>
      <c r="HJ51" s="291"/>
      <c r="HK51" s="291"/>
      <c r="HL51" s="291"/>
      <c r="HM51" s="291"/>
      <c r="HN51" s="291"/>
      <c r="HO51" s="291"/>
      <c r="HP51" s="291"/>
      <c r="HQ51" s="291"/>
      <c r="HR51" s="291"/>
      <c r="HS51" s="291"/>
      <c r="HT51" s="291"/>
      <c r="HU51" s="291"/>
      <c r="HV51" s="291"/>
      <c r="HW51" s="291"/>
      <c r="HX51" s="291"/>
      <c r="HY51" s="291"/>
      <c r="HZ51" s="291"/>
      <c r="IA51" s="291"/>
      <c r="IB51" s="291"/>
      <c r="IC51" s="291"/>
      <c r="ID51" s="291"/>
      <c r="IE51" s="291"/>
      <c r="IF51" s="291"/>
      <c r="IG51" s="291"/>
      <c r="IH51" s="291"/>
      <c r="II51" s="291"/>
      <c r="IJ51" s="291"/>
      <c r="IK51" s="291"/>
      <c r="IL51" s="291"/>
      <c r="IM51" s="291"/>
      <c r="IN51" s="291"/>
      <c r="IO51" s="291"/>
      <c r="IP51" s="291"/>
      <c r="IQ51" s="291"/>
      <c r="IR51" s="291"/>
      <c r="IS51" s="291"/>
      <c r="IT51" s="291"/>
      <c r="IU51" s="291"/>
      <c r="IV51" s="291"/>
      <c r="IW51" s="291"/>
      <c r="IX51" s="291"/>
      <c r="IY51" s="291"/>
      <c r="IZ51" s="291"/>
      <c r="JA51" s="291"/>
      <c r="JB51" s="291"/>
      <c r="JC51" s="291"/>
      <c r="JD51" s="291"/>
      <c r="JE51" s="291"/>
      <c r="JF51" s="291"/>
      <c r="JG51" s="291"/>
      <c r="JH51" s="291"/>
      <c r="JI51" s="291"/>
      <c r="JJ51" s="291"/>
      <c r="JK51" s="291"/>
      <c r="JL51" s="291"/>
      <c r="JM51" s="291"/>
      <c r="JN51" s="291"/>
      <c r="JO51" s="291"/>
      <c r="JP51" s="291"/>
      <c r="JQ51" s="291"/>
      <c r="JR51" s="291"/>
      <c r="JS51" s="291"/>
      <c r="JT51" s="291"/>
      <c r="JU51" s="291"/>
      <c r="JV51" s="291"/>
      <c r="JW51" s="291"/>
      <c r="JX51" s="291"/>
      <c r="JY51" s="291"/>
      <c r="JZ51" s="291"/>
      <c r="KA51" s="291"/>
      <c r="KB51" s="291"/>
      <c r="KC51" s="291"/>
      <c r="KD51" s="291"/>
      <c r="KE51" s="291"/>
      <c r="KF51" s="291"/>
      <c r="KG51" s="291"/>
      <c r="KH51" s="291"/>
      <c r="KI51" s="291"/>
      <c r="KJ51" s="291"/>
      <c r="KK51" s="291"/>
      <c r="KL51" s="291"/>
      <c r="KM51" s="291"/>
      <c r="KN51" s="291"/>
      <c r="KO51" s="291"/>
      <c r="KP51" s="291"/>
      <c r="KQ51" s="291"/>
      <c r="KR51" s="291"/>
      <c r="KS51" s="291"/>
      <c r="KT51" s="291"/>
      <c r="KU51" s="291"/>
      <c r="KV51" s="291"/>
      <c r="KW51" s="291"/>
      <c r="KX51" s="291"/>
      <c r="KY51" s="291"/>
      <c r="KZ51" s="291"/>
      <c r="LA51" s="291"/>
      <c r="LB51" s="291"/>
      <c r="LC51" s="291"/>
      <c r="LD51" s="291"/>
      <c r="LE51" s="291"/>
      <c r="LF51" s="291"/>
      <c r="LG51" s="291"/>
      <c r="LH51" s="291"/>
      <c r="LI51" s="291"/>
      <c r="LJ51" s="291"/>
      <c r="LK51" s="291"/>
      <c r="LL51" s="291"/>
      <c r="LM51" s="291"/>
      <c r="LN51" s="291"/>
      <c r="LO51" s="291"/>
      <c r="LP51" s="291"/>
      <c r="LQ51" s="291"/>
      <c r="LR51" s="291"/>
      <c r="LS51" s="291"/>
      <c r="LT51" s="291"/>
      <c r="LU51" s="291"/>
      <c r="LV51" s="291"/>
      <c r="LW51" s="291"/>
      <c r="LX51" s="291"/>
      <c r="LY51" s="291"/>
      <c r="LZ51" s="291"/>
      <c r="MA51" s="291"/>
      <c r="MB51" s="291"/>
      <c r="MC51" s="291"/>
      <c r="MD51" s="291"/>
      <c r="ME51" s="291"/>
      <c r="MF51" s="291"/>
      <c r="MG51" s="291"/>
      <c r="MH51" s="291"/>
      <c r="MI51" s="291"/>
      <c r="MJ51" s="291"/>
      <c r="MK51" s="291"/>
      <c r="ML51" s="291"/>
      <c r="MM51" s="291"/>
      <c r="MN51" s="291"/>
      <c r="MO51" s="291"/>
      <c r="MP51" s="291"/>
      <c r="MQ51" s="291"/>
      <c r="MR51" s="291"/>
      <c r="MS51" s="291"/>
      <c r="MT51" s="291"/>
      <c r="MU51" s="291"/>
      <c r="MV51" s="291"/>
      <c r="MW51" s="291"/>
      <c r="MX51" s="291"/>
      <c r="MY51" s="291"/>
      <c r="MZ51" s="291"/>
      <c r="NA51" s="291"/>
      <c r="NB51" s="291"/>
      <c r="NC51" s="291"/>
      <c r="ND51" s="291"/>
      <c r="NE51" s="291"/>
      <c r="NF51" s="291"/>
      <c r="NG51" s="291"/>
      <c r="NH51" s="291"/>
      <c r="NI51" s="291"/>
      <c r="NJ51" s="291"/>
      <c r="NK51" s="291"/>
      <c r="NL51" s="291"/>
      <c r="NM51" s="291"/>
      <c r="NN51" s="291"/>
      <c r="NO51" s="291"/>
      <c r="NP51" s="291"/>
      <c r="NQ51" s="291"/>
      <c r="NR51" s="291"/>
      <c r="NS51" s="291"/>
      <c r="NT51" s="291"/>
      <c r="NU51" s="291"/>
      <c r="NV51" s="291"/>
      <c r="NW51" s="291"/>
      <c r="NX51" s="291"/>
      <c r="NY51" s="291"/>
      <c r="NZ51" s="291"/>
      <c r="OA51" s="291"/>
      <c r="OB51" s="291"/>
      <c r="OC51" s="291"/>
      <c r="OD51" s="291"/>
      <c r="OE51" s="291"/>
      <c r="OF51" s="291"/>
      <c r="OG51" s="291"/>
      <c r="OH51" s="291"/>
      <c r="OI51" s="291"/>
      <c r="OJ51" s="291"/>
      <c r="OK51" s="291"/>
      <c r="OL51" s="291"/>
      <c r="OM51" s="291"/>
      <c r="ON51" s="291"/>
      <c r="OO51" s="291"/>
      <c r="OP51" s="291"/>
      <c r="OQ51" s="291"/>
      <c r="OR51" s="291"/>
      <c r="OS51" s="291"/>
      <c r="OT51" s="291"/>
      <c r="OU51" s="291"/>
      <c r="OV51" s="291"/>
      <c r="OW51" s="291"/>
      <c r="OX51" s="291"/>
      <c r="OY51" s="291"/>
      <c r="OZ51" s="291"/>
      <c r="PA51" s="291"/>
      <c r="PB51" s="291"/>
      <c r="PC51" s="291"/>
      <c r="PD51" s="291"/>
      <c r="PE51" s="291"/>
      <c r="PF51" s="291"/>
      <c r="PG51" s="291"/>
      <c r="PH51" s="291"/>
      <c r="PI51" s="291"/>
      <c r="PJ51" s="291"/>
      <c r="PK51" s="291"/>
      <c r="PL51" s="291"/>
      <c r="PM51" s="291"/>
      <c r="PN51" s="291"/>
      <c r="PO51" s="291"/>
      <c r="PP51" s="291"/>
      <c r="PQ51" s="291"/>
      <c r="PR51" s="291"/>
      <c r="PS51" s="291"/>
      <c r="PT51" s="291"/>
      <c r="PU51" s="291"/>
      <c r="PV51" s="291"/>
      <c r="PW51" s="291"/>
      <c r="PX51" s="291"/>
      <c r="PY51" s="291"/>
      <c r="PZ51" s="291"/>
      <c r="QA51" s="291"/>
      <c r="QB51" s="291"/>
      <c r="QC51" s="291"/>
      <c r="QD51" s="291"/>
      <c r="QE51" s="291"/>
      <c r="QF51" s="291"/>
      <c r="QG51" s="291"/>
      <c r="QH51" s="291"/>
      <c r="QI51" s="291"/>
      <c r="QJ51" s="291"/>
      <c r="QK51" s="291"/>
      <c r="QL51" s="291"/>
      <c r="QM51" s="291"/>
      <c r="QN51" s="291"/>
      <c r="QO51" s="291"/>
      <c r="QP51" s="291"/>
      <c r="QQ51" s="291"/>
      <c r="QR51" s="291"/>
      <c r="QS51" s="291"/>
      <c r="QT51" s="291"/>
      <c r="QU51" s="291"/>
      <c r="QV51" s="291"/>
      <c r="QW51" s="291"/>
      <c r="QX51" s="291"/>
      <c r="QY51" s="291"/>
      <c r="QZ51" s="291"/>
      <c r="RA51" s="291"/>
      <c r="RB51" s="291"/>
      <c r="RC51" s="291"/>
      <c r="RD51" s="291"/>
      <c r="RE51" s="291"/>
      <c r="RF51" s="291"/>
      <c r="RG51" s="291"/>
      <c r="RH51" s="291"/>
      <c r="RI51" s="291"/>
      <c r="RJ51" s="291"/>
      <c r="RK51" s="291"/>
      <c r="RL51" s="291"/>
      <c r="RM51" s="291"/>
      <c r="RN51" s="291"/>
      <c r="RO51" s="291"/>
      <c r="RP51" s="291"/>
      <c r="RQ51" s="291"/>
      <c r="RR51" s="291"/>
      <c r="RS51" s="291"/>
      <c r="RT51" s="291"/>
      <c r="RU51" s="291"/>
      <c r="RV51" s="291"/>
      <c r="RW51" s="291"/>
      <c r="RX51" s="291"/>
      <c r="RY51" s="291"/>
      <c r="RZ51" s="291"/>
      <c r="SA51" s="291"/>
      <c r="SB51" s="291"/>
      <c r="SC51" s="291"/>
      <c r="SD51" s="291"/>
      <c r="SE51" s="291"/>
      <c r="SF51" s="291"/>
      <c r="SG51" s="291"/>
      <c r="SH51" s="291"/>
      <c r="SI51" s="291"/>
      <c r="SJ51" s="291"/>
      <c r="SK51" s="291"/>
      <c r="SL51" s="291"/>
      <c r="SM51" s="291"/>
      <c r="SN51" s="291"/>
      <c r="SO51" s="291"/>
      <c r="SP51" s="291"/>
      <c r="SQ51" s="291"/>
      <c r="SR51" s="291"/>
      <c r="SS51" s="291"/>
      <c r="ST51" s="291"/>
      <c r="SU51" s="291"/>
      <c r="SV51" s="291"/>
      <c r="SW51" s="291"/>
      <c r="SX51" s="291"/>
      <c r="SY51" s="291"/>
      <c r="SZ51" s="291"/>
      <c r="TA51" s="291"/>
      <c r="TB51" s="291"/>
      <c r="TC51" s="291"/>
      <c r="TD51" s="291"/>
      <c r="TE51" s="291"/>
      <c r="TF51" s="291"/>
      <c r="TG51" s="291"/>
      <c r="TH51" s="291"/>
      <c r="TI51" s="291"/>
      <c r="TJ51" s="291"/>
      <c r="TK51" s="291"/>
      <c r="TL51" s="291"/>
      <c r="TM51" s="291"/>
      <c r="TN51" s="291"/>
      <c r="TO51" s="291"/>
      <c r="TP51" s="291"/>
      <c r="TQ51" s="291"/>
      <c r="TR51" s="291"/>
    </row>
    <row r="52" spans="1:538" x14ac:dyDescent="0.25">
      <c r="A52" s="481"/>
      <c r="B52" s="294" t="s">
        <v>354</v>
      </c>
      <c r="C52" s="297" t="s">
        <v>355</v>
      </c>
      <c r="D52" s="1497"/>
      <c r="E52" s="1498"/>
      <c r="F52" s="1498"/>
      <c r="G52" s="1498"/>
      <c r="H52" s="1498"/>
      <c r="I52" s="1498"/>
      <c r="J52" s="1499"/>
      <c r="K52" s="495">
        <v>500000</v>
      </c>
      <c r="L52" s="1434"/>
      <c r="M52" s="1434"/>
      <c r="N52" s="1434"/>
      <c r="O52" s="1434"/>
      <c r="P52" s="1434"/>
      <c r="Q52" s="1434"/>
      <c r="R52" s="1437"/>
      <c r="S52" s="302">
        <v>500000</v>
      </c>
      <c r="T52" s="1485"/>
      <c r="U52" s="1434"/>
      <c r="V52" s="1434"/>
      <c r="W52" s="1434"/>
      <c r="X52" s="1434"/>
      <c r="Y52" s="1434"/>
      <c r="Z52" s="1437"/>
      <c r="AA52" s="302">
        <v>500000</v>
      </c>
      <c r="AB52" s="1485"/>
      <c r="AC52" s="1434"/>
      <c r="AD52" s="1434"/>
      <c r="AE52" s="1434"/>
      <c r="AF52" s="1434"/>
      <c r="AG52" s="1434"/>
      <c r="AH52" s="1437"/>
      <c r="AI52" s="302">
        <v>500000</v>
      </c>
      <c r="AJ52" s="1485"/>
      <c r="AK52" s="1434"/>
      <c r="AL52" s="1434"/>
      <c r="AM52" s="1434"/>
      <c r="AN52" s="1434"/>
      <c r="AO52" s="1434"/>
      <c r="AP52" s="1437"/>
      <c r="AQ52" s="302">
        <v>500000</v>
      </c>
      <c r="AR52" s="1485"/>
      <c r="AS52" s="1434"/>
      <c r="AT52" s="1434"/>
      <c r="AU52" s="1434"/>
      <c r="AV52" s="1434"/>
      <c r="AW52" s="1434"/>
      <c r="AX52" s="1437"/>
      <c r="AY52" s="410">
        <v>500000</v>
      </c>
      <c r="AZ52" s="1439"/>
      <c r="BA52" s="431">
        <f>K52+S52+AA52+AI52+AQ52+AY52</f>
        <v>3000000</v>
      </c>
    </row>
    <row r="53" spans="1:538" x14ac:dyDescent="0.25">
      <c r="A53" s="481"/>
      <c r="B53" s="294" t="s">
        <v>356</v>
      </c>
      <c r="C53" s="297" t="s">
        <v>357</v>
      </c>
      <c r="D53" s="1497"/>
      <c r="E53" s="1498"/>
      <c r="F53" s="1498"/>
      <c r="G53" s="1498"/>
      <c r="H53" s="1498"/>
      <c r="I53" s="1498"/>
      <c r="J53" s="1499"/>
      <c r="K53" s="495">
        <v>500000</v>
      </c>
      <c r="L53" s="1461"/>
      <c r="M53" s="1461"/>
      <c r="N53" s="1461"/>
      <c r="O53" s="1461"/>
      <c r="P53" s="1461"/>
      <c r="Q53" s="1461"/>
      <c r="R53" s="1462"/>
      <c r="S53" s="302">
        <v>500000</v>
      </c>
      <c r="T53" s="1486"/>
      <c r="U53" s="1461"/>
      <c r="V53" s="1461"/>
      <c r="W53" s="1461"/>
      <c r="X53" s="1461"/>
      <c r="Y53" s="1461"/>
      <c r="Z53" s="1462"/>
      <c r="AA53" s="302">
        <v>500000</v>
      </c>
      <c r="AB53" s="1486"/>
      <c r="AC53" s="1461"/>
      <c r="AD53" s="1461"/>
      <c r="AE53" s="1461"/>
      <c r="AF53" s="1461"/>
      <c r="AG53" s="1461"/>
      <c r="AH53" s="1462"/>
      <c r="AI53" s="302">
        <v>500000</v>
      </c>
      <c r="AJ53" s="1486"/>
      <c r="AK53" s="1461"/>
      <c r="AL53" s="1461"/>
      <c r="AM53" s="1461"/>
      <c r="AN53" s="1461"/>
      <c r="AO53" s="1461"/>
      <c r="AP53" s="1462"/>
      <c r="AQ53" s="302">
        <v>500000</v>
      </c>
      <c r="AR53" s="1486"/>
      <c r="AS53" s="1461"/>
      <c r="AT53" s="1461"/>
      <c r="AU53" s="1461"/>
      <c r="AV53" s="1461"/>
      <c r="AW53" s="1461"/>
      <c r="AX53" s="1462"/>
      <c r="AY53" s="410">
        <v>500000</v>
      </c>
      <c r="AZ53" s="1488"/>
      <c r="BA53" s="431">
        <f>K53+S53+AA53+AI53+AQ53+AY53</f>
        <v>3000000</v>
      </c>
    </row>
    <row r="54" spans="1:538" x14ac:dyDescent="0.25">
      <c r="A54" s="481"/>
      <c r="B54" s="294" t="s">
        <v>48</v>
      </c>
      <c r="C54" s="297" t="s">
        <v>359</v>
      </c>
      <c r="D54" s="1497"/>
      <c r="E54" s="1498"/>
      <c r="F54" s="1498"/>
      <c r="G54" s="1498"/>
      <c r="H54" s="1498"/>
      <c r="I54" s="1498"/>
      <c r="J54" s="1499"/>
      <c r="K54" s="495">
        <v>500000</v>
      </c>
      <c r="L54" s="1461"/>
      <c r="M54" s="1461"/>
      <c r="N54" s="1461"/>
      <c r="O54" s="1461"/>
      <c r="P54" s="1461"/>
      <c r="Q54" s="1461"/>
      <c r="R54" s="1462"/>
      <c r="S54" s="302">
        <v>500000</v>
      </c>
      <c r="T54" s="1486"/>
      <c r="U54" s="1461"/>
      <c r="V54" s="1461"/>
      <c r="W54" s="1461"/>
      <c r="X54" s="1461"/>
      <c r="Y54" s="1461"/>
      <c r="Z54" s="1462"/>
      <c r="AA54" s="302">
        <v>500000</v>
      </c>
      <c r="AB54" s="1486"/>
      <c r="AC54" s="1461"/>
      <c r="AD54" s="1461"/>
      <c r="AE54" s="1461"/>
      <c r="AF54" s="1461"/>
      <c r="AG54" s="1461"/>
      <c r="AH54" s="1462"/>
      <c r="AI54" s="302">
        <v>500000</v>
      </c>
      <c r="AJ54" s="1486"/>
      <c r="AK54" s="1461"/>
      <c r="AL54" s="1461"/>
      <c r="AM54" s="1461"/>
      <c r="AN54" s="1461"/>
      <c r="AO54" s="1461"/>
      <c r="AP54" s="1462"/>
      <c r="AQ54" s="302">
        <v>500000</v>
      </c>
      <c r="AR54" s="1486"/>
      <c r="AS54" s="1461"/>
      <c r="AT54" s="1461"/>
      <c r="AU54" s="1461"/>
      <c r="AV54" s="1461"/>
      <c r="AW54" s="1461"/>
      <c r="AX54" s="1462"/>
      <c r="AY54" s="410">
        <v>500000</v>
      </c>
      <c r="AZ54" s="1488"/>
      <c r="BA54" s="431">
        <f>K54+S54+AA54+AI54+AQ54+AY54</f>
        <v>3000000</v>
      </c>
    </row>
    <row r="55" spans="1:538" x14ac:dyDescent="0.25">
      <c r="A55" s="481"/>
      <c r="B55" s="296" t="s">
        <v>451</v>
      </c>
      <c r="C55" s="297" t="s">
        <v>361</v>
      </c>
      <c r="D55" s="1497"/>
      <c r="E55" s="1498"/>
      <c r="F55" s="1498"/>
      <c r="G55" s="1498"/>
      <c r="H55" s="1498"/>
      <c r="I55" s="1498"/>
      <c r="J55" s="1499"/>
      <c r="K55" s="495">
        <v>0</v>
      </c>
      <c r="L55" s="1436"/>
      <c r="M55" s="1436"/>
      <c r="N55" s="1436"/>
      <c r="O55" s="1436"/>
      <c r="P55" s="1436"/>
      <c r="Q55" s="1436"/>
      <c r="R55" s="1438"/>
      <c r="S55" s="302">
        <v>0</v>
      </c>
      <c r="T55" s="1487"/>
      <c r="U55" s="1436"/>
      <c r="V55" s="1436"/>
      <c r="W55" s="1436"/>
      <c r="X55" s="1436"/>
      <c r="Y55" s="1436"/>
      <c r="Z55" s="1438"/>
      <c r="AA55" s="302">
        <v>0</v>
      </c>
      <c r="AB55" s="1487"/>
      <c r="AC55" s="1436"/>
      <c r="AD55" s="1436"/>
      <c r="AE55" s="1436"/>
      <c r="AF55" s="1436"/>
      <c r="AG55" s="1436"/>
      <c r="AH55" s="1438"/>
      <c r="AI55" s="302">
        <v>0</v>
      </c>
      <c r="AJ55" s="1487"/>
      <c r="AK55" s="1436"/>
      <c r="AL55" s="1436"/>
      <c r="AM55" s="1436"/>
      <c r="AN55" s="1436"/>
      <c r="AO55" s="1436"/>
      <c r="AP55" s="1438"/>
      <c r="AQ55" s="302">
        <v>0</v>
      </c>
      <c r="AR55" s="1487"/>
      <c r="AS55" s="1436"/>
      <c r="AT55" s="1436"/>
      <c r="AU55" s="1436"/>
      <c r="AV55" s="1436"/>
      <c r="AW55" s="1436"/>
      <c r="AX55" s="1438"/>
      <c r="AY55" s="410">
        <v>0</v>
      </c>
      <c r="AZ55" s="1440"/>
      <c r="BA55" s="431">
        <f>K55+S55+AA55+AI55+AQ55+AY55</f>
        <v>0</v>
      </c>
    </row>
    <row r="56" spans="1:538" s="363" customFormat="1" x14ac:dyDescent="0.25">
      <c r="A56" s="1489" t="s">
        <v>256</v>
      </c>
      <c r="B56" s="1490"/>
      <c r="C56" s="1490"/>
      <c r="D56" s="1491"/>
      <c r="E56" s="1492"/>
      <c r="F56" s="1492"/>
      <c r="G56" s="1492"/>
      <c r="H56" s="1492"/>
      <c r="I56" s="1492"/>
      <c r="J56" s="1493"/>
      <c r="K56" s="496">
        <f>SUM(K51:K55)</f>
        <v>1500000</v>
      </c>
      <c r="L56" s="1494"/>
      <c r="M56" s="1494"/>
      <c r="N56" s="1494"/>
      <c r="O56" s="1494"/>
      <c r="P56" s="1494"/>
      <c r="Q56" s="1494"/>
      <c r="R56" s="1495"/>
      <c r="S56" s="346">
        <f>SUM(S51:S55)</f>
        <v>1500000</v>
      </c>
      <c r="T56" s="1496"/>
      <c r="U56" s="1494"/>
      <c r="V56" s="1494"/>
      <c r="W56" s="1494"/>
      <c r="X56" s="1494"/>
      <c r="Y56" s="1494"/>
      <c r="Z56" s="1495"/>
      <c r="AA56" s="346">
        <f>SUM(AA51:AA55)</f>
        <v>1500000</v>
      </c>
      <c r="AB56" s="1496"/>
      <c r="AC56" s="1494"/>
      <c r="AD56" s="1494"/>
      <c r="AE56" s="1494"/>
      <c r="AF56" s="1494"/>
      <c r="AG56" s="1494"/>
      <c r="AH56" s="1495"/>
      <c r="AI56" s="346">
        <f>SUM(AI51:AI55)</f>
        <v>1500000</v>
      </c>
      <c r="AJ56" s="1496"/>
      <c r="AK56" s="1494"/>
      <c r="AL56" s="1494"/>
      <c r="AM56" s="1494"/>
      <c r="AN56" s="1494"/>
      <c r="AO56" s="1494"/>
      <c r="AP56" s="1495"/>
      <c r="AQ56" s="346">
        <f>SUM(AQ51:AQ55)</f>
        <v>1500000</v>
      </c>
      <c r="AR56" s="1496"/>
      <c r="AS56" s="1494"/>
      <c r="AT56" s="1494"/>
      <c r="AU56" s="1494"/>
      <c r="AV56" s="1494"/>
      <c r="AW56" s="1494"/>
      <c r="AX56" s="1495"/>
      <c r="AY56" s="407">
        <f>SUM(AY51:AY55)</f>
        <v>1500000</v>
      </c>
      <c r="AZ56" s="464"/>
      <c r="BA56" s="383">
        <f>K56+S56+AA56+AI56+AQ56+AY56</f>
        <v>9000000</v>
      </c>
      <c r="BB56" s="291"/>
      <c r="BC56" s="291"/>
      <c r="BD56" s="291"/>
      <c r="BE56" s="291"/>
      <c r="BF56" s="291"/>
      <c r="BG56" s="291"/>
      <c r="BH56" s="291"/>
      <c r="BI56" s="291"/>
      <c r="BJ56" s="291"/>
      <c r="BK56" s="291"/>
      <c r="BL56" s="291"/>
      <c r="BM56" s="291"/>
      <c r="BN56" s="291"/>
      <c r="BO56" s="291"/>
      <c r="BP56" s="291"/>
      <c r="BQ56" s="291"/>
      <c r="BR56" s="291"/>
      <c r="BS56" s="291"/>
      <c r="BT56" s="291"/>
      <c r="BU56" s="291"/>
      <c r="BV56" s="291"/>
      <c r="BW56" s="291"/>
      <c r="BX56" s="291"/>
      <c r="BY56" s="291"/>
      <c r="BZ56" s="291"/>
      <c r="CA56" s="291"/>
      <c r="CB56" s="291"/>
      <c r="CC56" s="291"/>
      <c r="CD56" s="291"/>
      <c r="CE56" s="291"/>
      <c r="CF56" s="291"/>
      <c r="CG56" s="291"/>
      <c r="CH56" s="291"/>
      <c r="CI56" s="291"/>
      <c r="CJ56" s="291"/>
      <c r="CK56" s="291"/>
      <c r="CL56" s="291"/>
      <c r="CM56" s="291"/>
      <c r="CN56" s="291"/>
      <c r="CO56" s="291"/>
      <c r="CP56" s="291"/>
      <c r="CQ56" s="291"/>
      <c r="CR56" s="291"/>
      <c r="CS56" s="291"/>
      <c r="CT56" s="291"/>
      <c r="CU56" s="291"/>
      <c r="CV56" s="291"/>
      <c r="CW56" s="291"/>
      <c r="CX56" s="291"/>
      <c r="CY56" s="291"/>
      <c r="CZ56" s="291"/>
      <c r="DA56" s="291"/>
      <c r="DB56" s="291"/>
      <c r="DC56" s="291"/>
      <c r="DD56" s="291"/>
      <c r="DE56" s="291"/>
      <c r="DF56" s="291"/>
      <c r="DG56" s="291"/>
      <c r="DH56" s="291"/>
      <c r="DI56" s="291"/>
      <c r="DJ56" s="291"/>
      <c r="DK56" s="291"/>
      <c r="DL56" s="291"/>
      <c r="DM56" s="291"/>
      <c r="DN56" s="291"/>
      <c r="DO56" s="291"/>
      <c r="DP56" s="291"/>
      <c r="DQ56" s="291"/>
      <c r="DR56" s="291"/>
      <c r="DS56" s="291"/>
      <c r="DT56" s="291"/>
      <c r="DU56" s="291"/>
      <c r="DV56" s="291"/>
      <c r="DW56" s="291"/>
      <c r="DX56" s="291"/>
      <c r="DY56" s="291"/>
      <c r="DZ56" s="291"/>
      <c r="EA56" s="291"/>
      <c r="EB56" s="291"/>
      <c r="EC56" s="291"/>
      <c r="ED56" s="291"/>
      <c r="EE56" s="291"/>
      <c r="EF56" s="291"/>
      <c r="EG56" s="291"/>
      <c r="EH56" s="291"/>
      <c r="EI56" s="291"/>
      <c r="EJ56" s="291"/>
      <c r="EK56" s="291"/>
      <c r="EL56" s="291"/>
      <c r="EM56" s="291"/>
      <c r="EN56" s="291"/>
      <c r="EO56" s="291"/>
      <c r="EP56" s="291"/>
      <c r="EQ56" s="291"/>
      <c r="ER56" s="291"/>
      <c r="ES56" s="291"/>
      <c r="ET56" s="291"/>
      <c r="EU56" s="291"/>
      <c r="EV56" s="291"/>
      <c r="EW56" s="291"/>
      <c r="EX56" s="291"/>
      <c r="EY56" s="291"/>
      <c r="EZ56" s="291"/>
      <c r="FA56" s="291"/>
      <c r="FB56" s="291"/>
      <c r="FC56" s="291"/>
      <c r="FD56" s="291"/>
      <c r="FE56" s="291"/>
      <c r="FF56" s="291"/>
      <c r="FG56" s="291"/>
      <c r="FH56" s="291"/>
      <c r="FI56" s="291"/>
      <c r="FJ56" s="291"/>
      <c r="FK56" s="291"/>
      <c r="FL56" s="291"/>
      <c r="FM56" s="291"/>
      <c r="FN56" s="291"/>
      <c r="FO56" s="291"/>
      <c r="FP56" s="291"/>
      <c r="FQ56" s="291"/>
      <c r="FR56" s="291"/>
      <c r="FS56" s="291"/>
      <c r="FT56" s="291"/>
      <c r="FU56" s="291"/>
      <c r="FV56" s="291"/>
      <c r="FW56" s="291"/>
      <c r="FX56" s="291"/>
      <c r="FY56" s="291"/>
      <c r="FZ56" s="291"/>
      <c r="GA56" s="291"/>
      <c r="GB56" s="291"/>
      <c r="GC56" s="291"/>
      <c r="GD56" s="291"/>
      <c r="GE56" s="291"/>
      <c r="GF56" s="291"/>
      <c r="GG56" s="291"/>
      <c r="GH56" s="291"/>
      <c r="GI56" s="291"/>
      <c r="GJ56" s="291"/>
      <c r="GK56" s="291"/>
      <c r="GL56" s="291"/>
      <c r="GM56" s="291"/>
      <c r="GN56" s="291"/>
      <c r="GO56" s="291"/>
      <c r="GP56" s="291"/>
      <c r="GQ56" s="291"/>
      <c r="GR56" s="291"/>
      <c r="GS56" s="291"/>
      <c r="GT56" s="291"/>
      <c r="GU56" s="291"/>
      <c r="GV56" s="291"/>
      <c r="GW56" s="291"/>
      <c r="GX56" s="291"/>
      <c r="GY56" s="291"/>
      <c r="GZ56" s="291"/>
      <c r="HA56" s="291"/>
      <c r="HB56" s="291"/>
      <c r="HC56" s="291"/>
      <c r="HD56" s="291"/>
      <c r="HE56" s="291"/>
      <c r="HF56" s="291"/>
      <c r="HG56" s="291"/>
      <c r="HH56" s="291"/>
      <c r="HI56" s="291"/>
      <c r="HJ56" s="291"/>
      <c r="HK56" s="291"/>
      <c r="HL56" s="291"/>
      <c r="HM56" s="291"/>
      <c r="HN56" s="291"/>
      <c r="HO56" s="291"/>
      <c r="HP56" s="291"/>
      <c r="HQ56" s="291"/>
      <c r="HR56" s="291"/>
      <c r="HS56" s="291"/>
      <c r="HT56" s="291"/>
      <c r="HU56" s="291"/>
      <c r="HV56" s="291"/>
      <c r="HW56" s="291"/>
      <c r="HX56" s="291"/>
      <c r="HY56" s="291"/>
      <c r="HZ56" s="291"/>
      <c r="IA56" s="291"/>
      <c r="IB56" s="291"/>
      <c r="IC56" s="291"/>
      <c r="ID56" s="291"/>
      <c r="IE56" s="291"/>
      <c r="IF56" s="291"/>
      <c r="IG56" s="291"/>
      <c r="IH56" s="291"/>
      <c r="II56" s="291"/>
      <c r="IJ56" s="291"/>
      <c r="IK56" s="291"/>
      <c r="IL56" s="291"/>
      <c r="IM56" s="291"/>
      <c r="IN56" s="291"/>
      <c r="IO56" s="291"/>
      <c r="IP56" s="291"/>
      <c r="IQ56" s="291"/>
      <c r="IR56" s="291"/>
      <c r="IS56" s="291"/>
      <c r="IT56" s="291"/>
      <c r="IU56" s="291"/>
      <c r="IV56" s="291"/>
      <c r="IW56" s="291"/>
      <c r="IX56" s="291"/>
      <c r="IY56" s="291"/>
      <c r="IZ56" s="291"/>
      <c r="JA56" s="291"/>
      <c r="JB56" s="291"/>
      <c r="JC56" s="291"/>
      <c r="JD56" s="291"/>
      <c r="JE56" s="291"/>
      <c r="JF56" s="291"/>
      <c r="JG56" s="291"/>
      <c r="JH56" s="291"/>
      <c r="JI56" s="291"/>
      <c r="JJ56" s="291"/>
      <c r="JK56" s="291"/>
      <c r="JL56" s="291"/>
      <c r="JM56" s="291"/>
      <c r="JN56" s="291"/>
      <c r="JO56" s="291"/>
      <c r="JP56" s="291"/>
      <c r="JQ56" s="291"/>
      <c r="JR56" s="291"/>
      <c r="JS56" s="291"/>
      <c r="JT56" s="291"/>
      <c r="JU56" s="291"/>
      <c r="JV56" s="291"/>
      <c r="JW56" s="291"/>
      <c r="JX56" s="291"/>
      <c r="JY56" s="291"/>
      <c r="JZ56" s="291"/>
      <c r="KA56" s="291"/>
      <c r="KB56" s="291"/>
      <c r="KC56" s="291"/>
      <c r="KD56" s="291"/>
      <c r="KE56" s="291"/>
      <c r="KF56" s="291"/>
      <c r="KG56" s="291"/>
      <c r="KH56" s="291"/>
      <c r="KI56" s="291"/>
      <c r="KJ56" s="291"/>
      <c r="KK56" s="291"/>
      <c r="KL56" s="291"/>
      <c r="KM56" s="291"/>
      <c r="KN56" s="291"/>
      <c r="KO56" s="291"/>
      <c r="KP56" s="291"/>
      <c r="KQ56" s="291"/>
      <c r="KR56" s="291"/>
      <c r="KS56" s="291"/>
      <c r="KT56" s="291"/>
      <c r="KU56" s="291"/>
      <c r="KV56" s="291"/>
      <c r="KW56" s="291"/>
      <c r="KX56" s="291"/>
      <c r="KY56" s="291"/>
      <c r="KZ56" s="291"/>
      <c r="LA56" s="291"/>
      <c r="LB56" s="291"/>
      <c r="LC56" s="291"/>
      <c r="LD56" s="291"/>
      <c r="LE56" s="291"/>
      <c r="LF56" s="291"/>
      <c r="LG56" s="291"/>
      <c r="LH56" s="291"/>
      <c r="LI56" s="291"/>
      <c r="LJ56" s="291"/>
      <c r="LK56" s="291"/>
      <c r="LL56" s="291"/>
      <c r="LM56" s="291"/>
      <c r="LN56" s="291"/>
      <c r="LO56" s="291"/>
      <c r="LP56" s="291"/>
      <c r="LQ56" s="291"/>
      <c r="LR56" s="291"/>
      <c r="LS56" s="291"/>
      <c r="LT56" s="291"/>
      <c r="LU56" s="291"/>
      <c r="LV56" s="291"/>
      <c r="LW56" s="291"/>
      <c r="LX56" s="291"/>
      <c r="LY56" s="291"/>
      <c r="LZ56" s="291"/>
      <c r="MA56" s="291"/>
      <c r="MB56" s="291"/>
      <c r="MC56" s="291"/>
      <c r="MD56" s="291"/>
      <c r="ME56" s="291"/>
      <c r="MF56" s="291"/>
      <c r="MG56" s="291"/>
      <c r="MH56" s="291"/>
      <c r="MI56" s="291"/>
      <c r="MJ56" s="291"/>
      <c r="MK56" s="291"/>
      <c r="ML56" s="291"/>
      <c r="MM56" s="291"/>
      <c r="MN56" s="291"/>
      <c r="MO56" s="291"/>
      <c r="MP56" s="291"/>
      <c r="MQ56" s="291"/>
      <c r="MR56" s="291"/>
      <c r="MS56" s="291"/>
      <c r="MT56" s="291"/>
      <c r="MU56" s="291"/>
      <c r="MV56" s="291"/>
      <c r="MW56" s="291"/>
      <c r="MX56" s="291"/>
      <c r="MY56" s="291"/>
      <c r="MZ56" s="291"/>
      <c r="NA56" s="291"/>
      <c r="NB56" s="291"/>
      <c r="NC56" s="291"/>
      <c r="ND56" s="291"/>
      <c r="NE56" s="291"/>
      <c r="NF56" s="291"/>
      <c r="NG56" s="291"/>
      <c r="NH56" s="291"/>
      <c r="NI56" s="291"/>
      <c r="NJ56" s="291"/>
      <c r="NK56" s="291"/>
      <c r="NL56" s="291"/>
      <c r="NM56" s="291"/>
      <c r="NN56" s="291"/>
      <c r="NO56" s="291"/>
      <c r="NP56" s="291"/>
      <c r="NQ56" s="291"/>
      <c r="NR56" s="291"/>
      <c r="NS56" s="291"/>
      <c r="NT56" s="291"/>
      <c r="NU56" s="291"/>
      <c r="NV56" s="291"/>
      <c r="NW56" s="291"/>
      <c r="NX56" s="291"/>
      <c r="NY56" s="291"/>
      <c r="NZ56" s="291"/>
      <c r="OA56" s="291"/>
      <c r="OB56" s="291"/>
      <c r="OC56" s="291"/>
      <c r="OD56" s="291"/>
      <c r="OE56" s="291"/>
      <c r="OF56" s="291"/>
      <c r="OG56" s="291"/>
      <c r="OH56" s="291"/>
      <c r="OI56" s="291"/>
      <c r="OJ56" s="291"/>
      <c r="OK56" s="291"/>
      <c r="OL56" s="291"/>
      <c r="OM56" s="291"/>
      <c r="ON56" s="291"/>
      <c r="OO56" s="291"/>
      <c r="OP56" s="291"/>
      <c r="OQ56" s="291"/>
      <c r="OR56" s="291"/>
      <c r="OS56" s="291"/>
      <c r="OT56" s="291"/>
      <c r="OU56" s="291"/>
      <c r="OV56" s="291"/>
      <c r="OW56" s="291"/>
      <c r="OX56" s="291"/>
      <c r="OY56" s="291"/>
      <c r="OZ56" s="291"/>
      <c r="PA56" s="291"/>
      <c r="PB56" s="291"/>
      <c r="PC56" s="291"/>
      <c r="PD56" s="291"/>
      <c r="PE56" s="291"/>
      <c r="PF56" s="291"/>
      <c r="PG56" s="291"/>
      <c r="PH56" s="291"/>
      <c r="PI56" s="291"/>
      <c r="PJ56" s="291"/>
      <c r="PK56" s="291"/>
      <c r="PL56" s="291"/>
      <c r="PM56" s="291"/>
      <c r="PN56" s="291"/>
      <c r="PO56" s="291"/>
      <c r="PP56" s="291"/>
      <c r="PQ56" s="291"/>
      <c r="PR56" s="291"/>
      <c r="PS56" s="291"/>
      <c r="PT56" s="291"/>
      <c r="PU56" s="291"/>
      <c r="PV56" s="291"/>
      <c r="PW56" s="291"/>
      <c r="PX56" s="291"/>
      <c r="PY56" s="291"/>
      <c r="PZ56" s="291"/>
      <c r="QA56" s="291"/>
      <c r="QB56" s="291"/>
      <c r="QC56" s="291"/>
      <c r="QD56" s="291"/>
      <c r="QE56" s="291"/>
      <c r="QF56" s="291"/>
      <c r="QG56" s="291"/>
      <c r="QH56" s="291"/>
      <c r="QI56" s="291"/>
      <c r="QJ56" s="291"/>
      <c r="QK56" s="291"/>
      <c r="QL56" s="291"/>
      <c r="QM56" s="291"/>
      <c r="QN56" s="291"/>
      <c r="QO56" s="291"/>
      <c r="QP56" s="291"/>
      <c r="QQ56" s="291"/>
      <c r="QR56" s="291"/>
      <c r="QS56" s="291"/>
      <c r="QT56" s="291"/>
      <c r="QU56" s="291"/>
      <c r="QV56" s="291"/>
      <c r="QW56" s="291"/>
      <c r="QX56" s="291"/>
      <c r="QY56" s="291"/>
      <c r="QZ56" s="291"/>
      <c r="RA56" s="291"/>
      <c r="RB56" s="291"/>
      <c r="RC56" s="291"/>
      <c r="RD56" s="291"/>
      <c r="RE56" s="291"/>
      <c r="RF56" s="291"/>
      <c r="RG56" s="291"/>
      <c r="RH56" s="291"/>
      <c r="RI56" s="291"/>
      <c r="RJ56" s="291"/>
      <c r="RK56" s="291"/>
      <c r="RL56" s="291"/>
      <c r="RM56" s="291"/>
      <c r="RN56" s="291"/>
      <c r="RO56" s="291"/>
      <c r="RP56" s="291"/>
      <c r="RQ56" s="291"/>
      <c r="RR56" s="291"/>
      <c r="RS56" s="291"/>
      <c r="RT56" s="291"/>
      <c r="RU56" s="291"/>
      <c r="RV56" s="291"/>
      <c r="RW56" s="291"/>
      <c r="RX56" s="291"/>
      <c r="RY56" s="291"/>
      <c r="RZ56" s="291"/>
      <c r="SA56" s="291"/>
      <c r="SB56" s="291"/>
      <c r="SC56" s="291"/>
      <c r="SD56" s="291"/>
      <c r="SE56" s="291"/>
      <c r="SF56" s="291"/>
      <c r="SG56" s="291"/>
      <c r="SH56" s="291"/>
      <c r="SI56" s="291"/>
      <c r="SJ56" s="291"/>
      <c r="SK56" s="291"/>
      <c r="SL56" s="291"/>
      <c r="SM56" s="291"/>
      <c r="SN56" s="291"/>
      <c r="SO56" s="291"/>
      <c r="SP56" s="291"/>
      <c r="SQ56" s="291"/>
      <c r="SR56" s="291"/>
      <c r="SS56" s="291"/>
      <c r="ST56" s="291"/>
      <c r="SU56" s="291"/>
      <c r="SV56" s="291"/>
      <c r="SW56" s="291"/>
      <c r="SX56" s="291"/>
      <c r="SY56" s="291"/>
      <c r="SZ56" s="291"/>
      <c r="TA56" s="291"/>
      <c r="TB56" s="291"/>
      <c r="TC56" s="291"/>
      <c r="TD56" s="291"/>
      <c r="TE56" s="291"/>
      <c r="TF56" s="291"/>
      <c r="TG56" s="291"/>
      <c r="TH56" s="291"/>
      <c r="TI56" s="291"/>
      <c r="TJ56" s="291"/>
      <c r="TK56" s="291"/>
      <c r="TL56" s="291"/>
      <c r="TM56" s="291"/>
      <c r="TN56" s="291"/>
      <c r="TO56" s="291"/>
      <c r="TP56" s="291"/>
      <c r="TQ56" s="291"/>
      <c r="TR56" s="291"/>
    </row>
    <row r="57" spans="1:538" s="391" customFormat="1" x14ac:dyDescent="0.25">
      <c r="A57" s="1480" t="s">
        <v>452</v>
      </c>
      <c r="B57" s="1480"/>
      <c r="C57" s="1480"/>
      <c r="D57" s="611" t="s">
        <v>15</v>
      </c>
      <c r="E57" s="611" t="s">
        <v>363</v>
      </c>
      <c r="F57" s="1478"/>
      <c r="G57" s="1478"/>
      <c r="H57" s="1478"/>
      <c r="I57" s="1478"/>
      <c r="J57" s="1478"/>
      <c r="K57" s="459"/>
      <c r="L57" s="1183" t="s">
        <v>15</v>
      </c>
      <c r="M57" s="611" t="s">
        <v>363</v>
      </c>
      <c r="N57" s="1481"/>
      <c r="O57" s="1482"/>
      <c r="P57" s="1482"/>
      <c r="Q57" s="1482"/>
      <c r="R57" s="1483"/>
      <c r="S57" s="424"/>
      <c r="T57" s="390" t="s">
        <v>15</v>
      </c>
      <c r="U57" s="611" t="s">
        <v>363</v>
      </c>
      <c r="V57" s="1481"/>
      <c r="W57" s="1482"/>
      <c r="X57" s="1482"/>
      <c r="Y57" s="1482"/>
      <c r="Z57" s="1482"/>
      <c r="AA57" s="1484"/>
      <c r="AB57" s="390" t="s">
        <v>15</v>
      </c>
      <c r="AC57" s="611" t="s">
        <v>363</v>
      </c>
      <c r="AD57" s="1481"/>
      <c r="AE57" s="1482"/>
      <c r="AF57" s="1482"/>
      <c r="AG57" s="1482"/>
      <c r="AH57" s="1483"/>
      <c r="AI57" s="424"/>
      <c r="AJ57" s="390" t="s">
        <v>15</v>
      </c>
      <c r="AK57" s="611" t="s">
        <v>363</v>
      </c>
      <c r="AL57" s="1481"/>
      <c r="AM57" s="1482"/>
      <c r="AN57" s="1482"/>
      <c r="AO57" s="1482"/>
      <c r="AP57" s="1483"/>
      <c r="AQ57" s="424"/>
      <c r="AR57" s="390" t="s">
        <v>15</v>
      </c>
      <c r="AS57" s="611" t="s">
        <v>363</v>
      </c>
      <c r="AT57" s="1481"/>
      <c r="AU57" s="1482"/>
      <c r="AV57" s="1482"/>
      <c r="AW57" s="1482"/>
      <c r="AX57" s="1482"/>
      <c r="AY57" s="1482"/>
      <c r="AZ57" s="1482"/>
      <c r="BA57" s="1500"/>
      <c r="BB57" s="291"/>
      <c r="BC57" s="291"/>
      <c r="BD57" s="291"/>
      <c r="BE57" s="291"/>
      <c r="BF57" s="291"/>
      <c r="BG57" s="291"/>
      <c r="BH57" s="291"/>
      <c r="BI57" s="291"/>
      <c r="BJ57" s="291"/>
      <c r="BK57" s="291"/>
      <c r="BL57" s="291"/>
      <c r="BM57" s="291"/>
      <c r="BN57" s="291"/>
      <c r="BO57" s="291"/>
      <c r="BP57" s="291"/>
      <c r="BQ57" s="291"/>
      <c r="BR57" s="291"/>
      <c r="BS57" s="291"/>
      <c r="BT57" s="291"/>
      <c r="BU57" s="291"/>
      <c r="BV57" s="291"/>
      <c r="BW57" s="291"/>
      <c r="BX57" s="291"/>
      <c r="BY57" s="291"/>
      <c r="BZ57" s="291"/>
      <c r="CA57" s="291"/>
      <c r="CB57" s="291"/>
      <c r="CC57" s="291"/>
      <c r="CD57" s="291"/>
      <c r="CE57" s="291"/>
      <c r="CF57" s="291"/>
      <c r="CG57" s="291"/>
      <c r="CH57" s="291"/>
      <c r="CI57" s="291"/>
      <c r="CJ57" s="291"/>
      <c r="CK57" s="291"/>
      <c r="CL57" s="291"/>
      <c r="CM57" s="291"/>
      <c r="CN57" s="291"/>
      <c r="CO57" s="291"/>
      <c r="CP57" s="291"/>
      <c r="CQ57" s="291"/>
      <c r="CR57" s="291"/>
      <c r="CS57" s="291"/>
      <c r="CT57" s="291"/>
      <c r="CU57" s="291"/>
      <c r="CV57" s="291"/>
      <c r="CW57" s="291"/>
      <c r="CX57" s="291"/>
      <c r="CY57" s="291"/>
      <c r="CZ57" s="291"/>
      <c r="DA57" s="291"/>
      <c r="DB57" s="291"/>
      <c r="DC57" s="291"/>
      <c r="DD57" s="291"/>
      <c r="DE57" s="291"/>
      <c r="DF57" s="291"/>
      <c r="DG57" s="291"/>
      <c r="DH57" s="291"/>
      <c r="DI57" s="291"/>
      <c r="DJ57" s="291"/>
      <c r="DK57" s="291"/>
      <c r="DL57" s="291"/>
      <c r="DM57" s="291"/>
      <c r="DN57" s="291"/>
      <c r="DO57" s="291"/>
      <c r="DP57" s="291"/>
      <c r="DQ57" s="291"/>
      <c r="DR57" s="291"/>
      <c r="DS57" s="291"/>
      <c r="DT57" s="291"/>
      <c r="DU57" s="291"/>
      <c r="DV57" s="291"/>
      <c r="DW57" s="291"/>
      <c r="DX57" s="291"/>
      <c r="DY57" s="291"/>
      <c r="DZ57" s="291"/>
      <c r="EA57" s="291"/>
      <c r="EB57" s="291"/>
      <c r="EC57" s="291"/>
      <c r="ED57" s="291"/>
      <c r="EE57" s="291"/>
      <c r="EF57" s="291"/>
      <c r="EG57" s="291"/>
      <c r="EH57" s="291"/>
      <c r="EI57" s="291"/>
      <c r="EJ57" s="291"/>
      <c r="EK57" s="291"/>
      <c r="EL57" s="291"/>
      <c r="EM57" s="291"/>
      <c r="EN57" s="291"/>
      <c r="EO57" s="291"/>
      <c r="EP57" s="291"/>
      <c r="EQ57" s="291"/>
      <c r="ER57" s="291"/>
      <c r="ES57" s="291"/>
      <c r="ET57" s="291"/>
      <c r="EU57" s="291"/>
      <c r="EV57" s="291"/>
      <c r="EW57" s="291"/>
      <c r="EX57" s="291"/>
      <c r="EY57" s="291"/>
      <c r="EZ57" s="291"/>
      <c r="FA57" s="291"/>
      <c r="FB57" s="291"/>
      <c r="FC57" s="291"/>
      <c r="FD57" s="291"/>
      <c r="FE57" s="291"/>
      <c r="FF57" s="291"/>
      <c r="FG57" s="291"/>
      <c r="FH57" s="291"/>
      <c r="FI57" s="291"/>
      <c r="FJ57" s="291"/>
      <c r="FK57" s="291"/>
      <c r="FL57" s="291"/>
      <c r="FM57" s="291"/>
      <c r="FN57" s="291"/>
      <c r="FO57" s="291"/>
      <c r="FP57" s="291"/>
      <c r="FQ57" s="291"/>
      <c r="FR57" s="291"/>
      <c r="FS57" s="291"/>
      <c r="FT57" s="291"/>
      <c r="FU57" s="291"/>
      <c r="FV57" s="291"/>
      <c r="FW57" s="291"/>
      <c r="FX57" s="291"/>
      <c r="FY57" s="291"/>
      <c r="FZ57" s="291"/>
      <c r="GA57" s="291"/>
      <c r="GB57" s="291"/>
      <c r="GC57" s="291"/>
      <c r="GD57" s="291"/>
      <c r="GE57" s="291"/>
      <c r="GF57" s="291"/>
      <c r="GG57" s="291"/>
      <c r="GH57" s="291"/>
      <c r="GI57" s="291"/>
      <c r="GJ57" s="291"/>
      <c r="GK57" s="291"/>
      <c r="GL57" s="291"/>
      <c r="GM57" s="291"/>
      <c r="GN57" s="291"/>
      <c r="GO57" s="291"/>
      <c r="GP57" s="291"/>
      <c r="GQ57" s="291"/>
      <c r="GR57" s="291"/>
      <c r="GS57" s="291"/>
      <c r="GT57" s="291"/>
      <c r="GU57" s="291"/>
      <c r="GV57" s="291"/>
      <c r="GW57" s="291"/>
      <c r="GX57" s="291"/>
      <c r="GY57" s="291"/>
      <c r="GZ57" s="291"/>
      <c r="HA57" s="291"/>
      <c r="HB57" s="291"/>
      <c r="HC57" s="291"/>
      <c r="HD57" s="291"/>
      <c r="HE57" s="291"/>
      <c r="HF57" s="291"/>
      <c r="HG57" s="291"/>
      <c r="HH57" s="291"/>
      <c r="HI57" s="291"/>
      <c r="HJ57" s="291"/>
      <c r="HK57" s="291"/>
      <c r="HL57" s="291"/>
      <c r="HM57" s="291"/>
      <c r="HN57" s="291"/>
      <c r="HO57" s="291"/>
      <c r="HP57" s="291"/>
      <c r="HQ57" s="291"/>
      <c r="HR57" s="291"/>
      <c r="HS57" s="291"/>
      <c r="HT57" s="291"/>
      <c r="HU57" s="291"/>
      <c r="HV57" s="291"/>
      <c r="HW57" s="291"/>
      <c r="HX57" s="291"/>
      <c r="HY57" s="291"/>
      <c r="HZ57" s="291"/>
      <c r="IA57" s="291"/>
      <c r="IB57" s="291"/>
      <c r="IC57" s="291"/>
      <c r="ID57" s="291"/>
      <c r="IE57" s="291"/>
      <c r="IF57" s="291"/>
      <c r="IG57" s="291"/>
      <c r="IH57" s="291"/>
      <c r="II57" s="291"/>
      <c r="IJ57" s="291"/>
      <c r="IK57" s="291"/>
      <c r="IL57" s="291"/>
      <c r="IM57" s="291"/>
      <c r="IN57" s="291"/>
      <c r="IO57" s="291"/>
      <c r="IP57" s="291"/>
      <c r="IQ57" s="291"/>
      <c r="IR57" s="291"/>
      <c r="IS57" s="291"/>
      <c r="IT57" s="291"/>
      <c r="IU57" s="291"/>
      <c r="IV57" s="291"/>
      <c r="IW57" s="291"/>
      <c r="IX57" s="291"/>
      <c r="IY57" s="291"/>
      <c r="IZ57" s="291"/>
      <c r="JA57" s="291"/>
      <c r="JB57" s="291"/>
      <c r="JC57" s="291"/>
      <c r="JD57" s="291"/>
      <c r="JE57" s="291"/>
      <c r="JF57" s="291"/>
      <c r="JG57" s="291"/>
      <c r="JH57" s="291"/>
      <c r="JI57" s="291"/>
      <c r="JJ57" s="291"/>
      <c r="JK57" s="291"/>
      <c r="JL57" s="291"/>
      <c r="JM57" s="291"/>
      <c r="JN57" s="291"/>
      <c r="JO57" s="291"/>
      <c r="JP57" s="291"/>
      <c r="JQ57" s="291"/>
      <c r="JR57" s="291"/>
      <c r="JS57" s="291"/>
      <c r="JT57" s="291"/>
      <c r="JU57" s="291"/>
      <c r="JV57" s="291"/>
      <c r="JW57" s="291"/>
      <c r="JX57" s="291"/>
      <c r="JY57" s="291"/>
      <c r="JZ57" s="291"/>
      <c r="KA57" s="291"/>
      <c r="KB57" s="291"/>
      <c r="KC57" s="291"/>
      <c r="KD57" s="291"/>
      <c r="KE57" s="291"/>
      <c r="KF57" s="291"/>
      <c r="KG57" s="291"/>
      <c r="KH57" s="291"/>
      <c r="KI57" s="291"/>
      <c r="KJ57" s="291"/>
      <c r="KK57" s="291"/>
      <c r="KL57" s="291"/>
      <c r="KM57" s="291"/>
      <c r="KN57" s="291"/>
      <c r="KO57" s="291"/>
      <c r="KP57" s="291"/>
      <c r="KQ57" s="291"/>
      <c r="KR57" s="291"/>
      <c r="KS57" s="291"/>
      <c r="KT57" s="291"/>
      <c r="KU57" s="291"/>
      <c r="KV57" s="291"/>
      <c r="KW57" s="291"/>
      <c r="KX57" s="291"/>
      <c r="KY57" s="291"/>
      <c r="KZ57" s="291"/>
      <c r="LA57" s="291"/>
      <c r="LB57" s="291"/>
      <c r="LC57" s="291"/>
      <c r="LD57" s="291"/>
      <c r="LE57" s="291"/>
      <c r="LF57" s="291"/>
      <c r="LG57" s="291"/>
      <c r="LH57" s="291"/>
      <c r="LI57" s="291"/>
      <c r="LJ57" s="291"/>
      <c r="LK57" s="291"/>
      <c r="LL57" s="291"/>
      <c r="LM57" s="291"/>
      <c r="LN57" s="291"/>
      <c r="LO57" s="291"/>
      <c r="LP57" s="291"/>
      <c r="LQ57" s="291"/>
      <c r="LR57" s="291"/>
      <c r="LS57" s="291"/>
      <c r="LT57" s="291"/>
      <c r="LU57" s="291"/>
      <c r="LV57" s="291"/>
      <c r="LW57" s="291"/>
      <c r="LX57" s="291"/>
      <c r="LY57" s="291"/>
      <c r="LZ57" s="291"/>
      <c r="MA57" s="291"/>
      <c r="MB57" s="291"/>
      <c r="MC57" s="291"/>
      <c r="MD57" s="291"/>
      <c r="ME57" s="291"/>
      <c r="MF57" s="291"/>
      <c r="MG57" s="291"/>
      <c r="MH57" s="291"/>
      <c r="MI57" s="291"/>
      <c r="MJ57" s="291"/>
      <c r="MK57" s="291"/>
      <c r="ML57" s="291"/>
      <c r="MM57" s="291"/>
      <c r="MN57" s="291"/>
      <c r="MO57" s="291"/>
      <c r="MP57" s="291"/>
      <c r="MQ57" s="291"/>
      <c r="MR57" s="291"/>
      <c r="MS57" s="291"/>
      <c r="MT57" s="291"/>
      <c r="MU57" s="291"/>
      <c r="MV57" s="291"/>
      <c r="MW57" s="291"/>
      <c r="MX57" s="291"/>
      <c r="MY57" s="291"/>
      <c r="MZ57" s="291"/>
      <c r="NA57" s="291"/>
      <c r="NB57" s="291"/>
      <c r="NC57" s="291"/>
      <c r="ND57" s="291"/>
      <c r="NE57" s="291"/>
      <c r="NF57" s="291"/>
      <c r="NG57" s="291"/>
      <c r="NH57" s="291"/>
      <c r="NI57" s="291"/>
      <c r="NJ57" s="291"/>
      <c r="NK57" s="291"/>
      <c r="NL57" s="291"/>
      <c r="NM57" s="291"/>
      <c r="NN57" s="291"/>
      <c r="NO57" s="291"/>
      <c r="NP57" s="291"/>
      <c r="NQ57" s="291"/>
      <c r="NR57" s="291"/>
      <c r="NS57" s="291"/>
      <c r="NT57" s="291"/>
      <c r="NU57" s="291"/>
      <c r="NV57" s="291"/>
      <c r="NW57" s="291"/>
      <c r="NX57" s="291"/>
      <c r="NY57" s="291"/>
      <c r="NZ57" s="291"/>
      <c r="OA57" s="291"/>
      <c r="OB57" s="291"/>
      <c r="OC57" s="291"/>
      <c r="OD57" s="291"/>
      <c r="OE57" s="291"/>
      <c r="OF57" s="291"/>
      <c r="OG57" s="291"/>
      <c r="OH57" s="291"/>
      <c r="OI57" s="291"/>
      <c r="OJ57" s="291"/>
      <c r="OK57" s="291"/>
      <c r="OL57" s="291"/>
      <c r="OM57" s="291"/>
      <c r="ON57" s="291"/>
      <c r="OO57" s="291"/>
      <c r="OP57" s="291"/>
      <c r="OQ57" s="291"/>
      <c r="OR57" s="291"/>
      <c r="OS57" s="291"/>
      <c r="OT57" s="291"/>
      <c r="OU57" s="291"/>
      <c r="OV57" s="291"/>
      <c r="OW57" s="291"/>
      <c r="OX57" s="291"/>
      <c r="OY57" s="291"/>
      <c r="OZ57" s="291"/>
      <c r="PA57" s="291"/>
      <c r="PB57" s="291"/>
      <c r="PC57" s="291"/>
      <c r="PD57" s="291"/>
      <c r="PE57" s="291"/>
      <c r="PF57" s="291"/>
      <c r="PG57" s="291"/>
      <c r="PH57" s="291"/>
      <c r="PI57" s="291"/>
      <c r="PJ57" s="291"/>
      <c r="PK57" s="291"/>
      <c r="PL57" s="291"/>
      <c r="PM57" s="291"/>
      <c r="PN57" s="291"/>
      <c r="PO57" s="291"/>
      <c r="PP57" s="291"/>
      <c r="PQ57" s="291"/>
      <c r="PR57" s="291"/>
      <c r="PS57" s="291"/>
      <c r="PT57" s="291"/>
      <c r="PU57" s="291"/>
      <c r="PV57" s="291"/>
      <c r="PW57" s="291"/>
      <c r="PX57" s="291"/>
      <c r="PY57" s="291"/>
      <c r="PZ57" s="291"/>
      <c r="QA57" s="291"/>
      <c r="QB57" s="291"/>
      <c r="QC57" s="291"/>
      <c r="QD57" s="291"/>
      <c r="QE57" s="291"/>
      <c r="QF57" s="291"/>
      <c r="QG57" s="291"/>
      <c r="QH57" s="291"/>
      <c r="QI57" s="291"/>
      <c r="QJ57" s="291"/>
      <c r="QK57" s="291"/>
      <c r="QL57" s="291"/>
      <c r="QM57" s="291"/>
      <c r="QN57" s="291"/>
      <c r="QO57" s="291"/>
      <c r="QP57" s="291"/>
      <c r="QQ57" s="291"/>
      <c r="QR57" s="291"/>
      <c r="QS57" s="291"/>
      <c r="QT57" s="291"/>
      <c r="QU57" s="291"/>
      <c r="QV57" s="291"/>
      <c r="QW57" s="291"/>
      <c r="QX57" s="291"/>
      <c r="QY57" s="291"/>
      <c r="QZ57" s="291"/>
      <c r="RA57" s="291"/>
      <c r="RB57" s="291"/>
      <c r="RC57" s="291"/>
      <c r="RD57" s="291"/>
      <c r="RE57" s="291"/>
      <c r="RF57" s="291"/>
      <c r="RG57" s="291"/>
      <c r="RH57" s="291"/>
      <c r="RI57" s="291"/>
      <c r="RJ57" s="291"/>
      <c r="RK57" s="291"/>
      <c r="RL57" s="291"/>
      <c r="RM57" s="291"/>
      <c r="RN57" s="291"/>
      <c r="RO57" s="291"/>
      <c r="RP57" s="291"/>
      <c r="RQ57" s="291"/>
      <c r="RR57" s="291"/>
      <c r="RS57" s="291"/>
      <c r="RT57" s="291"/>
      <c r="RU57" s="291"/>
      <c r="RV57" s="291"/>
      <c r="RW57" s="291"/>
      <c r="RX57" s="291"/>
      <c r="RY57" s="291"/>
      <c r="RZ57" s="291"/>
      <c r="SA57" s="291"/>
      <c r="SB57" s="291"/>
      <c r="SC57" s="291"/>
      <c r="SD57" s="291"/>
      <c r="SE57" s="291"/>
      <c r="SF57" s="291"/>
      <c r="SG57" s="291"/>
      <c r="SH57" s="291"/>
      <c r="SI57" s="291"/>
      <c r="SJ57" s="291"/>
      <c r="SK57" s="291"/>
      <c r="SL57" s="291"/>
      <c r="SM57" s="291"/>
      <c r="SN57" s="291"/>
      <c r="SO57" s="291"/>
      <c r="SP57" s="291"/>
      <c r="SQ57" s="291"/>
      <c r="SR57" s="291"/>
      <c r="SS57" s="291"/>
      <c r="ST57" s="291"/>
      <c r="SU57" s="291"/>
      <c r="SV57" s="291"/>
      <c r="SW57" s="291"/>
      <c r="SX57" s="291"/>
      <c r="SY57" s="291"/>
      <c r="SZ57" s="291"/>
      <c r="TA57" s="291"/>
      <c r="TB57" s="291"/>
      <c r="TC57" s="291"/>
      <c r="TD57" s="291"/>
      <c r="TE57" s="291"/>
      <c r="TF57" s="291"/>
      <c r="TG57" s="291"/>
      <c r="TH57" s="291"/>
      <c r="TI57" s="291"/>
      <c r="TJ57" s="291"/>
      <c r="TK57" s="291"/>
      <c r="TL57" s="291"/>
      <c r="TM57" s="291"/>
      <c r="TN57" s="291"/>
      <c r="TO57" s="291"/>
      <c r="TP57" s="291"/>
      <c r="TQ57" s="291"/>
      <c r="TR57" s="291"/>
    </row>
    <row r="58" spans="1:538" x14ac:dyDescent="0.25">
      <c r="A58" s="486"/>
      <c r="B58" s="296" t="s">
        <v>365</v>
      </c>
      <c r="C58" s="486"/>
      <c r="D58" s="491">
        <v>1500000</v>
      </c>
      <c r="E58" s="356">
        <v>0.1</v>
      </c>
      <c r="F58" s="1478"/>
      <c r="G58" s="1478"/>
      <c r="H58" s="1478"/>
      <c r="I58" s="1478"/>
      <c r="J58" s="1478"/>
      <c r="K58" s="477">
        <f>D58*E58</f>
        <v>150000</v>
      </c>
      <c r="L58" s="434">
        <v>1500000</v>
      </c>
      <c r="M58" s="356">
        <v>0.1</v>
      </c>
      <c r="N58" s="1460"/>
      <c r="O58" s="1461"/>
      <c r="P58" s="1461"/>
      <c r="Q58" s="1461"/>
      <c r="R58" s="1462"/>
      <c r="S58" s="300">
        <f>L58*M58</f>
        <v>150000</v>
      </c>
      <c r="T58" s="434">
        <v>1500000</v>
      </c>
      <c r="U58" s="356">
        <v>0.1</v>
      </c>
      <c r="V58" s="1460"/>
      <c r="W58" s="1461"/>
      <c r="X58" s="1461"/>
      <c r="Y58" s="1461"/>
      <c r="Z58" s="1462"/>
      <c r="AA58" s="300">
        <f>T58*U58</f>
        <v>150000</v>
      </c>
      <c r="AB58" s="434">
        <v>1500000</v>
      </c>
      <c r="AC58" s="356">
        <v>0.1</v>
      </c>
      <c r="AD58" s="1460"/>
      <c r="AE58" s="1461"/>
      <c r="AF58" s="1461"/>
      <c r="AG58" s="1461"/>
      <c r="AH58" s="1462"/>
      <c r="AI58" s="300">
        <f>AB58*AC58</f>
        <v>150000</v>
      </c>
      <c r="AJ58" s="434">
        <v>1500000</v>
      </c>
      <c r="AK58" s="356">
        <v>0.1</v>
      </c>
      <c r="AL58" s="1460"/>
      <c r="AM58" s="1461"/>
      <c r="AN58" s="1461"/>
      <c r="AO58" s="1461"/>
      <c r="AP58" s="1462"/>
      <c r="AQ58" s="300">
        <f>AJ58*AK58</f>
        <v>150000</v>
      </c>
      <c r="AR58" s="434">
        <v>1500000</v>
      </c>
      <c r="AS58" s="439">
        <v>0.1</v>
      </c>
      <c r="AT58" s="1460"/>
      <c r="AU58" s="1461"/>
      <c r="AV58" s="1461"/>
      <c r="AW58" s="1461"/>
      <c r="AX58" s="1462"/>
      <c r="AY58" s="406">
        <f>AR58*AS58</f>
        <v>150000</v>
      </c>
      <c r="AZ58" s="1439"/>
      <c r="BA58" s="431">
        <f>K58+S58+AA58+AI58+AQ58+AY58</f>
        <v>900000</v>
      </c>
    </row>
    <row r="59" spans="1:538" x14ac:dyDescent="0.25">
      <c r="A59" s="486"/>
      <c r="B59" s="296" t="s">
        <v>453</v>
      </c>
      <c r="C59" s="486"/>
      <c r="D59" s="492">
        <v>0</v>
      </c>
      <c r="E59" s="356">
        <v>0</v>
      </c>
      <c r="F59" s="1478"/>
      <c r="G59" s="1478"/>
      <c r="H59" s="1478"/>
      <c r="I59" s="1478"/>
      <c r="J59" s="1478"/>
      <c r="K59" s="477">
        <f>D59*E59</f>
        <v>0</v>
      </c>
      <c r="L59" s="434">
        <v>0</v>
      </c>
      <c r="M59" s="356">
        <v>0.1</v>
      </c>
      <c r="N59" s="1435"/>
      <c r="O59" s="1436"/>
      <c r="P59" s="1436"/>
      <c r="Q59" s="1436"/>
      <c r="R59" s="1438"/>
      <c r="S59" s="300">
        <f>L59*M59</f>
        <v>0</v>
      </c>
      <c r="T59" s="435">
        <v>0</v>
      </c>
      <c r="U59" s="356">
        <v>0</v>
      </c>
      <c r="V59" s="1435"/>
      <c r="W59" s="1436"/>
      <c r="X59" s="1436"/>
      <c r="Y59" s="1436"/>
      <c r="Z59" s="1438"/>
      <c r="AA59" s="300">
        <f>T59*U59</f>
        <v>0</v>
      </c>
      <c r="AB59" s="435">
        <v>0</v>
      </c>
      <c r="AC59" s="356">
        <v>0</v>
      </c>
      <c r="AD59" s="1435"/>
      <c r="AE59" s="1436"/>
      <c r="AF59" s="1436"/>
      <c r="AG59" s="1436"/>
      <c r="AH59" s="1438"/>
      <c r="AI59" s="300">
        <f>AB59*AC59</f>
        <v>0</v>
      </c>
      <c r="AJ59" s="440"/>
      <c r="AK59" s="356">
        <v>0</v>
      </c>
      <c r="AL59" s="1435"/>
      <c r="AM59" s="1436"/>
      <c r="AN59" s="1436"/>
      <c r="AO59" s="1436"/>
      <c r="AP59" s="1438"/>
      <c r="AQ59" s="300">
        <f>AJ59*AK59</f>
        <v>0</v>
      </c>
      <c r="AR59" s="438">
        <v>0</v>
      </c>
      <c r="AS59" s="439">
        <v>0</v>
      </c>
      <c r="AT59" s="1435"/>
      <c r="AU59" s="1436"/>
      <c r="AV59" s="1436"/>
      <c r="AW59" s="1436"/>
      <c r="AX59" s="1438"/>
      <c r="AY59" s="406">
        <f>AR59*AS59</f>
        <v>0</v>
      </c>
      <c r="AZ59" s="1440"/>
      <c r="BA59" s="431">
        <f>K59+S59+AA59+AI59+AQ59+AY59</f>
        <v>0</v>
      </c>
    </row>
    <row r="60" spans="1:538" s="391" customFormat="1" x14ac:dyDescent="0.25">
      <c r="A60" s="1470" t="s">
        <v>258</v>
      </c>
      <c r="B60" s="1471"/>
      <c r="C60" s="1472"/>
      <c r="D60" s="1473"/>
      <c r="E60" s="1474"/>
      <c r="F60" s="1475"/>
      <c r="G60" s="1475"/>
      <c r="H60" s="1475"/>
      <c r="I60" s="1475"/>
      <c r="J60" s="1475"/>
      <c r="K60" s="493">
        <f>SUM(K57:K59)</f>
        <v>150000</v>
      </c>
      <c r="L60" s="1474"/>
      <c r="M60" s="1474"/>
      <c r="N60" s="1474"/>
      <c r="O60" s="1474"/>
      <c r="P60" s="1474"/>
      <c r="Q60" s="1474"/>
      <c r="R60" s="1476"/>
      <c r="S60" s="421">
        <f>SUM(S57:S59)</f>
        <v>150000</v>
      </c>
      <c r="T60" s="1473"/>
      <c r="U60" s="1474"/>
      <c r="V60" s="1474"/>
      <c r="W60" s="1474"/>
      <c r="X60" s="1474"/>
      <c r="Y60" s="1474"/>
      <c r="Z60" s="1477"/>
      <c r="AA60" s="428">
        <f>SUM(AA57:AA59)</f>
        <v>150000</v>
      </c>
      <c r="AB60" s="1473"/>
      <c r="AC60" s="1474"/>
      <c r="AD60" s="1474"/>
      <c r="AE60" s="1474"/>
      <c r="AF60" s="1474"/>
      <c r="AG60" s="1474"/>
      <c r="AH60" s="1477"/>
      <c r="AI60" s="361">
        <f>SUM(AI57:AI59)</f>
        <v>150000</v>
      </c>
      <c r="AJ60" s="1479"/>
      <c r="AK60" s="1474"/>
      <c r="AL60" s="1474"/>
      <c r="AM60" s="1474"/>
      <c r="AN60" s="1474"/>
      <c r="AO60" s="1474"/>
      <c r="AP60" s="1476"/>
      <c r="AQ60" s="355">
        <f>SUM(AQ57:AQ59)</f>
        <v>150000</v>
      </c>
      <c r="AR60" s="1479"/>
      <c r="AS60" s="1474"/>
      <c r="AT60" s="1474"/>
      <c r="AU60" s="1474"/>
      <c r="AV60" s="1474"/>
      <c r="AW60" s="1474"/>
      <c r="AX60" s="1476"/>
      <c r="AY60" s="421">
        <f>SUM(AY57:AY59)</f>
        <v>150000</v>
      </c>
      <c r="AZ60" s="462"/>
      <c r="BA60" s="392">
        <f>K60+S60+AA60+AI60+AQ60+AY60</f>
        <v>900000</v>
      </c>
      <c r="BB60" s="291"/>
      <c r="BC60" s="291"/>
      <c r="BD60" s="291"/>
      <c r="BE60" s="291"/>
      <c r="BF60" s="291"/>
      <c r="BG60" s="291"/>
      <c r="BH60" s="291"/>
      <c r="BI60" s="291"/>
      <c r="BJ60" s="291"/>
      <c r="BK60" s="291"/>
      <c r="BL60" s="291"/>
      <c r="BM60" s="291"/>
      <c r="BN60" s="291"/>
      <c r="BO60" s="291"/>
      <c r="BP60" s="291"/>
      <c r="BQ60" s="291"/>
      <c r="BR60" s="291"/>
      <c r="BS60" s="291"/>
      <c r="BT60" s="291"/>
      <c r="BU60" s="291"/>
      <c r="BV60" s="291"/>
      <c r="BW60" s="291"/>
      <c r="BX60" s="291"/>
      <c r="BY60" s="291"/>
      <c r="BZ60" s="291"/>
      <c r="CA60" s="291"/>
      <c r="CB60" s="291"/>
      <c r="CC60" s="291"/>
      <c r="CD60" s="291"/>
      <c r="CE60" s="291"/>
      <c r="CF60" s="291"/>
      <c r="CG60" s="291"/>
      <c r="CH60" s="291"/>
      <c r="CI60" s="291"/>
      <c r="CJ60" s="291"/>
      <c r="CK60" s="291"/>
      <c r="CL60" s="291"/>
      <c r="CM60" s="291"/>
      <c r="CN60" s="291"/>
      <c r="CO60" s="291"/>
      <c r="CP60" s="291"/>
      <c r="CQ60" s="291"/>
      <c r="CR60" s="291"/>
      <c r="CS60" s="291"/>
      <c r="CT60" s="291"/>
      <c r="CU60" s="291"/>
      <c r="CV60" s="291"/>
      <c r="CW60" s="291"/>
      <c r="CX60" s="291"/>
      <c r="CY60" s="291"/>
      <c r="CZ60" s="291"/>
      <c r="DA60" s="291"/>
      <c r="DB60" s="291"/>
      <c r="DC60" s="291"/>
      <c r="DD60" s="291"/>
      <c r="DE60" s="291"/>
      <c r="DF60" s="291"/>
      <c r="DG60" s="291"/>
      <c r="DH60" s="291"/>
      <c r="DI60" s="291"/>
      <c r="DJ60" s="291"/>
      <c r="DK60" s="291"/>
      <c r="DL60" s="291"/>
      <c r="DM60" s="291"/>
      <c r="DN60" s="291"/>
      <c r="DO60" s="291"/>
      <c r="DP60" s="291"/>
      <c r="DQ60" s="291"/>
      <c r="DR60" s="291"/>
      <c r="DS60" s="291"/>
      <c r="DT60" s="291"/>
      <c r="DU60" s="291"/>
      <c r="DV60" s="291"/>
      <c r="DW60" s="291"/>
      <c r="DX60" s="291"/>
      <c r="DY60" s="291"/>
      <c r="DZ60" s="291"/>
      <c r="EA60" s="291"/>
      <c r="EB60" s="291"/>
      <c r="EC60" s="291"/>
      <c r="ED60" s="291"/>
      <c r="EE60" s="291"/>
      <c r="EF60" s="291"/>
      <c r="EG60" s="291"/>
      <c r="EH60" s="291"/>
      <c r="EI60" s="291"/>
      <c r="EJ60" s="291"/>
      <c r="EK60" s="291"/>
      <c r="EL60" s="291"/>
      <c r="EM60" s="291"/>
      <c r="EN60" s="291"/>
      <c r="EO60" s="291"/>
      <c r="EP60" s="291"/>
      <c r="EQ60" s="291"/>
      <c r="ER60" s="291"/>
      <c r="ES60" s="291"/>
      <c r="ET60" s="291"/>
      <c r="EU60" s="291"/>
      <c r="EV60" s="291"/>
      <c r="EW60" s="291"/>
      <c r="EX60" s="291"/>
      <c r="EY60" s="291"/>
      <c r="EZ60" s="291"/>
      <c r="FA60" s="291"/>
      <c r="FB60" s="291"/>
      <c r="FC60" s="291"/>
      <c r="FD60" s="291"/>
      <c r="FE60" s="291"/>
      <c r="FF60" s="291"/>
      <c r="FG60" s="291"/>
      <c r="FH60" s="291"/>
      <c r="FI60" s="291"/>
      <c r="FJ60" s="291"/>
      <c r="FK60" s="291"/>
      <c r="FL60" s="291"/>
      <c r="FM60" s="291"/>
      <c r="FN60" s="291"/>
      <c r="FO60" s="291"/>
      <c r="FP60" s="291"/>
      <c r="FQ60" s="291"/>
      <c r="FR60" s="291"/>
      <c r="FS60" s="291"/>
      <c r="FT60" s="291"/>
      <c r="FU60" s="291"/>
      <c r="FV60" s="291"/>
      <c r="FW60" s="291"/>
      <c r="FX60" s="291"/>
      <c r="FY60" s="291"/>
      <c r="FZ60" s="291"/>
      <c r="GA60" s="291"/>
      <c r="GB60" s="291"/>
      <c r="GC60" s="291"/>
      <c r="GD60" s="291"/>
      <c r="GE60" s="291"/>
      <c r="GF60" s="291"/>
      <c r="GG60" s="291"/>
      <c r="GH60" s="291"/>
      <c r="GI60" s="291"/>
      <c r="GJ60" s="291"/>
      <c r="GK60" s="291"/>
      <c r="GL60" s="291"/>
      <c r="GM60" s="291"/>
      <c r="GN60" s="291"/>
      <c r="GO60" s="291"/>
      <c r="GP60" s="291"/>
      <c r="GQ60" s="291"/>
      <c r="GR60" s="291"/>
      <c r="GS60" s="291"/>
      <c r="GT60" s="291"/>
      <c r="GU60" s="291"/>
      <c r="GV60" s="291"/>
      <c r="GW60" s="291"/>
      <c r="GX60" s="291"/>
      <c r="GY60" s="291"/>
      <c r="GZ60" s="291"/>
      <c r="HA60" s="291"/>
      <c r="HB60" s="291"/>
      <c r="HC60" s="291"/>
      <c r="HD60" s="291"/>
      <c r="HE60" s="291"/>
      <c r="HF60" s="291"/>
      <c r="HG60" s="291"/>
      <c r="HH60" s="291"/>
      <c r="HI60" s="291"/>
      <c r="HJ60" s="291"/>
      <c r="HK60" s="291"/>
      <c r="HL60" s="291"/>
      <c r="HM60" s="291"/>
      <c r="HN60" s="291"/>
      <c r="HO60" s="291"/>
      <c r="HP60" s="291"/>
      <c r="HQ60" s="291"/>
      <c r="HR60" s="291"/>
      <c r="HS60" s="291"/>
      <c r="HT60" s="291"/>
      <c r="HU60" s="291"/>
      <c r="HV60" s="291"/>
      <c r="HW60" s="291"/>
      <c r="HX60" s="291"/>
      <c r="HY60" s="291"/>
      <c r="HZ60" s="291"/>
      <c r="IA60" s="291"/>
      <c r="IB60" s="291"/>
      <c r="IC60" s="291"/>
      <c r="ID60" s="291"/>
      <c r="IE60" s="291"/>
      <c r="IF60" s="291"/>
      <c r="IG60" s="291"/>
      <c r="IH60" s="291"/>
      <c r="II60" s="291"/>
      <c r="IJ60" s="291"/>
      <c r="IK60" s="291"/>
      <c r="IL60" s="291"/>
      <c r="IM60" s="291"/>
      <c r="IN60" s="291"/>
      <c r="IO60" s="291"/>
      <c r="IP60" s="291"/>
      <c r="IQ60" s="291"/>
      <c r="IR60" s="291"/>
      <c r="IS60" s="291"/>
      <c r="IT60" s="291"/>
      <c r="IU60" s="291"/>
      <c r="IV60" s="291"/>
      <c r="IW60" s="291"/>
      <c r="IX60" s="291"/>
      <c r="IY60" s="291"/>
      <c r="IZ60" s="291"/>
      <c r="JA60" s="291"/>
      <c r="JB60" s="291"/>
      <c r="JC60" s="291"/>
      <c r="JD60" s="291"/>
      <c r="JE60" s="291"/>
      <c r="JF60" s="291"/>
      <c r="JG60" s="291"/>
      <c r="JH60" s="291"/>
      <c r="JI60" s="291"/>
      <c r="JJ60" s="291"/>
      <c r="JK60" s="291"/>
      <c r="JL60" s="291"/>
      <c r="JM60" s="291"/>
      <c r="JN60" s="291"/>
      <c r="JO60" s="291"/>
      <c r="JP60" s="291"/>
      <c r="JQ60" s="291"/>
      <c r="JR60" s="291"/>
      <c r="JS60" s="291"/>
      <c r="JT60" s="291"/>
      <c r="JU60" s="291"/>
      <c r="JV60" s="291"/>
      <c r="JW60" s="291"/>
      <c r="JX60" s="291"/>
      <c r="JY60" s="291"/>
      <c r="JZ60" s="291"/>
      <c r="KA60" s="291"/>
      <c r="KB60" s="291"/>
      <c r="KC60" s="291"/>
      <c r="KD60" s="291"/>
      <c r="KE60" s="291"/>
      <c r="KF60" s="291"/>
      <c r="KG60" s="291"/>
      <c r="KH60" s="291"/>
      <c r="KI60" s="291"/>
      <c r="KJ60" s="291"/>
      <c r="KK60" s="291"/>
      <c r="KL60" s="291"/>
      <c r="KM60" s="291"/>
      <c r="KN60" s="291"/>
      <c r="KO60" s="291"/>
      <c r="KP60" s="291"/>
      <c r="KQ60" s="291"/>
      <c r="KR60" s="291"/>
      <c r="KS60" s="291"/>
      <c r="KT60" s="291"/>
      <c r="KU60" s="291"/>
      <c r="KV60" s="291"/>
      <c r="KW60" s="291"/>
      <c r="KX60" s="291"/>
      <c r="KY60" s="291"/>
      <c r="KZ60" s="291"/>
      <c r="LA60" s="291"/>
      <c r="LB60" s="291"/>
      <c r="LC60" s="291"/>
      <c r="LD60" s="291"/>
      <c r="LE60" s="291"/>
      <c r="LF60" s="291"/>
      <c r="LG60" s="291"/>
      <c r="LH60" s="291"/>
      <c r="LI60" s="291"/>
      <c r="LJ60" s="291"/>
      <c r="LK60" s="291"/>
      <c r="LL60" s="291"/>
      <c r="LM60" s="291"/>
      <c r="LN60" s="291"/>
      <c r="LO60" s="291"/>
      <c r="LP60" s="291"/>
      <c r="LQ60" s="291"/>
      <c r="LR60" s="291"/>
      <c r="LS60" s="291"/>
      <c r="LT60" s="291"/>
      <c r="LU60" s="291"/>
      <c r="LV60" s="291"/>
      <c r="LW60" s="291"/>
      <c r="LX60" s="291"/>
      <c r="LY60" s="291"/>
      <c r="LZ60" s="291"/>
      <c r="MA60" s="291"/>
      <c r="MB60" s="291"/>
      <c r="MC60" s="291"/>
      <c r="MD60" s="291"/>
      <c r="ME60" s="291"/>
      <c r="MF60" s="291"/>
      <c r="MG60" s="291"/>
      <c r="MH60" s="291"/>
      <c r="MI60" s="291"/>
      <c r="MJ60" s="291"/>
      <c r="MK60" s="291"/>
      <c r="ML60" s="291"/>
      <c r="MM60" s="291"/>
      <c r="MN60" s="291"/>
      <c r="MO60" s="291"/>
      <c r="MP60" s="291"/>
      <c r="MQ60" s="291"/>
      <c r="MR60" s="291"/>
      <c r="MS60" s="291"/>
      <c r="MT60" s="291"/>
      <c r="MU60" s="291"/>
      <c r="MV60" s="291"/>
      <c r="MW60" s="291"/>
      <c r="MX60" s="291"/>
      <c r="MY60" s="291"/>
      <c r="MZ60" s="291"/>
      <c r="NA60" s="291"/>
      <c r="NB60" s="291"/>
      <c r="NC60" s="291"/>
      <c r="ND60" s="291"/>
      <c r="NE60" s="291"/>
      <c r="NF60" s="291"/>
      <c r="NG60" s="291"/>
      <c r="NH60" s="291"/>
      <c r="NI60" s="291"/>
      <c r="NJ60" s="291"/>
      <c r="NK60" s="291"/>
      <c r="NL60" s="291"/>
      <c r="NM60" s="291"/>
      <c r="NN60" s="291"/>
      <c r="NO60" s="291"/>
      <c r="NP60" s="291"/>
      <c r="NQ60" s="291"/>
      <c r="NR60" s="291"/>
      <c r="NS60" s="291"/>
      <c r="NT60" s="291"/>
      <c r="NU60" s="291"/>
      <c r="NV60" s="291"/>
      <c r="NW60" s="291"/>
      <c r="NX60" s="291"/>
      <c r="NY60" s="291"/>
      <c r="NZ60" s="291"/>
      <c r="OA60" s="291"/>
      <c r="OB60" s="291"/>
      <c r="OC60" s="291"/>
      <c r="OD60" s="291"/>
      <c r="OE60" s="291"/>
      <c r="OF60" s="291"/>
      <c r="OG60" s="291"/>
      <c r="OH60" s="291"/>
      <c r="OI60" s="291"/>
      <c r="OJ60" s="291"/>
      <c r="OK60" s="291"/>
      <c r="OL60" s="291"/>
      <c r="OM60" s="291"/>
      <c r="ON60" s="291"/>
      <c r="OO60" s="291"/>
      <c r="OP60" s="291"/>
      <c r="OQ60" s="291"/>
      <c r="OR60" s="291"/>
      <c r="OS60" s="291"/>
      <c r="OT60" s="291"/>
      <c r="OU60" s="291"/>
      <c r="OV60" s="291"/>
      <c r="OW60" s="291"/>
      <c r="OX60" s="291"/>
      <c r="OY60" s="291"/>
      <c r="OZ60" s="291"/>
      <c r="PA60" s="291"/>
      <c r="PB60" s="291"/>
      <c r="PC60" s="291"/>
      <c r="PD60" s="291"/>
      <c r="PE60" s="291"/>
      <c r="PF60" s="291"/>
      <c r="PG60" s="291"/>
      <c r="PH60" s="291"/>
      <c r="PI60" s="291"/>
      <c r="PJ60" s="291"/>
      <c r="PK60" s="291"/>
      <c r="PL60" s="291"/>
      <c r="PM60" s="291"/>
      <c r="PN60" s="291"/>
      <c r="PO60" s="291"/>
      <c r="PP60" s="291"/>
      <c r="PQ60" s="291"/>
      <c r="PR60" s="291"/>
      <c r="PS60" s="291"/>
      <c r="PT60" s="291"/>
      <c r="PU60" s="291"/>
      <c r="PV60" s="291"/>
      <c r="PW60" s="291"/>
      <c r="PX60" s="291"/>
      <c r="PY60" s="291"/>
      <c r="PZ60" s="291"/>
      <c r="QA60" s="291"/>
      <c r="QB60" s="291"/>
      <c r="QC60" s="291"/>
      <c r="QD60" s="291"/>
      <c r="QE60" s="291"/>
      <c r="QF60" s="291"/>
      <c r="QG60" s="291"/>
      <c r="QH60" s="291"/>
      <c r="QI60" s="291"/>
      <c r="QJ60" s="291"/>
      <c r="QK60" s="291"/>
      <c r="QL60" s="291"/>
      <c r="QM60" s="291"/>
      <c r="QN60" s="291"/>
      <c r="QO60" s="291"/>
      <c r="QP60" s="291"/>
      <c r="QQ60" s="291"/>
      <c r="QR60" s="291"/>
      <c r="QS60" s="291"/>
      <c r="QT60" s="291"/>
      <c r="QU60" s="291"/>
      <c r="QV60" s="291"/>
      <c r="QW60" s="291"/>
      <c r="QX60" s="291"/>
      <c r="QY60" s="291"/>
      <c r="QZ60" s="291"/>
      <c r="RA60" s="291"/>
      <c r="RB60" s="291"/>
      <c r="RC60" s="291"/>
      <c r="RD60" s="291"/>
      <c r="RE60" s="291"/>
      <c r="RF60" s="291"/>
      <c r="RG60" s="291"/>
      <c r="RH60" s="291"/>
      <c r="RI60" s="291"/>
      <c r="RJ60" s="291"/>
      <c r="RK60" s="291"/>
      <c r="RL60" s="291"/>
      <c r="RM60" s="291"/>
      <c r="RN60" s="291"/>
      <c r="RO60" s="291"/>
      <c r="RP60" s="291"/>
      <c r="RQ60" s="291"/>
      <c r="RR60" s="291"/>
      <c r="RS60" s="291"/>
      <c r="RT60" s="291"/>
      <c r="RU60" s="291"/>
      <c r="RV60" s="291"/>
      <c r="RW60" s="291"/>
      <c r="RX60" s="291"/>
      <c r="RY60" s="291"/>
      <c r="RZ60" s="291"/>
      <c r="SA60" s="291"/>
      <c r="SB60" s="291"/>
      <c r="SC60" s="291"/>
      <c r="SD60" s="291"/>
      <c r="SE60" s="291"/>
      <c r="SF60" s="291"/>
      <c r="SG60" s="291"/>
      <c r="SH60" s="291"/>
      <c r="SI60" s="291"/>
      <c r="SJ60" s="291"/>
      <c r="SK60" s="291"/>
      <c r="SL60" s="291"/>
      <c r="SM60" s="291"/>
      <c r="SN60" s="291"/>
      <c r="SO60" s="291"/>
      <c r="SP60" s="291"/>
      <c r="SQ60" s="291"/>
      <c r="SR60" s="291"/>
      <c r="SS60" s="291"/>
      <c r="ST60" s="291"/>
      <c r="SU60" s="291"/>
      <c r="SV60" s="291"/>
      <c r="SW60" s="291"/>
      <c r="SX60" s="291"/>
      <c r="SY60" s="291"/>
      <c r="SZ60" s="291"/>
      <c r="TA60" s="291"/>
      <c r="TB60" s="291"/>
      <c r="TC60" s="291"/>
      <c r="TD60" s="291"/>
      <c r="TE60" s="291"/>
      <c r="TF60" s="291"/>
      <c r="TG60" s="291"/>
      <c r="TH60" s="291"/>
      <c r="TI60" s="291"/>
      <c r="TJ60" s="291"/>
      <c r="TK60" s="291"/>
      <c r="TL60" s="291"/>
      <c r="TM60" s="291"/>
      <c r="TN60" s="291"/>
      <c r="TO60" s="291"/>
      <c r="TP60" s="291"/>
      <c r="TQ60" s="291"/>
      <c r="TR60" s="291"/>
    </row>
    <row r="61" spans="1:538" s="341" customFormat="1" ht="13" x14ac:dyDescent="0.25">
      <c r="A61" s="1448" t="s">
        <v>260</v>
      </c>
      <c r="B61" s="1448"/>
      <c r="C61" s="1448"/>
      <c r="D61" s="1467"/>
      <c r="E61" s="1467"/>
      <c r="F61" s="1467"/>
      <c r="G61" s="1467"/>
      <c r="H61" s="1467"/>
      <c r="I61" s="1467"/>
      <c r="J61" s="1467"/>
      <c r="K61" s="499" t="e">
        <f>F32+K35+K38+K44+K50+K56+K60</f>
        <v>#REF!</v>
      </c>
      <c r="L61" s="449"/>
      <c r="M61" s="449"/>
      <c r="N61" s="449"/>
      <c r="O61" s="449"/>
      <c r="P61" s="449"/>
      <c r="Q61" s="449"/>
      <c r="R61" s="450"/>
      <c r="S61" s="339" t="e">
        <f>N32+S35+S38+S44+S50+S56+S60</f>
        <v>#REF!</v>
      </c>
      <c r="T61" s="1468"/>
      <c r="U61" s="1467"/>
      <c r="V61" s="1467"/>
      <c r="W61" s="1467"/>
      <c r="X61" s="1467"/>
      <c r="Y61" s="1467"/>
      <c r="Z61" s="1469"/>
      <c r="AA61" s="339" t="e">
        <f>V32+AA35+AA38+AA44+AA50+AA56+AA60</f>
        <v>#REF!</v>
      </c>
      <c r="AB61" s="1468"/>
      <c r="AC61" s="1467"/>
      <c r="AD61" s="1467"/>
      <c r="AE61" s="1467"/>
      <c r="AF61" s="1467"/>
      <c r="AG61" s="1467"/>
      <c r="AH61" s="1469"/>
      <c r="AI61" s="339" t="e">
        <f>AD32+AI35+AI38+AI44+AI50+AI56+AI60</f>
        <v>#REF!</v>
      </c>
      <c r="AJ61" s="1468"/>
      <c r="AK61" s="1467"/>
      <c r="AL61" s="1467"/>
      <c r="AM61" s="1467"/>
      <c r="AN61" s="1467"/>
      <c r="AO61" s="1467"/>
      <c r="AP61" s="1469"/>
      <c r="AQ61" s="339" t="e">
        <f>AL32+AQ35+AQ38+AQ44+AQ50+AQ56+AQ60</f>
        <v>#REF!</v>
      </c>
      <c r="AR61" s="1468"/>
      <c r="AS61" s="1467"/>
      <c r="AT61" s="1467"/>
      <c r="AU61" s="1467"/>
      <c r="AV61" s="1467"/>
      <c r="AW61" s="1467"/>
      <c r="AX61" s="1469"/>
      <c r="AY61" s="441" t="e">
        <f>AT32+AY35+AY38+AY44+AY50+AY56+AY60</f>
        <v>#REF!</v>
      </c>
      <c r="AZ61" s="442"/>
      <c r="BA61" s="340" t="e">
        <f>K61+S61+AA61+AI61+AQ61+AY61</f>
        <v>#REF!</v>
      </c>
      <c r="BB61" s="68"/>
      <c r="BC61" s="68"/>
      <c r="BD61" s="68"/>
      <c r="BE61" s="68"/>
      <c r="BF61" s="68"/>
      <c r="BG61" s="68"/>
      <c r="BH61" s="68"/>
      <c r="BI61" s="68"/>
      <c r="BJ61" s="68"/>
      <c r="BK61" s="68"/>
      <c r="BL61" s="68"/>
      <c r="BM61" s="68"/>
      <c r="BN61" s="68"/>
      <c r="BO61" s="68"/>
      <c r="BP61" s="68"/>
      <c r="BQ61" s="68"/>
      <c r="BR61" s="68"/>
      <c r="BS61" s="68"/>
      <c r="BT61" s="68"/>
      <c r="BU61" s="68"/>
      <c r="BV61" s="68"/>
      <c r="BW61" s="68"/>
      <c r="BX61" s="68"/>
      <c r="BY61" s="68"/>
      <c r="BZ61" s="68"/>
      <c r="CA61" s="68"/>
      <c r="CB61" s="68"/>
      <c r="CC61" s="68"/>
      <c r="CD61" s="68"/>
      <c r="CE61" s="68"/>
      <c r="CF61" s="68"/>
      <c r="CG61" s="68"/>
      <c r="CH61" s="68"/>
      <c r="CI61" s="68"/>
      <c r="CJ61" s="68"/>
      <c r="CK61" s="68"/>
      <c r="CL61" s="68"/>
      <c r="CM61" s="68"/>
      <c r="CN61" s="68"/>
      <c r="CO61" s="68"/>
      <c r="CP61" s="68"/>
      <c r="CQ61" s="68"/>
      <c r="CR61" s="68"/>
      <c r="CS61" s="68"/>
      <c r="CT61" s="68"/>
      <c r="CU61" s="68"/>
      <c r="CV61" s="68"/>
      <c r="CW61" s="68"/>
      <c r="CX61" s="68"/>
      <c r="CY61" s="68"/>
      <c r="CZ61" s="68"/>
      <c r="DA61" s="68"/>
      <c r="DB61" s="68"/>
      <c r="DC61" s="68"/>
      <c r="DD61" s="68"/>
      <c r="DE61" s="68"/>
      <c r="DF61" s="68"/>
      <c r="DG61" s="68"/>
      <c r="DH61" s="68"/>
      <c r="DI61" s="68"/>
      <c r="DJ61" s="68"/>
      <c r="DK61" s="68"/>
      <c r="DL61" s="68"/>
      <c r="DM61" s="68"/>
      <c r="DN61" s="68"/>
      <c r="DO61" s="68"/>
      <c r="DP61" s="68"/>
      <c r="DQ61" s="68"/>
      <c r="DR61" s="68"/>
      <c r="DS61" s="68"/>
      <c r="DT61" s="68"/>
      <c r="DU61" s="68"/>
      <c r="DV61" s="68"/>
      <c r="DW61" s="68"/>
      <c r="DX61" s="68"/>
      <c r="DY61" s="68"/>
      <c r="DZ61" s="68"/>
      <c r="EA61" s="68"/>
      <c r="EB61" s="68"/>
      <c r="EC61" s="68"/>
      <c r="ED61" s="68"/>
      <c r="EE61" s="68"/>
      <c r="EF61" s="68"/>
      <c r="EG61" s="68"/>
      <c r="EH61" s="68"/>
      <c r="EI61" s="68"/>
      <c r="EJ61" s="68"/>
      <c r="EK61" s="68"/>
      <c r="EL61" s="68"/>
      <c r="EM61" s="68"/>
      <c r="EN61" s="68"/>
      <c r="EO61" s="68"/>
      <c r="EP61" s="68"/>
      <c r="EQ61" s="68"/>
      <c r="ER61" s="68"/>
      <c r="ES61" s="68"/>
      <c r="ET61" s="68"/>
      <c r="EU61" s="68"/>
      <c r="EV61" s="68"/>
      <c r="EW61" s="68"/>
      <c r="EX61" s="68"/>
      <c r="EY61" s="68"/>
      <c r="EZ61" s="68"/>
      <c r="FA61" s="68"/>
      <c r="FB61" s="68"/>
      <c r="FC61" s="68"/>
      <c r="FD61" s="68"/>
      <c r="FE61" s="68"/>
      <c r="FF61" s="68"/>
      <c r="FG61" s="68"/>
      <c r="FH61" s="68"/>
      <c r="FI61" s="68"/>
      <c r="FJ61" s="68"/>
      <c r="FK61" s="68"/>
      <c r="FL61" s="68"/>
      <c r="FM61" s="68"/>
      <c r="FN61" s="68"/>
      <c r="FO61" s="68"/>
      <c r="FP61" s="68"/>
      <c r="FQ61" s="68"/>
      <c r="FR61" s="68"/>
      <c r="FS61" s="68"/>
      <c r="FT61" s="68"/>
      <c r="FU61" s="68"/>
      <c r="FV61" s="68"/>
      <c r="FW61" s="68"/>
      <c r="FX61" s="68"/>
      <c r="FY61" s="68"/>
      <c r="FZ61" s="68"/>
      <c r="GA61" s="68"/>
      <c r="GB61" s="68"/>
      <c r="GC61" s="68"/>
      <c r="GD61" s="68"/>
      <c r="GE61" s="68"/>
      <c r="GF61" s="68"/>
      <c r="GG61" s="68"/>
      <c r="GH61" s="68"/>
      <c r="GI61" s="68"/>
      <c r="GJ61" s="68"/>
      <c r="GK61" s="68"/>
      <c r="GL61" s="68"/>
      <c r="GM61" s="68"/>
      <c r="GN61" s="68"/>
      <c r="GO61" s="68"/>
      <c r="GP61" s="68"/>
      <c r="GQ61" s="68"/>
      <c r="GR61" s="68"/>
      <c r="GS61" s="68"/>
      <c r="GT61" s="68"/>
      <c r="GU61" s="68"/>
      <c r="GV61" s="68"/>
      <c r="GW61" s="68"/>
      <c r="GX61" s="68"/>
      <c r="GY61" s="68"/>
      <c r="GZ61" s="68"/>
      <c r="HA61" s="68"/>
      <c r="HB61" s="68"/>
      <c r="HC61" s="68"/>
      <c r="HD61" s="68"/>
      <c r="HE61" s="68"/>
      <c r="HF61" s="68"/>
      <c r="HG61" s="68"/>
      <c r="HH61" s="68"/>
      <c r="HI61" s="68"/>
      <c r="HJ61" s="68"/>
      <c r="HK61" s="68"/>
      <c r="HL61" s="68"/>
      <c r="HM61" s="68"/>
      <c r="HN61" s="68"/>
      <c r="HO61" s="68"/>
      <c r="HP61" s="68"/>
      <c r="HQ61" s="68"/>
      <c r="HR61" s="68"/>
      <c r="HS61" s="68"/>
      <c r="HT61" s="68"/>
      <c r="HU61" s="68"/>
      <c r="HV61" s="68"/>
      <c r="HW61" s="68"/>
      <c r="HX61" s="68"/>
      <c r="HY61" s="68"/>
      <c r="HZ61" s="68"/>
      <c r="IA61" s="68"/>
      <c r="IB61" s="68"/>
      <c r="IC61" s="68"/>
      <c r="ID61" s="68"/>
      <c r="IE61" s="68"/>
      <c r="IF61" s="68"/>
      <c r="IG61" s="68"/>
      <c r="IH61" s="68"/>
      <c r="II61" s="68"/>
      <c r="IJ61" s="68"/>
      <c r="IK61" s="68"/>
      <c r="IL61" s="68"/>
      <c r="IM61" s="68"/>
      <c r="IN61" s="68"/>
      <c r="IO61" s="68"/>
      <c r="IP61" s="68"/>
      <c r="IQ61" s="68"/>
      <c r="IR61" s="68"/>
      <c r="IS61" s="68"/>
      <c r="IT61" s="68"/>
      <c r="IU61" s="68"/>
      <c r="IV61" s="68"/>
      <c r="IW61" s="68"/>
      <c r="IX61" s="68"/>
      <c r="IY61" s="68"/>
      <c r="IZ61" s="68"/>
      <c r="JA61" s="68"/>
      <c r="JB61" s="68"/>
      <c r="JC61" s="68"/>
      <c r="JD61" s="68"/>
      <c r="JE61" s="68"/>
      <c r="JF61" s="68"/>
      <c r="JG61" s="68"/>
      <c r="JH61" s="68"/>
      <c r="JI61" s="68"/>
      <c r="JJ61" s="68"/>
      <c r="JK61" s="68"/>
      <c r="JL61" s="68"/>
      <c r="JM61" s="68"/>
      <c r="JN61" s="68"/>
      <c r="JO61" s="68"/>
      <c r="JP61" s="68"/>
      <c r="JQ61" s="68"/>
      <c r="JR61" s="68"/>
      <c r="JS61" s="68"/>
      <c r="JT61" s="68"/>
      <c r="JU61" s="68"/>
      <c r="JV61" s="68"/>
      <c r="JW61" s="68"/>
      <c r="JX61" s="68"/>
      <c r="JY61" s="68"/>
      <c r="JZ61" s="68"/>
      <c r="KA61" s="68"/>
      <c r="KB61" s="68"/>
      <c r="KC61" s="68"/>
      <c r="KD61" s="68"/>
      <c r="KE61" s="68"/>
      <c r="KF61" s="68"/>
      <c r="KG61" s="68"/>
      <c r="KH61" s="68"/>
      <c r="KI61" s="68"/>
      <c r="KJ61" s="68"/>
      <c r="KK61" s="68"/>
      <c r="KL61" s="68"/>
      <c r="KM61" s="68"/>
      <c r="KN61" s="68"/>
      <c r="KO61" s="68"/>
      <c r="KP61" s="68"/>
      <c r="KQ61" s="68"/>
      <c r="KR61" s="68"/>
      <c r="KS61" s="68"/>
      <c r="KT61" s="68"/>
      <c r="KU61" s="68"/>
      <c r="KV61" s="68"/>
      <c r="KW61" s="68"/>
      <c r="KX61" s="68"/>
      <c r="KY61" s="68"/>
      <c r="KZ61" s="68"/>
      <c r="LA61" s="68"/>
      <c r="LB61" s="68"/>
      <c r="LC61" s="68"/>
      <c r="LD61" s="68"/>
      <c r="LE61" s="68"/>
      <c r="LF61" s="68"/>
      <c r="LG61" s="68"/>
      <c r="LH61" s="68"/>
      <c r="LI61" s="68"/>
      <c r="LJ61" s="68"/>
      <c r="LK61" s="68"/>
      <c r="LL61" s="68"/>
      <c r="LM61" s="68"/>
      <c r="LN61" s="68"/>
      <c r="LO61" s="68"/>
      <c r="LP61" s="68"/>
      <c r="LQ61" s="68"/>
      <c r="LR61" s="68"/>
      <c r="LS61" s="68"/>
      <c r="LT61" s="68"/>
      <c r="LU61" s="68"/>
      <c r="LV61" s="68"/>
      <c r="LW61" s="68"/>
      <c r="LX61" s="68"/>
      <c r="LY61" s="68"/>
      <c r="LZ61" s="68"/>
      <c r="MA61" s="68"/>
      <c r="MB61" s="68"/>
      <c r="MC61" s="68"/>
      <c r="MD61" s="68"/>
      <c r="ME61" s="68"/>
      <c r="MF61" s="68"/>
      <c r="MG61" s="68"/>
      <c r="MH61" s="68"/>
      <c r="MI61" s="68"/>
      <c r="MJ61" s="68"/>
      <c r="MK61" s="68"/>
      <c r="ML61" s="68"/>
      <c r="MM61" s="68"/>
      <c r="MN61" s="68"/>
      <c r="MO61" s="68"/>
      <c r="MP61" s="68"/>
      <c r="MQ61" s="68"/>
      <c r="MR61" s="68"/>
      <c r="MS61" s="68"/>
      <c r="MT61" s="68"/>
      <c r="MU61" s="68"/>
      <c r="MV61" s="68"/>
      <c r="MW61" s="68"/>
      <c r="MX61" s="68"/>
      <c r="MY61" s="68"/>
      <c r="MZ61" s="68"/>
      <c r="NA61" s="68"/>
      <c r="NB61" s="68"/>
      <c r="NC61" s="68"/>
      <c r="ND61" s="68"/>
      <c r="NE61" s="68"/>
      <c r="NF61" s="68"/>
      <c r="NG61" s="68"/>
      <c r="NH61" s="68"/>
      <c r="NI61" s="68"/>
      <c r="NJ61" s="68"/>
      <c r="NK61" s="68"/>
      <c r="NL61" s="68"/>
      <c r="NM61" s="68"/>
      <c r="NN61" s="68"/>
      <c r="NO61" s="68"/>
      <c r="NP61" s="68"/>
      <c r="NQ61" s="68"/>
      <c r="NR61" s="68"/>
      <c r="NS61" s="68"/>
      <c r="NT61" s="68"/>
      <c r="NU61" s="68"/>
      <c r="NV61" s="68"/>
      <c r="NW61" s="68"/>
      <c r="NX61" s="68"/>
      <c r="NY61" s="68"/>
      <c r="NZ61" s="68"/>
      <c r="OA61" s="68"/>
      <c r="OB61" s="68"/>
      <c r="OC61" s="68"/>
      <c r="OD61" s="68"/>
      <c r="OE61" s="68"/>
      <c r="OF61" s="68"/>
      <c r="OG61" s="68"/>
      <c r="OH61" s="68"/>
      <c r="OI61" s="68"/>
      <c r="OJ61" s="68"/>
      <c r="OK61" s="68"/>
      <c r="OL61" s="68"/>
      <c r="OM61" s="68"/>
      <c r="ON61" s="68"/>
      <c r="OO61" s="68"/>
      <c r="OP61" s="68"/>
      <c r="OQ61" s="68"/>
      <c r="OR61" s="68"/>
      <c r="OS61" s="68"/>
      <c r="OT61" s="68"/>
      <c r="OU61" s="68"/>
      <c r="OV61" s="68"/>
      <c r="OW61" s="68"/>
      <c r="OX61" s="68"/>
      <c r="OY61" s="68"/>
      <c r="OZ61" s="68"/>
      <c r="PA61" s="68"/>
      <c r="PB61" s="68"/>
      <c r="PC61" s="68"/>
      <c r="PD61" s="68"/>
      <c r="PE61" s="68"/>
      <c r="PF61" s="68"/>
      <c r="PG61" s="68"/>
      <c r="PH61" s="68"/>
      <c r="PI61" s="68"/>
      <c r="PJ61" s="68"/>
      <c r="PK61" s="68"/>
      <c r="PL61" s="68"/>
      <c r="PM61" s="68"/>
      <c r="PN61" s="68"/>
      <c r="PO61" s="68"/>
      <c r="PP61" s="68"/>
      <c r="PQ61" s="68"/>
      <c r="PR61" s="68"/>
      <c r="PS61" s="68"/>
      <c r="PT61" s="68"/>
      <c r="PU61" s="68"/>
      <c r="PV61" s="68"/>
      <c r="PW61" s="68"/>
      <c r="PX61" s="68"/>
      <c r="PY61" s="68"/>
      <c r="PZ61" s="68"/>
      <c r="QA61" s="68"/>
      <c r="QB61" s="68"/>
      <c r="QC61" s="68"/>
      <c r="QD61" s="68"/>
      <c r="QE61" s="68"/>
      <c r="QF61" s="68"/>
      <c r="QG61" s="68"/>
      <c r="QH61" s="68"/>
      <c r="QI61" s="68"/>
      <c r="QJ61" s="68"/>
      <c r="QK61" s="68"/>
      <c r="QL61" s="68"/>
      <c r="QM61" s="68"/>
      <c r="QN61" s="68"/>
      <c r="QO61" s="68"/>
      <c r="QP61" s="68"/>
      <c r="QQ61" s="68"/>
      <c r="QR61" s="68"/>
      <c r="QS61" s="68"/>
      <c r="QT61" s="68"/>
      <c r="QU61" s="68"/>
      <c r="QV61" s="68"/>
      <c r="QW61" s="68"/>
      <c r="QX61" s="68"/>
      <c r="QY61" s="68"/>
      <c r="QZ61" s="68"/>
      <c r="RA61" s="68"/>
      <c r="RB61" s="68"/>
      <c r="RC61" s="68"/>
      <c r="RD61" s="68"/>
      <c r="RE61" s="68"/>
      <c r="RF61" s="68"/>
      <c r="RG61" s="68"/>
      <c r="RH61" s="68"/>
      <c r="RI61" s="68"/>
      <c r="RJ61" s="68"/>
      <c r="RK61" s="68"/>
      <c r="RL61" s="68"/>
      <c r="RM61" s="68"/>
      <c r="RN61" s="68"/>
      <c r="RO61" s="68"/>
      <c r="RP61" s="68"/>
      <c r="RQ61" s="68"/>
      <c r="RR61" s="68"/>
      <c r="RS61" s="68"/>
      <c r="RT61" s="68"/>
      <c r="RU61" s="68"/>
      <c r="RV61" s="68"/>
      <c r="RW61" s="68"/>
      <c r="RX61" s="68"/>
      <c r="RY61" s="68"/>
      <c r="RZ61" s="68"/>
      <c r="SA61" s="68"/>
      <c r="SB61" s="68"/>
      <c r="SC61" s="68"/>
      <c r="SD61" s="68"/>
      <c r="SE61" s="68"/>
      <c r="SF61" s="68"/>
      <c r="SG61" s="68"/>
      <c r="SH61" s="68"/>
      <c r="SI61" s="68"/>
      <c r="SJ61" s="68"/>
      <c r="SK61" s="68"/>
      <c r="SL61" s="68"/>
      <c r="SM61" s="68"/>
      <c r="SN61" s="68"/>
      <c r="SO61" s="68"/>
      <c r="SP61" s="68"/>
      <c r="SQ61" s="68"/>
      <c r="SR61" s="68"/>
      <c r="SS61" s="68"/>
      <c r="ST61" s="68"/>
      <c r="SU61" s="68"/>
      <c r="SV61" s="68"/>
      <c r="SW61" s="68"/>
      <c r="SX61" s="68"/>
      <c r="SY61" s="68"/>
      <c r="SZ61" s="68"/>
      <c r="TA61" s="68"/>
      <c r="TB61" s="68"/>
      <c r="TC61" s="68"/>
      <c r="TD61" s="68"/>
      <c r="TE61" s="68"/>
      <c r="TF61" s="68"/>
      <c r="TG61" s="68"/>
      <c r="TH61" s="68"/>
      <c r="TI61" s="68"/>
      <c r="TJ61" s="68"/>
      <c r="TK61" s="68"/>
      <c r="TL61" s="68"/>
      <c r="TM61" s="68"/>
      <c r="TN61" s="68"/>
      <c r="TO61" s="68"/>
      <c r="TP61" s="68"/>
      <c r="TQ61" s="68"/>
      <c r="TR61" s="68"/>
    </row>
    <row r="62" spans="1:538" s="363" customFormat="1" x14ac:dyDescent="0.25">
      <c r="A62" s="1463" t="s">
        <v>454</v>
      </c>
      <c r="B62" s="1463"/>
      <c r="C62" s="1463"/>
      <c r="D62" s="1186" t="s">
        <v>15</v>
      </c>
      <c r="E62" s="394" t="s">
        <v>363</v>
      </c>
      <c r="F62" s="1455"/>
      <c r="G62" s="1456"/>
      <c r="H62" s="1456"/>
      <c r="I62" s="1456"/>
      <c r="J62" s="1457"/>
      <c r="K62" s="457"/>
      <c r="L62" s="1186" t="s">
        <v>15</v>
      </c>
      <c r="M62" s="394" t="s">
        <v>363</v>
      </c>
      <c r="N62" s="1455"/>
      <c r="O62" s="1456"/>
      <c r="P62" s="1456"/>
      <c r="Q62" s="1456"/>
      <c r="R62" s="1457"/>
      <c r="S62" s="425"/>
      <c r="T62" s="393" t="s">
        <v>15</v>
      </c>
      <c r="U62" s="394" t="s">
        <v>363</v>
      </c>
      <c r="V62" s="1455"/>
      <c r="W62" s="1456"/>
      <c r="X62" s="1456"/>
      <c r="Y62" s="1456"/>
      <c r="Z62" s="1456"/>
      <c r="AA62" s="1464"/>
      <c r="AB62" s="393" t="s">
        <v>15</v>
      </c>
      <c r="AC62" s="394" t="s">
        <v>363</v>
      </c>
      <c r="AD62" s="1465"/>
      <c r="AE62" s="1458"/>
      <c r="AF62" s="1458"/>
      <c r="AG62" s="1458"/>
      <c r="AH62" s="1466"/>
      <c r="AI62" s="354"/>
      <c r="AJ62" s="393" t="s">
        <v>15</v>
      </c>
      <c r="AK62" s="394" t="s">
        <v>363</v>
      </c>
      <c r="AL62" s="1455"/>
      <c r="AM62" s="1456"/>
      <c r="AN62" s="1456"/>
      <c r="AO62" s="1456"/>
      <c r="AP62" s="1457"/>
      <c r="AQ62" s="425"/>
      <c r="AR62" s="393" t="s">
        <v>15</v>
      </c>
      <c r="AS62" s="394" t="s">
        <v>363</v>
      </c>
      <c r="AT62" s="1455"/>
      <c r="AU62" s="1456"/>
      <c r="AV62" s="1456"/>
      <c r="AW62" s="1456"/>
      <c r="AX62" s="1456"/>
      <c r="AY62" s="1456"/>
      <c r="AZ62" s="1458"/>
      <c r="BA62" s="1459"/>
      <c r="BB62" s="291"/>
      <c r="BC62" s="291"/>
      <c r="BD62" s="291"/>
      <c r="BE62" s="291"/>
      <c r="BF62" s="291"/>
      <c r="BG62" s="291"/>
      <c r="BH62" s="291"/>
      <c r="BI62" s="291"/>
      <c r="BJ62" s="291"/>
      <c r="BK62" s="291"/>
      <c r="BL62" s="291"/>
      <c r="BM62" s="291"/>
      <c r="BN62" s="291"/>
      <c r="BO62" s="291"/>
      <c r="BP62" s="291"/>
      <c r="BQ62" s="291"/>
      <c r="BR62" s="291"/>
      <c r="BS62" s="291"/>
      <c r="BT62" s="291"/>
      <c r="BU62" s="291"/>
      <c r="BV62" s="291"/>
      <c r="BW62" s="291"/>
      <c r="BX62" s="291"/>
      <c r="BY62" s="291"/>
      <c r="BZ62" s="291"/>
      <c r="CA62" s="291"/>
      <c r="CB62" s="291"/>
      <c r="CC62" s="291"/>
      <c r="CD62" s="291"/>
      <c r="CE62" s="291"/>
      <c r="CF62" s="291"/>
      <c r="CG62" s="291"/>
      <c r="CH62" s="291"/>
      <c r="CI62" s="291"/>
      <c r="CJ62" s="291"/>
      <c r="CK62" s="291"/>
      <c r="CL62" s="291"/>
      <c r="CM62" s="291"/>
      <c r="CN62" s="291"/>
      <c r="CO62" s="291"/>
      <c r="CP62" s="291"/>
      <c r="CQ62" s="291"/>
      <c r="CR62" s="291"/>
      <c r="CS62" s="291"/>
      <c r="CT62" s="291"/>
      <c r="CU62" s="291"/>
      <c r="CV62" s="291"/>
      <c r="CW62" s="291"/>
      <c r="CX62" s="291"/>
      <c r="CY62" s="291"/>
      <c r="CZ62" s="291"/>
      <c r="DA62" s="291"/>
      <c r="DB62" s="291"/>
      <c r="DC62" s="291"/>
      <c r="DD62" s="291"/>
      <c r="DE62" s="291"/>
      <c r="DF62" s="291"/>
      <c r="DG62" s="291"/>
      <c r="DH62" s="291"/>
      <c r="DI62" s="291"/>
      <c r="DJ62" s="291"/>
      <c r="DK62" s="291"/>
      <c r="DL62" s="291"/>
      <c r="DM62" s="291"/>
      <c r="DN62" s="291"/>
      <c r="DO62" s="291"/>
      <c r="DP62" s="291"/>
      <c r="DQ62" s="291"/>
      <c r="DR62" s="291"/>
      <c r="DS62" s="291"/>
      <c r="DT62" s="291"/>
      <c r="DU62" s="291"/>
      <c r="DV62" s="291"/>
      <c r="DW62" s="291"/>
      <c r="DX62" s="291"/>
      <c r="DY62" s="291"/>
      <c r="DZ62" s="291"/>
      <c r="EA62" s="291"/>
      <c r="EB62" s="291"/>
      <c r="EC62" s="291"/>
      <c r="ED62" s="291"/>
      <c r="EE62" s="291"/>
      <c r="EF62" s="291"/>
      <c r="EG62" s="291"/>
      <c r="EH62" s="291"/>
      <c r="EI62" s="291"/>
      <c r="EJ62" s="291"/>
      <c r="EK62" s="291"/>
      <c r="EL62" s="291"/>
      <c r="EM62" s="291"/>
      <c r="EN62" s="291"/>
      <c r="EO62" s="291"/>
      <c r="EP62" s="291"/>
      <c r="EQ62" s="291"/>
      <c r="ER62" s="291"/>
      <c r="ES62" s="291"/>
      <c r="ET62" s="291"/>
      <c r="EU62" s="291"/>
      <c r="EV62" s="291"/>
      <c r="EW62" s="291"/>
      <c r="EX62" s="291"/>
      <c r="EY62" s="291"/>
      <c r="EZ62" s="291"/>
      <c r="FA62" s="291"/>
      <c r="FB62" s="291"/>
      <c r="FC62" s="291"/>
      <c r="FD62" s="291"/>
      <c r="FE62" s="291"/>
      <c r="FF62" s="291"/>
      <c r="FG62" s="291"/>
      <c r="FH62" s="291"/>
      <c r="FI62" s="291"/>
      <c r="FJ62" s="291"/>
      <c r="FK62" s="291"/>
      <c r="FL62" s="291"/>
      <c r="FM62" s="291"/>
      <c r="FN62" s="291"/>
      <c r="FO62" s="291"/>
      <c r="FP62" s="291"/>
      <c r="FQ62" s="291"/>
      <c r="FR62" s="291"/>
      <c r="FS62" s="291"/>
      <c r="FT62" s="291"/>
      <c r="FU62" s="291"/>
      <c r="FV62" s="291"/>
      <c r="FW62" s="291"/>
      <c r="FX62" s="291"/>
      <c r="FY62" s="291"/>
      <c r="FZ62" s="291"/>
      <c r="GA62" s="291"/>
      <c r="GB62" s="291"/>
      <c r="GC62" s="291"/>
      <c r="GD62" s="291"/>
      <c r="GE62" s="291"/>
      <c r="GF62" s="291"/>
      <c r="GG62" s="291"/>
      <c r="GH62" s="291"/>
      <c r="GI62" s="291"/>
      <c r="GJ62" s="291"/>
      <c r="GK62" s="291"/>
      <c r="GL62" s="291"/>
      <c r="GM62" s="291"/>
      <c r="GN62" s="291"/>
      <c r="GO62" s="291"/>
      <c r="GP62" s="291"/>
      <c r="GQ62" s="291"/>
      <c r="GR62" s="291"/>
      <c r="GS62" s="291"/>
      <c r="GT62" s="291"/>
      <c r="GU62" s="291"/>
      <c r="GV62" s="291"/>
      <c r="GW62" s="291"/>
      <c r="GX62" s="291"/>
      <c r="GY62" s="291"/>
      <c r="GZ62" s="291"/>
      <c r="HA62" s="291"/>
      <c r="HB62" s="291"/>
      <c r="HC62" s="291"/>
      <c r="HD62" s="291"/>
      <c r="HE62" s="291"/>
      <c r="HF62" s="291"/>
      <c r="HG62" s="291"/>
      <c r="HH62" s="291"/>
      <c r="HI62" s="291"/>
      <c r="HJ62" s="291"/>
      <c r="HK62" s="291"/>
      <c r="HL62" s="291"/>
      <c r="HM62" s="291"/>
      <c r="HN62" s="291"/>
      <c r="HO62" s="291"/>
      <c r="HP62" s="291"/>
      <c r="HQ62" s="291"/>
      <c r="HR62" s="291"/>
      <c r="HS62" s="291"/>
      <c r="HT62" s="291"/>
      <c r="HU62" s="291"/>
      <c r="HV62" s="291"/>
      <c r="HW62" s="291"/>
      <c r="HX62" s="291"/>
      <c r="HY62" s="291"/>
      <c r="HZ62" s="291"/>
      <c r="IA62" s="291"/>
      <c r="IB62" s="291"/>
      <c r="IC62" s="291"/>
      <c r="ID62" s="291"/>
      <c r="IE62" s="291"/>
      <c r="IF62" s="291"/>
      <c r="IG62" s="291"/>
      <c r="IH62" s="291"/>
      <c r="II62" s="291"/>
      <c r="IJ62" s="291"/>
      <c r="IK62" s="291"/>
      <c r="IL62" s="291"/>
      <c r="IM62" s="291"/>
      <c r="IN62" s="291"/>
      <c r="IO62" s="291"/>
      <c r="IP62" s="291"/>
      <c r="IQ62" s="291"/>
      <c r="IR62" s="291"/>
      <c r="IS62" s="291"/>
      <c r="IT62" s="291"/>
      <c r="IU62" s="291"/>
      <c r="IV62" s="291"/>
      <c r="IW62" s="291"/>
      <c r="IX62" s="291"/>
      <c r="IY62" s="291"/>
      <c r="IZ62" s="291"/>
      <c r="JA62" s="291"/>
      <c r="JB62" s="291"/>
      <c r="JC62" s="291"/>
      <c r="JD62" s="291"/>
      <c r="JE62" s="291"/>
      <c r="JF62" s="291"/>
      <c r="JG62" s="291"/>
      <c r="JH62" s="291"/>
      <c r="JI62" s="291"/>
      <c r="JJ62" s="291"/>
      <c r="JK62" s="291"/>
      <c r="JL62" s="291"/>
      <c r="JM62" s="291"/>
      <c r="JN62" s="291"/>
      <c r="JO62" s="291"/>
      <c r="JP62" s="291"/>
      <c r="JQ62" s="291"/>
      <c r="JR62" s="291"/>
      <c r="JS62" s="291"/>
      <c r="JT62" s="291"/>
      <c r="JU62" s="291"/>
      <c r="JV62" s="291"/>
      <c r="JW62" s="291"/>
      <c r="JX62" s="291"/>
      <c r="JY62" s="291"/>
      <c r="JZ62" s="291"/>
      <c r="KA62" s="291"/>
      <c r="KB62" s="291"/>
      <c r="KC62" s="291"/>
      <c r="KD62" s="291"/>
      <c r="KE62" s="291"/>
      <c r="KF62" s="291"/>
      <c r="KG62" s="291"/>
      <c r="KH62" s="291"/>
      <c r="KI62" s="291"/>
      <c r="KJ62" s="291"/>
      <c r="KK62" s="291"/>
      <c r="KL62" s="291"/>
      <c r="KM62" s="291"/>
      <c r="KN62" s="291"/>
      <c r="KO62" s="291"/>
      <c r="KP62" s="291"/>
      <c r="KQ62" s="291"/>
      <c r="KR62" s="291"/>
      <c r="KS62" s="291"/>
      <c r="KT62" s="291"/>
      <c r="KU62" s="291"/>
      <c r="KV62" s="291"/>
      <c r="KW62" s="291"/>
      <c r="KX62" s="291"/>
      <c r="KY62" s="291"/>
      <c r="KZ62" s="291"/>
      <c r="LA62" s="291"/>
      <c r="LB62" s="291"/>
      <c r="LC62" s="291"/>
      <c r="LD62" s="291"/>
      <c r="LE62" s="291"/>
      <c r="LF62" s="291"/>
      <c r="LG62" s="291"/>
      <c r="LH62" s="291"/>
      <c r="LI62" s="291"/>
      <c r="LJ62" s="291"/>
      <c r="LK62" s="291"/>
      <c r="LL62" s="291"/>
      <c r="LM62" s="291"/>
      <c r="LN62" s="291"/>
      <c r="LO62" s="291"/>
      <c r="LP62" s="291"/>
      <c r="LQ62" s="291"/>
      <c r="LR62" s="291"/>
      <c r="LS62" s="291"/>
      <c r="LT62" s="291"/>
      <c r="LU62" s="291"/>
      <c r="LV62" s="291"/>
      <c r="LW62" s="291"/>
      <c r="LX62" s="291"/>
      <c r="LY62" s="291"/>
      <c r="LZ62" s="291"/>
      <c r="MA62" s="291"/>
      <c r="MB62" s="291"/>
      <c r="MC62" s="291"/>
      <c r="MD62" s="291"/>
      <c r="ME62" s="291"/>
      <c r="MF62" s="291"/>
      <c r="MG62" s="291"/>
      <c r="MH62" s="291"/>
      <c r="MI62" s="291"/>
      <c r="MJ62" s="291"/>
      <c r="MK62" s="291"/>
      <c r="ML62" s="291"/>
      <c r="MM62" s="291"/>
      <c r="MN62" s="291"/>
      <c r="MO62" s="291"/>
      <c r="MP62" s="291"/>
      <c r="MQ62" s="291"/>
      <c r="MR62" s="291"/>
      <c r="MS62" s="291"/>
      <c r="MT62" s="291"/>
      <c r="MU62" s="291"/>
      <c r="MV62" s="291"/>
      <c r="MW62" s="291"/>
      <c r="MX62" s="291"/>
      <c r="MY62" s="291"/>
      <c r="MZ62" s="291"/>
      <c r="NA62" s="291"/>
      <c r="NB62" s="291"/>
      <c r="NC62" s="291"/>
      <c r="ND62" s="291"/>
      <c r="NE62" s="291"/>
      <c r="NF62" s="291"/>
      <c r="NG62" s="291"/>
      <c r="NH62" s="291"/>
      <c r="NI62" s="291"/>
      <c r="NJ62" s="291"/>
      <c r="NK62" s="291"/>
      <c r="NL62" s="291"/>
      <c r="NM62" s="291"/>
      <c r="NN62" s="291"/>
      <c r="NO62" s="291"/>
      <c r="NP62" s="291"/>
      <c r="NQ62" s="291"/>
      <c r="NR62" s="291"/>
      <c r="NS62" s="291"/>
      <c r="NT62" s="291"/>
      <c r="NU62" s="291"/>
      <c r="NV62" s="291"/>
      <c r="NW62" s="291"/>
      <c r="NX62" s="291"/>
      <c r="NY62" s="291"/>
      <c r="NZ62" s="291"/>
      <c r="OA62" s="291"/>
      <c r="OB62" s="291"/>
      <c r="OC62" s="291"/>
      <c r="OD62" s="291"/>
      <c r="OE62" s="291"/>
      <c r="OF62" s="291"/>
      <c r="OG62" s="291"/>
      <c r="OH62" s="291"/>
      <c r="OI62" s="291"/>
      <c r="OJ62" s="291"/>
      <c r="OK62" s="291"/>
      <c r="OL62" s="291"/>
      <c r="OM62" s="291"/>
      <c r="ON62" s="291"/>
      <c r="OO62" s="291"/>
      <c r="OP62" s="291"/>
      <c r="OQ62" s="291"/>
      <c r="OR62" s="291"/>
      <c r="OS62" s="291"/>
      <c r="OT62" s="291"/>
      <c r="OU62" s="291"/>
      <c r="OV62" s="291"/>
      <c r="OW62" s="291"/>
      <c r="OX62" s="291"/>
      <c r="OY62" s="291"/>
      <c r="OZ62" s="291"/>
      <c r="PA62" s="291"/>
      <c r="PB62" s="291"/>
      <c r="PC62" s="291"/>
      <c r="PD62" s="291"/>
      <c r="PE62" s="291"/>
      <c r="PF62" s="291"/>
      <c r="PG62" s="291"/>
      <c r="PH62" s="291"/>
      <c r="PI62" s="291"/>
      <c r="PJ62" s="291"/>
      <c r="PK62" s="291"/>
      <c r="PL62" s="291"/>
      <c r="PM62" s="291"/>
      <c r="PN62" s="291"/>
      <c r="PO62" s="291"/>
      <c r="PP62" s="291"/>
      <c r="PQ62" s="291"/>
      <c r="PR62" s="291"/>
      <c r="PS62" s="291"/>
      <c r="PT62" s="291"/>
      <c r="PU62" s="291"/>
      <c r="PV62" s="291"/>
      <c r="PW62" s="291"/>
      <c r="PX62" s="291"/>
      <c r="PY62" s="291"/>
      <c r="PZ62" s="291"/>
      <c r="QA62" s="291"/>
      <c r="QB62" s="291"/>
      <c r="QC62" s="291"/>
      <c r="QD62" s="291"/>
      <c r="QE62" s="291"/>
      <c r="QF62" s="291"/>
      <c r="QG62" s="291"/>
      <c r="QH62" s="291"/>
      <c r="QI62" s="291"/>
      <c r="QJ62" s="291"/>
      <c r="QK62" s="291"/>
      <c r="QL62" s="291"/>
      <c r="QM62" s="291"/>
      <c r="QN62" s="291"/>
      <c r="QO62" s="291"/>
      <c r="QP62" s="291"/>
      <c r="QQ62" s="291"/>
      <c r="QR62" s="291"/>
      <c r="QS62" s="291"/>
      <c r="QT62" s="291"/>
      <c r="QU62" s="291"/>
      <c r="QV62" s="291"/>
      <c r="QW62" s="291"/>
      <c r="QX62" s="291"/>
      <c r="QY62" s="291"/>
      <c r="QZ62" s="291"/>
      <c r="RA62" s="291"/>
      <c r="RB62" s="291"/>
      <c r="RC62" s="291"/>
      <c r="RD62" s="291"/>
      <c r="RE62" s="291"/>
      <c r="RF62" s="291"/>
      <c r="RG62" s="291"/>
      <c r="RH62" s="291"/>
      <c r="RI62" s="291"/>
      <c r="RJ62" s="291"/>
      <c r="RK62" s="291"/>
      <c r="RL62" s="291"/>
      <c r="RM62" s="291"/>
      <c r="RN62" s="291"/>
      <c r="RO62" s="291"/>
      <c r="RP62" s="291"/>
      <c r="RQ62" s="291"/>
      <c r="RR62" s="291"/>
      <c r="RS62" s="291"/>
      <c r="RT62" s="291"/>
      <c r="RU62" s="291"/>
      <c r="RV62" s="291"/>
      <c r="RW62" s="291"/>
      <c r="RX62" s="291"/>
      <c r="RY62" s="291"/>
      <c r="RZ62" s="291"/>
      <c r="SA62" s="291"/>
      <c r="SB62" s="291"/>
      <c r="SC62" s="291"/>
      <c r="SD62" s="291"/>
      <c r="SE62" s="291"/>
      <c r="SF62" s="291"/>
      <c r="SG62" s="291"/>
      <c r="SH62" s="291"/>
      <c r="SI62" s="291"/>
      <c r="SJ62" s="291"/>
      <c r="SK62" s="291"/>
      <c r="SL62" s="291"/>
      <c r="SM62" s="291"/>
      <c r="SN62" s="291"/>
      <c r="SO62" s="291"/>
      <c r="SP62" s="291"/>
      <c r="SQ62" s="291"/>
      <c r="SR62" s="291"/>
      <c r="SS62" s="291"/>
      <c r="ST62" s="291"/>
      <c r="SU62" s="291"/>
      <c r="SV62" s="291"/>
      <c r="SW62" s="291"/>
      <c r="SX62" s="291"/>
      <c r="SY62" s="291"/>
      <c r="SZ62" s="291"/>
      <c r="TA62" s="291"/>
      <c r="TB62" s="291"/>
      <c r="TC62" s="291"/>
      <c r="TD62" s="291"/>
      <c r="TE62" s="291"/>
      <c r="TF62" s="291"/>
      <c r="TG62" s="291"/>
      <c r="TH62" s="291"/>
      <c r="TI62" s="291"/>
      <c r="TJ62" s="291"/>
      <c r="TK62" s="291"/>
      <c r="TL62" s="291"/>
      <c r="TM62" s="291"/>
      <c r="TN62" s="291"/>
      <c r="TO62" s="291"/>
      <c r="TP62" s="291"/>
      <c r="TQ62" s="291"/>
      <c r="TR62" s="291"/>
    </row>
    <row r="63" spans="1:538" x14ac:dyDescent="0.25">
      <c r="A63" s="504"/>
      <c r="B63" s="609" t="str">
        <f>IF(LaborCollection="Academia","F&amp;A","G&amp;A")</f>
        <v>G&amp;A</v>
      </c>
      <c r="C63" s="504"/>
      <c r="D63" s="422" t="e">
        <f>K61</f>
        <v>#REF!</v>
      </c>
      <c r="E63" s="356">
        <v>0.1</v>
      </c>
      <c r="F63" s="1460"/>
      <c r="G63" s="1461"/>
      <c r="H63" s="1461"/>
      <c r="I63" s="1461"/>
      <c r="J63" s="1461"/>
      <c r="K63" s="477" t="e">
        <f>D63*E63</f>
        <v>#REF!</v>
      </c>
      <c r="L63" s="303" t="e">
        <f>S61</f>
        <v>#REF!</v>
      </c>
      <c r="M63" s="356">
        <v>0.1</v>
      </c>
      <c r="N63" s="1460"/>
      <c r="O63" s="1461"/>
      <c r="P63" s="1461"/>
      <c r="Q63" s="1461"/>
      <c r="R63" s="1462"/>
      <c r="S63" s="300" t="e">
        <f>L63*M63</f>
        <v>#REF!</v>
      </c>
      <c r="T63" s="434" t="e">
        <f>AA61</f>
        <v>#REF!</v>
      </c>
      <c r="U63" s="356">
        <v>0.1</v>
      </c>
      <c r="V63" s="1460"/>
      <c r="W63" s="1461"/>
      <c r="X63" s="1461"/>
      <c r="Y63" s="1461"/>
      <c r="Z63" s="1462"/>
      <c r="AA63" s="300" t="e">
        <f>T63*U63</f>
        <v>#REF!</v>
      </c>
      <c r="AB63" s="434" t="e">
        <f>AI61</f>
        <v>#REF!</v>
      </c>
      <c r="AC63" s="356">
        <v>0</v>
      </c>
      <c r="AD63" s="1460"/>
      <c r="AE63" s="1461"/>
      <c r="AF63" s="1461"/>
      <c r="AG63" s="1461"/>
      <c r="AH63" s="1462"/>
      <c r="AI63" s="302" t="e">
        <f>AB63*AC63</f>
        <v>#REF!</v>
      </c>
      <c r="AJ63" s="434" t="e">
        <f>AQ61</f>
        <v>#REF!</v>
      </c>
      <c r="AK63" s="356">
        <v>0</v>
      </c>
      <c r="AL63" s="328"/>
      <c r="AM63" s="308"/>
      <c r="AN63" s="308"/>
      <c r="AO63" s="308"/>
      <c r="AP63" s="329"/>
      <c r="AQ63" s="300" t="e">
        <f>AJ63*AK63</f>
        <v>#REF!</v>
      </c>
      <c r="AR63" s="438" t="e">
        <f>AY32+AY35+AY38+AY44+AY50+AY56+AY60</f>
        <v>#REF!</v>
      </c>
      <c r="AS63" s="356">
        <v>0</v>
      </c>
      <c r="AT63" s="1460"/>
      <c r="AU63" s="1461"/>
      <c r="AV63" s="1461"/>
      <c r="AW63" s="1461"/>
      <c r="AX63" s="1462"/>
      <c r="AY63" s="406" t="e">
        <f>AR63*AS63</f>
        <v>#REF!</v>
      </c>
      <c r="AZ63" s="1439"/>
      <c r="BA63" s="431" t="e">
        <f>K63+S63+AA63+AI63+AQ63+AY63</f>
        <v>#REF!</v>
      </c>
    </row>
    <row r="64" spans="1:538" x14ac:dyDescent="0.25">
      <c r="A64" s="504"/>
      <c r="B64" s="296" t="s">
        <v>455</v>
      </c>
      <c r="C64" s="504"/>
      <c r="D64" s="436">
        <v>0</v>
      </c>
      <c r="E64" s="356">
        <v>0</v>
      </c>
      <c r="F64" s="1435"/>
      <c r="G64" s="1436"/>
      <c r="H64" s="1436"/>
      <c r="I64" s="1436"/>
      <c r="J64" s="1436"/>
      <c r="K64" s="477">
        <f>D64*E64</f>
        <v>0</v>
      </c>
      <c r="L64" s="434">
        <v>0</v>
      </c>
      <c r="M64" s="356">
        <v>0</v>
      </c>
      <c r="N64" s="1435"/>
      <c r="O64" s="1436"/>
      <c r="P64" s="1436"/>
      <c r="Q64" s="1436"/>
      <c r="R64" s="1438"/>
      <c r="S64" s="300">
        <f>L64*M64</f>
        <v>0</v>
      </c>
      <c r="T64" s="436">
        <v>0</v>
      </c>
      <c r="U64" s="356">
        <v>0</v>
      </c>
      <c r="V64" s="1435"/>
      <c r="W64" s="1436"/>
      <c r="X64" s="1436"/>
      <c r="Y64" s="1436"/>
      <c r="Z64" s="1438"/>
      <c r="AA64" s="300">
        <f>T64*U64</f>
        <v>0</v>
      </c>
      <c r="AB64" s="434">
        <v>0</v>
      </c>
      <c r="AC64" s="356">
        <v>0</v>
      </c>
      <c r="AD64" s="1435"/>
      <c r="AE64" s="1436"/>
      <c r="AF64" s="1436"/>
      <c r="AG64" s="1436"/>
      <c r="AH64" s="1438"/>
      <c r="AI64" s="302">
        <f>AB64*AC64</f>
        <v>0</v>
      </c>
      <c r="AJ64" s="434">
        <v>0</v>
      </c>
      <c r="AK64" s="356">
        <v>0</v>
      </c>
      <c r="AL64" s="295"/>
      <c r="AM64" s="330"/>
      <c r="AN64" s="330"/>
      <c r="AO64" s="330"/>
      <c r="AP64" s="331"/>
      <c r="AQ64" s="300">
        <f>AJ64*AK64</f>
        <v>0</v>
      </c>
      <c r="AR64" s="438" t="e">
        <f>AY33+AY36+AY39+AY45+AY51+AY57+AY61</f>
        <v>#REF!</v>
      </c>
      <c r="AS64" s="356">
        <v>0</v>
      </c>
      <c r="AT64" s="1435"/>
      <c r="AU64" s="1436"/>
      <c r="AV64" s="1436"/>
      <c r="AW64" s="1436"/>
      <c r="AX64" s="1438"/>
      <c r="AY64" s="406" t="e">
        <f>AR64*AS64</f>
        <v>#REF!</v>
      </c>
      <c r="AZ64" s="1440"/>
      <c r="BA64" s="431" t="e">
        <f>K64+S64+AA64+AI64+AQ64+AY64</f>
        <v>#REF!</v>
      </c>
    </row>
    <row r="65" spans="1:538" s="363" customFormat="1" x14ac:dyDescent="0.25">
      <c r="A65" s="1452" t="s">
        <v>262</v>
      </c>
      <c r="B65" s="1452"/>
      <c r="C65" s="1452"/>
      <c r="D65" s="1446"/>
      <c r="E65" s="1446"/>
      <c r="F65" s="1446"/>
      <c r="G65" s="1446"/>
      <c r="H65" s="1446"/>
      <c r="I65" s="1446"/>
      <c r="J65" s="1446"/>
      <c r="K65" s="458" t="e">
        <f>SUM(K62:K64)</f>
        <v>#REF!</v>
      </c>
      <c r="L65" s="1446"/>
      <c r="M65" s="1446"/>
      <c r="N65" s="1446"/>
      <c r="O65" s="1446"/>
      <c r="P65" s="1446"/>
      <c r="Q65" s="1446"/>
      <c r="R65" s="1447"/>
      <c r="S65" s="420" t="e">
        <f>SUM(S63:S64)</f>
        <v>#REF!</v>
      </c>
      <c r="T65" s="1453"/>
      <c r="U65" s="1446"/>
      <c r="V65" s="1446"/>
      <c r="W65" s="1446"/>
      <c r="X65" s="1446"/>
      <c r="Y65" s="1446"/>
      <c r="Z65" s="1454"/>
      <c r="AA65" s="413" t="e">
        <f>SUM(AA63:AA64)</f>
        <v>#REF!</v>
      </c>
      <c r="AB65" s="1445"/>
      <c r="AC65" s="1446"/>
      <c r="AD65" s="1446"/>
      <c r="AE65" s="1446"/>
      <c r="AF65" s="1446"/>
      <c r="AG65" s="1446"/>
      <c r="AH65" s="1447"/>
      <c r="AI65" s="353" t="e">
        <f>SUM(AI63:AI64)</f>
        <v>#REF!</v>
      </c>
      <c r="AJ65" s="1445"/>
      <c r="AK65" s="1446"/>
      <c r="AL65" s="1446"/>
      <c r="AM65" s="1446"/>
      <c r="AN65" s="1446"/>
      <c r="AO65" s="1446"/>
      <c r="AP65" s="1447"/>
      <c r="AQ65" s="353" t="e">
        <f>SUM(AQ63:AQ64)</f>
        <v>#REF!</v>
      </c>
      <c r="AR65" s="1445"/>
      <c r="AS65" s="1446"/>
      <c r="AT65" s="1446"/>
      <c r="AU65" s="1446"/>
      <c r="AV65" s="1446"/>
      <c r="AW65" s="1446"/>
      <c r="AX65" s="1446"/>
      <c r="AY65" s="458" t="e">
        <f>SUM(AY63:AY64)</f>
        <v>#REF!</v>
      </c>
      <c r="AZ65" s="465"/>
      <c r="BA65" s="362" t="e">
        <f>K65+S65+AA65+AI65+AQ65+AY65</f>
        <v>#REF!</v>
      </c>
      <c r="BB65" s="291"/>
      <c r="BC65" s="291"/>
      <c r="BD65" s="291"/>
      <c r="BE65" s="291"/>
      <c r="BF65" s="291"/>
      <c r="BG65" s="291"/>
      <c r="BH65" s="291"/>
      <c r="BI65" s="291"/>
      <c r="BJ65" s="291"/>
      <c r="BK65" s="291"/>
      <c r="BL65" s="291"/>
      <c r="BM65" s="291"/>
      <c r="BN65" s="291"/>
      <c r="BO65" s="291"/>
      <c r="BP65" s="291"/>
      <c r="BQ65" s="291"/>
      <c r="BR65" s="291"/>
      <c r="BS65" s="291"/>
      <c r="BT65" s="291"/>
      <c r="BU65" s="291"/>
      <c r="BV65" s="291"/>
      <c r="BW65" s="291"/>
      <c r="BX65" s="291"/>
      <c r="BY65" s="291"/>
      <c r="BZ65" s="291"/>
      <c r="CA65" s="291"/>
      <c r="CB65" s="291"/>
      <c r="CC65" s="291"/>
      <c r="CD65" s="291"/>
      <c r="CE65" s="291"/>
      <c r="CF65" s="291"/>
      <c r="CG65" s="291"/>
      <c r="CH65" s="291"/>
      <c r="CI65" s="291"/>
      <c r="CJ65" s="291"/>
      <c r="CK65" s="291"/>
      <c r="CL65" s="291"/>
      <c r="CM65" s="291"/>
      <c r="CN65" s="291"/>
      <c r="CO65" s="291"/>
      <c r="CP65" s="291"/>
      <c r="CQ65" s="291"/>
      <c r="CR65" s="291"/>
      <c r="CS65" s="291"/>
      <c r="CT65" s="291"/>
      <c r="CU65" s="291"/>
      <c r="CV65" s="291"/>
      <c r="CW65" s="291"/>
      <c r="CX65" s="291"/>
      <c r="CY65" s="291"/>
      <c r="CZ65" s="291"/>
      <c r="DA65" s="291"/>
      <c r="DB65" s="291"/>
      <c r="DC65" s="291"/>
      <c r="DD65" s="291"/>
      <c r="DE65" s="291"/>
      <c r="DF65" s="291"/>
      <c r="DG65" s="291"/>
      <c r="DH65" s="291"/>
      <c r="DI65" s="291"/>
      <c r="DJ65" s="291"/>
      <c r="DK65" s="291"/>
      <c r="DL65" s="291"/>
      <c r="DM65" s="291"/>
      <c r="DN65" s="291"/>
      <c r="DO65" s="291"/>
      <c r="DP65" s="291"/>
      <c r="DQ65" s="291"/>
      <c r="DR65" s="291"/>
      <c r="DS65" s="291"/>
      <c r="DT65" s="291"/>
      <c r="DU65" s="291"/>
      <c r="DV65" s="291"/>
      <c r="DW65" s="291"/>
      <c r="DX65" s="291"/>
      <c r="DY65" s="291"/>
      <c r="DZ65" s="291"/>
      <c r="EA65" s="291"/>
      <c r="EB65" s="291"/>
      <c r="EC65" s="291"/>
      <c r="ED65" s="291"/>
      <c r="EE65" s="291"/>
      <c r="EF65" s="291"/>
      <c r="EG65" s="291"/>
      <c r="EH65" s="291"/>
      <c r="EI65" s="291"/>
      <c r="EJ65" s="291"/>
      <c r="EK65" s="291"/>
      <c r="EL65" s="291"/>
      <c r="EM65" s="291"/>
      <c r="EN65" s="291"/>
      <c r="EO65" s="291"/>
      <c r="EP65" s="291"/>
      <c r="EQ65" s="291"/>
      <c r="ER65" s="291"/>
      <c r="ES65" s="291"/>
      <c r="ET65" s="291"/>
      <c r="EU65" s="291"/>
      <c r="EV65" s="291"/>
      <c r="EW65" s="291"/>
      <c r="EX65" s="291"/>
      <c r="EY65" s="291"/>
      <c r="EZ65" s="291"/>
      <c r="FA65" s="291"/>
      <c r="FB65" s="291"/>
      <c r="FC65" s="291"/>
      <c r="FD65" s="291"/>
      <c r="FE65" s="291"/>
      <c r="FF65" s="291"/>
      <c r="FG65" s="291"/>
      <c r="FH65" s="291"/>
      <c r="FI65" s="291"/>
      <c r="FJ65" s="291"/>
      <c r="FK65" s="291"/>
      <c r="FL65" s="291"/>
      <c r="FM65" s="291"/>
      <c r="FN65" s="291"/>
      <c r="FO65" s="291"/>
      <c r="FP65" s="291"/>
      <c r="FQ65" s="291"/>
      <c r="FR65" s="291"/>
      <c r="FS65" s="291"/>
      <c r="FT65" s="291"/>
      <c r="FU65" s="291"/>
      <c r="FV65" s="291"/>
      <c r="FW65" s="291"/>
      <c r="FX65" s="291"/>
      <c r="FY65" s="291"/>
      <c r="FZ65" s="291"/>
      <c r="GA65" s="291"/>
      <c r="GB65" s="291"/>
      <c r="GC65" s="291"/>
      <c r="GD65" s="291"/>
      <c r="GE65" s="291"/>
      <c r="GF65" s="291"/>
      <c r="GG65" s="291"/>
      <c r="GH65" s="291"/>
      <c r="GI65" s="291"/>
      <c r="GJ65" s="291"/>
      <c r="GK65" s="291"/>
      <c r="GL65" s="291"/>
      <c r="GM65" s="291"/>
      <c r="GN65" s="291"/>
      <c r="GO65" s="291"/>
      <c r="GP65" s="291"/>
      <c r="GQ65" s="291"/>
      <c r="GR65" s="291"/>
      <c r="GS65" s="291"/>
      <c r="GT65" s="291"/>
      <c r="GU65" s="291"/>
      <c r="GV65" s="291"/>
      <c r="GW65" s="291"/>
      <c r="GX65" s="291"/>
      <c r="GY65" s="291"/>
      <c r="GZ65" s="291"/>
      <c r="HA65" s="291"/>
      <c r="HB65" s="291"/>
      <c r="HC65" s="291"/>
      <c r="HD65" s="291"/>
      <c r="HE65" s="291"/>
      <c r="HF65" s="291"/>
      <c r="HG65" s="291"/>
      <c r="HH65" s="291"/>
      <c r="HI65" s="291"/>
      <c r="HJ65" s="291"/>
      <c r="HK65" s="291"/>
      <c r="HL65" s="291"/>
      <c r="HM65" s="291"/>
      <c r="HN65" s="291"/>
      <c r="HO65" s="291"/>
      <c r="HP65" s="291"/>
      <c r="HQ65" s="291"/>
      <c r="HR65" s="291"/>
      <c r="HS65" s="291"/>
      <c r="HT65" s="291"/>
      <c r="HU65" s="291"/>
      <c r="HV65" s="291"/>
      <c r="HW65" s="291"/>
      <c r="HX65" s="291"/>
      <c r="HY65" s="291"/>
      <c r="HZ65" s="291"/>
      <c r="IA65" s="291"/>
      <c r="IB65" s="291"/>
      <c r="IC65" s="291"/>
      <c r="ID65" s="291"/>
      <c r="IE65" s="291"/>
      <c r="IF65" s="291"/>
      <c r="IG65" s="291"/>
      <c r="IH65" s="291"/>
      <c r="II65" s="291"/>
      <c r="IJ65" s="291"/>
      <c r="IK65" s="291"/>
      <c r="IL65" s="291"/>
      <c r="IM65" s="291"/>
      <c r="IN65" s="291"/>
      <c r="IO65" s="291"/>
      <c r="IP65" s="291"/>
      <c r="IQ65" s="291"/>
      <c r="IR65" s="291"/>
      <c r="IS65" s="291"/>
      <c r="IT65" s="291"/>
      <c r="IU65" s="291"/>
      <c r="IV65" s="291"/>
      <c r="IW65" s="291"/>
      <c r="IX65" s="291"/>
      <c r="IY65" s="291"/>
      <c r="IZ65" s="291"/>
      <c r="JA65" s="291"/>
      <c r="JB65" s="291"/>
      <c r="JC65" s="291"/>
      <c r="JD65" s="291"/>
      <c r="JE65" s="291"/>
      <c r="JF65" s="291"/>
      <c r="JG65" s="291"/>
      <c r="JH65" s="291"/>
      <c r="JI65" s="291"/>
      <c r="JJ65" s="291"/>
      <c r="JK65" s="291"/>
      <c r="JL65" s="291"/>
      <c r="JM65" s="291"/>
      <c r="JN65" s="291"/>
      <c r="JO65" s="291"/>
      <c r="JP65" s="291"/>
      <c r="JQ65" s="291"/>
      <c r="JR65" s="291"/>
      <c r="JS65" s="291"/>
      <c r="JT65" s="291"/>
      <c r="JU65" s="291"/>
      <c r="JV65" s="291"/>
      <c r="JW65" s="291"/>
      <c r="JX65" s="291"/>
      <c r="JY65" s="291"/>
      <c r="JZ65" s="291"/>
      <c r="KA65" s="291"/>
      <c r="KB65" s="291"/>
      <c r="KC65" s="291"/>
      <c r="KD65" s="291"/>
      <c r="KE65" s="291"/>
      <c r="KF65" s="291"/>
      <c r="KG65" s="291"/>
      <c r="KH65" s="291"/>
      <c r="KI65" s="291"/>
      <c r="KJ65" s="291"/>
      <c r="KK65" s="291"/>
      <c r="KL65" s="291"/>
      <c r="KM65" s="291"/>
      <c r="KN65" s="291"/>
      <c r="KO65" s="291"/>
      <c r="KP65" s="291"/>
      <c r="KQ65" s="291"/>
      <c r="KR65" s="291"/>
      <c r="KS65" s="291"/>
      <c r="KT65" s="291"/>
      <c r="KU65" s="291"/>
      <c r="KV65" s="291"/>
      <c r="KW65" s="291"/>
      <c r="KX65" s="291"/>
      <c r="KY65" s="291"/>
      <c r="KZ65" s="291"/>
      <c r="LA65" s="291"/>
      <c r="LB65" s="291"/>
      <c r="LC65" s="291"/>
      <c r="LD65" s="291"/>
      <c r="LE65" s="291"/>
      <c r="LF65" s="291"/>
      <c r="LG65" s="291"/>
      <c r="LH65" s="291"/>
      <c r="LI65" s="291"/>
      <c r="LJ65" s="291"/>
      <c r="LK65" s="291"/>
      <c r="LL65" s="291"/>
      <c r="LM65" s="291"/>
      <c r="LN65" s="291"/>
      <c r="LO65" s="291"/>
      <c r="LP65" s="291"/>
      <c r="LQ65" s="291"/>
      <c r="LR65" s="291"/>
      <c r="LS65" s="291"/>
      <c r="LT65" s="291"/>
      <c r="LU65" s="291"/>
      <c r="LV65" s="291"/>
      <c r="LW65" s="291"/>
      <c r="LX65" s="291"/>
      <c r="LY65" s="291"/>
      <c r="LZ65" s="291"/>
      <c r="MA65" s="291"/>
      <c r="MB65" s="291"/>
      <c r="MC65" s="291"/>
      <c r="MD65" s="291"/>
      <c r="ME65" s="291"/>
      <c r="MF65" s="291"/>
      <c r="MG65" s="291"/>
      <c r="MH65" s="291"/>
      <c r="MI65" s="291"/>
      <c r="MJ65" s="291"/>
      <c r="MK65" s="291"/>
      <c r="ML65" s="291"/>
      <c r="MM65" s="291"/>
      <c r="MN65" s="291"/>
      <c r="MO65" s="291"/>
      <c r="MP65" s="291"/>
      <c r="MQ65" s="291"/>
      <c r="MR65" s="291"/>
      <c r="MS65" s="291"/>
      <c r="MT65" s="291"/>
      <c r="MU65" s="291"/>
      <c r="MV65" s="291"/>
      <c r="MW65" s="291"/>
      <c r="MX65" s="291"/>
      <c r="MY65" s="291"/>
      <c r="MZ65" s="291"/>
      <c r="NA65" s="291"/>
      <c r="NB65" s="291"/>
      <c r="NC65" s="291"/>
      <c r="ND65" s="291"/>
      <c r="NE65" s="291"/>
      <c r="NF65" s="291"/>
      <c r="NG65" s="291"/>
      <c r="NH65" s="291"/>
      <c r="NI65" s="291"/>
      <c r="NJ65" s="291"/>
      <c r="NK65" s="291"/>
      <c r="NL65" s="291"/>
      <c r="NM65" s="291"/>
      <c r="NN65" s="291"/>
      <c r="NO65" s="291"/>
      <c r="NP65" s="291"/>
      <c r="NQ65" s="291"/>
      <c r="NR65" s="291"/>
      <c r="NS65" s="291"/>
      <c r="NT65" s="291"/>
      <c r="NU65" s="291"/>
      <c r="NV65" s="291"/>
      <c r="NW65" s="291"/>
      <c r="NX65" s="291"/>
      <c r="NY65" s="291"/>
      <c r="NZ65" s="291"/>
      <c r="OA65" s="291"/>
      <c r="OB65" s="291"/>
      <c r="OC65" s="291"/>
      <c r="OD65" s="291"/>
      <c r="OE65" s="291"/>
      <c r="OF65" s="291"/>
      <c r="OG65" s="291"/>
      <c r="OH65" s="291"/>
      <c r="OI65" s="291"/>
      <c r="OJ65" s="291"/>
      <c r="OK65" s="291"/>
      <c r="OL65" s="291"/>
      <c r="OM65" s="291"/>
      <c r="ON65" s="291"/>
      <c r="OO65" s="291"/>
      <c r="OP65" s="291"/>
      <c r="OQ65" s="291"/>
      <c r="OR65" s="291"/>
      <c r="OS65" s="291"/>
      <c r="OT65" s="291"/>
      <c r="OU65" s="291"/>
      <c r="OV65" s="291"/>
      <c r="OW65" s="291"/>
      <c r="OX65" s="291"/>
      <c r="OY65" s="291"/>
      <c r="OZ65" s="291"/>
      <c r="PA65" s="291"/>
      <c r="PB65" s="291"/>
      <c r="PC65" s="291"/>
      <c r="PD65" s="291"/>
      <c r="PE65" s="291"/>
      <c r="PF65" s="291"/>
      <c r="PG65" s="291"/>
      <c r="PH65" s="291"/>
      <c r="PI65" s="291"/>
      <c r="PJ65" s="291"/>
      <c r="PK65" s="291"/>
      <c r="PL65" s="291"/>
      <c r="PM65" s="291"/>
      <c r="PN65" s="291"/>
      <c r="PO65" s="291"/>
      <c r="PP65" s="291"/>
      <c r="PQ65" s="291"/>
      <c r="PR65" s="291"/>
      <c r="PS65" s="291"/>
      <c r="PT65" s="291"/>
      <c r="PU65" s="291"/>
      <c r="PV65" s="291"/>
      <c r="PW65" s="291"/>
      <c r="PX65" s="291"/>
      <c r="PY65" s="291"/>
      <c r="PZ65" s="291"/>
      <c r="QA65" s="291"/>
      <c r="QB65" s="291"/>
      <c r="QC65" s="291"/>
      <c r="QD65" s="291"/>
      <c r="QE65" s="291"/>
      <c r="QF65" s="291"/>
      <c r="QG65" s="291"/>
      <c r="QH65" s="291"/>
      <c r="QI65" s="291"/>
      <c r="QJ65" s="291"/>
      <c r="QK65" s="291"/>
      <c r="QL65" s="291"/>
      <c r="QM65" s="291"/>
      <c r="QN65" s="291"/>
      <c r="QO65" s="291"/>
      <c r="QP65" s="291"/>
      <c r="QQ65" s="291"/>
      <c r="QR65" s="291"/>
      <c r="QS65" s="291"/>
      <c r="QT65" s="291"/>
      <c r="QU65" s="291"/>
      <c r="QV65" s="291"/>
      <c r="QW65" s="291"/>
      <c r="QX65" s="291"/>
      <c r="QY65" s="291"/>
      <c r="QZ65" s="291"/>
      <c r="RA65" s="291"/>
      <c r="RB65" s="291"/>
      <c r="RC65" s="291"/>
      <c r="RD65" s="291"/>
      <c r="RE65" s="291"/>
      <c r="RF65" s="291"/>
      <c r="RG65" s="291"/>
      <c r="RH65" s="291"/>
      <c r="RI65" s="291"/>
      <c r="RJ65" s="291"/>
      <c r="RK65" s="291"/>
      <c r="RL65" s="291"/>
      <c r="RM65" s="291"/>
      <c r="RN65" s="291"/>
      <c r="RO65" s="291"/>
      <c r="RP65" s="291"/>
      <c r="RQ65" s="291"/>
      <c r="RR65" s="291"/>
      <c r="RS65" s="291"/>
      <c r="RT65" s="291"/>
      <c r="RU65" s="291"/>
      <c r="RV65" s="291"/>
      <c r="RW65" s="291"/>
      <c r="RX65" s="291"/>
      <c r="RY65" s="291"/>
      <c r="RZ65" s="291"/>
      <c r="SA65" s="291"/>
      <c r="SB65" s="291"/>
      <c r="SC65" s="291"/>
      <c r="SD65" s="291"/>
      <c r="SE65" s="291"/>
      <c r="SF65" s="291"/>
      <c r="SG65" s="291"/>
      <c r="SH65" s="291"/>
      <c r="SI65" s="291"/>
      <c r="SJ65" s="291"/>
      <c r="SK65" s="291"/>
      <c r="SL65" s="291"/>
      <c r="SM65" s="291"/>
      <c r="SN65" s="291"/>
      <c r="SO65" s="291"/>
      <c r="SP65" s="291"/>
      <c r="SQ65" s="291"/>
      <c r="SR65" s="291"/>
      <c r="SS65" s="291"/>
      <c r="ST65" s="291"/>
      <c r="SU65" s="291"/>
      <c r="SV65" s="291"/>
      <c r="SW65" s="291"/>
      <c r="SX65" s="291"/>
      <c r="SY65" s="291"/>
      <c r="SZ65" s="291"/>
      <c r="TA65" s="291"/>
      <c r="TB65" s="291"/>
      <c r="TC65" s="291"/>
      <c r="TD65" s="291"/>
      <c r="TE65" s="291"/>
      <c r="TF65" s="291"/>
      <c r="TG65" s="291"/>
      <c r="TH65" s="291"/>
      <c r="TI65" s="291"/>
      <c r="TJ65" s="291"/>
      <c r="TK65" s="291"/>
      <c r="TL65" s="291"/>
      <c r="TM65" s="291"/>
      <c r="TN65" s="291"/>
      <c r="TO65" s="291"/>
      <c r="TP65" s="291"/>
      <c r="TQ65" s="291"/>
      <c r="TR65" s="291"/>
    </row>
    <row r="66" spans="1:538" s="342" customFormat="1" x14ac:dyDescent="0.25">
      <c r="A66" s="1448" t="s">
        <v>260</v>
      </c>
      <c r="B66" s="1448"/>
      <c r="C66" s="1448"/>
      <c r="D66" s="1449"/>
      <c r="E66" s="1449"/>
      <c r="F66" s="1449"/>
      <c r="G66" s="1449"/>
      <c r="H66" s="1449"/>
      <c r="I66" s="1449"/>
      <c r="J66" s="1449"/>
      <c r="K66" s="499" t="e">
        <f>K61+K65</f>
        <v>#REF!</v>
      </c>
      <c r="L66" s="1449"/>
      <c r="M66" s="1449"/>
      <c r="N66" s="1449"/>
      <c r="O66" s="1449"/>
      <c r="P66" s="1449"/>
      <c r="Q66" s="1449"/>
      <c r="R66" s="1450"/>
      <c r="S66" s="339" t="e">
        <f>S61+S65</f>
        <v>#REF!</v>
      </c>
      <c r="T66" s="1451"/>
      <c r="U66" s="1449"/>
      <c r="V66" s="1449"/>
      <c r="W66" s="1449"/>
      <c r="X66" s="1449"/>
      <c r="Y66" s="1449"/>
      <c r="Z66" s="1450"/>
      <c r="AA66" s="339" t="e">
        <f>AA61+AA65</f>
        <v>#REF!</v>
      </c>
      <c r="AB66" s="1451"/>
      <c r="AC66" s="1449"/>
      <c r="AD66" s="1449"/>
      <c r="AE66" s="1449"/>
      <c r="AF66" s="1449"/>
      <c r="AG66" s="1449"/>
      <c r="AH66" s="1450"/>
      <c r="AI66" s="339" t="e">
        <f>AI61+AI65</f>
        <v>#REF!</v>
      </c>
      <c r="AJ66" s="1451"/>
      <c r="AK66" s="1449"/>
      <c r="AL66" s="1449"/>
      <c r="AM66" s="1449"/>
      <c r="AN66" s="1449"/>
      <c r="AO66" s="1449"/>
      <c r="AP66" s="1450"/>
      <c r="AQ66" s="339" t="e">
        <f>AQ61+AQ65</f>
        <v>#REF!</v>
      </c>
      <c r="AR66" s="1451"/>
      <c r="AS66" s="1449"/>
      <c r="AT66" s="1449"/>
      <c r="AU66" s="1449"/>
      <c r="AV66" s="1449"/>
      <c r="AW66" s="1449"/>
      <c r="AX66" s="1450"/>
      <c r="AY66" s="441" t="e">
        <f>AY61+AY65</f>
        <v>#REF!</v>
      </c>
      <c r="AZ66" s="443"/>
      <c r="BA66" s="340" t="e">
        <f>K66+S66+AA66+AI66+AQ66+AY66</f>
        <v>#REF!</v>
      </c>
      <c r="BB66" s="291"/>
      <c r="BC66" s="291"/>
      <c r="BD66" s="291"/>
      <c r="BE66" s="291"/>
      <c r="BF66" s="291"/>
      <c r="BG66" s="291"/>
      <c r="BH66" s="291"/>
      <c r="BI66" s="291"/>
      <c r="BJ66" s="291"/>
      <c r="BK66" s="291"/>
      <c r="BL66" s="291"/>
      <c r="BM66" s="291"/>
      <c r="BN66" s="291"/>
      <c r="BO66" s="291"/>
      <c r="BP66" s="291"/>
      <c r="BQ66" s="291"/>
      <c r="BR66" s="291"/>
      <c r="BS66" s="291"/>
      <c r="BT66" s="291"/>
      <c r="BU66" s="291"/>
      <c r="BV66" s="291"/>
      <c r="BW66" s="291"/>
      <c r="BX66" s="291"/>
      <c r="BY66" s="291"/>
      <c r="BZ66" s="291"/>
      <c r="CA66" s="291"/>
      <c r="CB66" s="291"/>
      <c r="CC66" s="291"/>
      <c r="CD66" s="291"/>
      <c r="CE66" s="291"/>
      <c r="CF66" s="291"/>
      <c r="CG66" s="291"/>
      <c r="CH66" s="291"/>
      <c r="CI66" s="291"/>
      <c r="CJ66" s="291"/>
      <c r="CK66" s="291"/>
      <c r="CL66" s="291"/>
      <c r="CM66" s="291"/>
      <c r="CN66" s="291"/>
      <c r="CO66" s="291"/>
      <c r="CP66" s="291"/>
      <c r="CQ66" s="291"/>
      <c r="CR66" s="291"/>
      <c r="CS66" s="291"/>
      <c r="CT66" s="291"/>
      <c r="CU66" s="291"/>
      <c r="CV66" s="291"/>
      <c r="CW66" s="291"/>
      <c r="CX66" s="291"/>
      <c r="CY66" s="291"/>
      <c r="CZ66" s="291"/>
      <c r="DA66" s="291"/>
      <c r="DB66" s="291"/>
      <c r="DC66" s="291"/>
      <c r="DD66" s="291"/>
      <c r="DE66" s="291"/>
      <c r="DF66" s="291"/>
      <c r="DG66" s="291"/>
      <c r="DH66" s="291"/>
      <c r="DI66" s="291"/>
      <c r="DJ66" s="291"/>
      <c r="DK66" s="291"/>
      <c r="DL66" s="291"/>
      <c r="DM66" s="291"/>
      <c r="DN66" s="291"/>
      <c r="DO66" s="291"/>
      <c r="DP66" s="291"/>
      <c r="DQ66" s="291"/>
      <c r="DR66" s="291"/>
      <c r="DS66" s="291"/>
      <c r="DT66" s="291"/>
      <c r="DU66" s="291"/>
      <c r="DV66" s="291"/>
      <c r="DW66" s="291"/>
      <c r="DX66" s="291"/>
      <c r="DY66" s="291"/>
      <c r="DZ66" s="291"/>
      <c r="EA66" s="291"/>
      <c r="EB66" s="291"/>
      <c r="EC66" s="291"/>
      <c r="ED66" s="291"/>
      <c r="EE66" s="291"/>
      <c r="EF66" s="291"/>
      <c r="EG66" s="291"/>
      <c r="EH66" s="291"/>
      <c r="EI66" s="291"/>
      <c r="EJ66" s="291"/>
      <c r="EK66" s="291"/>
      <c r="EL66" s="291"/>
      <c r="EM66" s="291"/>
      <c r="EN66" s="291"/>
      <c r="EO66" s="291"/>
      <c r="EP66" s="291"/>
      <c r="EQ66" s="291"/>
      <c r="ER66" s="291"/>
      <c r="ES66" s="291"/>
      <c r="ET66" s="291"/>
      <c r="EU66" s="291"/>
      <c r="EV66" s="291"/>
      <c r="EW66" s="291"/>
      <c r="EX66" s="291"/>
      <c r="EY66" s="291"/>
      <c r="EZ66" s="291"/>
      <c r="FA66" s="291"/>
      <c r="FB66" s="291"/>
      <c r="FC66" s="291"/>
      <c r="FD66" s="291"/>
      <c r="FE66" s="291"/>
      <c r="FF66" s="291"/>
      <c r="FG66" s="291"/>
      <c r="FH66" s="291"/>
      <c r="FI66" s="291"/>
      <c r="FJ66" s="291"/>
      <c r="FK66" s="291"/>
      <c r="FL66" s="291"/>
      <c r="FM66" s="291"/>
      <c r="FN66" s="291"/>
      <c r="FO66" s="291"/>
      <c r="FP66" s="291"/>
      <c r="FQ66" s="291"/>
      <c r="FR66" s="291"/>
      <c r="FS66" s="291"/>
      <c r="FT66" s="291"/>
      <c r="FU66" s="291"/>
      <c r="FV66" s="291"/>
      <c r="FW66" s="291"/>
      <c r="FX66" s="291"/>
      <c r="FY66" s="291"/>
      <c r="FZ66" s="291"/>
      <c r="GA66" s="291"/>
      <c r="GB66" s="291"/>
      <c r="GC66" s="291"/>
      <c r="GD66" s="291"/>
      <c r="GE66" s="291"/>
      <c r="GF66" s="291"/>
      <c r="GG66" s="291"/>
      <c r="GH66" s="291"/>
      <c r="GI66" s="291"/>
      <c r="GJ66" s="291"/>
      <c r="GK66" s="291"/>
      <c r="GL66" s="291"/>
      <c r="GM66" s="291"/>
      <c r="GN66" s="291"/>
      <c r="GO66" s="291"/>
      <c r="GP66" s="291"/>
      <c r="GQ66" s="291"/>
      <c r="GR66" s="291"/>
      <c r="GS66" s="291"/>
      <c r="GT66" s="291"/>
      <c r="GU66" s="291"/>
      <c r="GV66" s="291"/>
      <c r="GW66" s="291"/>
      <c r="GX66" s="291"/>
      <c r="GY66" s="291"/>
      <c r="GZ66" s="291"/>
      <c r="HA66" s="291"/>
      <c r="HB66" s="291"/>
      <c r="HC66" s="291"/>
      <c r="HD66" s="291"/>
      <c r="HE66" s="291"/>
      <c r="HF66" s="291"/>
      <c r="HG66" s="291"/>
      <c r="HH66" s="291"/>
      <c r="HI66" s="291"/>
      <c r="HJ66" s="291"/>
      <c r="HK66" s="291"/>
      <c r="HL66" s="291"/>
      <c r="HM66" s="291"/>
      <c r="HN66" s="291"/>
      <c r="HO66" s="291"/>
      <c r="HP66" s="291"/>
      <c r="HQ66" s="291"/>
      <c r="HR66" s="291"/>
      <c r="HS66" s="291"/>
      <c r="HT66" s="291"/>
      <c r="HU66" s="291"/>
      <c r="HV66" s="291"/>
      <c r="HW66" s="291"/>
      <c r="HX66" s="291"/>
      <c r="HY66" s="291"/>
      <c r="HZ66" s="291"/>
      <c r="IA66" s="291"/>
      <c r="IB66" s="291"/>
      <c r="IC66" s="291"/>
      <c r="ID66" s="291"/>
      <c r="IE66" s="291"/>
      <c r="IF66" s="291"/>
      <c r="IG66" s="291"/>
      <c r="IH66" s="291"/>
      <c r="II66" s="291"/>
      <c r="IJ66" s="291"/>
      <c r="IK66" s="291"/>
      <c r="IL66" s="291"/>
      <c r="IM66" s="291"/>
      <c r="IN66" s="291"/>
      <c r="IO66" s="291"/>
      <c r="IP66" s="291"/>
      <c r="IQ66" s="291"/>
      <c r="IR66" s="291"/>
      <c r="IS66" s="291"/>
      <c r="IT66" s="291"/>
      <c r="IU66" s="291"/>
      <c r="IV66" s="291"/>
      <c r="IW66" s="291"/>
      <c r="IX66" s="291"/>
      <c r="IY66" s="291"/>
      <c r="IZ66" s="291"/>
      <c r="JA66" s="291"/>
      <c r="JB66" s="291"/>
      <c r="JC66" s="291"/>
      <c r="JD66" s="291"/>
      <c r="JE66" s="291"/>
      <c r="JF66" s="291"/>
      <c r="JG66" s="291"/>
      <c r="JH66" s="291"/>
      <c r="JI66" s="291"/>
      <c r="JJ66" s="291"/>
      <c r="JK66" s="291"/>
      <c r="JL66" s="291"/>
      <c r="JM66" s="291"/>
      <c r="JN66" s="291"/>
      <c r="JO66" s="291"/>
      <c r="JP66" s="291"/>
      <c r="JQ66" s="291"/>
      <c r="JR66" s="291"/>
      <c r="JS66" s="291"/>
      <c r="JT66" s="291"/>
      <c r="JU66" s="291"/>
      <c r="JV66" s="291"/>
      <c r="JW66" s="291"/>
      <c r="JX66" s="291"/>
      <c r="JY66" s="291"/>
      <c r="JZ66" s="291"/>
      <c r="KA66" s="291"/>
      <c r="KB66" s="291"/>
      <c r="KC66" s="291"/>
      <c r="KD66" s="291"/>
      <c r="KE66" s="291"/>
      <c r="KF66" s="291"/>
      <c r="KG66" s="291"/>
      <c r="KH66" s="291"/>
      <c r="KI66" s="291"/>
      <c r="KJ66" s="291"/>
      <c r="KK66" s="291"/>
      <c r="KL66" s="291"/>
      <c r="KM66" s="291"/>
      <c r="KN66" s="291"/>
      <c r="KO66" s="291"/>
      <c r="KP66" s="291"/>
      <c r="KQ66" s="291"/>
      <c r="KR66" s="291"/>
      <c r="KS66" s="291"/>
      <c r="KT66" s="291"/>
      <c r="KU66" s="291"/>
      <c r="KV66" s="291"/>
      <c r="KW66" s="291"/>
      <c r="KX66" s="291"/>
      <c r="KY66" s="291"/>
      <c r="KZ66" s="291"/>
      <c r="LA66" s="291"/>
      <c r="LB66" s="291"/>
      <c r="LC66" s="291"/>
      <c r="LD66" s="291"/>
      <c r="LE66" s="291"/>
      <c r="LF66" s="291"/>
      <c r="LG66" s="291"/>
      <c r="LH66" s="291"/>
      <c r="LI66" s="291"/>
      <c r="LJ66" s="291"/>
      <c r="LK66" s="291"/>
      <c r="LL66" s="291"/>
      <c r="LM66" s="291"/>
      <c r="LN66" s="291"/>
      <c r="LO66" s="291"/>
      <c r="LP66" s="291"/>
      <c r="LQ66" s="291"/>
      <c r="LR66" s="291"/>
      <c r="LS66" s="291"/>
      <c r="LT66" s="291"/>
      <c r="LU66" s="291"/>
      <c r="LV66" s="291"/>
      <c r="LW66" s="291"/>
      <c r="LX66" s="291"/>
      <c r="LY66" s="291"/>
      <c r="LZ66" s="291"/>
      <c r="MA66" s="291"/>
      <c r="MB66" s="291"/>
      <c r="MC66" s="291"/>
      <c r="MD66" s="291"/>
      <c r="ME66" s="291"/>
      <c r="MF66" s="291"/>
      <c r="MG66" s="291"/>
      <c r="MH66" s="291"/>
      <c r="MI66" s="291"/>
      <c r="MJ66" s="291"/>
      <c r="MK66" s="291"/>
      <c r="ML66" s="291"/>
      <c r="MM66" s="291"/>
      <c r="MN66" s="291"/>
      <c r="MO66" s="291"/>
      <c r="MP66" s="291"/>
      <c r="MQ66" s="291"/>
      <c r="MR66" s="291"/>
      <c r="MS66" s="291"/>
      <c r="MT66" s="291"/>
      <c r="MU66" s="291"/>
      <c r="MV66" s="291"/>
      <c r="MW66" s="291"/>
      <c r="MX66" s="291"/>
      <c r="MY66" s="291"/>
      <c r="MZ66" s="291"/>
      <c r="NA66" s="291"/>
      <c r="NB66" s="291"/>
      <c r="NC66" s="291"/>
      <c r="ND66" s="291"/>
      <c r="NE66" s="291"/>
      <c r="NF66" s="291"/>
      <c r="NG66" s="291"/>
      <c r="NH66" s="291"/>
      <c r="NI66" s="291"/>
      <c r="NJ66" s="291"/>
      <c r="NK66" s="291"/>
      <c r="NL66" s="291"/>
      <c r="NM66" s="291"/>
      <c r="NN66" s="291"/>
      <c r="NO66" s="291"/>
      <c r="NP66" s="291"/>
      <c r="NQ66" s="291"/>
      <c r="NR66" s="291"/>
      <c r="NS66" s="291"/>
      <c r="NT66" s="291"/>
      <c r="NU66" s="291"/>
      <c r="NV66" s="291"/>
      <c r="NW66" s="291"/>
      <c r="NX66" s="291"/>
      <c r="NY66" s="291"/>
      <c r="NZ66" s="291"/>
      <c r="OA66" s="291"/>
      <c r="OB66" s="291"/>
      <c r="OC66" s="291"/>
      <c r="OD66" s="291"/>
      <c r="OE66" s="291"/>
      <c r="OF66" s="291"/>
      <c r="OG66" s="291"/>
      <c r="OH66" s="291"/>
      <c r="OI66" s="291"/>
      <c r="OJ66" s="291"/>
      <c r="OK66" s="291"/>
      <c r="OL66" s="291"/>
      <c r="OM66" s="291"/>
      <c r="ON66" s="291"/>
      <c r="OO66" s="291"/>
      <c r="OP66" s="291"/>
      <c r="OQ66" s="291"/>
      <c r="OR66" s="291"/>
      <c r="OS66" s="291"/>
      <c r="OT66" s="291"/>
      <c r="OU66" s="291"/>
      <c r="OV66" s="291"/>
      <c r="OW66" s="291"/>
      <c r="OX66" s="291"/>
      <c r="OY66" s="291"/>
      <c r="OZ66" s="291"/>
      <c r="PA66" s="291"/>
      <c r="PB66" s="291"/>
      <c r="PC66" s="291"/>
      <c r="PD66" s="291"/>
      <c r="PE66" s="291"/>
      <c r="PF66" s="291"/>
      <c r="PG66" s="291"/>
      <c r="PH66" s="291"/>
      <c r="PI66" s="291"/>
      <c r="PJ66" s="291"/>
      <c r="PK66" s="291"/>
      <c r="PL66" s="291"/>
      <c r="PM66" s="291"/>
      <c r="PN66" s="291"/>
      <c r="PO66" s="291"/>
      <c r="PP66" s="291"/>
      <c r="PQ66" s="291"/>
      <c r="PR66" s="291"/>
      <c r="PS66" s="291"/>
      <c r="PT66" s="291"/>
      <c r="PU66" s="291"/>
      <c r="PV66" s="291"/>
      <c r="PW66" s="291"/>
      <c r="PX66" s="291"/>
      <c r="PY66" s="291"/>
      <c r="PZ66" s="291"/>
      <c r="QA66" s="291"/>
      <c r="QB66" s="291"/>
      <c r="QC66" s="291"/>
      <c r="QD66" s="291"/>
      <c r="QE66" s="291"/>
      <c r="QF66" s="291"/>
      <c r="QG66" s="291"/>
      <c r="QH66" s="291"/>
      <c r="QI66" s="291"/>
      <c r="QJ66" s="291"/>
      <c r="QK66" s="291"/>
      <c r="QL66" s="291"/>
      <c r="QM66" s="291"/>
      <c r="QN66" s="291"/>
      <c r="QO66" s="291"/>
      <c r="QP66" s="291"/>
      <c r="QQ66" s="291"/>
      <c r="QR66" s="291"/>
      <c r="QS66" s="291"/>
      <c r="QT66" s="291"/>
      <c r="QU66" s="291"/>
      <c r="QV66" s="291"/>
      <c r="QW66" s="291"/>
      <c r="QX66" s="291"/>
      <c r="QY66" s="291"/>
      <c r="QZ66" s="291"/>
      <c r="RA66" s="291"/>
      <c r="RB66" s="291"/>
      <c r="RC66" s="291"/>
      <c r="RD66" s="291"/>
      <c r="RE66" s="291"/>
      <c r="RF66" s="291"/>
      <c r="RG66" s="291"/>
      <c r="RH66" s="291"/>
      <c r="RI66" s="291"/>
      <c r="RJ66" s="291"/>
      <c r="RK66" s="291"/>
      <c r="RL66" s="291"/>
      <c r="RM66" s="291"/>
      <c r="RN66" s="291"/>
      <c r="RO66" s="291"/>
      <c r="RP66" s="291"/>
      <c r="RQ66" s="291"/>
      <c r="RR66" s="291"/>
      <c r="RS66" s="291"/>
      <c r="RT66" s="291"/>
      <c r="RU66" s="291"/>
      <c r="RV66" s="291"/>
      <c r="RW66" s="291"/>
      <c r="RX66" s="291"/>
      <c r="RY66" s="291"/>
      <c r="RZ66" s="291"/>
      <c r="SA66" s="291"/>
      <c r="SB66" s="291"/>
      <c r="SC66" s="291"/>
      <c r="SD66" s="291"/>
      <c r="SE66" s="291"/>
      <c r="SF66" s="291"/>
      <c r="SG66" s="291"/>
      <c r="SH66" s="291"/>
      <c r="SI66" s="291"/>
      <c r="SJ66" s="291"/>
      <c r="SK66" s="291"/>
      <c r="SL66" s="291"/>
      <c r="SM66" s="291"/>
      <c r="SN66" s="291"/>
      <c r="SO66" s="291"/>
      <c r="SP66" s="291"/>
      <c r="SQ66" s="291"/>
      <c r="SR66" s="291"/>
      <c r="SS66" s="291"/>
      <c r="ST66" s="291"/>
      <c r="SU66" s="291"/>
      <c r="SV66" s="291"/>
      <c r="SW66" s="291"/>
      <c r="SX66" s="291"/>
      <c r="SY66" s="291"/>
      <c r="SZ66" s="291"/>
      <c r="TA66" s="291"/>
      <c r="TB66" s="291"/>
      <c r="TC66" s="291"/>
      <c r="TD66" s="291"/>
      <c r="TE66" s="291"/>
      <c r="TF66" s="291"/>
      <c r="TG66" s="291"/>
      <c r="TH66" s="291"/>
      <c r="TI66" s="291"/>
      <c r="TJ66" s="291"/>
      <c r="TK66" s="291"/>
      <c r="TL66" s="291"/>
      <c r="TM66" s="291"/>
      <c r="TN66" s="291"/>
      <c r="TO66" s="291"/>
      <c r="TP66" s="291"/>
      <c r="TQ66" s="291"/>
      <c r="TR66" s="291"/>
    </row>
    <row r="67" spans="1:538" s="396" customFormat="1" x14ac:dyDescent="0.25">
      <c r="A67" s="1441" t="s">
        <v>456</v>
      </c>
      <c r="B67" s="1441"/>
      <c r="C67" s="1441"/>
      <c r="D67" s="1188" t="s">
        <v>15</v>
      </c>
      <c r="E67" s="1187" t="s">
        <v>363</v>
      </c>
      <c r="F67" s="1429"/>
      <c r="G67" s="1430"/>
      <c r="H67" s="1430"/>
      <c r="I67" s="1430"/>
      <c r="J67" s="1430"/>
      <c r="K67" s="500"/>
      <c r="L67" s="1188" t="s">
        <v>15</v>
      </c>
      <c r="M67" s="399" t="s">
        <v>363</v>
      </c>
      <c r="N67" s="1442"/>
      <c r="O67" s="1431"/>
      <c r="P67" s="1431"/>
      <c r="Q67" s="1431"/>
      <c r="R67" s="1443"/>
      <c r="S67" s="400"/>
      <c r="T67" s="397" t="s">
        <v>15</v>
      </c>
      <c r="U67" s="399" t="s">
        <v>363</v>
      </c>
      <c r="V67" s="1429"/>
      <c r="W67" s="1430"/>
      <c r="X67" s="1430"/>
      <c r="Y67" s="1430"/>
      <c r="Z67" s="1430"/>
      <c r="AA67" s="1444"/>
      <c r="AB67" s="397" t="s">
        <v>15</v>
      </c>
      <c r="AC67" s="399" t="s">
        <v>363</v>
      </c>
      <c r="AD67" s="1429"/>
      <c r="AE67" s="1430"/>
      <c r="AF67" s="1430"/>
      <c r="AG67" s="1430"/>
      <c r="AH67" s="1432"/>
      <c r="AI67" s="398"/>
      <c r="AJ67" s="397" t="s">
        <v>15</v>
      </c>
      <c r="AK67" s="399" t="s">
        <v>363</v>
      </c>
      <c r="AL67" s="416"/>
      <c r="AM67" s="417"/>
      <c r="AN67" s="417"/>
      <c r="AO67" s="417"/>
      <c r="AP67" s="418"/>
      <c r="AQ67" s="400"/>
      <c r="AR67" s="397" t="s">
        <v>15</v>
      </c>
      <c r="AS67" s="399" t="s">
        <v>363</v>
      </c>
      <c r="AT67" s="1429"/>
      <c r="AU67" s="1430"/>
      <c r="AV67" s="1430"/>
      <c r="AW67" s="1430"/>
      <c r="AX67" s="1430"/>
      <c r="AY67" s="1430"/>
      <c r="AZ67" s="1431"/>
      <c r="BA67" s="1432"/>
      <c r="BB67" s="291"/>
      <c r="BC67" s="291"/>
      <c r="BD67" s="291"/>
      <c r="BE67" s="291"/>
      <c r="BF67" s="291"/>
      <c r="BG67" s="291"/>
      <c r="BH67" s="291"/>
      <c r="BI67" s="291"/>
      <c r="BJ67" s="291"/>
      <c r="BK67" s="291"/>
      <c r="BL67" s="291"/>
      <c r="BM67" s="291"/>
      <c r="BN67" s="291"/>
      <c r="BO67" s="291"/>
      <c r="BP67" s="291"/>
      <c r="BQ67" s="291"/>
      <c r="BR67" s="291"/>
      <c r="BS67" s="291"/>
      <c r="BT67" s="291"/>
      <c r="BU67" s="291"/>
      <c r="BV67" s="291"/>
      <c r="BW67" s="291"/>
      <c r="BX67" s="291"/>
      <c r="BY67" s="291"/>
      <c r="BZ67" s="291"/>
      <c r="CA67" s="291"/>
      <c r="CB67" s="291"/>
      <c r="CC67" s="291"/>
      <c r="CD67" s="291"/>
      <c r="CE67" s="291"/>
      <c r="CF67" s="291"/>
      <c r="CG67" s="291"/>
      <c r="CH67" s="291"/>
      <c r="CI67" s="291"/>
      <c r="CJ67" s="291"/>
      <c r="CK67" s="291"/>
      <c r="CL67" s="291"/>
      <c r="CM67" s="291"/>
      <c r="CN67" s="291"/>
      <c r="CO67" s="291"/>
      <c r="CP67" s="291"/>
      <c r="CQ67" s="291"/>
      <c r="CR67" s="291"/>
      <c r="CS67" s="291"/>
      <c r="CT67" s="291"/>
      <c r="CU67" s="291"/>
      <c r="CV67" s="291"/>
      <c r="CW67" s="291"/>
      <c r="CX67" s="291"/>
      <c r="CY67" s="291"/>
      <c r="CZ67" s="291"/>
      <c r="DA67" s="291"/>
      <c r="DB67" s="291"/>
      <c r="DC67" s="291"/>
      <c r="DD67" s="291"/>
      <c r="DE67" s="291"/>
      <c r="DF67" s="291"/>
      <c r="DG67" s="291"/>
      <c r="DH67" s="291"/>
      <c r="DI67" s="291"/>
      <c r="DJ67" s="291"/>
      <c r="DK67" s="291"/>
      <c r="DL67" s="291"/>
      <c r="DM67" s="291"/>
      <c r="DN67" s="291"/>
      <c r="DO67" s="291"/>
      <c r="DP67" s="291"/>
      <c r="DQ67" s="291"/>
      <c r="DR67" s="291"/>
      <c r="DS67" s="291"/>
      <c r="DT67" s="291"/>
      <c r="DU67" s="291"/>
      <c r="DV67" s="291"/>
      <c r="DW67" s="291"/>
      <c r="DX67" s="291"/>
      <c r="DY67" s="291"/>
      <c r="DZ67" s="291"/>
      <c r="EA67" s="291"/>
      <c r="EB67" s="291"/>
      <c r="EC67" s="291"/>
      <c r="ED67" s="291"/>
      <c r="EE67" s="291"/>
      <c r="EF67" s="291"/>
      <c r="EG67" s="291"/>
      <c r="EH67" s="291"/>
      <c r="EI67" s="291"/>
      <c r="EJ67" s="291"/>
      <c r="EK67" s="291"/>
      <c r="EL67" s="291"/>
      <c r="EM67" s="291"/>
      <c r="EN67" s="291"/>
      <c r="EO67" s="291"/>
      <c r="EP67" s="291"/>
      <c r="EQ67" s="291"/>
      <c r="ER67" s="291"/>
      <c r="ES67" s="291"/>
      <c r="ET67" s="291"/>
      <c r="EU67" s="291"/>
      <c r="EV67" s="291"/>
      <c r="EW67" s="291"/>
      <c r="EX67" s="291"/>
      <c r="EY67" s="291"/>
      <c r="EZ67" s="291"/>
      <c r="FA67" s="291"/>
      <c r="FB67" s="291"/>
      <c r="FC67" s="291"/>
      <c r="FD67" s="291"/>
      <c r="FE67" s="291"/>
      <c r="FF67" s="291"/>
      <c r="FG67" s="291"/>
      <c r="FH67" s="291"/>
      <c r="FI67" s="291"/>
      <c r="FJ67" s="291"/>
      <c r="FK67" s="291"/>
      <c r="FL67" s="291"/>
      <c r="FM67" s="291"/>
      <c r="FN67" s="291"/>
      <c r="FO67" s="291"/>
      <c r="FP67" s="291"/>
      <c r="FQ67" s="291"/>
      <c r="FR67" s="291"/>
      <c r="FS67" s="291"/>
      <c r="FT67" s="291"/>
      <c r="FU67" s="291"/>
      <c r="FV67" s="291"/>
      <c r="FW67" s="291"/>
      <c r="FX67" s="291"/>
      <c r="FY67" s="291"/>
      <c r="FZ67" s="291"/>
      <c r="GA67" s="291"/>
      <c r="GB67" s="291"/>
      <c r="GC67" s="291"/>
      <c r="GD67" s="291"/>
      <c r="GE67" s="291"/>
      <c r="GF67" s="291"/>
      <c r="GG67" s="291"/>
      <c r="GH67" s="291"/>
      <c r="GI67" s="291"/>
      <c r="GJ67" s="291"/>
      <c r="GK67" s="291"/>
      <c r="GL67" s="291"/>
      <c r="GM67" s="291"/>
      <c r="GN67" s="291"/>
      <c r="GO67" s="291"/>
      <c r="GP67" s="291"/>
      <c r="GQ67" s="291"/>
      <c r="GR67" s="291"/>
      <c r="GS67" s="291"/>
      <c r="GT67" s="291"/>
      <c r="GU67" s="291"/>
      <c r="GV67" s="291"/>
      <c r="GW67" s="291"/>
      <c r="GX67" s="291"/>
      <c r="GY67" s="291"/>
      <c r="GZ67" s="291"/>
      <c r="HA67" s="291"/>
      <c r="HB67" s="291"/>
      <c r="HC67" s="291"/>
      <c r="HD67" s="291"/>
      <c r="HE67" s="291"/>
      <c r="HF67" s="291"/>
      <c r="HG67" s="291"/>
      <c r="HH67" s="291"/>
      <c r="HI67" s="291"/>
      <c r="HJ67" s="291"/>
      <c r="HK67" s="291"/>
      <c r="HL67" s="291"/>
      <c r="HM67" s="291"/>
      <c r="HN67" s="291"/>
      <c r="HO67" s="291"/>
      <c r="HP67" s="291"/>
      <c r="HQ67" s="291"/>
      <c r="HR67" s="291"/>
      <c r="HS67" s="291"/>
      <c r="HT67" s="291"/>
      <c r="HU67" s="291"/>
      <c r="HV67" s="291"/>
      <c r="HW67" s="291"/>
      <c r="HX67" s="291"/>
      <c r="HY67" s="291"/>
      <c r="HZ67" s="291"/>
      <c r="IA67" s="291"/>
      <c r="IB67" s="291"/>
      <c r="IC67" s="291"/>
      <c r="ID67" s="291"/>
      <c r="IE67" s="291"/>
      <c r="IF67" s="291"/>
      <c r="IG67" s="291"/>
      <c r="IH67" s="291"/>
      <c r="II67" s="291"/>
      <c r="IJ67" s="291"/>
      <c r="IK67" s="291"/>
      <c r="IL67" s="291"/>
      <c r="IM67" s="291"/>
      <c r="IN67" s="291"/>
      <c r="IO67" s="291"/>
      <c r="IP67" s="291"/>
      <c r="IQ67" s="291"/>
      <c r="IR67" s="291"/>
      <c r="IS67" s="291"/>
      <c r="IT67" s="291"/>
      <c r="IU67" s="291"/>
      <c r="IV67" s="291"/>
      <c r="IW67" s="291"/>
      <c r="IX67" s="291"/>
      <c r="IY67" s="291"/>
      <c r="IZ67" s="291"/>
      <c r="JA67" s="291"/>
      <c r="JB67" s="291"/>
      <c r="JC67" s="291"/>
      <c r="JD67" s="291"/>
      <c r="JE67" s="291"/>
      <c r="JF67" s="291"/>
      <c r="JG67" s="291"/>
      <c r="JH67" s="291"/>
      <c r="JI67" s="291"/>
      <c r="JJ67" s="291"/>
      <c r="JK67" s="291"/>
      <c r="JL67" s="291"/>
      <c r="JM67" s="291"/>
      <c r="JN67" s="291"/>
      <c r="JO67" s="291"/>
      <c r="JP67" s="291"/>
      <c r="JQ67" s="291"/>
      <c r="JR67" s="291"/>
      <c r="JS67" s="291"/>
      <c r="JT67" s="291"/>
      <c r="JU67" s="291"/>
      <c r="JV67" s="291"/>
      <c r="JW67" s="291"/>
      <c r="JX67" s="291"/>
      <c r="JY67" s="291"/>
      <c r="JZ67" s="291"/>
      <c r="KA67" s="291"/>
      <c r="KB67" s="291"/>
      <c r="KC67" s="291"/>
      <c r="KD67" s="291"/>
      <c r="KE67" s="291"/>
      <c r="KF67" s="291"/>
      <c r="KG67" s="291"/>
      <c r="KH67" s="291"/>
      <c r="KI67" s="291"/>
      <c r="KJ67" s="291"/>
      <c r="KK67" s="291"/>
      <c r="KL67" s="291"/>
      <c r="KM67" s="291"/>
      <c r="KN67" s="291"/>
      <c r="KO67" s="291"/>
      <c r="KP67" s="291"/>
      <c r="KQ67" s="291"/>
      <c r="KR67" s="291"/>
      <c r="KS67" s="291"/>
      <c r="KT67" s="291"/>
      <c r="KU67" s="291"/>
      <c r="KV67" s="291"/>
      <c r="KW67" s="291"/>
      <c r="KX67" s="291"/>
      <c r="KY67" s="291"/>
      <c r="KZ67" s="291"/>
      <c r="LA67" s="291"/>
      <c r="LB67" s="291"/>
      <c r="LC67" s="291"/>
      <c r="LD67" s="291"/>
      <c r="LE67" s="291"/>
      <c r="LF67" s="291"/>
      <c r="LG67" s="291"/>
      <c r="LH67" s="291"/>
      <c r="LI67" s="291"/>
      <c r="LJ67" s="291"/>
      <c r="LK67" s="291"/>
      <c r="LL67" s="291"/>
      <c r="LM67" s="291"/>
      <c r="LN67" s="291"/>
      <c r="LO67" s="291"/>
      <c r="LP67" s="291"/>
      <c r="LQ67" s="291"/>
      <c r="LR67" s="291"/>
      <c r="LS67" s="291"/>
      <c r="LT67" s="291"/>
      <c r="LU67" s="291"/>
      <c r="LV67" s="291"/>
      <c r="LW67" s="291"/>
      <c r="LX67" s="291"/>
      <c r="LY67" s="291"/>
      <c r="LZ67" s="291"/>
      <c r="MA67" s="291"/>
      <c r="MB67" s="291"/>
      <c r="MC67" s="291"/>
      <c r="MD67" s="291"/>
      <c r="ME67" s="291"/>
      <c r="MF67" s="291"/>
      <c r="MG67" s="291"/>
      <c r="MH67" s="291"/>
      <c r="MI67" s="291"/>
      <c r="MJ67" s="291"/>
      <c r="MK67" s="291"/>
      <c r="ML67" s="291"/>
      <c r="MM67" s="291"/>
      <c r="MN67" s="291"/>
      <c r="MO67" s="291"/>
      <c r="MP67" s="291"/>
      <c r="MQ67" s="291"/>
      <c r="MR67" s="291"/>
      <c r="MS67" s="291"/>
      <c r="MT67" s="291"/>
      <c r="MU67" s="291"/>
      <c r="MV67" s="291"/>
      <c r="MW67" s="291"/>
      <c r="MX67" s="291"/>
      <c r="MY67" s="291"/>
      <c r="MZ67" s="291"/>
      <c r="NA67" s="291"/>
      <c r="NB67" s="291"/>
      <c r="NC67" s="291"/>
      <c r="ND67" s="291"/>
      <c r="NE67" s="291"/>
      <c r="NF67" s="291"/>
      <c r="NG67" s="291"/>
      <c r="NH67" s="291"/>
      <c r="NI67" s="291"/>
      <c r="NJ67" s="291"/>
      <c r="NK67" s="291"/>
      <c r="NL67" s="291"/>
      <c r="NM67" s="291"/>
      <c r="NN67" s="291"/>
      <c r="NO67" s="291"/>
      <c r="NP67" s="291"/>
      <c r="NQ67" s="291"/>
      <c r="NR67" s="291"/>
      <c r="NS67" s="291"/>
      <c r="NT67" s="291"/>
      <c r="NU67" s="291"/>
      <c r="NV67" s="291"/>
      <c r="NW67" s="291"/>
      <c r="NX67" s="291"/>
      <c r="NY67" s="291"/>
      <c r="NZ67" s="291"/>
      <c r="OA67" s="291"/>
      <c r="OB67" s="291"/>
      <c r="OC67" s="291"/>
      <c r="OD67" s="291"/>
      <c r="OE67" s="291"/>
      <c r="OF67" s="291"/>
      <c r="OG67" s="291"/>
      <c r="OH67" s="291"/>
      <c r="OI67" s="291"/>
      <c r="OJ67" s="291"/>
      <c r="OK67" s="291"/>
      <c r="OL67" s="291"/>
      <c r="OM67" s="291"/>
      <c r="ON67" s="291"/>
      <c r="OO67" s="291"/>
      <c r="OP67" s="291"/>
      <c r="OQ67" s="291"/>
      <c r="OR67" s="291"/>
      <c r="OS67" s="291"/>
      <c r="OT67" s="291"/>
      <c r="OU67" s="291"/>
      <c r="OV67" s="291"/>
      <c r="OW67" s="291"/>
      <c r="OX67" s="291"/>
      <c r="OY67" s="291"/>
      <c r="OZ67" s="291"/>
      <c r="PA67" s="291"/>
      <c r="PB67" s="291"/>
      <c r="PC67" s="291"/>
      <c r="PD67" s="291"/>
      <c r="PE67" s="291"/>
      <c r="PF67" s="291"/>
      <c r="PG67" s="291"/>
      <c r="PH67" s="291"/>
      <c r="PI67" s="291"/>
      <c r="PJ67" s="291"/>
      <c r="PK67" s="291"/>
      <c r="PL67" s="291"/>
      <c r="PM67" s="291"/>
      <c r="PN67" s="291"/>
      <c r="PO67" s="291"/>
      <c r="PP67" s="291"/>
      <c r="PQ67" s="291"/>
      <c r="PR67" s="291"/>
      <c r="PS67" s="291"/>
      <c r="PT67" s="291"/>
      <c r="PU67" s="291"/>
      <c r="PV67" s="291"/>
      <c r="PW67" s="291"/>
      <c r="PX67" s="291"/>
      <c r="PY67" s="291"/>
      <c r="PZ67" s="291"/>
      <c r="QA67" s="291"/>
      <c r="QB67" s="291"/>
      <c r="QC67" s="291"/>
      <c r="QD67" s="291"/>
      <c r="QE67" s="291"/>
      <c r="QF67" s="291"/>
      <c r="QG67" s="291"/>
      <c r="QH67" s="291"/>
      <c r="QI67" s="291"/>
      <c r="QJ67" s="291"/>
      <c r="QK67" s="291"/>
      <c r="QL67" s="291"/>
      <c r="QM67" s="291"/>
      <c r="QN67" s="291"/>
      <c r="QO67" s="291"/>
      <c r="QP67" s="291"/>
      <c r="QQ67" s="291"/>
      <c r="QR67" s="291"/>
      <c r="QS67" s="291"/>
      <c r="QT67" s="291"/>
      <c r="QU67" s="291"/>
      <c r="QV67" s="291"/>
      <c r="QW67" s="291"/>
      <c r="QX67" s="291"/>
      <c r="QY67" s="291"/>
      <c r="QZ67" s="291"/>
      <c r="RA67" s="291"/>
      <c r="RB67" s="291"/>
      <c r="RC67" s="291"/>
      <c r="RD67" s="291"/>
      <c r="RE67" s="291"/>
      <c r="RF67" s="291"/>
      <c r="RG67" s="291"/>
      <c r="RH67" s="291"/>
      <c r="RI67" s="291"/>
      <c r="RJ67" s="291"/>
      <c r="RK67" s="291"/>
      <c r="RL67" s="291"/>
      <c r="RM67" s="291"/>
      <c r="RN67" s="291"/>
      <c r="RO67" s="291"/>
      <c r="RP67" s="291"/>
      <c r="RQ67" s="291"/>
      <c r="RR67" s="291"/>
      <c r="RS67" s="291"/>
      <c r="RT67" s="291"/>
      <c r="RU67" s="291"/>
      <c r="RV67" s="291"/>
      <c r="RW67" s="291"/>
      <c r="RX67" s="291"/>
      <c r="RY67" s="291"/>
      <c r="RZ67" s="291"/>
      <c r="SA67" s="291"/>
      <c r="SB67" s="291"/>
      <c r="SC67" s="291"/>
      <c r="SD67" s="291"/>
      <c r="SE67" s="291"/>
      <c r="SF67" s="291"/>
      <c r="SG67" s="291"/>
      <c r="SH67" s="291"/>
      <c r="SI67" s="291"/>
      <c r="SJ67" s="291"/>
      <c r="SK67" s="291"/>
      <c r="SL67" s="291"/>
      <c r="SM67" s="291"/>
      <c r="SN67" s="291"/>
      <c r="SO67" s="291"/>
      <c r="SP67" s="291"/>
      <c r="SQ67" s="291"/>
      <c r="SR67" s="291"/>
      <c r="SS67" s="291"/>
      <c r="ST67" s="291"/>
      <c r="SU67" s="291"/>
      <c r="SV67" s="291"/>
      <c r="SW67" s="291"/>
      <c r="SX67" s="291"/>
      <c r="SY67" s="291"/>
      <c r="SZ67" s="291"/>
      <c r="TA67" s="291"/>
      <c r="TB67" s="291"/>
      <c r="TC67" s="291"/>
      <c r="TD67" s="291"/>
      <c r="TE67" s="291"/>
      <c r="TF67" s="291"/>
      <c r="TG67" s="291"/>
      <c r="TH67" s="291"/>
      <c r="TI67" s="291"/>
      <c r="TJ67" s="291"/>
      <c r="TK67" s="291"/>
      <c r="TL67" s="291"/>
      <c r="TM67" s="291"/>
      <c r="TN67" s="291"/>
      <c r="TO67" s="291"/>
      <c r="TP67" s="291"/>
      <c r="TQ67" s="291"/>
      <c r="TR67" s="291"/>
    </row>
    <row r="68" spans="1:538" x14ac:dyDescent="0.25">
      <c r="A68" s="505"/>
      <c r="B68" s="296" t="s">
        <v>457</v>
      </c>
      <c r="C68" s="505"/>
      <c r="D68" s="434">
        <v>0</v>
      </c>
      <c r="E68" s="301">
        <v>0</v>
      </c>
      <c r="F68" s="1433"/>
      <c r="G68" s="1434"/>
      <c r="H68" s="1434"/>
      <c r="I68" s="1434"/>
      <c r="J68" s="1434"/>
      <c r="K68" s="477">
        <f>D68*E68</f>
        <v>0</v>
      </c>
      <c r="L68" s="434">
        <v>0</v>
      </c>
      <c r="M68" s="356">
        <v>0</v>
      </c>
      <c r="N68" s="328"/>
      <c r="O68" s="308"/>
      <c r="P68" s="308"/>
      <c r="Q68" s="308"/>
      <c r="R68" s="329"/>
      <c r="S68" s="300">
        <f>L68*M68</f>
        <v>0</v>
      </c>
      <c r="T68" s="434">
        <v>0</v>
      </c>
      <c r="U68" s="356">
        <v>0</v>
      </c>
      <c r="V68" s="328"/>
      <c r="W68" s="308"/>
      <c r="X68" s="308"/>
      <c r="Y68" s="308"/>
      <c r="Z68" s="329"/>
      <c r="AA68" s="300">
        <f>T68*U68</f>
        <v>0</v>
      </c>
      <c r="AB68" s="434">
        <v>0</v>
      </c>
      <c r="AC68" s="356">
        <v>0</v>
      </c>
      <c r="AD68" s="1433"/>
      <c r="AE68" s="1434"/>
      <c r="AF68" s="1434"/>
      <c r="AG68" s="1434"/>
      <c r="AH68" s="1437"/>
      <c r="AI68" s="300">
        <f>AB68*AC68</f>
        <v>0</v>
      </c>
      <c r="AJ68" s="434">
        <v>0</v>
      </c>
      <c r="AK68" s="356">
        <v>0</v>
      </c>
      <c r="AL68" s="328"/>
      <c r="AM68" s="308"/>
      <c r="AN68" s="308"/>
      <c r="AO68" s="308"/>
      <c r="AP68" s="329"/>
      <c r="AQ68" s="300">
        <f>AJ68*AK68</f>
        <v>0</v>
      </c>
      <c r="AR68" s="434">
        <v>0</v>
      </c>
      <c r="AS68" s="356">
        <v>0</v>
      </c>
      <c r="AT68" s="1433"/>
      <c r="AU68" s="1434"/>
      <c r="AV68" s="1434"/>
      <c r="AW68" s="1434"/>
      <c r="AX68" s="1437"/>
      <c r="AY68" s="460">
        <f>AR68*AS68</f>
        <v>0</v>
      </c>
      <c r="AZ68" s="1439"/>
      <c r="BA68" s="461">
        <f t="shared" ref="BA68:BA73" si="27">K68+S68+AA68+AI68+AQ68+AY68</f>
        <v>0</v>
      </c>
    </row>
    <row r="69" spans="1:538" x14ac:dyDescent="0.25">
      <c r="A69" s="505"/>
      <c r="B69" s="296" t="s">
        <v>458</v>
      </c>
      <c r="C69" s="505"/>
      <c r="D69" s="434">
        <v>0</v>
      </c>
      <c r="E69" s="356">
        <v>0</v>
      </c>
      <c r="F69" s="1435"/>
      <c r="G69" s="1436"/>
      <c r="H69" s="1436"/>
      <c r="I69" s="1436"/>
      <c r="J69" s="1436"/>
      <c r="K69" s="477">
        <f>D69*E69</f>
        <v>0</v>
      </c>
      <c r="L69" s="434">
        <v>0</v>
      </c>
      <c r="M69" s="356">
        <v>0</v>
      </c>
      <c r="N69" s="295"/>
      <c r="O69" s="330"/>
      <c r="P69" s="330"/>
      <c r="Q69" s="330"/>
      <c r="R69" s="331"/>
      <c r="S69" s="300">
        <f>L69*M69</f>
        <v>0</v>
      </c>
      <c r="T69" s="436">
        <v>0</v>
      </c>
      <c r="U69" s="356">
        <v>0</v>
      </c>
      <c r="V69" s="328"/>
      <c r="W69" s="308"/>
      <c r="X69" s="308"/>
      <c r="Y69" s="308"/>
      <c r="Z69" s="329"/>
      <c r="AA69" s="300">
        <f>T69*U69</f>
        <v>0</v>
      </c>
      <c r="AB69" s="434">
        <v>0</v>
      </c>
      <c r="AC69" s="356">
        <v>0</v>
      </c>
      <c r="AD69" s="1435"/>
      <c r="AE69" s="1436"/>
      <c r="AF69" s="1436"/>
      <c r="AG69" s="1436"/>
      <c r="AH69" s="1438"/>
      <c r="AI69" s="300">
        <f>AB69*AC69</f>
        <v>0</v>
      </c>
      <c r="AJ69" s="434">
        <v>0</v>
      </c>
      <c r="AK69" s="356">
        <v>0</v>
      </c>
      <c r="AL69" s="295"/>
      <c r="AM69" s="330"/>
      <c r="AN69" s="330"/>
      <c r="AO69" s="330"/>
      <c r="AP69" s="331"/>
      <c r="AQ69" s="300">
        <f>AJ69*AK69</f>
        <v>0</v>
      </c>
      <c r="AR69" s="434">
        <v>0</v>
      </c>
      <c r="AS69" s="356">
        <v>0</v>
      </c>
      <c r="AT69" s="1435"/>
      <c r="AU69" s="1436"/>
      <c r="AV69" s="1436"/>
      <c r="AW69" s="1436"/>
      <c r="AX69" s="1438"/>
      <c r="AY69" s="406">
        <f>AR69*AS69</f>
        <v>0</v>
      </c>
      <c r="AZ69" s="1440"/>
      <c r="BA69" s="431">
        <f t="shared" si="27"/>
        <v>0</v>
      </c>
    </row>
    <row r="70" spans="1:538" s="396" customFormat="1" x14ac:dyDescent="0.25">
      <c r="A70" s="1426" t="s">
        <v>264</v>
      </c>
      <c r="B70" s="1426"/>
      <c r="C70" s="1426"/>
      <c r="D70" s="1416"/>
      <c r="E70" s="1416"/>
      <c r="F70" s="1416"/>
      <c r="G70" s="1416"/>
      <c r="H70" s="1416"/>
      <c r="I70" s="1416"/>
      <c r="J70" s="1416"/>
      <c r="K70" s="501">
        <f>SUM(K67:K69)</f>
        <v>0</v>
      </c>
      <c r="L70" s="1416"/>
      <c r="M70" s="1416"/>
      <c r="N70" s="1416"/>
      <c r="O70" s="1416"/>
      <c r="P70" s="1416"/>
      <c r="Q70" s="1416"/>
      <c r="R70" s="1417"/>
      <c r="S70" s="419">
        <f>SUM(S68:S69)</f>
        <v>0</v>
      </c>
      <c r="T70" s="1427"/>
      <c r="U70" s="1416"/>
      <c r="V70" s="1416"/>
      <c r="W70" s="1416"/>
      <c r="X70" s="1416"/>
      <c r="Y70" s="1416"/>
      <c r="Z70" s="1428"/>
      <c r="AA70" s="365">
        <f>SUM(AA68:AA69)</f>
        <v>0</v>
      </c>
      <c r="AB70" s="1415"/>
      <c r="AC70" s="1416"/>
      <c r="AD70" s="1416"/>
      <c r="AE70" s="1416"/>
      <c r="AF70" s="1416"/>
      <c r="AG70" s="1416"/>
      <c r="AH70" s="1417"/>
      <c r="AI70" s="364">
        <f>SUM(AI68:AI69)</f>
        <v>0</v>
      </c>
      <c r="AJ70" s="1415"/>
      <c r="AK70" s="1416"/>
      <c r="AL70" s="1416"/>
      <c r="AM70" s="1416"/>
      <c r="AN70" s="1416"/>
      <c r="AO70" s="1416"/>
      <c r="AP70" s="1417"/>
      <c r="AQ70" s="364">
        <f>SUM(AQ68:AQ69)</f>
        <v>0</v>
      </c>
      <c r="AR70" s="1418"/>
      <c r="AS70" s="1419"/>
      <c r="AT70" s="1419"/>
      <c r="AU70" s="1419"/>
      <c r="AV70" s="1419"/>
      <c r="AW70" s="1419"/>
      <c r="AX70" s="1420"/>
      <c r="AY70" s="419">
        <f>SUM(AY68:AY69)</f>
        <v>0</v>
      </c>
      <c r="AZ70" s="453"/>
      <c r="BA70" s="395">
        <f t="shared" si="27"/>
        <v>0</v>
      </c>
      <c r="BB70" s="291"/>
      <c r="BC70" s="291"/>
      <c r="BD70" s="291"/>
      <c r="BE70" s="291"/>
      <c r="BF70" s="291"/>
      <c r="BG70" s="291"/>
      <c r="BH70" s="291"/>
      <c r="BI70" s="291"/>
      <c r="BJ70" s="291"/>
      <c r="BK70" s="291"/>
      <c r="BL70" s="291"/>
      <c r="BM70" s="291"/>
      <c r="BN70" s="291"/>
      <c r="BO70" s="291"/>
      <c r="BP70" s="291"/>
      <c r="BQ70" s="291"/>
      <c r="BR70" s="291"/>
      <c r="BS70" s="291"/>
      <c r="BT70" s="291"/>
      <c r="BU70" s="291"/>
      <c r="BV70" s="291"/>
      <c r="BW70" s="291"/>
      <c r="BX70" s="291"/>
      <c r="BY70" s="291"/>
      <c r="BZ70" s="291"/>
      <c r="CA70" s="291"/>
      <c r="CB70" s="291"/>
      <c r="CC70" s="291"/>
      <c r="CD70" s="291"/>
      <c r="CE70" s="291"/>
      <c r="CF70" s="291"/>
      <c r="CG70" s="291"/>
      <c r="CH70" s="291"/>
      <c r="CI70" s="291"/>
      <c r="CJ70" s="291"/>
      <c r="CK70" s="291"/>
      <c r="CL70" s="291"/>
      <c r="CM70" s="291"/>
      <c r="CN70" s="291"/>
      <c r="CO70" s="291"/>
      <c r="CP70" s="291"/>
      <c r="CQ70" s="291"/>
      <c r="CR70" s="291"/>
      <c r="CS70" s="291"/>
      <c r="CT70" s="291"/>
      <c r="CU70" s="291"/>
      <c r="CV70" s="291"/>
      <c r="CW70" s="291"/>
      <c r="CX70" s="291"/>
      <c r="CY70" s="291"/>
      <c r="CZ70" s="291"/>
      <c r="DA70" s="291"/>
      <c r="DB70" s="291"/>
      <c r="DC70" s="291"/>
      <c r="DD70" s="291"/>
      <c r="DE70" s="291"/>
      <c r="DF70" s="291"/>
      <c r="DG70" s="291"/>
      <c r="DH70" s="291"/>
      <c r="DI70" s="291"/>
      <c r="DJ70" s="291"/>
      <c r="DK70" s="291"/>
      <c r="DL70" s="291"/>
      <c r="DM70" s="291"/>
      <c r="DN70" s="291"/>
      <c r="DO70" s="291"/>
      <c r="DP70" s="291"/>
      <c r="DQ70" s="291"/>
      <c r="DR70" s="291"/>
      <c r="DS70" s="291"/>
      <c r="DT70" s="291"/>
      <c r="DU70" s="291"/>
      <c r="DV70" s="291"/>
      <c r="DW70" s="291"/>
      <c r="DX70" s="291"/>
      <c r="DY70" s="291"/>
      <c r="DZ70" s="291"/>
      <c r="EA70" s="291"/>
      <c r="EB70" s="291"/>
      <c r="EC70" s="291"/>
      <c r="ED70" s="291"/>
      <c r="EE70" s="291"/>
      <c r="EF70" s="291"/>
      <c r="EG70" s="291"/>
      <c r="EH70" s="291"/>
      <c r="EI70" s="291"/>
      <c r="EJ70" s="291"/>
      <c r="EK70" s="291"/>
      <c r="EL70" s="291"/>
      <c r="EM70" s="291"/>
      <c r="EN70" s="291"/>
      <c r="EO70" s="291"/>
      <c r="EP70" s="291"/>
      <c r="EQ70" s="291"/>
      <c r="ER70" s="291"/>
      <c r="ES70" s="291"/>
      <c r="ET70" s="291"/>
      <c r="EU70" s="291"/>
      <c r="EV70" s="291"/>
      <c r="EW70" s="291"/>
      <c r="EX70" s="291"/>
      <c r="EY70" s="291"/>
      <c r="EZ70" s="291"/>
      <c r="FA70" s="291"/>
      <c r="FB70" s="291"/>
      <c r="FC70" s="291"/>
      <c r="FD70" s="291"/>
      <c r="FE70" s="291"/>
      <c r="FF70" s="291"/>
      <c r="FG70" s="291"/>
      <c r="FH70" s="291"/>
      <c r="FI70" s="291"/>
      <c r="FJ70" s="291"/>
      <c r="FK70" s="291"/>
      <c r="FL70" s="291"/>
      <c r="FM70" s="291"/>
      <c r="FN70" s="291"/>
      <c r="FO70" s="291"/>
      <c r="FP70" s="291"/>
      <c r="FQ70" s="291"/>
      <c r="FR70" s="291"/>
      <c r="FS70" s="291"/>
      <c r="FT70" s="291"/>
      <c r="FU70" s="291"/>
      <c r="FV70" s="291"/>
      <c r="FW70" s="291"/>
      <c r="FX70" s="291"/>
      <c r="FY70" s="291"/>
      <c r="FZ70" s="291"/>
      <c r="GA70" s="291"/>
      <c r="GB70" s="291"/>
      <c r="GC70" s="291"/>
      <c r="GD70" s="291"/>
      <c r="GE70" s="291"/>
      <c r="GF70" s="291"/>
      <c r="GG70" s="291"/>
      <c r="GH70" s="291"/>
      <c r="GI70" s="291"/>
      <c r="GJ70" s="291"/>
      <c r="GK70" s="291"/>
      <c r="GL70" s="291"/>
      <c r="GM70" s="291"/>
      <c r="GN70" s="291"/>
      <c r="GO70" s="291"/>
      <c r="GP70" s="291"/>
      <c r="GQ70" s="291"/>
      <c r="GR70" s="291"/>
      <c r="GS70" s="291"/>
      <c r="GT70" s="291"/>
      <c r="GU70" s="291"/>
      <c r="GV70" s="291"/>
      <c r="GW70" s="291"/>
      <c r="GX70" s="291"/>
      <c r="GY70" s="291"/>
      <c r="GZ70" s="291"/>
      <c r="HA70" s="291"/>
      <c r="HB70" s="291"/>
      <c r="HC70" s="291"/>
      <c r="HD70" s="291"/>
      <c r="HE70" s="291"/>
      <c r="HF70" s="291"/>
      <c r="HG70" s="291"/>
      <c r="HH70" s="291"/>
      <c r="HI70" s="291"/>
      <c r="HJ70" s="291"/>
      <c r="HK70" s="291"/>
      <c r="HL70" s="291"/>
      <c r="HM70" s="291"/>
      <c r="HN70" s="291"/>
      <c r="HO70" s="291"/>
      <c r="HP70" s="291"/>
      <c r="HQ70" s="291"/>
      <c r="HR70" s="291"/>
      <c r="HS70" s="291"/>
      <c r="HT70" s="291"/>
      <c r="HU70" s="291"/>
      <c r="HV70" s="291"/>
      <c r="HW70" s="291"/>
      <c r="HX70" s="291"/>
      <c r="HY70" s="291"/>
      <c r="HZ70" s="291"/>
      <c r="IA70" s="291"/>
      <c r="IB70" s="291"/>
      <c r="IC70" s="291"/>
      <c r="ID70" s="291"/>
      <c r="IE70" s="291"/>
      <c r="IF70" s="291"/>
      <c r="IG70" s="291"/>
      <c r="IH70" s="291"/>
      <c r="II70" s="291"/>
      <c r="IJ70" s="291"/>
      <c r="IK70" s="291"/>
      <c r="IL70" s="291"/>
      <c r="IM70" s="291"/>
      <c r="IN70" s="291"/>
      <c r="IO70" s="291"/>
      <c r="IP70" s="291"/>
      <c r="IQ70" s="291"/>
      <c r="IR70" s="291"/>
      <c r="IS70" s="291"/>
      <c r="IT70" s="291"/>
      <c r="IU70" s="291"/>
      <c r="IV70" s="291"/>
      <c r="IW70" s="291"/>
      <c r="IX70" s="291"/>
      <c r="IY70" s="291"/>
      <c r="IZ70" s="291"/>
      <c r="JA70" s="291"/>
      <c r="JB70" s="291"/>
      <c r="JC70" s="291"/>
      <c r="JD70" s="291"/>
      <c r="JE70" s="291"/>
      <c r="JF70" s="291"/>
      <c r="JG70" s="291"/>
      <c r="JH70" s="291"/>
      <c r="JI70" s="291"/>
      <c r="JJ70" s="291"/>
      <c r="JK70" s="291"/>
      <c r="JL70" s="291"/>
      <c r="JM70" s="291"/>
      <c r="JN70" s="291"/>
      <c r="JO70" s="291"/>
      <c r="JP70" s="291"/>
      <c r="JQ70" s="291"/>
      <c r="JR70" s="291"/>
      <c r="JS70" s="291"/>
      <c r="JT70" s="291"/>
      <c r="JU70" s="291"/>
      <c r="JV70" s="291"/>
      <c r="JW70" s="291"/>
      <c r="JX70" s="291"/>
      <c r="JY70" s="291"/>
      <c r="JZ70" s="291"/>
      <c r="KA70" s="291"/>
      <c r="KB70" s="291"/>
      <c r="KC70" s="291"/>
      <c r="KD70" s="291"/>
      <c r="KE70" s="291"/>
      <c r="KF70" s="291"/>
      <c r="KG70" s="291"/>
      <c r="KH70" s="291"/>
      <c r="KI70" s="291"/>
      <c r="KJ70" s="291"/>
      <c r="KK70" s="291"/>
      <c r="KL70" s="291"/>
      <c r="KM70" s="291"/>
      <c r="KN70" s="291"/>
      <c r="KO70" s="291"/>
      <c r="KP70" s="291"/>
      <c r="KQ70" s="291"/>
      <c r="KR70" s="291"/>
      <c r="KS70" s="291"/>
      <c r="KT70" s="291"/>
      <c r="KU70" s="291"/>
      <c r="KV70" s="291"/>
      <c r="KW70" s="291"/>
      <c r="KX70" s="291"/>
      <c r="KY70" s="291"/>
      <c r="KZ70" s="291"/>
      <c r="LA70" s="291"/>
      <c r="LB70" s="291"/>
      <c r="LC70" s="291"/>
      <c r="LD70" s="291"/>
      <c r="LE70" s="291"/>
      <c r="LF70" s="291"/>
      <c r="LG70" s="291"/>
      <c r="LH70" s="291"/>
      <c r="LI70" s="291"/>
      <c r="LJ70" s="291"/>
      <c r="LK70" s="291"/>
      <c r="LL70" s="291"/>
      <c r="LM70" s="291"/>
      <c r="LN70" s="291"/>
      <c r="LO70" s="291"/>
      <c r="LP70" s="291"/>
      <c r="LQ70" s="291"/>
      <c r="LR70" s="291"/>
      <c r="LS70" s="291"/>
      <c r="LT70" s="291"/>
      <c r="LU70" s="291"/>
      <c r="LV70" s="291"/>
      <c r="LW70" s="291"/>
      <c r="LX70" s="291"/>
      <c r="LY70" s="291"/>
      <c r="LZ70" s="291"/>
      <c r="MA70" s="291"/>
      <c r="MB70" s="291"/>
      <c r="MC70" s="291"/>
      <c r="MD70" s="291"/>
      <c r="ME70" s="291"/>
      <c r="MF70" s="291"/>
      <c r="MG70" s="291"/>
      <c r="MH70" s="291"/>
      <c r="MI70" s="291"/>
      <c r="MJ70" s="291"/>
      <c r="MK70" s="291"/>
      <c r="ML70" s="291"/>
      <c r="MM70" s="291"/>
      <c r="MN70" s="291"/>
      <c r="MO70" s="291"/>
      <c r="MP70" s="291"/>
      <c r="MQ70" s="291"/>
      <c r="MR70" s="291"/>
      <c r="MS70" s="291"/>
      <c r="MT70" s="291"/>
      <c r="MU70" s="291"/>
      <c r="MV70" s="291"/>
      <c r="MW70" s="291"/>
      <c r="MX70" s="291"/>
      <c r="MY70" s="291"/>
      <c r="MZ70" s="291"/>
      <c r="NA70" s="291"/>
      <c r="NB70" s="291"/>
      <c r="NC70" s="291"/>
      <c r="ND70" s="291"/>
      <c r="NE70" s="291"/>
      <c r="NF70" s="291"/>
      <c r="NG70" s="291"/>
      <c r="NH70" s="291"/>
      <c r="NI70" s="291"/>
      <c r="NJ70" s="291"/>
      <c r="NK70" s="291"/>
      <c r="NL70" s="291"/>
      <c r="NM70" s="291"/>
      <c r="NN70" s="291"/>
      <c r="NO70" s="291"/>
      <c r="NP70" s="291"/>
      <c r="NQ70" s="291"/>
      <c r="NR70" s="291"/>
      <c r="NS70" s="291"/>
      <c r="NT70" s="291"/>
      <c r="NU70" s="291"/>
      <c r="NV70" s="291"/>
      <c r="NW70" s="291"/>
      <c r="NX70" s="291"/>
      <c r="NY70" s="291"/>
      <c r="NZ70" s="291"/>
      <c r="OA70" s="291"/>
      <c r="OB70" s="291"/>
      <c r="OC70" s="291"/>
      <c r="OD70" s="291"/>
      <c r="OE70" s="291"/>
      <c r="OF70" s="291"/>
      <c r="OG70" s="291"/>
      <c r="OH70" s="291"/>
      <c r="OI70" s="291"/>
      <c r="OJ70" s="291"/>
      <c r="OK70" s="291"/>
      <c r="OL70" s="291"/>
      <c r="OM70" s="291"/>
      <c r="ON70" s="291"/>
      <c r="OO70" s="291"/>
      <c r="OP70" s="291"/>
      <c r="OQ70" s="291"/>
      <c r="OR70" s="291"/>
      <c r="OS70" s="291"/>
      <c r="OT70" s="291"/>
      <c r="OU70" s="291"/>
      <c r="OV70" s="291"/>
      <c r="OW70" s="291"/>
      <c r="OX70" s="291"/>
      <c r="OY70" s="291"/>
      <c r="OZ70" s="291"/>
      <c r="PA70" s="291"/>
      <c r="PB70" s="291"/>
      <c r="PC70" s="291"/>
      <c r="PD70" s="291"/>
      <c r="PE70" s="291"/>
      <c r="PF70" s="291"/>
      <c r="PG70" s="291"/>
      <c r="PH70" s="291"/>
      <c r="PI70" s="291"/>
      <c r="PJ70" s="291"/>
      <c r="PK70" s="291"/>
      <c r="PL70" s="291"/>
      <c r="PM70" s="291"/>
      <c r="PN70" s="291"/>
      <c r="PO70" s="291"/>
      <c r="PP70" s="291"/>
      <c r="PQ70" s="291"/>
      <c r="PR70" s="291"/>
      <c r="PS70" s="291"/>
      <c r="PT70" s="291"/>
      <c r="PU70" s="291"/>
      <c r="PV70" s="291"/>
      <c r="PW70" s="291"/>
      <c r="PX70" s="291"/>
      <c r="PY70" s="291"/>
      <c r="PZ70" s="291"/>
      <c r="QA70" s="291"/>
      <c r="QB70" s="291"/>
      <c r="QC70" s="291"/>
      <c r="QD70" s="291"/>
      <c r="QE70" s="291"/>
      <c r="QF70" s="291"/>
      <c r="QG70" s="291"/>
      <c r="QH70" s="291"/>
      <c r="QI70" s="291"/>
      <c r="QJ70" s="291"/>
      <c r="QK70" s="291"/>
      <c r="QL70" s="291"/>
      <c r="QM70" s="291"/>
      <c r="QN70" s="291"/>
      <c r="QO70" s="291"/>
      <c r="QP70" s="291"/>
      <c r="QQ70" s="291"/>
      <c r="QR70" s="291"/>
      <c r="QS70" s="291"/>
      <c r="QT70" s="291"/>
      <c r="QU70" s="291"/>
      <c r="QV70" s="291"/>
      <c r="QW70" s="291"/>
      <c r="QX70" s="291"/>
      <c r="QY70" s="291"/>
      <c r="QZ70" s="291"/>
      <c r="RA70" s="291"/>
      <c r="RB70" s="291"/>
      <c r="RC70" s="291"/>
      <c r="RD70" s="291"/>
      <c r="RE70" s="291"/>
      <c r="RF70" s="291"/>
      <c r="RG70" s="291"/>
      <c r="RH70" s="291"/>
      <c r="RI70" s="291"/>
      <c r="RJ70" s="291"/>
      <c r="RK70" s="291"/>
      <c r="RL70" s="291"/>
      <c r="RM70" s="291"/>
      <c r="RN70" s="291"/>
      <c r="RO70" s="291"/>
      <c r="RP70" s="291"/>
      <c r="RQ70" s="291"/>
      <c r="RR70" s="291"/>
      <c r="RS70" s="291"/>
      <c r="RT70" s="291"/>
      <c r="RU70" s="291"/>
      <c r="RV70" s="291"/>
      <c r="RW70" s="291"/>
      <c r="RX70" s="291"/>
      <c r="RY70" s="291"/>
      <c r="RZ70" s="291"/>
      <c r="SA70" s="291"/>
      <c r="SB70" s="291"/>
      <c r="SC70" s="291"/>
      <c r="SD70" s="291"/>
      <c r="SE70" s="291"/>
      <c r="SF70" s="291"/>
      <c r="SG70" s="291"/>
      <c r="SH70" s="291"/>
      <c r="SI70" s="291"/>
      <c r="SJ70" s="291"/>
      <c r="SK70" s="291"/>
      <c r="SL70" s="291"/>
      <c r="SM70" s="291"/>
      <c r="SN70" s="291"/>
      <c r="SO70" s="291"/>
      <c r="SP70" s="291"/>
      <c r="SQ70" s="291"/>
      <c r="SR70" s="291"/>
      <c r="SS70" s="291"/>
      <c r="ST70" s="291"/>
      <c r="SU70" s="291"/>
      <c r="SV70" s="291"/>
      <c r="SW70" s="291"/>
      <c r="SX70" s="291"/>
      <c r="SY70" s="291"/>
      <c r="SZ70" s="291"/>
      <c r="TA70" s="291"/>
      <c r="TB70" s="291"/>
      <c r="TC70" s="291"/>
      <c r="TD70" s="291"/>
      <c r="TE70" s="291"/>
      <c r="TF70" s="291"/>
      <c r="TG70" s="291"/>
      <c r="TH70" s="291"/>
      <c r="TI70" s="291"/>
      <c r="TJ70" s="291"/>
      <c r="TK70" s="291"/>
      <c r="TL70" s="291"/>
      <c r="TM70" s="291"/>
      <c r="TN70" s="291"/>
      <c r="TO70" s="291"/>
      <c r="TP70" s="291"/>
      <c r="TQ70" s="291"/>
      <c r="TR70" s="291"/>
    </row>
    <row r="71" spans="1:538" x14ac:dyDescent="0.25">
      <c r="A71" s="1421" t="s">
        <v>459</v>
      </c>
      <c r="B71" s="1421"/>
      <c r="C71" s="1421"/>
      <c r="D71" s="1422"/>
      <c r="E71" s="1422"/>
      <c r="F71" s="1422"/>
      <c r="G71" s="1422"/>
      <c r="H71" s="1422"/>
      <c r="I71" s="1422"/>
      <c r="J71" s="1422"/>
      <c r="K71" s="502" t="e">
        <f>K66+K70</f>
        <v>#REF!</v>
      </c>
      <c r="L71" s="1423"/>
      <c r="M71" s="1423"/>
      <c r="N71" s="1423"/>
      <c r="O71" s="1423"/>
      <c r="P71" s="1423"/>
      <c r="Q71" s="1423"/>
      <c r="R71" s="1423"/>
      <c r="S71" s="508" t="e">
        <f>S66+S70</f>
        <v>#REF!</v>
      </c>
      <c r="T71" s="1424"/>
      <c r="U71" s="1422"/>
      <c r="V71" s="1422"/>
      <c r="W71" s="1422"/>
      <c r="X71" s="1422"/>
      <c r="Y71" s="1422"/>
      <c r="Z71" s="1425"/>
      <c r="AA71" s="305" t="e">
        <f>AA66+AA70</f>
        <v>#REF!</v>
      </c>
      <c r="AB71" s="1424"/>
      <c r="AC71" s="1422"/>
      <c r="AD71" s="1422"/>
      <c r="AE71" s="1422"/>
      <c r="AF71" s="1422"/>
      <c r="AG71" s="1422"/>
      <c r="AH71" s="1425"/>
      <c r="AI71" s="305" t="e">
        <f>AI66+AI70</f>
        <v>#REF!</v>
      </c>
      <c r="AJ71" s="1424"/>
      <c r="AK71" s="1422"/>
      <c r="AL71" s="1422"/>
      <c r="AM71" s="1422"/>
      <c r="AN71" s="1422"/>
      <c r="AO71" s="1422"/>
      <c r="AP71" s="1425"/>
      <c r="AQ71" s="305" t="e">
        <f>AQ66+AQ70</f>
        <v>#REF!</v>
      </c>
      <c r="AR71" s="1424"/>
      <c r="AS71" s="1422"/>
      <c r="AT71" s="1422"/>
      <c r="AU71" s="1422"/>
      <c r="AV71" s="1422"/>
      <c r="AW71" s="1422"/>
      <c r="AX71" s="1425"/>
      <c r="AY71" s="444" t="e">
        <f>AY66+AY70</f>
        <v>#REF!</v>
      </c>
      <c r="AZ71" s="466"/>
      <c r="BA71" s="306" t="e">
        <f t="shared" si="27"/>
        <v>#REF!</v>
      </c>
    </row>
    <row r="72" spans="1:538" s="405" customFormat="1" ht="20.149999999999999" customHeight="1" thickBot="1" x14ac:dyDescent="0.3">
      <c r="A72" s="1409" t="s">
        <v>460</v>
      </c>
      <c r="B72" s="1409"/>
      <c r="C72" s="506" t="s">
        <v>461</v>
      </c>
      <c r="D72" s="401" t="e">
        <f>K66</f>
        <v>#REF!</v>
      </c>
      <c r="E72" s="433">
        <v>0.06</v>
      </c>
      <c r="F72" s="1410"/>
      <c r="G72" s="1411"/>
      <c r="H72" s="1411"/>
      <c r="I72" s="1411"/>
      <c r="J72" s="1411"/>
      <c r="K72" s="475" t="e">
        <f>D72*E72</f>
        <v>#REF!</v>
      </c>
      <c r="L72" s="509" t="e">
        <f>S66</f>
        <v>#REF!</v>
      </c>
      <c r="M72" s="510">
        <v>0.06</v>
      </c>
      <c r="N72" s="1412"/>
      <c r="O72" s="1413"/>
      <c r="P72" s="1413"/>
      <c r="Q72" s="1413"/>
      <c r="R72" s="1414"/>
      <c r="S72" s="411" t="e">
        <f>L72*M72</f>
        <v>#REF!</v>
      </c>
      <c r="T72" s="402" t="e">
        <f>AA66</f>
        <v>#REF!</v>
      </c>
      <c r="U72" s="356">
        <v>0.06</v>
      </c>
      <c r="V72" s="1398"/>
      <c r="W72" s="1399"/>
      <c r="X72" s="1399"/>
      <c r="Y72" s="1399"/>
      <c r="Z72" s="1400"/>
      <c r="AA72" s="366" t="e">
        <f>T72*U72</f>
        <v>#REF!</v>
      </c>
      <c r="AB72" s="402" t="e">
        <f>AI66</f>
        <v>#REF!</v>
      </c>
      <c r="AC72" s="356">
        <v>0.06</v>
      </c>
      <c r="AD72" s="1398"/>
      <c r="AE72" s="1399"/>
      <c r="AF72" s="1399"/>
      <c r="AG72" s="1399"/>
      <c r="AH72" s="1400"/>
      <c r="AI72" s="366" t="e">
        <f>AB72*AC72</f>
        <v>#REF!</v>
      </c>
      <c r="AJ72" s="402" t="e">
        <f>AQ66</f>
        <v>#REF!</v>
      </c>
      <c r="AK72" s="356">
        <v>0.06</v>
      </c>
      <c r="AL72" s="1398"/>
      <c r="AM72" s="1399"/>
      <c r="AN72" s="1399"/>
      <c r="AO72" s="1399"/>
      <c r="AP72" s="1400"/>
      <c r="AQ72" s="366" t="e">
        <f>AJ72*AK72</f>
        <v>#REF!</v>
      </c>
      <c r="AR72" s="403" t="e">
        <f>AY66</f>
        <v>#REF!</v>
      </c>
      <c r="AS72" s="356">
        <v>0.06</v>
      </c>
      <c r="AT72" s="1401"/>
      <c r="AU72" s="1402"/>
      <c r="AV72" s="1402"/>
      <c r="AW72" s="1402"/>
      <c r="AX72" s="1403"/>
      <c r="AY72" s="451" t="e">
        <f>AR72*AS72</f>
        <v>#REF!</v>
      </c>
      <c r="AZ72" s="452"/>
      <c r="BA72" s="404" t="e">
        <f t="shared" si="27"/>
        <v>#REF!</v>
      </c>
      <c r="BB72" s="291"/>
      <c r="BC72" s="291"/>
      <c r="BD72" s="291"/>
      <c r="BE72" s="291"/>
      <c r="BF72" s="291"/>
      <c r="BG72" s="291"/>
      <c r="BH72" s="291"/>
      <c r="BI72" s="291"/>
      <c r="BJ72" s="291"/>
      <c r="BK72" s="291"/>
      <c r="BL72" s="291"/>
      <c r="BM72" s="291"/>
      <c r="BN72" s="291"/>
      <c r="BO72" s="291"/>
      <c r="BP72" s="291"/>
      <c r="BQ72" s="291"/>
      <c r="BR72" s="291"/>
      <c r="BS72" s="291"/>
      <c r="BT72" s="291"/>
      <c r="BU72" s="291"/>
      <c r="BV72" s="291"/>
      <c r="BW72" s="291"/>
      <c r="BX72" s="291"/>
      <c r="BY72" s="291"/>
      <c r="BZ72" s="291"/>
      <c r="CA72" s="291"/>
      <c r="CB72" s="291"/>
      <c r="CC72" s="291"/>
      <c r="CD72" s="291"/>
      <c r="CE72" s="291"/>
      <c r="CF72" s="291"/>
      <c r="CG72" s="291"/>
      <c r="CH72" s="291"/>
      <c r="CI72" s="291"/>
      <c r="CJ72" s="291"/>
      <c r="CK72" s="291"/>
      <c r="CL72" s="291"/>
      <c r="CM72" s="291"/>
      <c r="CN72" s="291"/>
      <c r="CO72" s="291"/>
      <c r="CP72" s="291"/>
      <c r="CQ72" s="291"/>
      <c r="CR72" s="291"/>
      <c r="CS72" s="291"/>
      <c r="CT72" s="291"/>
      <c r="CU72" s="291"/>
      <c r="CV72" s="291"/>
      <c r="CW72" s="291"/>
      <c r="CX72" s="291"/>
      <c r="CY72" s="291"/>
      <c r="CZ72" s="291"/>
      <c r="DA72" s="291"/>
      <c r="DB72" s="291"/>
      <c r="DC72" s="291"/>
      <c r="DD72" s="291"/>
      <c r="DE72" s="291"/>
      <c r="DF72" s="291"/>
      <c r="DG72" s="291"/>
      <c r="DH72" s="291"/>
      <c r="DI72" s="291"/>
      <c r="DJ72" s="291"/>
      <c r="DK72" s="291"/>
      <c r="DL72" s="291"/>
      <c r="DM72" s="291"/>
      <c r="DN72" s="291"/>
      <c r="DO72" s="291"/>
      <c r="DP72" s="291"/>
      <c r="DQ72" s="291"/>
      <c r="DR72" s="291"/>
      <c r="DS72" s="291"/>
      <c r="DT72" s="291"/>
      <c r="DU72" s="291"/>
      <c r="DV72" s="291"/>
      <c r="DW72" s="291"/>
      <c r="DX72" s="291"/>
      <c r="DY72" s="291"/>
      <c r="DZ72" s="291"/>
      <c r="EA72" s="291"/>
      <c r="EB72" s="291"/>
      <c r="EC72" s="291"/>
      <c r="ED72" s="291"/>
      <c r="EE72" s="291"/>
      <c r="EF72" s="291"/>
      <c r="EG72" s="291"/>
      <c r="EH72" s="291"/>
      <c r="EI72" s="291"/>
      <c r="EJ72" s="291"/>
      <c r="EK72" s="291"/>
      <c r="EL72" s="291"/>
      <c r="EM72" s="291"/>
      <c r="EN72" s="291"/>
      <c r="EO72" s="291"/>
      <c r="EP72" s="291"/>
      <c r="EQ72" s="291"/>
      <c r="ER72" s="291"/>
      <c r="ES72" s="291"/>
      <c r="ET72" s="291"/>
      <c r="EU72" s="291"/>
      <c r="EV72" s="291"/>
      <c r="EW72" s="291"/>
      <c r="EX72" s="291"/>
      <c r="EY72" s="291"/>
      <c r="EZ72" s="291"/>
      <c r="FA72" s="291"/>
      <c r="FB72" s="291"/>
      <c r="FC72" s="291"/>
      <c r="FD72" s="291"/>
      <c r="FE72" s="291"/>
      <c r="FF72" s="291"/>
      <c r="FG72" s="291"/>
      <c r="FH72" s="291"/>
      <c r="FI72" s="291"/>
      <c r="FJ72" s="291"/>
      <c r="FK72" s="291"/>
      <c r="FL72" s="291"/>
      <c r="FM72" s="291"/>
      <c r="FN72" s="291"/>
      <c r="FO72" s="291"/>
      <c r="FP72" s="291"/>
      <c r="FQ72" s="291"/>
      <c r="FR72" s="291"/>
      <c r="FS72" s="291"/>
      <c r="FT72" s="291"/>
      <c r="FU72" s="291"/>
      <c r="FV72" s="291"/>
      <c r="FW72" s="291"/>
      <c r="FX72" s="291"/>
      <c r="FY72" s="291"/>
      <c r="FZ72" s="291"/>
      <c r="GA72" s="291"/>
      <c r="GB72" s="291"/>
      <c r="GC72" s="291"/>
      <c r="GD72" s="291"/>
      <c r="GE72" s="291"/>
      <c r="GF72" s="291"/>
      <c r="GG72" s="291"/>
      <c r="GH72" s="291"/>
      <c r="GI72" s="291"/>
      <c r="GJ72" s="291"/>
      <c r="GK72" s="291"/>
      <c r="GL72" s="291"/>
      <c r="GM72" s="291"/>
      <c r="GN72" s="291"/>
      <c r="GO72" s="291"/>
      <c r="GP72" s="291"/>
      <c r="GQ72" s="291"/>
      <c r="GR72" s="291"/>
      <c r="GS72" s="291"/>
      <c r="GT72" s="291"/>
      <c r="GU72" s="291"/>
      <c r="GV72" s="291"/>
      <c r="GW72" s="291"/>
      <c r="GX72" s="291"/>
      <c r="GY72" s="291"/>
      <c r="GZ72" s="291"/>
      <c r="HA72" s="291"/>
      <c r="HB72" s="291"/>
      <c r="HC72" s="291"/>
      <c r="HD72" s="291"/>
      <c r="HE72" s="291"/>
      <c r="HF72" s="291"/>
      <c r="HG72" s="291"/>
      <c r="HH72" s="291"/>
      <c r="HI72" s="291"/>
      <c r="HJ72" s="291"/>
      <c r="HK72" s="291"/>
      <c r="HL72" s="291"/>
      <c r="HM72" s="291"/>
      <c r="HN72" s="291"/>
      <c r="HO72" s="291"/>
      <c r="HP72" s="291"/>
      <c r="HQ72" s="291"/>
      <c r="HR72" s="291"/>
      <c r="HS72" s="291"/>
      <c r="HT72" s="291"/>
      <c r="HU72" s="291"/>
      <c r="HV72" s="291"/>
      <c r="HW72" s="291"/>
      <c r="HX72" s="291"/>
      <c r="HY72" s="291"/>
      <c r="HZ72" s="291"/>
      <c r="IA72" s="291"/>
      <c r="IB72" s="291"/>
      <c r="IC72" s="291"/>
      <c r="ID72" s="291"/>
      <c r="IE72" s="291"/>
      <c r="IF72" s="291"/>
      <c r="IG72" s="291"/>
      <c r="IH72" s="291"/>
      <c r="II72" s="291"/>
      <c r="IJ72" s="291"/>
      <c r="IK72" s="291"/>
      <c r="IL72" s="291"/>
      <c r="IM72" s="291"/>
      <c r="IN72" s="291"/>
      <c r="IO72" s="291"/>
      <c r="IP72" s="291"/>
      <c r="IQ72" s="291"/>
      <c r="IR72" s="291"/>
      <c r="IS72" s="291"/>
      <c r="IT72" s="291"/>
      <c r="IU72" s="291"/>
      <c r="IV72" s="291"/>
      <c r="IW72" s="291"/>
      <c r="IX72" s="291"/>
      <c r="IY72" s="291"/>
      <c r="IZ72" s="291"/>
      <c r="JA72" s="291"/>
      <c r="JB72" s="291"/>
      <c r="JC72" s="291"/>
      <c r="JD72" s="291"/>
      <c r="JE72" s="291"/>
      <c r="JF72" s="291"/>
      <c r="JG72" s="291"/>
      <c r="JH72" s="291"/>
      <c r="JI72" s="291"/>
      <c r="JJ72" s="291"/>
      <c r="JK72" s="291"/>
      <c r="JL72" s="291"/>
      <c r="JM72" s="291"/>
      <c r="JN72" s="291"/>
      <c r="JO72" s="291"/>
      <c r="JP72" s="291"/>
      <c r="JQ72" s="291"/>
      <c r="JR72" s="291"/>
      <c r="JS72" s="291"/>
      <c r="JT72" s="291"/>
      <c r="JU72" s="291"/>
      <c r="JV72" s="291"/>
      <c r="JW72" s="291"/>
      <c r="JX72" s="291"/>
      <c r="JY72" s="291"/>
      <c r="JZ72" s="291"/>
      <c r="KA72" s="291"/>
      <c r="KB72" s="291"/>
      <c r="KC72" s="291"/>
      <c r="KD72" s="291"/>
      <c r="KE72" s="291"/>
      <c r="KF72" s="291"/>
      <c r="KG72" s="291"/>
      <c r="KH72" s="291"/>
      <c r="KI72" s="291"/>
      <c r="KJ72" s="291"/>
      <c r="KK72" s="291"/>
      <c r="KL72" s="291"/>
      <c r="KM72" s="291"/>
      <c r="KN72" s="291"/>
      <c r="KO72" s="291"/>
      <c r="KP72" s="291"/>
      <c r="KQ72" s="291"/>
      <c r="KR72" s="291"/>
      <c r="KS72" s="291"/>
      <c r="KT72" s="291"/>
      <c r="KU72" s="291"/>
      <c r="KV72" s="291"/>
      <c r="KW72" s="291"/>
      <c r="KX72" s="291"/>
      <c r="KY72" s="291"/>
      <c r="KZ72" s="291"/>
      <c r="LA72" s="291"/>
      <c r="LB72" s="291"/>
      <c r="LC72" s="291"/>
      <c r="LD72" s="291"/>
      <c r="LE72" s="291"/>
      <c r="LF72" s="291"/>
      <c r="LG72" s="291"/>
      <c r="LH72" s="291"/>
      <c r="LI72" s="291"/>
      <c r="LJ72" s="291"/>
      <c r="LK72" s="291"/>
      <c r="LL72" s="291"/>
      <c r="LM72" s="291"/>
      <c r="LN72" s="291"/>
      <c r="LO72" s="291"/>
      <c r="LP72" s="291"/>
      <c r="LQ72" s="291"/>
      <c r="LR72" s="291"/>
      <c r="LS72" s="291"/>
      <c r="LT72" s="291"/>
      <c r="LU72" s="291"/>
      <c r="LV72" s="291"/>
      <c r="LW72" s="291"/>
      <c r="LX72" s="291"/>
      <c r="LY72" s="291"/>
      <c r="LZ72" s="291"/>
      <c r="MA72" s="291"/>
      <c r="MB72" s="291"/>
      <c r="MC72" s="291"/>
      <c r="MD72" s="291"/>
      <c r="ME72" s="291"/>
      <c r="MF72" s="291"/>
      <c r="MG72" s="291"/>
      <c r="MH72" s="291"/>
      <c r="MI72" s="291"/>
      <c r="MJ72" s="291"/>
      <c r="MK72" s="291"/>
      <c r="ML72" s="291"/>
      <c r="MM72" s="291"/>
      <c r="MN72" s="291"/>
      <c r="MO72" s="291"/>
      <c r="MP72" s="291"/>
      <c r="MQ72" s="291"/>
      <c r="MR72" s="291"/>
      <c r="MS72" s="291"/>
      <c r="MT72" s="291"/>
      <c r="MU72" s="291"/>
      <c r="MV72" s="291"/>
      <c r="MW72" s="291"/>
      <c r="MX72" s="291"/>
      <c r="MY72" s="291"/>
      <c r="MZ72" s="291"/>
      <c r="NA72" s="291"/>
      <c r="NB72" s="291"/>
      <c r="NC72" s="291"/>
      <c r="ND72" s="291"/>
      <c r="NE72" s="291"/>
      <c r="NF72" s="291"/>
      <c r="NG72" s="291"/>
      <c r="NH72" s="291"/>
      <c r="NI72" s="291"/>
      <c r="NJ72" s="291"/>
      <c r="NK72" s="291"/>
      <c r="NL72" s="291"/>
      <c r="NM72" s="291"/>
      <c r="NN72" s="291"/>
      <c r="NO72" s="291"/>
      <c r="NP72" s="291"/>
      <c r="NQ72" s="291"/>
      <c r="NR72" s="291"/>
      <c r="NS72" s="291"/>
      <c r="NT72" s="291"/>
      <c r="NU72" s="291"/>
      <c r="NV72" s="291"/>
      <c r="NW72" s="291"/>
      <c r="NX72" s="291"/>
      <c r="NY72" s="291"/>
      <c r="NZ72" s="291"/>
      <c r="OA72" s="291"/>
      <c r="OB72" s="291"/>
      <c r="OC72" s="291"/>
      <c r="OD72" s="291"/>
      <c r="OE72" s="291"/>
      <c r="OF72" s="291"/>
      <c r="OG72" s="291"/>
      <c r="OH72" s="291"/>
      <c r="OI72" s="291"/>
      <c r="OJ72" s="291"/>
      <c r="OK72" s="291"/>
      <c r="OL72" s="291"/>
      <c r="OM72" s="291"/>
      <c r="ON72" s="291"/>
      <c r="OO72" s="291"/>
      <c r="OP72" s="291"/>
      <c r="OQ72" s="291"/>
      <c r="OR72" s="291"/>
      <c r="OS72" s="291"/>
      <c r="OT72" s="291"/>
      <c r="OU72" s="291"/>
      <c r="OV72" s="291"/>
      <c r="OW72" s="291"/>
      <c r="OX72" s="291"/>
      <c r="OY72" s="291"/>
      <c r="OZ72" s="291"/>
      <c r="PA72" s="291"/>
      <c r="PB72" s="291"/>
      <c r="PC72" s="291"/>
      <c r="PD72" s="291"/>
      <c r="PE72" s="291"/>
      <c r="PF72" s="291"/>
      <c r="PG72" s="291"/>
      <c r="PH72" s="291"/>
      <c r="PI72" s="291"/>
      <c r="PJ72" s="291"/>
      <c r="PK72" s="291"/>
      <c r="PL72" s="291"/>
      <c r="PM72" s="291"/>
      <c r="PN72" s="291"/>
      <c r="PO72" s="291"/>
      <c r="PP72" s="291"/>
      <c r="PQ72" s="291"/>
      <c r="PR72" s="291"/>
      <c r="PS72" s="291"/>
      <c r="PT72" s="291"/>
      <c r="PU72" s="291"/>
      <c r="PV72" s="291"/>
      <c r="PW72" s="291"/>
      <c r="PX72" s="291"/>
      <c r="PY72" s="291"/>
      <c r="PZ72" s="291"/>
      <c r="QA72" s="291"/>
      <c r="QB72" s="291"/>
      <c r="QC72" s="291"/>
      <c r="QD72" s="291"/>
      <c r="QE72" s="291"/>
      <c r="QF72" s="291"/>
      <c r="QG72" s="291"/>
      <c r="QH72" s="291"/>
      <c r="QI72" s="291"/>
      <c r="QJ72" s="291"/>
      <c r="QK72" s="291"/>
      <c r="QL72" s="291"/>
      <c r="QM72" s="291"/>
      <c r="QN72" s="291"/>
      <c r="QO72" s="291"/>
      <c r="QP72" s="291"/>
      <c r="QQ72" s="291"/>
      <c r="QR72" s="291"/>
      <c r="QS72" s="291"/>
      <c r="QT72" s="291"/>
      <c r="QU72" s="291"/>
      <c r="QV72" s="291"/>
      <c r="QW72" s="291"/>
      <c r="QX72" s="291"/>
      <c r="QY72" s="291"/>
      <c r="QZ72" s="291"/>
      <c r="RA72" s="291"/>
      <c r="RB72" s="291"/>
      <c r="RC72" s="291"/>
      <c r="RD72" s="291"/>
      <c r="RE72" s="291"/>
      <c r="RF72" s="291"/>
      <c r="RG72" s="291"/>
      <c r="RH72" s="291"/>
      <c r="RI72" s="291"/>
      <c r="RJ72" s="291"/>
      <c r="RK72" s="291"/>
      <c r="RL72" s="291"/>
      <c r="RM72" s="291"/>
      <c r="RN72" s="291"/>
      <c r="RO72" s="291"/>
      <c r="RP72" s="291"/>
      <c r="RQ72" s="291"/>
      <c r="RR72" s="291"/>
      <c r="RS72" s="291"/>
      <c r="RT72" s="291"/>
      <c r="RU72" s="291"/>
      <c r="RV72" s="291"/>
      <c r="RW72" s="291"/>
      <c r="RX72" s="291"/>
      <c r="RY72" s="291"/>
      <c r="RZ72" s="291"/>
      <c r="SA72" s="291"/>
      <c r="SB72" s="291"/>
      <c r="SC72" s="291"/>
      <c r="SD72" s="291"/>
      <c r="SE72" s="291"/>
      <c r="SF72" s="291"/>
      <c r="SG72" s="291"/>
      <c r="SH72" s="291"/>
      <c r="SI72" s="291"/>
      <c r="SJ72" s="291"/>
      <c r="SK72" s="291"/>
      <c r="SL72" s="291"/>
      <c r="SM72" s="291"/>
      <c r="SN72" s="291"/>
      <c r="SO72" s="291"/>
      <c r="SP72" s="291"/>
      <c r="SQ72" s="291"/>
      <c r="SR72" s="291"/>
      <c r="SS72" s="291"/>
      <c r="ST72" s="291"/>
      <c r="SU72" s="291"/>
      <c r="SV72" s="291"/>
      <c r="SW72" s="291"/>
      <c r="SX72" s="291"/>
      <c r="SY72" s="291"/>
      <c r="SZ72" s="291"/>
      <c r="TA72" s="291"/>
      <c r="TB72" s="291"/>
      <c r="TC72" s="291"/>
      <c r="TD72" s="291"/>
      <c r="TE72" s="291"/>
      <c r="TF72" s="291"/>
      <c r="TG72" s="291"/>
      <c r="TH72" s="291"/>
      <c r="TI72" s="291"/>
      <c r="TJ72" s="291"/>
      <c r="TK72" s="291"/>
      <c r="TL72" s="291"/>
      <c r="TM72" s="291"/>
      <c r="TN72" s="291"/>
      <c r="TO72" s="291"/>
      <c r="TP72" s="291"/>
      <c r="TQ72" s="291"/>
      <c r="TR72" s="291"/>
    </row>
    <row r="73" spans="1:538" s="293" customFormat="1" ht="19" customHeight="1" thickBot="1" x14ac:dyDescent="0.3">
      <c r="A73" s="1404" t="s">
        <v>268</v>
      </c>
      <c r="B73" s="1404"/>
      <c r="C73" s="1404"/>
      <c r="D73" s="1405"/>
      <c r="E73" s="1405"/>
      <c r="F73" s="1405"/>
      <c r="G73" s="1405"/>
      <c r="H73" s="1405"/>
      <c r="I73" s="1405"/>
      <c r="J73" s="1405"/>
      <c r="K73" s="503" t="e">
        <f>K71+K72</f>
        <v>#REF!</v>
      </c>
      <c r="L73" s="1405"/>
      <c r="M73" s="1405"/>
      <c r="N73" s="1405"/>
      <c r="O73" s="1405"/>
      <c r="P73" s="1405"/>
      <c r="Q73" s="1405"/>
      <c r="R73" s="1405"/>
      <c r="S73" s="412" t="e">
        <f>S71+S72</f>
        <v>#REF!</v>
      </c>
      <c r="T73" s="1406"/>
      <c r="U73" s="1407"/>
      <c r="V73" s="1407"/>
      <c r="W73" s="1407"/>
      <c r="X73" s="1407"/>
      <c r="Y73" s="1407"/>
      <c r="Z73" s="1408"/>
      <c r="AA73" s="367" t="e">
        <f>AA71+AA72</f>
        <v>#REF!</v>
      </c>
      <c r="AB73" s="1406"/>
      <c r="AC73" s="1407"/>
      <c r="AD73" s="1407"/>
      <c r="AE73" s="1407"/>
      <c r="AF73" s="1407"/>
      <c r="AG73" s="1407"/>
      <c r="AH73" s="1408"/>
      <c r="AI73" s="367" t="e">
        <f>AI71+AI72</f>
        <v>#REF!</v>
      </c>
      <c r="AJ73" s="1406"/>
      <c r="AK73" s="1407"/>
      <c r="AL73" s="1407"/>
      <c r="AM73" s="1407"/>
      <c r="AN73" s="1407"/>
      <c r="AO73" s="1407"/>
      <c r="AP73" s="1408"/>
      <c r="AQ73" s="367" t="e">
        <f>AQ71+AQ72</f>
        <v>#REF!</v>
      </c>
      <c r="AR73" s="1406"/>
      <c r="AS73" s="1407"/>
      <c r="AT73" s="1407"/>
      <c r="AU73" s="1407"/>
      <c r="AV73" s="1407"/>
      <c r="AW73" s="1407"/>
      <c r="AX73" s="1408"/>
      <c r="AY73" s="445" t="e">
        <f>AY71+AY72</f>
        <v>#REF!</v>
      </c>
      <c r="AZ73" s="446"/>
      <c r="BA73" s="368" t="e">
        <f t="shared" si="27"/>
        <v>#REF!</v>
      </c>
      <c r="BB73" s="291"/>
      <c r="BC73" s="291"/>
      <c r="BD73" s="291"/>
      <c r="BE73" s="291"/>
      <c r="BF73" s="291"/>
      <c r="BG73" s="291"/>
      <c r="BH73" s="291"/>
      <c r="BI73" s="291"/>
      <c r="BJ73" s="291"/>
      <c r="BK73" s="291"/>
      <c r="BL73" s="291"/>
      <c r="BM73" s="291"/>
      <c r="BN73" s="291"/>
      <c r="BO73" s="291"/>
      <c r="BP73" s="291"/>
      <c r="BQ73" s="291"/>
      <c r="BR73" s="291"/>
      <c r="BS73" s="291"/>
      <c r="BT73" s="291"/>
      <c r="BU73" s="291"/>
      <c r="BV73" s="291"/>
      <c r="BW73" s="291"/>
      <c r="BX73" s="291"/>
      <c r="BY73" s="291"/>
      <c r="BZ73" s="291"/>
      <c r="CA73" s="291"/>
      <c r="CB73" s="291"/>
      <c r="CC73" s="291"/>
      <c r="CD73" s="291"/>
      <c r="CE73" s="291"/>
      <c r="CF73" s="291"/>
      <c r="CG73" s="291"/>
      <c r="CH73" s="291"/>
      <c r="CI73" s="291"/>
      <c r="CJ73" s="291"/>
      <c r="CK73" s="291"/>
      <c r="CL73" s="291"/>
      <c r="CM73" s="291"/>
      <c r="CN73" s="291"/>
      <c r="CO73" s="291"/>
      <c r="CP73" s="291"/>
      <c r="CQ73" s="291"/>
      <c r="CR73" s="291"/>
      <c r="CS73" s="291"/>
      <c r="CT73" s="291"/>
      <c r="CU73" s="291"/>
      <c r="CV73" s="291"/>
      <c r="CW73" s="291"/>
      <c r="CX73" s="291"/>
      <c r="CY73" s="291"/>
      <c r="CZ73" s="291"/>
      <c r="DA73" s="291"/>
      <c r="DB73" s="291"/>
      <c r="DC73" s="291"/>
      <c r="DD73" s="291"/>
      <c r="DE73" s="291"/>
      <c r="DF73" s="291"/>
      <c r="DG73" s="291"/>
      <c r="DH73" s="291"/>
      <c r="DI73" s="291"/>
      <c r="DJ73" s="291"/>
      <c r="DK73" s="291"/>
      <c r="DL73" s="291"/>
      <c r="DM73" s="291"/>
      <c r="DN73" s="291"/>
      <c r="DO73" s="291"/>
      <c r="DP73" s="291"/>
      <c r="DQ73" s="291"/>
      <c r="DR73" s="291"/>
      <c r="DS73" s="291"/>
      <c r="DT73" s="291"/>
      <c r="DU73" s="291"/>
      <c r="DV73" s="291"/>
      <c r="DW73" s="291"/>
      <c r="DX73" s="291"/>
      <c r="DY73" s="291"/>
      <c r="DZ73" s="291"/>
      <c r="EA73" s="291"/>
      <c r="EB73" s="291"/>
      <c r="EC73" s="291"/>
      <c r="ED73" s="291"/>
      <c r="EE73" s="291"/>
      <c r="EF73" s="291"/>
      <c r="EG73" s="291"/>
      <c r="EH73" s="291"/>
      <c r="EI73" s="291"/>
      <c r="EJ73" s="291"/>
      <c r="EK73" s="291"/>
      <c r="EL73" s="291"/>
      <c r="EM73" s="291"/>
      <c r="EN73" s="291"/>
      <c r="EO73" s="291"/>
      <c r="EP73" s="291"/>
      <c r="EQ73" s="291"/>
      <c r="ER73" s="291"/>
      <c r="ES73" s="291"/>
      <c r="ET73" s="291"/>
      <c r="EU73" s="291"/>
      <c r="EV73" s="291"/>
      <c r="EW73" s="291"/>
      <c r="EX73" s="291"/>
      <c r="EY73" s="291"/>
      <c r="EZ73" s="291"/>
      <c r="FA73" s="291"/>
      <c r="FB73" s="291"/>
      <c r="FC73" s="291"/>
      <c r="FD73" s="291"/>
      <c r="FE73" s="291"/>
      <c r="FF73" s="291"/>
      <c r="FG73" s="291"/>
      <c r="FH73" s="291"/>
      <c r="FI73" s="291"/>
      <c r="FJ73" s="291"/>
      <c r="FK73" s="291"/>
      <c r="FL73" s="291"/>
      <c r="FM73" s="291"/>
      <c r="FN73" s="291"/>
      <c r="FO73" s="291"/>
      <c r="FP73" s="291"/>
      <c r="FQ73" s="291"/>
      <c r="FR73" s="291"/>
      <c r="FS73" s="291"/>
      <c r="FT73" s="291"/>
      <c r="FU73" s="291"/>
      <c r="FV73" s="291"/>
      <c r="FW73" s="291"/>
      <c r="FX73" s="291"/>
      <c r="FY73" s="291"/>
      <c r="FZ73" s="291"/>
      <c r="GA73" s="291"/>
      <c r="GB73" s="291"/>
      <c r="GC73" s="291"/>
      <c r="GD73" s="291"/>
      <c r="GE73" s="291"/>
      <c r="GF73" s="291"/>
      <c r="GG73" s="291"/>
      <c r="GH73" s="291"/>
      <c r="GI73" s="291"/>
      <c r="GJ73" s="291"/>
      <c r="GK73" s="291"/>
      <c r="GL73" s="291"/>
      <c r="GM73" s="291"/>
      <c r="GN73" s="291"/>
      <c r="GO73" s="291"/>
      <c r="GP73" s="291"/>
      <c r="GQ73" s="291"/>
      <c r="GR73" s="291"/>
      <c r="GS73" s="291"/>
      <c r="GT73" s="291"/>
      <c r="GU73" s="291"/>
      <c r="GV73" s="291"/>
      <c r="GW73" s="291"/>
      <c r="GX73" s="291"/>
      <c r="GY73" s="291"/>
      <c r="GZ73" s="291"/>
      <c r="HA73" s="291"/>
      <c r="HB73" s="291"/>
      <c r="HC73" s="291"/>
      <c r="HD73" s="291"/>
      <c r="HE73" s="291"/>
      <c r="HF73" s="291"/>
      <c r="HG73" s="291"/>
      <c r="HH73" s="291"/>
      <c r="HI73" s="291"/>
      <c r="HJ73" s="291"/>
      <c r="HK73" s="291"/>
      <c r="HL73" s="291"/>
      <c r="HM73" s="291"/>
      <c r="HN73" s="291"/>
      <c r="HO73" s="291"/>
      <c r="HP73" s="291"/>
      <c r="HQ73" s="291"/>
      <c r="HR73" s="291"/>
      <c r="HS73" s="291"/>
      <c r="HT73" s="291"/>
      <c r="HU73" s="291"/>
      <c r="HV73" s="291"/>
      <c r="HW73" s="291"/>
      <c r="HX73" s="291"/>
      <c r="HY73" s="291"/>
      <c r="HZ73" s="291"/>
      <c r="IA73" s="291"/>
      <c r="IB73" s="291"/>
      <c r="IC73" s="291"/>
      <c r="ID73" s="291"/>
      <c r="IE73" s="291"/>
      <c r="IF73" s="291"/>
      <c r="IG73" s="291"/>
      <c r="IH73" s="291"/>
      <c r="II73" s="291"/>
      <c r="IJ73" s="291"/>
      <c r="IK73" s="291"/>
      <c r="IL73" s="291"/>
      <c r="IM73" s="291"/>
      <c r="IN73" s="291"/>
      <c r="IO73" s="291"/>
      <c r="IP73" s="291"/>
      <c r="IQ73" s="291"/>
      <c r="IR73" s="291"/>
      <c r="IS73" s="291"/>
      <c r="IT73" s="291"/>
      <c r="IU73" s="291"/>
      <c r="IV73" s="291"/>
      <c r="IW73" s="291"/>
      <c r="IX73" s="291"/>
      <c r="IY73" s="291"/>
      <c r="IZ73" s="291"/>
      <c r="JA73" s="291"/>
      <c r="JB73" s="291"/>
      <c r="JC73" s="291"/>
      <c r="JD73" s="291"/>
      <c r="JE73" s="291"/>
      <c r="JF73" s="291"/>
      <c r="JG73" s="291"/>
      <c r="JH73" s="291"/>
      <c r="JI73" s="291"/>
      <c r="JJ73" s="291"/>
      <c r="JK73" s="291"/>
      <c r="JL73" s="291"/>
      <c r="JM73" s="291"/>
      <c r="JN73" s="291"/>
      <c r="JO73" s="291"/>
      <c r="JP73" s="291"/>
      <c r="JQ73" s="291"/>
      <c r="JR73" s="291"/>
      <c r="JS73" s="291"/>
      <c r="JT73" s="291"/>
      <c r="JU73" s="291"/>
      <c r="JV73" s="291"/>
      <c r="JW73" s="291"/>
      <c r="JX73" s="291"/>
      <c r="JY73" s="291"/>
      <c r="JZ73" s="291"/>
      <c r="KA73" s="291"/>
      <c r="KB73" s="291"/>
      <c r="KC73" s="291"/>
      <c r="KD73" s="291"/>
      <c r="KE73" s="291"/>
      <c r="KF73" s="291"/>
      <c r="KG73" s="291"/>
      <c r="KH73" s="291"/>
      <c r="KI73" s="291"/>
      <c r="KJ73" s="291"/>
      <c r="KK73" s="291"/>
      <c r="KL73" s="291"/>
      <c r="KM73" s="291"/>
      <c r="KN73" s="291"/>
      <c r="KO73" s="291"/>
      <c r="KP73" s="291"/>
      <c r="KQ73" s="291"/>
      <c r="KR73" s="291"/>
      <c r="KS73" s="291"/>
      <c r="KT73" s="291"/>
      <c r="KU73" s="291"/>
      <c r="KV73" s="291"/>
      <c r="KW73" s="291"/>
      <c r="KX73" s="291"/>
      <c r="KY73" s="291"/>
      <c r="KZ73" s="291"/>
      <c r="LA73" s="291"/>
      <c r="LB73" s="291"/>
      <c r="LC73" s="291"/>
      <c r="LD73" s="291"/>
      <c r="LE73" s="291"/>
      <c r="LF73" s="291"/>
      <c r="LG73" s="291"/>
      <c r="LH73" s="291"/>
      <c r="LI73" s="291"/>
      <c r="LJ73" s="291"/>
      <c r="LK73" s="291"/>
      <c r="LL73" s="291"/>
      <c r="LM73" s="291"/>
      <c r="LN73" s="291"/>
      <c r="LO73" s="291"/>
      <c r="LP73" s="291"/>
      <c r="LQ73" s="291"/>
      <c r="LR73" s="291"/>
      <c r="LS73" s="291"/>
      <c r="LT73" s="291"/>
      <c r="LU73" s="291"/>
      <c r="LV73" s="291"/>
      <c r="LW73" s="291"/>
      <c r="LX73" s="291"/>
      <c r="LY73" s="291"/>
      <c r="LZ73" s="291"/>
      <c r="MA73" s="291"/>
      <c r="MB73" s="291"/>
      <c r="MC73" s="291"/>
      <c r="MD73" s="291"/>
      <c r="ME73" s="291"/>
      <c r="MF73" s="291"/>
      <c r="MG73" s="291"/>
      <c r="MH73" s="291"/>
      <c r="MI73" s="291"/>
      <c r="MJ73" s="291"/>
      <c r="MK73" s="291"/>
      <c r="ML73" s="291"/>
      <c r="MM73" s="291"/>
      <c r="MN73" s="291"/>
      <c r="MO73" s="291"/>
      <c r="MP73" s="291"/>
      <c r="MQ73" s="291"/>
      <c r="MR73" s="291"/>
      <c r="MS73" s="291"/>
      <c r="MT73" s="291"/>
      <c r="MU73" s="291"/>
      <c r="MV73" s="291"/>
      <c r="MW73" s="291"/>
      <c r="MX73" s="291"/>
      <c r="MY73" s="291"/>
      <c r="MZ73" s="291"/>
      <c r="NA73" s="291"/>
      <c r="NB73" s="291"/>
      <c r="NC73" s="291"/>
      <c r="ND73" s="291"/>
      <c r="NE73" s="291"/>
      <c r="NF73" s="291"/>
      <c r="NG73" s="291"/>
      <c r="NH73" s="291"/>
      <c r="NI73" s="291"/>
      <c r="NJ73" s="291"/>
      <c r="NK73" s="291"/>
      <c r="NL73" s="291"/>
      <c r="NM73" s="291"/>
      <c r="NN73" s="291"/>
      <c r="NO73" s="291"/>
      <c r="NP73" s="291"/>
      <c r="NQ73" s="291"/>
      <c r="NR73" s="291"/>
      <c r="NS73" s="291"/>
      <c r="NT73" s="291"/>
      <c r="NU73" s="291"/>
      <c r="NV73" s="291"/>
      <c r="NW73" s="291"/>
      <c r="NX73" s="291"/>
      <c r="NY73" s="291"/>
      <c r="NZ73" s="291"/>
      <c r="OA73" s="291"/>
      <c r="OB73" s="291"/>
      <c r="OC73" s="291"/>
      <c r="OD73" s="291"/>
      <c r="OE73" s="291"/>
      <c r="OF73" s="291"/>
      <c r="OG73" s="291"/>
      <c r="OH73" s="291"/>
      <c r="OI73" s="291"/>
      <c r="OJ73" s="291"/>
      <c r="OK73" s="291"/>
      <c r="OL73" s="291"/>
      <c r="OM73" s="291"/>
      <c r="ON73" s="291"/>
      <c r="OO73" s="291"/>
      <c r="OP73" s="291"/>
      <c r="OQ73" s="291"/>
      <c r="OR73" s="291"/>
      <c r="OS73" s="291"/>
      <c r="OT73" s="291"/>
      <c r="OU73" s="291"/>
      <c r="OV73" s="291"/>
      <c r="OW73" s="291"/>
      <c r="OX73" s="291"/>
      <c r="OY73" s="291"/>
      <c r="OZ73" s="291"/>
      <c r="PA73" s="291"/>
      <c r="PB73" s="291"/>
      <c r="PC73" s="291"/>
      <c r="PD73" s="291"/>
      <c r="PE73" s="291"/>
      <c r="PF73" s="291"/>
      <c r="PG73" s="291"/>
      <c r="PH73" s="291"/>
      <c r="PI73" s="291"/>
      <c r="PJ73" s="291"/>
      <c r="PK73" s="291"/>
      <c r="PL73" s="291"/>
      <c r="PM73" s="291"/>
      <c r="PN73" s="291"/>
      <c r="PO73" s="291"/>
      <c r="PP73" s="291"/>
      <c r="PQ73" s="291"/>
      <c r="PR73" s="291"/>
      <c r="PS73" s="291"/>
      <c r="PT73" s="291"/>
      <c r="PU73" s="291"/>
      <c r="PV73" s="291"/>
      <c r="PW73" s="291"/>
      <c r="PX73" s="291"/>
      <c r="PY73" s="291"/>
      <c r="PZ73" s="291"/>
      <c r="QA73" s="291"/>
      <c r="QB73" s="291"/>
      <c r="QC73" s="291"/>
      <c r="QD73" s="291"/>
      <c r="QE73" s="291"/>
      <c r="QF73" s="291"/>
      <c r="QG73" s="291"/>
      <c r="QH73" s="291"/>
      <c r="QI73" s="291"/>
      <c r="QJ73" s="291"/>
      <c r="QK73" s="291"/>
      <c r="QL73" s="291"/>
      <c r="QM73" s="291"/>
      <c r="QN73" s="291"/>
      <c r="QO73" s="291"/>
      <c r="QP73" s="291"/>
      <c r="QQ73" s="291"/>
      <c r="QR73" s="291"/>
      <c r="QS73" s="291"/>
      <c r="QT73" s="291"/>
      <c r="QU73" s="291"/>
      <c r="QV73" s="291"/>
      <c r="QW73" s="291"/>
      <c r="QX73" s="291"/>
      <c r="QY73" s="291"/>
      <c r="QZ73" s="291"/>
      <c r="RA73" s="291"/>
      <c r="RB73" s="291"/>
      <c r="RC73" s="291"/>
      <c r="RD73" s="291"/>
      <c r="RE73" s="291"/>
      <c r="RF73" s="291"/>
      <c r="RG73" s="291"/>
      <c r="RH73" s="291"/>
      <c r="RI73" s="291"/>
      <c r="RJ73" s="291"/>
      <c r="RK73" s="291"/>
      <c r="RL73" s="291"/>
      <c r="RM73" s="291"/>
      <c r="RN73" s="291"/>
      <c r="RO73" s="291"/>
      <c r="RP73" s="291"/>
      <c r="RQ73" s="291"/>
      <c r="RR73" s="291"/>
      <c r="RS73" s="291"/>
      <c r="RT73" s="291"/>
      <c r="RU73" s="291"/>
      <c r="RV73" s="291"/>
      <c r="RW73" s="291"/>
      <c r="RX73" s="291"/>
      <c r="RY73" s="291"/>
      <c r="RZ73" s="291"/>
      <c r="SA73" s="291"/>
      <c r="SB73" s="291"/>
      <c r="SC73" s="291"/>
      <c r="SD73" s="291"/>
      <c r="SE73" s="291"/>
      <c r="SF73" s="291"/>
      <c r="SG73" s="291"/>
      <c r="SH73" s="291"/>
      <c r="SI73" s="291"/>
      <c r="SJ73" s="291"/>
      <c r="SK73" s="291"/>
      <c r="SL73" s="291"/>
      <c r="SM73" s="291"/>
      <c r="SN73" s="291"/>
      <c r="SO73" s="291"/>
      <c r="SP73" s="291"/>
      <c r="SQ73" s="291"/>
      <c r="SR73" s="291"/>
      <c r="SS73" s="291"/>
      <c r="ST73" s="291"/>
      <c r="SU73" s="291"/>
      <c r="SV73" s="291"/>
      <c r="SW73" s="291"/>
      <c r="SX73" s="291"/>
      <c r="SY73" s="291"/>
      <c r="SZ73" s="291"/>
      <c r="TA73" s="291"/>
      <c r="TB73" s="291"/>
      <c r="TC73" s="291"/>
      <c r="TD73" s="291"/>
      <c r="TE73" s="291"/>
      <c r="TF73" s="291"/>
      <c r="TG73" s="291"/>
      <c r="TH73" s="291"/>
      <c r="TI73" s="291"/>
      <c r="TJ73" s="291"/>
      <c r="TK73" s="291"/>
      <c r="TL73" s="291"/>
      <c r="TM73" s="291"/>
      <c r="TN73" s="291"/>
      <c r="TO73" s="291"/>
      <c r="TP73" s="291"/>
      <c r="TQ73" s="291"/>
      <c r="TR73" s="291"/>
    </row>
    <row r="74" spans="1:538" x14ac:dyDescent="0.25">
      <c r="A74" s="1393"/>
      <c r="B74" s="1394"/>
      <c r="C74" s="1394"/>
      <c r="D74" s="1394"/>
      <c r="E74" s="1394"/>
      <c r="F74" s="1394"/>
      <c r="G74" s="1394"/>
      <c r="H74" s="1394"/>
      <c r="I74" s="1394"/>
      <c r="J74" s="1394"/>
      <c r="K74" s="1394"/>
      <c r="L74" s="1395"/>
      <c r="V74" s="298" t="s">
        <v>358</v>
      </c>
    </row>
    <row r="75" spans="1:538" ht="74.25" customHeight="1" x14ac:dyDescent="0.25">
      <c r="A75" s="82" t="s">
        <v>292</v>
      </c>
      <c r="B75" s="1621" t="s">
        <v>462</v>
      </c>
      <c r="C75" s="1621"/>
      <c r="D75" s="1621"/>
      <c r="E75" s="1621"/>
      <c r="F75" s="1621"/>
      <c r="G75" s="1621"/>
      <c r="H75" s="1621"/>
      <c r="I75" s="1621"/>
      <c r="J75" s="1621"/>
      <c r="K75" s="1621"/>
      <c r="L75" s="1621"/>
      <c r="M75" s="298"/>
      <c r="N75" s="298"/>
      <c r="O75" s="298"/>
      <c r="V75" s="298"/>
    </row>
    <row r="76" spans="1:538" ht="25.5" customHeight="1" x14ac:dyDescent="0.25">
      <c r="A76" s="82" t="s">
        <v>294</v>
      </c>
      <c r="B76" s="1396" t="s">
        <v>463</v>
      </c>
      <c r="C76" s="1396"/>
      <c r="D76" s="1396"/>
      <c r="E76" s="1396"/>
      <c r="F76" s="1396"/>
      <c r="G76" s="1396"/>
      <c r="H76" s="1396"/>
      <c r="I76" s="1396"/>
      <c r="J76" s="1396"/>
      <c r="K76" s="1396"/>
      <c r="L76" s="1396"/>
      <c r="M76" s="298"/>
      <c r="N76" s="298"/>
      <c r="O76" s="298"/>
    </row>
    <row r="77" spans="1:538" ht="18" customHeight="1" x14ac:dyDescent="0.25">
      <c r="A77" s="82" t="s">
        <v>296</v>
      </c>
      <c r="B77" s="1396" t="s">
        <v>464</v>
      </c>
      <c r="C77" s="1396"/>
      <c r="D77" s="1396"/>
      <c r="E77" s="1396"/>
      <c r="F77" s="1396"/>
      <c r="G77" s="1396"/>
      <c r="H77" s="1396"/>
      <c r="I77" s="1396"/>
      <c r="J77" s="1396"/>
      <c r="K77" s="1396"/>
      <c r="L77" s="1396"/>
      <c r="M77" s="298"/>
      <c r="N77" s="298"/>
      <c r="O77" s="298"/>
    </row>
    <row r="78" spans="1:538" ht="30" customHeight="1" x14ac:dyDescent="0.25">
      <c r="A78" s="82" t="s">
        <v>465</v>
      </c>
      <c r="B78" s="1397" t="s">
        <v>466</v>
      </c>
      <c r="C78" s="1397"/>
      <c r="D78" s="1397"/>
      <c r="E78" s="1397"/>
      <c r="F78" s="1397"/>
      <c r="G78" s="1397"/>
      <c r="H78" s="1397"/>
      <c r="I78" s="1397"/>
      <c r="J78" s="1397"/>
      <c r="K78" s="1397"/>
      <c r="L78" s="1397"/>
      <c r="M78" s="310"/>
      <c r="N78" s="310"/>
      <c r="O78" s="310"/>
      <c r="P78" s="307"/>
      <c r="Q78" s="307"/>
      <c r="R78" s="307"/>
      <c r="S78" s="307"/>
      <c r="T78" s="307"/>
    </row>
    <row r="79" spans="1:538" ht="21.75" customHeight="1" x14ac:dyDescent="0.25">
      <c r="A79" s="82" t="s">
        <v>467</v>
      </c>
      <c r="B79" s="1396" t="s">
        <v>468</v>
      </c>
      <c r="C79" s="1396"/>
      <c r="D79" s="1396"/>
      <c r="E79" s="1396"/>
      <c r="F79" s="1396"/>
      <c r="G79" s="1396"/>
      <c r="H79" s="1396"/>
      <c r="I79" s="1396"/>
      <c r="J79" s="1396"/>
      <c r="K79" s="1396"/>
      <c r="L79" s="1396"/>
      <c r="M79" s="298"/>
      <c r="N79" s="298"/>
      <c r="O79" s="298"/>
    </row>
    <row r="80" spans="1:538" ht="15.5" x14ac:dyDescent="0.25">
      <c r="B80" s="61"/>
    </row>
    <row r="81" spans="2:2" ht="15.5" x14ac:dyDescent="0.25">
      <c r="B81" s="61"/>
    </row>
    <row r="82" spans="2:2" ht="15.5" x14ac:dyDescent="0.25">
      <c r="B82" s="61"/>
    </row>
    <row r="83" spans="2:2" ht="15.5" x14ac:dyDescent="0.25">
      <c r="B83" s="61"/>
    </row>
    <row r="84" spans="2:2" ht="15.5" x14ac:dyDescent="0.25">
      <c r="B84" s="61"/>
    </row>
  </sheetData>
  <mergeCells count="242">
    <mergeCell ref="AG33:AH33"/>
    <mergeCell ref="AJ33:AM33"/>
    <mergeCell ref="AO33:AP33"/>
    <mergeCell ref="AR33:AU33"/>
    <mergeCell ref="A32:C32"/>
    <mergeCell ref="G32:J32"/>
    <mergeCell ref="O32:R32"/>
    <mergeCell ref="A33:C33"/>
    <mergeCell ref="D33:G33"/>
    <mergeCell ref="I33:J33"/>
    <mergeCell ref="L33:O33"/>
    <mergeCell ref="Q33:R33"/>
    <mergeCell ref="A35:C35"/>
    <mergeCell ref="D35:J35"/>
    <mergeCell ref="L35:R35"/>
    <mergeCell ref="AR5:AY5"/>
    <mergeCell ref="AZ5:BB5"/>
    <mergeCell ref="A6:C6"/>
    <mergeCell ref="D6:F6"/>
    <mergeCell ref="I6:K6"/>
    <mergeCell ref="AU6:AV6"/>
    <mergeCell ref="G6:H6"/>
    <mergeCell ref="O6:P6"/>
    <mergeCell ref="AJ35:AP35"/>
    <mergeCell ref="AR35:AX35"/>
    <mergeCell ref="AJ5:AQ5"/>
    <mergeCell ref="AE6:AF6"/>
    <mergeCell ref="AM6:AN6"/>
    <mergeCell ref="BA6:BB6"/>
    <mergeCell ref="W32:Z32"/>
    <mergeCell ref="AE32:AH32"/>
    <mergeCell ref="AM32:AP32"/>
    <mergeCell ref="AU32:AX32"/>
    <mergeCell ref="T33:W33"/>
    <mergeCell ref="Y33:Z33"/>
    <mergeCell ref="AB33:AE33"/>
    <mergeCell ref="A1:B1"/>
    <mergeCell ref="D1:BB3"/>
    <mergeCell ref="B2:C2"/>
    <mergeCell ref="B3:C3"/>
    <mergeCell ref="A4:C5"/>
    <mergeCell ref="D4:K4"/>
    <mergeCell ref="L4:S4"/>
    <mergeCell ref="T4:AA4"/>
    <mergeCell ref="AB4:AI4"/>
    <mergeCell ref="AJ4:AQ4"/>
    <mergeCell ref="AR4:AY4"/>
    <mergeCell ref="AZ4:BB4"/>
    <mergeCell ref="D5:K5"/>
    <mergeCell ref="L5:S5"/>
    <mergeCell ref="T5:AA5"/>
    <mergeCell ref="AB5:AI5"/>
    <mergeCell ref="A36:C36"/>
    <mergeCell ref="D36:I36"/>
    <mergeCell ref="L36:Q36"/>
    <mergeCell ref="T36:Y36"/>
    <mergeCell ref="AB36:AG36"/>
    <mergeCell ref="AJ36:AO36"/>
    <mergeCell ref="AR36:AW36"/>
    <mergeCell ref="AW33:AX33"/>
    <mergeCell ref="AZ33:AZ34"/>
    <mergeCell ref="F34:J34"/>
    <mergeCell ref="N34:R34"/>
    <mergeCell ref="V34:Z34"/>
    <mergeCell ref="AD34:AH34"/>
    <mergeCell ref="AL34:AP34"/>
    <mergeCell ref="AT34:AX34"/>
    <mergeCell ref="AZ36:AZ37"/>
    <mergeCell ref="F37:J37"/>
    <mergeCell ref="N37:R37"/>
    <mergeCell ref="V37:Z37"/>
    <mergeCell ref="AD37:AG37"/>
    <mergeCell ref="AL37:AP37"/>
    <mergeCell ref="AT37:AX37"/>
    <mergeCell ref="T35:Z35"/>
    <mergeCell ref="AB35:AH35"/>
    <mergeCell ref="AJ38:AP38"/>
    <mergeCell ref="AR38:AX38"/>
    <mergeCell ref="A39:B39"/>
    <mergeCell ref="D39:J39"/>
    <mergeCell ref="L39:R39"/>
    <mergeCell ref="T39:AA39"/>
    <mergeCell ref="AB39:AH39"/>
    <mergeCell ref="AJ39:AP39"/>
    <mergeCell ref="AR39:BA39"/>
    <mergeCell ref="A38:C38"/>
    <mergeCell ref="D38:J38"/>
    <mergeCell ref="L38:R38"/>
    <mergeCell ref="T38:Z38"/>
    <mergeCell ref="AB38:AH38"/>
    <mergeCell ref="AR40:AX43"/>
    <mergeCell ref="A44:C44"/>
    <mergeCell ref="D44:J44"/>
    <mergeCell ref="L44:R44"/>
    <mergeCell ref="T44:Z44"/>
    <mergeCell ref="AB44:AH44"/>
    <mergeCell ref="AJ44:AP44"/>
    <mergeCell ref="AR44:AX44"/>
    <mergeCell ref="D40:J43"/>
    <mergeCell ref="L40:R43"/>
    <mergeCell ref="T40:Z43"/>
    <mergeCell ref="AB40:AH43"/>
    <mergeCell ref="AJ40:AP43"/>
    <mergeCell ref="AL45:AP45"/>
    <mergeCell ref="AT45:AY45"/>
    <mergeCell ref="F46:J49"/>
    <mergeCell ref="N46:R49"/>
    <mergeCell ref="V46:Z49"/>
    <mergeCell ref="AD46:AH49"/>
    <mergeCell ref="AL46:AP49"/>
    <mergeCell ref="AT46:AX49"/>
    <mergeCell ref="A45:C45"/>
    <mergeCell ref="F45:K45"/>
    <mergeCell ref="N45:R45"/>
    <mergeCell ref="V45:AA45"/>
    <mergeCell ref="AD45:AH45"/>
    <mergeCell ref="AJ50:AP50"/>
    <mergeCell ref="AR50:AX50"/>
    <mergeCell ref="A51:C51"/>
    <mergeCell ref="D51:J51"/>
    <mergeCell ref="L51:R51"/>
    <mergeCell ref="T51:AA51"/>
    <mergeCell ref="AB51:AH51"/>
    <mergeCell ref="AJ51:AP51"/>
    <mergeCell ref="AR51:BA51"/>
    <mergeCell ref="A50:C50"/>
    <mergeCell ref="D50:J50"/>
    <mergeCell ref="L50:R50"/>
    <mergeCell ref="T50:Z50"/>
    <mergeCell ref="AB50:AH50"/>
    <mergeCell ref="A57:C57"/>
    <mergeCell ref="F57:J57"/>
    <mergeCell ref="N57:R57"/>
    <mergeCell ref="V57:AA57"/>
    <mergeCell ref="AD57:AH57"/>
    <mergeCell ref="AR52:AX55"/>
    <mergeCell ref="AZ52:AZ55"/>
    <mergeCell ref="A56:C56"/>
    <mergeCell ref="D56:J56"/>
    <mergeCell ref="L56:R56"/>
    <mergeCell ref="T56:Z56"/>
    <mergeCell ref="AB56:AH56"/>
    <mergeCell ref="AJ56:AP56"/>
    <mergeCell ref="AR56:AX56"/>
    <mergeCell ref="D52:J55"/>
    <mergeCell ref="L52:R55"/>
    <mergeCell ref="T52:Z55"/>
    <mergeCell ref="AB52:AH55"/>
    <mergeCell ref="AJ52:AP55"/>
    <mergeCell ref="AL57:AP57"/>
    <mergeCell ref="AT57:BA57"/>
    <mergeCell ref="F58:J59"/>
    <mergeCell ref="N58:R59"/>
    <mergeCell ref="V58:Z59"/>
    <mergeCell ref="AD58:AH59"/>
    <mergeCell ref="AL58:AP59"/>
    <mergeCell ref="AT58:AX59"/>
    <mergeCell ref="AZ58:AZ59"/>
    <mergeCell ref="AJ60:AP60"/>
    <mergeCell ref="AR60:AX60"/>
    <mergeCell ref="A61:C61"/>
    <mergeCell ref="D61:J61"/>
    <mergeCell ref="T61:Z61"/>
    <mergeCell ref="AB61:AH61"/>
    <mergeCell ref="AJ61:AP61"/>
    <mergeCell ref="AR61:AX61"/>
    <mergeCell ref="A60:C60"/>
    <mergeCell ref="D60:J60"/>
    <mergeCell ref="L60:R60"/>
    <mergeCell ref="T60:Z60"/>
    <mergeCell ref="AB60:AH60"/>
    <mergeCell ref="AL62:AP62"/>
    <mergeCell ref="AT62:BA62"/>
    <mergeCell ref="F63:J64"/>
    <mergeCell ref="N63:R64"/>
    <mergeCell ref="V63:Z64"/>
    <mergeCell ref="AD63:AH64"/>
    <mergeCell ref="AT63:AX64"/>
    <mergeCell ref="AZ63:AZ64"/>
    <mergeCell ref="A62:C62"/>
    <mergeCell ref="F62:J62"/>
    <mergeCell ref="N62:R62"/>
    <mergeCell ref="V62:AA62"/>
    <mergeCell ref="AD62:AH62"/>
    <mergeCell ref="AJ65:AP65"/>
    <mergeCell ref="AR65:AX65"/>
    <mergeCell ref="A66:C66"/>
    <mergeCell ref="D66:J66"/>
    <mergeCell ref="L66:R66"/>
    <mergeCell ref="T66:Z66"/>
    <mergeCell ref="AB66:AH66"/>
    <mergeCell ref="AJ66:AP66"/>
    <mergeCell ref="AR66:AX66"/>
    <mergeCell ref="A65:C65"/>
    <mergeCell ref="D65:J65"/>
    <mergeCell ref="L65:R65"/>
    <mergeCell ref="T65:Z65"/>
    <mergeCell ref="AB65:AH65"/>
    <mergeCell ref="AT67:BA67"/>
    <mergeCell ref="F68:J69"/>
    <mergeCell ref="AD68:AH69"/>
    <mergeCell ref="AT68:AX69"/>
    <mergeCell ref="AZ68:AZ69"/>
    <mergeCell ref="A67:C67"/>
    <mergeCell ref="F67:J67"/>
    <mergeCell ref="N67:R67"/>
    <mergeCell ref="V67:AA67"/>
    <mergeCell ref="AD67:AH67"/>
    <mergeCell ref="AJ70:AP70"/>
    <mergeCell ref="AR70:AX70"/>
    <mergeCell ref="A71:C71"/>
    <mergeCell ref="D71:J71"/>
    <mergeCell ref="L71:R71"/>
    <mergeCell ref="T71:Z71"/>
    <mergeCell ref="AB71:AH71"/>
    <mergeCell ref="AJ71:AP71"/>
    <mergeCell ref="AR71:AX71"/>
    <mergeCell ref="A70:C70"/>
    <mergeCell ref="D70:J70"/>
    <mergeCell ref="L70:R70"/>
    <mergeCell ref="T70:Z70"/>
    <mergeCell ref="AB70:AH70"/>
    <mergeCell ref="A74:L74"/>
    <mergeCell ref="B76:L76"/>
    <mergeCell ref="B77:L77"/>
    <mergeCell ref="B78:L78"/>
    <mergeCell ref="B79:L79"/>
    <mergeCell ref="AL72:AP72"/>
    <mergeCell ref="AT72:AX72"/>
    <mergeCell ref="A73:C73"/>
    <mergeCell ref="D73:J73"/>
    <mergeCell ref="L73:R73"/>
    <mergeCell ref="T73:Z73"/>
    <mergeCell ref="AB73:AH73"/>
    <mergeCell ref="AJ73:AP73"/>
    <mergeCell ref="AR73:AX73"/>
    <mergeCell ref="A72:B72"/>
    <mergeCell ref="F72:J72"/>
    <mergeCell ref="N72:R72"/>
    <mergeCell ref="V72:Z72"/>
    <mergeCell ref="AD72:AH72"/>
    <mergeCell ref="B75:L75"/>
  </mergeCell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tabColor theme="6" tint="0.59999389629810485"/>
    <pageSetUpPr fitToPage="1"/>
  </sheetPr>
  <dimension ref="A1:TY102"/>
  <sheetViews>
    <sheetView zoomScale="85" zoomScaleNormal="85" workbookViewId="0">
      <pane xSplit="3" ySplit="6" topLeftCell="D7" activePane="bottomRight" state="frozen"/>
      <selection pane="topRight" activeCell="D1" sqref="D1"/>
      <selection pane="bottomLeft" activeCell="A7" sqref="A7"/>
      <selection pane="bottomRight" activeCell="A2" sqref="A2:B2"/>
    </sheetView>
  </sheetViews>
  <sheetFormatPr defaultColWidth="8.453125" defaultRowHeight="13" x14ac:dyDescent="0.25"/>
  <cols>
    <col min="1" max="1" width="18.81640625" style="292" customWidth="1"/>
    <col min="2" max="2" width="18.54296875" style="292" customWidth="1"/>
    <col min="3" max="3" width="31.81640625" style="292" customWidth="1"/>
    <col min="4" max="4" width="3.81640625" style="292" customWidth="1"/>
    <col min="5" max="5" width="17.1796875" style="292" customWidth="1"/>
    <col min="6" max="6" width="11.7265625" style="292" bestFit="1" customWidth="1"/>
    <col min="7" max="7" width="20.1796875" style="292" customWidth="1"/>
    <col min="8" max="8" width="4" style="292" customWidth="1"/>
    <col min="9" max="9" width="15.7265625" style="292" customWidth="1"/>
    <col min="10" max="10" width="11.7265625" style="292" bestFit="1" customWidth="1"/>
    <col min="11" max="11" width="21.7265625" style="292" customWidth="1"/>
    <col min="12" max="12" width="3.453125" style="292" customWidth="1"/>
    <col min="13" max="13" width="15.7265625" style="292" customWidth="1"/>
    <col min="14" max="14" width="12.54296875" style="292" bestFit="1" customWidth="1"/>
    <col min="15" max="15" width="14.81640625" style="292" customWidth="1"/>
    <col min="16" max="16" width="3.81640625" style="292" customWidth="1"/>
    <col min="17" max="17" width="15.453125" style="292" customWidth="1"/>
    <col min="18" max="18" width="12.81640625" style="292" bestFit="1" customWidth="1"/>
    <col min="19" max="19" width="15.453125" style="292" customWidth="1"/>
    <col min="20" max="20" width="3.81640625" style="292" customWidth="1"/>
    <col min="21" max="21" width="16.81640625" style="292" customWidth="1"/>
    <col min="22" max="22" width="12.1796875" style="292" customWidth="1"/>
    <col min="23" max="23" width="15.1796875" style="292" customWidth="1"/>
    <col min="24" max="24" width="3.81640625" style="292" customWidth="1"/>
    <col min="25" max="25" width="13.26953125" style="292" bestFit="1" customWidth="1"/>
    <col min="26" max="26" width="12.54296875" style="292" bestFit="1" customWidth="1"/>
    <col min="27" max="27" width="17.453125" style="292" customWidth="1"/>
    <col min="28" max="28" width="3.453125" style="292" customWidth="1"/>
    <col min="29" max="29" width="15.81640625" style="292" customWidth="1"/>
    <col min="30" max="30" width="23.453125" style="292" customWidth="1"/>
    <col min="31" max="31" width="6.453125" style="292" customWidth="1"/>
    <col min="32" max="16384" width="8.453125" style="292"/>
  </cols>
  <sheetData>
    <row r="1" spans="1:61" ht="12.65" customHeight="1" x14ac:dyDescent="0.25">
      <c r="A1" s="951"/>
      <c r="B1" s="952"/>
      <c r="C1" s="953"/>
      <c r="D1" s="954"/>
      <c r="E1" s="955"/>
      <c r="F1" s="955"/>
      <c r="G1" s="955"/>
      <c r="H1" s="954"/>
      <c r="I1" s="955"/>
      <c r="J1" s="955"/>
      <c r="K1" s="955"/>
      <c r="L1" s="954"/>
      <c r="M1" s="955"/>
      <c r="N1" s="955"/>
      <c r="O1" s="955"/>
      <c r="P1" s="954"/>
      <c r="Q1" s="955"/>
      <c r="R1" s="955"/>
      <c r="S1" s="955"/>
      <c r="T1" s="954"/>
      <c r="U1" s="955"/>
      <c r="V1" s="955"/>
      <c r="W1" s="955"/>
      <c r="X1" s="954"/>
      <c r="Y1" s="955"/>
      <c r="Z1" s="955"/>
      <c r="AA1" s="955"/>
      <c r="AB1" s="955"/>
      <c r="AC1" s="955"/>
      <c r="AD1" s="955"/>
      <c r="AE1" s="956"/>
      <c r="AF1" s="802"/>
      <c r="AG1" s="802"/>
      <c r="AH1" s="802"/>
      <c r="AI1" s="802"/>
      <c r="AJ1" s="802"/>
      <c r="AK1" s="802"/>
      <c r="AL1" s="802"/>
      <c r="AM1" s="802"/>
      <c r="AN1" s="802"/>
      <c r="AO1" s="802"/>
      <c r="AP1" s="802"/>
      <c r="AQ1" s="802"/>
      <c r="AR1" s="802"/>
      <c r="AS1" s="802"/>
      <c r="AT1" s="802"/>
      <c r="AU1" s="802"/>
      <c r="AV1" s="802"/>
      <c r="AW1" s="802"/>
      <c r="AX1" s="802"/>
      <c r="AY1" s="802"/>
      <c r="AZ1" s="802"/>
      <c r="BA1" s="802"/>
      <c r="BB1" s="802"/>
      <c r="BC1" s="802"/>
      <c r="BD1" s="802"/>
    </row>
    <row r="2" spans="1:61" ht="34" customHeight="1" x14ac:dyDescent="0.25">
      <c r="A2" s="1317" t="s">
        <v>470</v>
      </c>
      <c r="B2" s="1318"/>
      <c r="C2" s="614" t="s">
        <v>319</v>
      </c>
      <c r="D2" s="1180"/>
      <c r="E2" s="957"/>
      <c r="F2" s="957"/>
      <c r="G2" s="957"/>
      <c r="H2" s="1180"/>
      <c r="I2" s="957"/>
      <c r="J2" s="957"/>
      <c r="K2" s="957"/>
      <c r="L2" s="1180"/>
      <c r="M2" s="957"/>
      <c r="N2" s="957"/>
      <c r="O2" s="957"/>
      <c r="P2" s="1180"/>
      <c r="Q2" s="957"/>
      <c r="R2" s="957"/>
      <c r="S2" s="957"/>
      <c r="T2" s="1180"/>
      <c r="U2" s="957"/>
      <c r="V2" s="957"/>
      <c r="W2" s="957"/>
      <c r="X2" s="1180"/>
      <c r="Y2" s="957"/>
      <c r="Z2" s="957"/>
      <c r="AA2" s="957"/>
      <c r="AB2" s="957"/>
      <c r="AC2" s="957"/>
      <c r="AD2" s="957"/>
      <c r="AE2" s="958"/>
      <c r="AF2" s="802"/>
      <c r="AG2" s="802"/>
      <c r="AH2" s="802"/>
      <c r="AI2" s="802"/>
      <c r="AJ2" s="802"/>
      <c r="AK2" s="802"/>
      <c r="AL2" s="802"/>
      <c r="AM2" s="802"/>
      <c r="AN2" s="802"/>
      <c r="AO2" s="802"/>
      <c r="AP2" s="802"/>
      <c r="AQ2" s="802"/>
      <c r="AR2" s="802"/>
      <c r="AS2" s="802"/>
      <c r="AT2" s="802"/>
      <c r="AU2" s="802"/>
      <c r="AV2" s="802"/>
      <c r="AW2" s="802"/>
      <c r="AX2" s="802"/>
      <c r="AY2" s="802"/>
      <c r="AZ2" s="802"/>
      <c r="BA2" s="802"/>
      <c r="BB2" s="802"/>
      <c r="BC2" s="802"/>
      <c r="BD2" s="802"/>
    </row>
    <row r="3" spans="1:61" ht="10.5" customHeight="1" x14ac:dyDescent="0.25">
      <c r="A3" s="959"/>
      <c r="B3" s="960"/>
      <c r="C3" s="960"/>
      <c r="D3" s="1180"/>
      <c r="E3" s="957"/>
      <c r="F3" s="957"/>
      <c r="G3" s="957"/>
      <c r="H3" s="1180"/>
      <c r="I3" s="957"/>
      <c r="J3" s="957"/>
      <c r="K3" s="957"/>
      <c r="L3" s="1180"/>
      <c r="M3" s="957"/>
      <c r="N3" s="957"/>
      <c r="O3" s="957"/>
      <c r="P3" s="1180"/>
      <c r="Q3" s="957"/>
      <c r="R3" s="957"/>
      <c r="S3" s="957"/>
      <c r="T3" s="1180"/>
      <c r="U3" s="957"/>
      <c r="V3" s="957"/>
      <c r="W3" s="957"/>
      <c r="X3" s="1180"/>
      <c r="Y3" s="957"/>
      <c r="Z3" s="957"/>
      <c r="AA3" s="957"/>
      <c r="AB3" s="957"/>
      <c r="AC3" s="957"/>
      <c r="AD3" s="957"/>
      <c r="AE3" s="958"/>
      <c r="AF3" s="802"/>
      <c r="AG3" s="802"/>
      <c r="AH3" s="802"/>
      <c r="AI3" s="802"/>
      <c r="AJ3" s="802"/>
      <c r="AK3" s="802"/>
      <c r="AL3" s="802"/>
      <c r="AM3" s="802"/>
      <c r="AN3" s="802"/>
      <c r="AO3" s="802"/>
      <c r="AP3" s="802"/>
      <c r="AQ3" s="802"/>
      <c r="AR3" s="802"/>
      <c r="AS3" s="802"/>
      <c r="AT3" s="802"/>
      <c r="AU3" s="802"/>
      <c r="AV3" s="802"/>
      <c r="AW3" s="802"/>
      <c r="AX3" s="802"/>
      <c r="AY3" s="802"/>
      <c r="AZ3" s="802"/>
      <c r="BA3" s="802"/>
      <c r="BB3" s="802"/>
      <c r="BC3" s="802"/>
      <c r="BD3" s="802"/>
    </row>
    <row r="4" spans="1:61" ht="21" customHeight="1" x14ac:dyDescent="0.25">
      <c r="A4" s="1149" t="s">
        <v>320</v>
      </c>
      <c r="B4" s="1331" t="str">
        <f>General!D4</f>
        <v>Name</v>
      </c>
      <c r="C4" s="1331"/>
      <c r="D4" s="1180"/>
      <c r="E4" s="1309"/>
      <c r="F4" s="1309"/>
      <c r="G4" s="1309"/>
      <c r="H4" s="1180"/>
      <c r="I4" s="1309"/>
      <c r="J4" s="1309"/>
      <c r="K4" s="1309"/>
      <c r="L4" s="1180"/>
      <c r="M4" s="1309"/>
      <c r="N4" s="1309"/>
      <c r="O4" s="1309"/>
      <c r="P4" s="1180"/>
      <c r="Q4" s="1309"/>
      <c r="R4" s="1309"/>
      <c r="S4" s="1309"/>
      <c r="T4" s="1180"/>
      <c r="U4" s="1309"/>
      <c r="V4" s="1309"/>
      <c r="W4" s="1309"/>
      <c r="X4" s="1180"/>
      <c r="Y4" s="1309"/>
      <c r="Z4" s="1309"/>
      <c r="AA4" s="1309"/>
      <c r="AB4" s="1177"/>
      <c r="AC4" s="957"/>
      <c r="AD4" s="957"/>
      <c r="AE4" s="958"/>
      <c r="AF4" s="802"/>
      <c r="AG4" s="802"/>
      <c r="AH4" s="802"/>
      <c r="AI4" s="802"/>
      <c r="AJ4" s="802"/>
      <c r="AK4" s="802"/>
      <c r="AL4" s="802"/>
      <c r="AM4" s="802"/>
      <c r="AN4" s="802"/>
      <c r="AO4" s="802"/>
      <c r="AP4" s="802"/>
      <c r="AQ4" s="802"/>
      <c r="AR4" s="802"/>
      <c r="AS4" s="802"/>
      <c r="AT4" s="802"/>
      <c r="AU4" s="802"/>
      <c r="AV4" s="802"/>
      <c r="AW4" s="802"/>
      <c r="AX4" s="802"/>
      <c r="AY4" s="802"/>
      <c r="AZ4" s="802"/>
      <c r="BA4" s="802"/>
      <c r="BB4" s="802"/>
      <c r="BC4" s="802"/>
      <c r="BD4" s="802"/>
    </row>
    <row r="5" spans="1:61" ht="22" customHeight="1" x14ac:dyDescent="0.25">
      <c r="A5" s="1149" t="s">
        <v>321</v>
      </c>
      <c r="B5" s="1331" t="str">
        <f>General!D5</f>
        <v>Name</v>
      </c>
      <c r="C5" s="1331"/>
      <c r="D5" s="960"/>
      <c r="E5" s="960"/>
      <c r="F5" s="960"/>
      <c r="G5" s="960"/>
      <c r="H5" s="1180"/>
      <c r="I5" s="960"/>
      <c r="J5" s="960"/>
      <c r="K5" s="960"/>
      <c r="L5" s="1180"/>
      <c r="M5" s="960"/>
      <c r="N5" s="960"/>
      <c r="O5" s="960"/>
      <c r="P5" s="1180"/>
      <c r="Q5" s="960"/>
      <c r="R5" s="960"/>
      <c r="S5" s="960"/>
      <c r="T5" s="1180"/>
      <c r="U5" s="960"/>
      <c r="V5" s="960"/>
      <c r="W5" s="960"/>
      <c r="X5" s="1180"/>
      <c r="Y5" s="960"/>
      <c r="Z5" s="960"/>
      <c r="AA5" s="960"/>
      <c r="AB5" s="972"/>
      <c r="AC5" s="960"/>
      <c r="AD5" s="960"/>
      <c r="AE5" s="958"/>
      <c r="AF5" s="803"/>
      <c r="AG5" s="803"/>
      <c r="AH5" s="803"/>
      <c r="AR5" s="803"/>
      <c r="AS5" s="803"/>
      <c r="AT5" s="803"/>
      <c r="AU5" s="803"/>
      <c r="AV5" s="803"/>
      <c r="AW5" s="803"/>
      <c r="AX5" s="803"/>
      <c r="AZ5" s="803"/>
      <c r="BA5" s="803"/>
      <c r="BB5" s="803"/>
      <c r="BC5" s="803"/>
      <c r="BD5" s="803"/>
      <c r="BE5" s="803"/>
      <c r="BF5" s="803"/>
      <c r="BG5" s="1307"/>
      <c r="BH5" s="1307"/>
      <c r="BI5" s="1307"/>
    </row>
    <row r="6" spans="1:61" ht="24" customHeight="1" x14ac:dyDescent="0.25">
      <c r="A6" s="961"/>
      <c r="B6" s="962"/>
      <c r="C6" s="962"/>
      <c r="D6" s="960"/>
      <c r="E6" s="1314" t="str">
        <f>Period1_Label</f>
        <v>FY 1</v>
      </c>
      <c r="F6" s="1315"/>
      <c r="G6" s="1316"/>
      <c r="H6" s="1180"/>
      <c r="I6" s="1314" t="str">
        <f>Period2_Label</f>
        <v>FY 2</v>
      </c>
      <c r="J6" s="1315"/>
      <c r="K6" s="1316"/>
      <c r="L6" s="1180"/>
      <c r="M6" s="1314" t="str">
        <f>Period3_Label</f>
        <v>FY 3</v>
      </c>
      <c r="N6" s="1315"/>
      <c r="O6" s="1316"/>
      <c r="P6" s="1180"/>
      <c r="Q6" s="1314" t="str">
        <f>Period4_Label</f>
        <v>FY 4</v>
      </c>
      <c r="R6" s="1315"/>
      <c r="S6" s="1316"/>
      <c r="T6" s="1180"/>
      <c r="U6" s="1314" t="str">
        <f>Period5_Label</f>
        <v>FY 5</v>
      </c>
      <c r="V6" s="1315"/>
      <c r="W6" s="1316"/>
      <c r="X6" s="1180"/>
      <c r="Y6" s="1314" t="str">
        <f>Period6_Label</f>
        <v>FY 6</v>
      </c>
      <c r="Z6" s="1315"/>
      <c r="AA6" s="1316"/>
      <c r="AB6" s="972"/>
      <c r="AC6" s="1312" t="s">
        <v>322</v>
      </c>
      <c r="AD6" s="1313"/>
      <c r="AE6" s="958"/>
      <c r="AF6" s="804"/>
      <c r="AG6" s="804"/>
      <c r="AH6" s="804"/>
      <c r="AJ6" s="804"/>
      <c r="AK6" s="804"/>
      <c r="AL6" s="804"/>
      <c r="AM6" s="804"/>
      <c r="AN6" s="804"/>
      <c r="AO6" s="804"/>
      <c r="AP6" s="804"/>
      <c r="AR6" s="804"/>
      <c r="AS6" s="804"/>
      <c r="AT6" s="804"/>
      <c r="AU6" s="804"/>
      <c r="AV6" s="804"/>
      <c r="AW6" s="804"/>
      <c r="AX6" s="804"/>
      <c r="AZ6" s="804"/>
      <c r="BA6" s="804"/>
      <c r="BB6" s="804"/>
      <c r="BC6" s="804"/>
      <c r="BD6" s="804"/>
      <c r="BE6" s="804"/>
      <c r="BF6" s="804"/>
    </row>
    <row r="7" spans="1:61" ht="21.65" customHeight="1" x14ac:dyDescent="0.25">
      <c r="A7" s="1336" t="s">
        <v>323</v>
      </c>
      <c r="B7" s="1336"/>
      <c r="C7" s="1336"/>
      <c r="D7" s="960"/>
      <c r="E7" s="1308" t="str">
        <f>CONCATENATE(TEXT('Proposer Constants'!C14,"MM/DD/YY")," to ",TEXT('Proposer Constants'!C15,"MM/DD/YY"))</f>
        <v>06/01/25 to 05/31/26</v>
      </c>
      <c r="F7" s="1308"/>
      <c r="G7" s="1308"/>
      <c r="H7" s="1180"/>
      <c r="I7" s="1308" t="str">
        <f>CONCATENATE(TEXT('Proposer Constants'!D14,"MM/DD/YY")," to ",TEXT('Proposer Constants'!D15,"MM/DD/YY"))</f>
        <v>06/01/26 to 05/31/27</v>
      </c>
      <c r="J7" s="1308"/>
      <c r="K7" s="1308"/>
      <c r="L7" s="1180"/>
      <c r="M7" s="1308" t="str">
        <f>CONCATENATE(TEXT('Proposer Constants'!E14,"MM/DD/YY")," to ",TEXT('Proposer Constants'!E15,"MM/DD/YY"))</f>
        <v>06/01/27 to 05/31/28</v>
      </c>
      <c r="N7" s="1308"/>
      <c r="O7" s="1308"/>
      <c r="P7" s="1180"/>
      <c r="Q7" s="1308" t="str">
        <f>CONCATENATE(TEXT('Proposer Constants'!F14,"MM/DD/YY")," to ",TEXT('Proposer Constants'!F15,"MM/DD/YY"))</f>
        <v>06/01/28 to 05/31/29</v>
      </c>
      <c r="R7" s="1308"/>
      <c r="S7" s="1308"/>
      <c r="T7" s="1180"/>
      <c r="U7" s="1308" t="str">
        <f>CONCATENATE(TEXT('Proposer Constants'!G14,"MM/DD/YY")," to ",TEXT('Proposer Constants'!G15,"MM/DD/YY"))</f>
        <v>06/01/29 to 05/31/30</v>
      </c>
      <c r="V7" s="1308"/>
      <c r="W7" s="1308"/>
      <c r="X7" s="1180"/>
      <c r="Y7" s="1308" t="str">
        <f>CONCATENATE(TEXT('Proposer Constants'!H14,"MM/DD/YY")," to ",TEXT('Proposer Constants'!H15,"MM/DD/YY"))</f>
        <v>06/01/30 to 05/31/31</v>
      </c>
      <c r="Z7" s="1308"/>
      <c r="AA7" s="1308"/>
      <c r="AB7" s="973"/>
      <c r="AC7" s="1310" t="s">
        <v>324</v>
      </c>
      <c r="AD7" s="1311"/>
      <c r="AE7" s="958"/>
      <c r="AF7" s="802"/>
      <c r="AG7" s="802"/>
      <c r="AH7" s="802"/>
      <c r="AI7" s="802"/>
      <c r="AL7" s="802"/>
      <c r="AM7" s="805"/>
      <c r="AN7" s="802"/>
      <c r="AO7" s="802"/>
      <c r="AP7" s="802"/>
      <c r="AQ7" s="802"/>
      <c r="AS7" s="804"/>
      <c r="AT7" s="802"/>
      <c r="AU7" s="805"/>
      <c r="AV7" s="802"/>
    </row>
    <row r="8" spans="1:61" s="616" customFormat="1" ht="31.5" customHeight="1" x14ac:dyDescent="0.25">
      <c r="A8" s="1332" t="s">
        <v>325</v>
      </c>
      <c r="B8" s="1333"/>
      <c r="C8" s="1098" t="s">
        <v>326</v>
      </c>
      <c r="D8" s="963"/>
      <c r="E8" s="617" t="s">
        <v>327</v>
      </c>
      <c r="F8" s="617" t="s">
        <v>328</v>
      </c>
      <c r="G8" s="617" t="s">
        <v>329</v>
      </c>
      <c r="H8" s="1180"/>
      <c r="I8" s="617" t="s">
        <v>327</v>
      </c>
      <c r="J8" s="617" t="s">
        <v>328</v>
      </c>
      <c r="K8" s="617" t="s">
        <v>329</v>
      </c>
      <c r="L8" s="1180"/>
      <c r="M8" s="617" t="s">
        <v>327</v>
      </c>
      <c r="N8" s="617" t="s">
        <v>328</v>
      </c>
      <c r="O8" s="617" t="s">
        <v>329</v>
      </c>
      <c r="P8" s="1180"/>
      <c r="Q8" s="617" t="s">
        <v>327</v>
      </c>
      <c r="R8" s="617" t="s">
        <v>328</v>
      </c>
      <c r="S8" s="617" t="s">
        <v>329</v>
      </c>
      <c r="T8" s="1180"/>
      <c r="U8" s="617" t="s">
        <v>327</v>
      </c>
      <c r="V8" s="617" t="s">
        <v>328</v>
      </c>
      <c r="W8" s="617" t="s">
        <v>329</v>
      </c>
      <c r="X8" s="1180"/>
      <c r="Y8" s="617" t="s">
        <v>327</v>
      </c>
      <c r="Z8" s="617" t="s">
        <v>328</v>
      </c>
      <c r="AA8" s="617" t="s">
        <v>329</v>
      </c>
      <c r="AB8" s="974"/>
      <c r="AC8" s="617" t="s">
        <v>330</v>
      </c>
      <c r="AD8" s="617" t="s">
        <v>331</v>
      </c>
      <c r="AE8" s="958"/>
    </row>
    <row r="9" spans="1:61" ht="15" customHeight="1" x14ac:dyDescent="0.25">
      <c r="A9" s="1321" t="str">
        <f>IF(ISBLANK('Labor Rates'!D8),"",'Labor Rates'!D8)</f>
        <v/>
      </c>
      <c r="B9" s="1322"/>
      <c r="C9" s="949" t="str">
        <f>IF(ISBLANK('Labor Rates'!E8),"",'Labor Rates'!E8)</f>
        <v/>
      </c>
      <c r="D9" s="960"/>
      <c r="E9" s="791">
        <v>0</v>
      </c>
      <c r="F9" s="618">
        <f>'Labor Rates'!F8</f>
        <v>0</v>
      </c>
      <c r="G9" s="619">
        <f>E9*F9</f>
        <v>0</v>
      </c>
      <c r="H9" s="1180"/>
      <c r="I9" s="791">
        <v>0</v>
      </c>
      <c r="J9" s="618">
        <f>'Labor Rates'!H8</f>
        <v>0</v>
      </c>
      <c r="K9" s="619">
        <f>I9*J9</f>
        <v>0</v>
      </c>
      <c r="L9" s="1180"/>
      <c r="M9" s="791">
        <v>0</v>
      </c>
      <c r="N9" s="618">
        <f>'Labor Rates'!J8</f>
        <v>0</v>
      </c>
      <c r="O9" s="619">
        <f>M9*N9</f>
        <v>0</v>
      </c>
      <c r="P9" s="1180"/>
      <c r="Q9" s="791">
        <v>0</v>
      </c>
      <c r="R9" s="618">
        <f>'Labor Rates'!L8</f>
        <v>0</v>
      </c>
      <c r="S9" s="619">
        <f>Q9*R9</f>
        <v>0</v>
      </c>
      <c r="T9" s="1180"/>
      <c r="U9" s="791">
        <v>0</v>
      </c>
      <c r="V9" s="618">
        <f>'Labor Rates'!N8</f>
        <v>0</v>
      </c>
      <c r="W9" s="619">
        <f>U9*V9</f>
        <v>0</v>
      </c>
      <c r="X9" s="1180"/>
      <c r="Y9" s="791">
        <v>0</v>
      </c>
      <c r="Z9" s="618">
        <f>'Labor Rates'!P8</f>
        <v>0</v>
      </c>
      <c r="AA9" s="619">
        <f>Y9*Z9</f>
        <v>0</v>
      </c>
      <c r="AB9" s="975"/>
      <c r="AC9" s="1002">
        <f t="shared" ref="AC9:AC32" si="0">E9+I9+M9+Q9+U9+Y9</f>
        <v>0</v>
      </c>
      <c r="AD9" s="619">
        <f t="shared" ref="AD9:AD32" si="1">G9+K9+O9+S9+W9+AA9</f>
        <v>0</v>
      </c>
      <c r="AE9" s="958"/>
    </row>
    <row r="10" spans="1:61" ht="15" customHeight="1" x14ac:dyDescent="0.25">
      <c r="A10" s="1321" t="str">
        <f>IF(ISBLANK('Labor Rates'!D9),"",'Labor Rates'!D9)</f>
        <v/>
      </c>
      <c r="B10" s="1322"/>
      <c r="C10" s="949" t="str">
        <f>IF(ISBLANK('Labor Rates'!E9),"",'Labor Rates'!E9)</f>
        <v/>
      </c>
      <c r="D10" s="960"/>
      <c r="E10" s="791">
        <v>0</v>
      </c>
      <c r="F10" s="618">
        <f>'Labor Rates'!F9</f>
        <v>0</v>
      </c>
      <c r="G10" s="619">
        <f t="shared" ref="G10:G32" si="2">E10*F10</f>
        <v>0</v>
      </c>
      <c r="H10" s="1180"/>
      <c r="I10" s="791">
        <v>0</v>
      </c>
      <c r="J10" s="618">
        <f>'Labor Rates'!H9</f>
        <v>0</v>
      </c>
      <c r="K10" s="619">
        <f t="shared" ref="K10:K32" si="3">I10*J10</f>
        <v>0</v>
      </c>
      <c r="L10" s="1180"/>
      <c r="M10" s="791">
        <v>0</v>
      </c>
      <c r="N10" s="618">
        <f>'Labor Rates'!J9</f>
        <v>0</v>
      </c>
      <c r="O10" s="619">
        <f t="shared" ref="O10:O32" si="4">M10*N10</f>
        <v>0</v>
      </c>
      <c r="P10" s="1180"/>
      <c r="Q10" s="791">
        <v>0</v>
      </c>
      <c r="R10" s="618">
        <f>'Labor Rates'!L9</f>
        <v>0</v>
      </c>
      <c r="S10" s="619">
        <f t="shared" ref="S10:S32" si="5">Q10*R10</f>
        <v>0</v>
      </c>
      <c r="T10" s="1180"/>
      <c r="U10" s="791">
        <v>0</v>
      </c>
      <c r="V10" s="618">
        <f>'Labor Rates'!N9</f>
        <v>0</v>
      </c>
      <c r="W10" s="619">
        <f t="shared" ref="W10:W32" si="6">U10*V10</f>
        <v>0</v>
      </c>
      <c r="X10" s="1180"/>
      <c r="Y10" s="791">
        <v>0</v>
      </c>
      <c r="Z10" s="618">
        <f>'Labor Rates'!P9</f>
        <v>0</v>
      </c>
      <c r="AA10" s="619">
        <f t="shared" ref="AA10:AA32" si="7">Y10*Z10</f>
        <v>0</v>
      </c>
      <c r="AB10" s="975"/>
      <c r="AC10" s="1002">
        <f t="shared" si="0"/>
        <v>0</v>
      </c>
      <c r="AD10" s="619">
        <f t="shared" si="1"/>
        <v>0</v>
      </c>
      <c r="AE10" s="958"/>
    </row>
    <row r="11" spans="1:61" ht="15" customHeight="1" x14ac:dyDescent="0.25">
      <c r="A11" s="1321" t="str">
        <f>IF(ISBLANK('Labor Rates'!D10),"",'Labor Rates'!D10)</f>
        <v/>
      </c>
      <c r="B11" s="1322"/>
      <c r="C11" s="949" t="str">
        <f>IF(ISBLANK('Labor Rates'!E10),"",'Labor Rates'!E10)</f>
        <v/>
      </c>
      <c r="D11" s="960"/>
      <c r="E11" s="791">
        <v>0</v>
      </c>
      <c r="F11" s="618">
        <f>'Labor Rates'!F10</f>
        <v>0</v>
      </c>
      <c r="G11" s="619">
        <f t="shared" si="2"/>
        <v>0</v>
      </c>
      <c r="H11" s="1180"/>
      <c r="I11" s="791">
        <v>0</v>
      </c>
      <c r="J11" s="618">
        <f>'Labor Rates'!H10</f>
        <v>0</v>
      </c>
      <c r="K11" s="619">
        <f t="shared" si="3"/>
        <v>0</v>
      </c>
      <c r="L11" s="1180"/>
      <c r="M11" s="791">
        <v>0</v>
      </c>
      <c r="N11" s="618">
        <f>'Labor Rates'!J10</f>
        <v>0</v>
      </c>
      <c r="O11" s="619">
        <f t="shared" si="4"/>
        <v>0</v>
      </c>
      <c r="P11" s="1180"/>
      <c r="Q11" s="791">
        <v>0</v>
      </c>
      <c r="R11" s="618">
        <f>'Labor Rates'!L10</f>
        <v>0</v>
      </c>
      <c r="S11" s="619">
        <f t="shared" si="5"/>
        <v>0</v>
      </c>
      <c r="T11" s="1180"/>
      <c r="U11" s="791">
        <v>0</v>
      </c>
      <c r="V11" s="618">
        <f>'Labor Rates'!N10</f>
        <v>0</v>
      </c>
      <c r="W11" s="619">
        <f t="shared" si="6"/>
        <v>0</v>
      </c>
      <c r="X11" s="1180"/>
      <c r="Y11" s="791">
        <v>0</v>
      </c>
      <c r="Z11" s="618">
        <f>'Labor Rates'!P10</f>
        <v>0</v>
      </c>
      <c r="AA11" s="619">
        <f t="shared" si="7"/>
        <v>0</v>
      </c>
      <c r="AB11" s="975"/>
      <c r="AC11" s="1002">
        <f t="shared" si="0"/>
        <v>0</v>
      </c>
      <c r="AD11" s="619">
        <f t="shared" si="1"/>
        <v>0</v>
      </c>
      <c r="AE11" s="958"/>
    </row>
    <row r="12" spans="1:61" ht="15" customHeight="1" x14ac:dyDescent="0.25">
      <c r="A12" s="1321" t="str">
        <f>IF(ISBLANK('Labor Rates'!D11),"",'Labor Rates'!D11)</f>
        <v/>
      </c>
      <c r="B12" s="1322"/>
      <c r="C12" s="949" t="str">
        <f>IF(ISBLANK('Labor Rates'!E11),"",'Labor Rates'!E11)</f>
        <v/>
      </c>
      <c r="D12" s="960"/>
      <c r="E12" s="791">
        <v>0</v>
      </c>
      <c r="F12" s="618">
        <f>'Labor Rates'!F11</f>
        <v>0</v>
      </c>
      <c r="G12" s="619">
        <f t="shared" si="2"/>
        <v>0</v>
      </c>
      <c r="H12" s="1180"/>
      <c r="I12" s="791">
        <v>0</v>
      </c>
      <c r="J12" s="618">
        <f>'Labor Rates'!H11</f>
        <v>0</v>
      </c>
      <c r="K12" s="619">
        <f t="shared" si="3"/>
        <v>0</v>
      </c>
      <c r="L12" s="1180"/>
      <c r="M12" s="791">
        <v>0</v>
      </c>
      <c r="N12" s="618">
        <f>'Labor Rates'!J11</f>
        <v>0</v>
      </c>
      <c r="O12" s="619">
        <f t="shared" si="4"/>
        <v>0</v>
      </c>
      <c r="P12" s="1180"/>
      <c r="Q12" s="791">
        <v>0</v>
      </c>
      <c r="R12" s="618">
        <f>'Labor Rates'!L11</f>
        <v>0</v>
      </c>
      <c r="S12" s="619">
        <f t="shared" si="5"/>
        <v>0</v>
      </c>
      <c r="T12" s="1180"/>
      <c r="U12" s="791">
        <v>0</v>
      </c>
      <c r="V12" s="618">
        <f>'Labor Rates'!N11</f>
        <v>0</v>
      </c>
      <c r="W12" s="619">
        <f t="shared" si="6"/>
        <v>0</v>
      </c>
      <c r="X12" s="1180"/>
      <c r="Y12" s="791">
        <v>0</v>
      </c>
      <c r="Z12" s="618">
        <f>'Labor Rates'!P11</f>
        <v>0</v>
      </c>
      <c r="AA12" s="619">
        <f t="shared" si="7"/>
        <v>0</v>
      </c>
      <c r="AB12" s="975"/>
      <c r="AC12" s="1002">
        <f t="shared" si="0"/>
        <v>0</v>
      </c>
      <c r="AD12" s="619">
        <f t="shared" si="1"/>
        <v>0</v>
      </c>
      <c r="AE12" s="958"/>
    </row>
    <row r="13" spans="1:61" ht="15" customHeight="1" x14ac:dyDescent="0.25">
      <c r="A13" s="1321" t="str">
        <f>IF(ISBLANK('Labor Rates'!D12),"",'Labor Rates'!D12)</f>
        <v/>
      </c>
      <c r="B13" s="1322"/>
      <c r="C13" s="949" t="str">
        <f>IF(ISBLANK('Labor Rates'!E12),"",'Labor Rates'!E12)</f>
        <v/>
      </c>
      <c r="D13" s="960"/>
      <c r="E13" s="791">
        <v>0</v>
      </c>
      <c r="F13" s="618">
        <f>'Labor Rates'!F12</f>
        <v>0</v>
      </c>
      <c r="G13" s="619">
        <f t="shared" si="2"/>
        <v>0</v>
      </c>
      <c r="H13" s="1180"/>
      <c r="I13" s="791">
        <v>0</v>
      </c>
      <c r="J13" s="618">
        <f>'Labor Rates'!H12</f>
        <v>0</v>
      </c>
      <c r="K13" s="619">
        <f t="shared" si="3"/>
        <v>0</v>
      </c>
      <c r="L13" s="1180"/>
      <c r="M13" s="791">
        <v>0</v>
      </c>
      <c r="N13" s="618">
        <f>'Labor Rates'!J12</f>
        <v>0</v>
      </c>
      <c r="O13" s="619">
        <f t="shared" si="4"/>
        <v>0</v>
      </c>
      <c r="P13" s="1180"/>
      <c r="Q13" s="791">
        <v>0</v>
      </c>
      <c r="R13" s="618">
        <f>'Labor Rates'!L12</f>
        <v>0</v>
      </c>
      <c r="S13" s="619">
        <f t="shared" si="5"/>
        <v>0</v>
      </c>
      <c r="T13" s="1180"/>
      <c r="U13" s="791">
        <v>0</v>
      </c>
      <c r="V13" s="618">
        <f>'Labor Rates'!N12</f>
        <v>0</v>
      </c>
      <c r="W13" s="619">
        <f t="shared" si="6"/>
        <v>0</v>
      </c>
      <c r="X13" s="1180"/>
      <c r="Y13" s="791">
        <v>0</v>
      </c>
      <c r="Z13" s="618">
        <f>'Labor Rates'!P12</f>
        <v>0</v>
      </c>
      <c r="AA13" s="619">
        <f t="shared" si="7"/>
        <v>0</v>
      </c>
      <c r="AB13" s="975"/>
      <c r="AC13" s="1002">
        <f t="shared" si="0"/>
        <v>0</v>
      </c>
      <c r="AD13" s="619">
        <f t="shared" si="1"/>
        <v>0</v>
      </c>
      <c r="AE13" s="958"/>
    </row>
    <row r="14" spans="1:61" ht="15" customHeight="1" x14ac:dyDescent="0.25">
      <c r="A14" s="1321" t="str">
        <f>IF(ISBLANK('Labor Rates'!D13),"",'Labor Rates'!D13)</f>
        <v/>
      </c>
      <c r="B14" s="1322"/>
      <c r="C14" s="949" t="str">
        <f>IF(ISBLANK('Labor Rates'!E13),"",'Labor Rates'!E13)</f>
        <v/>
      </c>
      <c r="D14" s="960"/>
      <c r="E14" s="791">
        <v>0</v>
      </c>
      <c r="F14" s="618">
        <f>'Labor Rates'!F13</f>
        <v>0</v>
      </c>
      <c r="G14" s="619">
        <f t="shared" si="2"/>
        <v>0</v>
      </c>
      <c r="H14" s="1180"/>
      <c r="I14" s="791">
        <v>0</v>
      </c>
      <c r="J14" s="618">
        <f>'Labor Rates'!H13</f>
        <v>0</v>
      </c>
      <c r="K14" s="619">
        <f t="shared" si="3"/>
        <v>0</v>
      </c>
      <c r="L14" s="1180"/>
      <c r="M14" s="791">
        <v>0</v>
      </c>
      <c r="N14" s="618">
        <f>'Labor Rates'!J13</f>
        <v>0</v>
      </c>
      <c r="O14" s="619">
        <f t="shared" si="4"/>
        <v>0</v>
      </c>
      <c r="P14" s="1180"/>
      <c r="Q14" s="791">
        <v>0</v>
      </c>
      <c r="R14" s="618">
        <f>'Labor Rates'!L13</f>
        <v>0</v>
      </c>
      <c r="S14" s="619">
        <f t="shared" si="5"/>
        <v>0</v>
      </c>
      <c r="T14" s="1180"/>
      <c r="U14" s="791">
        <v>0</v>
      </c>
      <c r="V14" s="618">
        <f>'Labor Rates'!N13</f>
        <v>0</v>
      </c>
      <c r="W14" s="619">
        <f t="shared" si="6"/>
        <v>0</v>
      </c>
      <c r="X14" s="1180"/>
      <c r="Y14" s="791">
        <v>0</v>
      </c>
      <c r="Z14" s="618">
        <f>'Labor Rates'!P13</f>
        <v>0</v>
      </c>
      <c r="AA14" s="619">
        <f t="shared" si="7"/>
        <v>0</v>
      </c>
      <c r="AB14" s="975"/>
      <c r="AC14" s="1002">
        <f t="shared" si="0"/>
        <v>0</v>
      </c>
      <c r="AD14" s="619">
        <f t="shared" si="1"/>
        <v>0</v>
      </c>
      <c r="AE14" s="958"/>
    </row>
    <row r="15" spans="1:61" ht="15" customHeight="1" x14ac:dyDescent="0.25">
      <c r="A15" s="1321" t="str">
        <f>IF(ISBLANK('Labor Rates'!D14),"",'Labor Rates'!D14)</f>
        <v/>
      </c>
      <c r="B15" s="1322"/>
      <c r="C15" s="949" t="str">
        <f>IF(ISBLANK('Labor Rates'!E14),"",'Labor Rates'!E14)</f>
        <v/>
      </c>
      <c r="D15" s="960"/>
      <c r="E15" s="791">
        <v>0</v>
      </c>
      <c r="F15" s="618">
        <f>'Labor Rates'!F14</f>
        <v>0</v>
      </c>
      <c r="G15" s="619">
        <f t="shared" si="2"/>
        <v>0</v>
      </c>
      <c r="H15" s="1180"/>
      <c r="I15" s="791">
        <v>0</v>
      </c>
      <c r="J15" s="618">
        <f>'Labor Rates'!H14</f>
        <v>0</v>
      </c>
      <c r="K15" s="619">
        <f t="shared" si="3"/>
        <v>0</v>
      </c>
      <c r="L15" s="1180"/>
      <c r="M15" s="791">
        <v>0</v>
      </c>
      <c r="N15" s="618">
        <f>'Labor Rates'!J14</f>
        <v>0</v>
      </c>
      <c r="O15" s="619">
        <f t="shared" si="4"/>
        <v>0</v>
      </c>
      <c r="P15" s="1180"/>
      <c r="Q15" s="791">
        <v>0</v>
      </c>
      <c r="R15" s="618">
        <f>'Labor Rates'!L14</f>
        <v>0</v>
      </c>
      <c r="S15" s="619">
        <f t="shared" si="5"/>
        <v>0</v>
      </c>
      <c r="T15" s="1180"/>
      <c r="U15" s="791">
        <v>0</v>
      </c>
      <c r="V15" s="618">
        <f>'Labor Rates'!N14</f>
        <v>0</v>
      </c>
      <c r="W15" s="619">
        <f t="shared" si="6"/>
        <v>0</v>
      </c>
      <c r="X15" s="1180"/>
      <c r="Y15" s="791">
        <v>0</v>
      </c>
      <c r="Z15" s="618">
        <f>'Labor Rates'!P14</f>
        <v>0</v>
      </c>
      <c r="AA15" s="619">
        <f t="shared" si="7"/>
        <v>0</v>
      </c>
      <c r="AB15" s="975"/>
      <c r="AC15" s="1002">
        <f t="shared" si="0"/>
        <v>0</v>
      </c>
      <c r="AD15" s="619">
        <f t="shared" si="1"/>
        <v>0</v>
      </c>
      <c r="AE15" s="958"/>
    </row>
    <row r="16" spans="1:61" ht="15" customHeight="1" x14ac:dyDescent="0.25">
      <c r="A16" s="1321" t="str">
        <f>IF(ISBLANK('Labor Rates'!D15),"",'Labor Rates'!D15)</f>
        <v/>
      </c>
      <c r="B16" s="1322"/>
      <c r="C16" s="949" t="str">
        <f>IF(ISBLANK('Labor Rates'!E15),"",'Labor Rates'!E15)</f>
        <v/>
      </c>
      <c r="D16" s="960"/>
      <c r="E16" s="791">
        <v>0</v>
      </c>
      <c r="F16" s="618">
        <f>'Labor Rates'!F15</f>
        <v>0</v>
      </c>
      <c r="G16" s="619">
        <f t="shared" si="2"/>
        <v>0</v>
      </c>
      <c r="H16" s="1180"/>
      <c r="I16" s="791">
        <v>0</v>
      </c>
      <c r="J16" s="618">
        <f>'Labor Rates'!H15</f>
        <v>0</v>
      </c>
      <c r="K16" s="619">
        <f t="shared" si="3"/>
        <v>0</v>
      </c>
      <c r="L16" s="1180"/>
      <c r="M16" s="791">
        <v>0</v>
      </c>
      <c r="N16" s="618">
        <f>'Labor Rates'!J15</f>
        <v>0</v>
      </c>
      <c r="O16" s="619">
        <f t="shared" si="4"/>
        <v>0</v>
      </c>
      <c r="P16" s="1180"/>
      <c r="Q16" s="791">
        <v>0</v>
      </c>
      <c r="R16" s="618">
        <f>'Labor Rates'!L15</f>
        <v>0</v>
      </c>
      <c r="S16" s="619">
        <f t="shared" si="5"/>
        <v>0</v>
      </c>
      <c r="T16" s="1180"/>
      <c r="U16" s="791">
        <v>0</v>
      </c>
      <c r="V16" s="618">
        <f>'Labor Rates'!N15</f>
        <v>0</v>
      </c>
      <c r="W16" s="619">
        <f t="shared" si="6"/>
        <v>0</v>
      </c>
      <c r="X16" s="1180"/>
      <c r="Y16" s="791">
        <v>0</v>
      </c>
      <c r="Z16" s="618">
        <f>'Labor Rates'!P15</f>
        <v>0</v>
      </c>
      <c r="AA16" s="619">
        <f t="shared" si="7"/>
        <v>0</v>
      </c>
      <c r="AB16" s="975"/>
      <c r="AC16" s="1002">
        <f t="shared" si="0"/>
        <v>0</v>
      </c>
      <c r="AD16" s="619">
        <f t="shared" si="1"/>
        <v>0</v>
      </c>
      <c r="AE16" s="958"/>
    </row>
    <row r="17" spans="1:31" ht="15" customHeight="1" x14ac:dyDescent="0.25">
      <c r="A17" s="1321" t="str">
        <f>IF(ISBLANK('Labor Rates'!D16),"",'Labor Rates'!D16)</f>
        <v/>
      </c>
      <c r="B17" s="1322"/>
      <c r="C17" s="950" t="str">
        <f>IF(ISBLANK('Labor Rates'!E16),"",'Labor Rates'!E16)</f>
        <v/>
      </c>
      <c r="D17" s="960"/>
      <c r="E17" s="791">
        <v>0</v>
      </c>
      <c r="F17" s="618">
        <f>'Labor Rates'!F16</f>
        <v>0</v>
      </c>
      <c r="G17" s="619">
        <f t="shared" si="2"/>
        <v>0</v>
      </c>
      <c r="H17" s="1180"/>
      <c r="I17" s="791">
        <v>0</v>
      </c>
      <c r="J17" s="618">
        <f>'Labor Rates'!H16</f>
        <v>0</v>
      </c>
      <c r="K17" s="619">
        <f t="shared" si="3"/>
        <v>0</v>
      </c>
      <c r="L17" s="1180"/>
      <c r="M17" s="791">
        <v>0</v>
      </c>
      <c r="N17" s="618">
        <f>'Labor Rates'!J16</f>
        <v>0</v>
      </c>
      <c r="O17" s="619">
        <f t="shared" si="4"/>
        <v>0</v>
      </c>
      <c r="P17" s="1180"/>
      <c r="Q17" s="791">
        <v>0</v>
      </c>
      <c r="R17" s="618">
        <f>'Labor Rates'!L16</f>
        <v>0</v>
      </c>
      <c r="S17" s="619">
        <f t="shared" si="5"/>
        <v>0</v>
      </c>
      <c r="T17" s="1180"/>
      <c r="U17" s="791">
        <v>0</v>
      </c>
      <c r="V17" s="618">
        <f>'Labor Rates'!N16</f>
        <v>0</v>
      </c>
      <c r="W17" s="619">
        <f t="shared" si="6"/>
        <v>0</v>
      </c>
      <c r="X17" s="1180"/>
      <c r="Y17" s="791">
        <v>0</v>
      </c>
      <c r="Z17" s="618">
        <f>'Labor Rates'!P16</f>
        <v>0</v>
      </c>
      <c r="AA17" s="619">
        <f t="shared" si="7"/>
        <v>0</v>
      </c>
      <c r="AB17" s="975"/>
      <c r="AC17" s="1002">
        <f t="shared" si="0"/>
        <v>0</v>
      </c>
      <c r="AD17" s="619">
        <f t="shared" si="1"/>
        <v>0</v>
      </c>
      <c r="AE17" s="958"/>
    </row>
    <row r="18" spans="1:31" ht="15" customHeight="1" x14ac:dyDescent="0.25">
      <c r="A18" s="1321" t="str">
        <f>IF(ISBLANK('Labor Rates'!D17),"",'Labor Rates'!D17)</f>
        <v/>
      </c>
      <c r="B18" s="1322"/>
      <c r="C18" s="950" t="str">
        <f>IF(ISBLANK('Labor Rates'!E17),"",'Labor Rates'!E17)</f>
        <v/>
      </c>
      <c r="D18" s="960"/>
      <c r="E18" s="791">
        <v>0</v>
      </c>
      <c r="F18" s="618">
        <f>'Labor Rates'!F17</f>
        <v>0</v>
      </c>
      <c r="G18" s="619">
        <f t="shared" si="2"/>
        <v>0</v>
      </c>
      <c r="H18" s="1180"/>
      <c r="I18" s="791">
        <v>0</v>
      </c>
      <c r="J18" s="618">
        <f>'Labor Rates'!H17</f>
        <v>0</v>
      </c>
      <c r="K18" s="619">
        <f t="shared" si="3"/>
        <v>0</v>
      </c>
      <c r="L18" s="1180"/>
      <c r="M18" s="791">
        <v>0</v>
      </c>
      <c r="N18" s="618">
        <f>'Labor Rates'!J17</f>
        <v>0</v>
      </c>
      <c r="O18" s="619">
        <f t="shared" si="4"/>
        <v>0</v>
      </c>
      <c r="P18" s="1180"/>
      <c r="Q18" s="791">
        <v>0</v>
      </c>
      <c r="R18" s="618">
        <f>'Labor Rates'!L17</f>
        <v>0</v>
      </c>
      <c r="S18" s="619">
        <f t="shared" si="5"/>
        <v>0</v>
      </c>
      <c r="T18" s="1180"/>
      <c r="U18" s="791">
        <v>0</v>
      </c>
      <c r="V18" s="618">
        <f>'Labor Rates'!N17</f>
        <v>0</v>
      </c>
      <c r="W18" s="619">
        <f t="shared" si="6"/>
        <v>0</v>
      </c>
      <c r="X18" s="1180"/>
      <c r="Y18" s="791">
        <v>0</v>
      </c>
      <c r="Z18" s="618">
        <f>'Labor Rates'!P17</f>
        <v>0</v>
      </c>
      <c r="AA18" s="619">
        <f t="shared" si="7"/>
        <v>0</v>
      </c>
      <c r="AB18" s="975"/>
      <c r="AC18" s="1002">
        <f t="shared" si="0"/>
        <v>0</v>
      </c>
      <c r="AD18" s="619">
        <f t="shared" si="1"/>
        <v>0</v>
      </c>
      <c r="AE18" s="958"/>
    </row>
    <row r="19" spans="1:31" ht="15" customHeight="1" x14ac:dyDescent="0.25">
      <c r="A19" s="1321" t="str">
        <f>IF(ISBLANK('Labor Rates'!D18),"",'Labor Rates'!D18)</f>
        <v/>
      </c>
      <c r="B19" s="1322"/>
      <c r="C19" s="950" t="str">
        <f>IF(ISBLANK('Labor Rates'!E18),"",'Labor Rates'!E18)</f>
        <v/>
      </c>
      <c r="D19" s="960"/>
      <c r="E19" s="791">
        <v>0</v>
      </c>
      <c r="F19" s="618">
        <f>'Labor Rates'!F18</f>
        <v>0</v>
      </c>
      <c r="G19" s="619">
        <f t="shared" si="2"/>
        <v>0</v>
      </c>
      <c r="H19" s="1180"/>
      <c r="I19" s="791">
        <v>0</v>
      </c>
      <c r="J19" s="618">
        <f>'Labor Rates'!H18</f>
        <v>0</v>
      </c>
      <c r="K19" s="619">
        <f t="shared" si="3"/>
        <v>0</v>
      </c>
      <c r="L19" s="1180"/>
      <c r="M19" s="791">
        <v>0</v>
      </c>
      <c r="N19" s="618">
        <f>'Labor Rates'!J18</f>
        <v>0</v>
      </c>
      <c r="O19" s="619">
        <f t="shared" si="4"/>
        <v>0</v>
      </c>
      <c r="P19" s="1180"/>
      <c r="Q19" s="791">
        <v>0</v>
      </c>
      <c r="R19" s="618">
        <f>'Labor Rates'!L18</f>
        <v>0</v>
      </c>
      <c r="S19" s="619">
        <f t="shared" si="5"/>
        <v>0</v>
      </c>
      <c r="T19" s="1180"/>
      <c r="U19" s="791">
        <v>0</v>
      </c>
      <c r="V19" s="618">
        <f>'Labor Rates'!N18</f>
        <v>0</v>
      </c>
      <c r="W19" s="619">
        <f t="shared" si="6"/>
        <v>0</v>
      </c>
      <c r="X19" s="1180"/>
      <c r="Y19" s="791">
        <v>0</v>
      </c>
      <c r="Z19" s="618">
        <f>'Labor Rates'!P18</f>
        <v>0</v>
      </c>
      <c r="AA19" s="619">
        <f t="shared" si="7"/>
        <v>0</v>
      </c>
      <c r="AB19" s="975"/>
      <c r="AC19" s="1002">
        <f t="shared" si="0"/>
        <v>0</v>
      </c>
      <c r="AD19" s="619">
        <f t="shared" si="1"/>
        <v>0</v>
      </c>
      <c r="AE19" s="958"/>
    </row>
    <row r="20" spans="1:31" ht="15" customHeight="1" x14ac:dyDescent="0.25">
      <c r="A20" s="1321" t="str">
        <f>IF(ISBLANK('Labor Rates'!D19),"",'Labor Rates'!D19)</f>
        <v/>
      </c>
      <c r="B20" s="1322"/>
      <c r="C20" s="950" t="str">
        <f>IF(ISBLANK('Labor Rates'!E19),"",'Labor Rates'!E19)</f>
        <v/>
      </c>
      <c r="D20" s="960"/>
      <c r="E20" s="791">
        <v>0</v>
      </c>
      <c r="F20" s="618">
        <f>'Labor Rates'!F19</f>
        <v>0</v>
      </c>
      <c r="G20" s="619">
        <f t="shared" si="2"/>
        <v>0</v>
      </c>
      <c r="H20" s="1180"/>
      <c r="I20" s="791">
        <v>0</v>
      </c>
      <c r="J20" s="618">
        <f>'Labor Rates'!H19</f>
        <v>0</v>
      </c>
      <c r="K20" s="619">
        <f t="shared" si="3"/>
        <v>0</v>
      </c>
      <c r="L20" s="1180"/>
      <c r="M20" s="791">
        <v>0</v>
      </c>
      <c r="N20" s="618">
        <f>'Labor Rates'!J19</f>
        <v>0</v>
      </c>
      <c r="O20" s="619">
        <f t="shared" si="4"/>
        <v>0</v>
      </c>
      <c r="P20" s="1180"/>
      <c r="Q20" s="791">
        <v>0</v>
      </c>
      <c r="R20" s="618">
        <f>'Labor Rates'!L19</f>
        <v>0</v>
      </c>
      <c r="S20" s="619">
        <f t="shared" si="5"/>
        <v>0</v>
      </c>
      <c r="T20" s="1180"/>
      <c r="U20" s="791">
        <v>0</v>
      </c>
      <c r="V20" s="618">
        <f>'Labor Rates'!N19</f>
        <v>0</v>
      </c>
      <c r="W20" s="619">
        <f t="shared" si="6"/>
        <v>0</v>
      </c>
      <c r="X20" s="1180"/>
      <c r="Y20" s="791">
        <v>0</v>
      </c>
      <c r="Z20" s="618">
        <f>'Labor Rates'!P19</f>
        <v>0</v>
      </c>
      <c r="AA20" s="619">
        <f t="shared" si="7"/>
        <v>0</v>
      </c>
      <c r="AB20" s="975"/>
      <c r="AC20" s="1002">
        <f t="shared" si="0"/>
        <v>0</v>
      </c>
      <c r="AD20" s="619">
        <f t="shared" si="1"/>
        <v>0</v>
      </c>
      <c r="AE20" s="958"/>
    </row>
    <row r="21" spans="1:31" ht="15" customHeight="1" x14ac:dyDescent="0.25">
      <c r="A21" s="1321" t="str">
        <f>IF(ISBLANK('Labor Rates'!D20),"",'Labor Rates'!D20)</f>
        <v/>
      </c>
      <c r="B21" s="1322"/>
      <c r="C21" s="950" t="str">
        <f>IF(ISBLANK('Labor Rates'!E20),"",'Labor Rates'!E20)</f>
        <v/>
      </c>
      <c r="D21" s="960"/>
      <c r="E21" s="791">
        <v>0</v>
      </c>
      <c r="F21" s="618">
        <f>'Labor Rates'!F20</f>
        <v>0</v>
      </c>
      <c r="G21" s="619">
        <f t="shared" si="2"/>
        <v>0</v>
      </c>
      <c r="H21" s="1180"/>
      <c r="I21" s="791">
        <v>0</v>
      </c>
      <c r="J21" s="618">
        <f>'Labor Rates'!H20</f>
        <v>0</v>
      </c>
      <c r="K21" s="619">
        <f t="shared" si="3"/>
        <v>0</v>
      </c>
      <c r="L21" s="1180"/>
      <c r="M21" s="791">
        <v>0</v>
      </c>
      <c r="N21" s="618">
        <f>'Labor Rates'!J20</f>
        <v>0</v>
      </c>
      <c r="O21" s="619">
        <f t="shared" si="4"/>
        <v>0</v>
      </c>
      <c r="P21" s="1180"/>
      <c r="Q21" s="791">
        <v>0</v>
      </c>
      <c r="R21" s="618">
        <f>'Labor Rates'!L20</f>
        <v>0</v>
      </c>
      <c r="S21" s="619">
        <f t="shared" si="5"/>
        <v>0</v>
      </c>
      <c r="T21" s="1180"/>
      <c r="U21" s="791">
        <v>0</v>
      </c>
      <c r="V21" s="618">
        <f>'Labor Rates'!N20</f>
        <v>0</v>
      </c>
      <c r="W21" s="619">
        <f t="shared" si="6"/>
        <v>0</v>
      </c>
      <c r="X21" s="1180"/>
      <c r="Y21" s="791">
        <v>0</v>
      </c>
      <c r="Z21" s="618">
        <f>'Labor Rates'!P20</f>
        <v>0</v>
      </c>
      <c r="AA21" s="619">
        <f t="shared" si="7"/>
        <v>0</v>
      </c>
      <c r="AB21" s="975"/>
      <c r="AC21" s="1002">
        <f t="shared" si="0"/>
        <v>0</v>
      </c>
      <c r="AD21" s="619">
        <f t="shared" si="1"/>
        <v>0</v>
      </c>
      <c r="AE21" s="958"/>
    </row>
    <row r="22" spans="1:31" ht="15" customHeight="1" x14ac:dyDescent="0.25">
      <c r="A22" s="1321" t="str">
        <f>IF(ISBLANK('Labor Rates'!D21),"",'Labor Rates'!D21)</f>
        <v/>
      </c>
      <c r="B22" s="1322"/>
      <c r="C22" s="950" t="str">
        <f>IF(ISBLANK('Labor Rates'!E21),"",'Labor Rates'!E21)</f>
        <v/>
      </c>
      <c r="D22" s="960"/>
      <c r="E22" s="791">
        <v>0</v>
      </c>
      <c r="F22" s="618">
        <f>'Labor Rates'!F21</f>
        <v>0</v>
      </c>
      <c r="G22" s="619">
        <f t="shared" si="2"/>
        <v>0</v>
      </c>
      <c r="H22" s="1180"/>
      <c r="I22" s="791">
        <v>0</v>
      </c>
      <c r="J22" s="618">
        <f>'Labor Rates'!H21</f>
        <v>0</v>
      </c>
      <c r="K22" s="619">
        <f t="shared" si="3"/>
        <v>0</v>
      </c>
      <c r="L22" s="1180"/>
      <c r="M22" s="791">
        <v>0</v>
      </c>
      <c r="N22" s="618">
        <f>'Labor Rates'!J21</f>
        <v>0</v>
      </c>
      <c r="O22" s="619">
        <f t="shared" si="4"/>
        <v>0</v>
      </c>
      <c r="P22" s="1180"/>
      <c r="Q22" s="791">
        <v>0</v>
      </c>
      <c r="R22" s="618">
        <f>'Labor Rates'!L21</f>
        <v>0</v>
      </c>
      <c r="S22" s="619">
        <f t="shared" si="5"/>
        <v>0</v>
      </c>
      <c r="T22" s="1180"/>
      <c r="U22" s="791">
        <v>0</v>
      </c>
      <c r="V22" s="618">
        <f>'Labor Rates'!N21</f>
        <v>0</v>
      </c>
      <c r="W22" s="619">
        <f t="shared" si="6"/>
        <v>0</v>
      </c>
      <c r="X22" s="1180"/>
      <c r="Y22" s="791">
        <v>0</v>
      </c>
      <c r="Z22" s="618">
        <f>'Labor Rates'!P21</f>
        <v>0</v>
      </c>
      <c r="AA22" s="619">
        <f t="shared" si="7"/>
        <v>0</v>
      </c>
      <c r="AB22" s="975"/>
      <c r="AC22" s="1002">
        <f t="shared" si="0"/>
        <v>0</v>
      </c>
      <c r="AD22" s="619">
        <f t="shared" si="1"/>
        <v>0</v>
      </c>
      <c r="AE22" s="958"/>
    </row>
    <row r="23" spans="1:31" ht="15" customHeight="1" x14ac:dyDescent="0.25">
      <c r="A23" s="1321" t="str">
        <f>IF(ISBLANK('Labor Rates'!D22),"",'Labor Rates'!D22)</f>
        <v/>
      </c>
      <c r="B23" s="1322"/>
      <c r="C23" s="950" t="str">
        <f>IF(ISBLANK('Labor Rates'!E22),"",'Labor Rates'!E22)</f>
        <v/>
      </c>
      <c r="D23" s="960"/>
      <c r="E23" s="791">
        <v>0</v>
      </c>
      <c r="F23" s="618">
        <f>'Labor Rates'!F22</f>
        <v>0</v>
      </c>
      <c r="G23" s="619">
        <f t="shared" si="2"/>
        <v>0</v>
      </c>
      <c r="H23" s="1180"/>
      <c r="I23" s="791">
        <v>0</v>
      </c>
      <c r="J23" s="618">
        <f>'Labor Rates'!H22</f>
        <v>0</v>
      </c>
      <c r="K23" s="619">
        <f t="shared" si="3"/>
        <v>0</v>
      </c>
      <c r="L23" s="1180"/>
      <c r="M23" s="791">
        <v>0</v>
      </c>
      <c r="N23" s="618">
        <f>'Labor Rates'!J22</f>
        <v>0</v>
      </c>
      <c r="O23" s="619">
        <f t="shared" si="4"/>
        <v>0</v>
      </c>
      <c r="P23" s="1180"/>
      <c r="Q23" s="791">
        <v>0</v>
      </c>
      <c r="R23" s="618">
        <f>'Labor Rates'!L22</f>
        <v>0</v>
      </c>
      <c r="S23" s="619">
        <f t="shared" si="5"/>
        <v>0</v>
      </c>
      <c r="T23" s="1180"/>
      <c r="U23" s="791">
        <v>0</v>
      </c>
      <c r="V23" s="618">
        <f>'Labor Rates'!N22</f>
        <v>0</v>
      </c>
      <c r="W23" s="619">
        <f t="shared" si="6"/>
        <v>0</v>
      </c>
      <c r="X23" s="1180"/>
      <c r="Y23" s="791">
        <v>0</v>
      </c>
      <c r="Z23" s="618">
        <f>'Labor Rates'!P22</f>
        <v>0</v>
      </c>
      <c r="AA23" s="619">
        <f t="shared" si="7"/>
        <v>0</v>
      </c>
      <c r="AB23" s="975"/>
      <c r="AC23" s="1002">
        <f t="shared" si="0"/>
        <v>0</v>
      </c>
      <c r="AD23" s="619">
        <f t="shared" si="1"/>
        <v>0</v>
      </c>
      <c r="AE23" s="958"/>
    </row>
    <row r="24" spans="1:31" ht="15" customHeight="1" x14ac:dyDescent="0.25">
      <c r="A24" s="1321" t="str">
        <f>IF(ISBLANK('Labor Rates'!D23),"",'Labor Rates'!D23)</f>
        <v/>
      </c>
      <c r="B24" s="1322"/>
      <c r="C24" s="950" t="str">
        <f>IF(ISBLANK('Labor Rates'!E23),"",'Labor Rates'!E23)</f>
        <v/>
      </c>
      <c r="D24" s="960"/>
      <c r="E24" s="791">
        <v>0</v>
      </c>
      <c r="F24" s="618">
        <f>'Labor Rates'!F23</f>
        <v>0</v>
      </c>
      <c r="G24" s="619">
        <f t="shared" si="2"/>
        <v>0</v>
      </c>
      <c r="H24" s="1180"/>
      <c r="I24" s="791">
        <v>0</v>
      </c>
      <c r="J24" s="618">
        <f>'Labor Rates'!H23</f>
        <v>0</v>
      </c>
      <c r="K24" s="619">
        <f t="shared" si="3"/>
        <v>0</v>
      </c>
      <c r="L24" s="1180"/>
      <c r="M24" s="791">
        <v>0</v>
      </c>
      <c r="N24" s="618">
        <f>'Labor Rates'!J23</f>
        <v>0</v>
      </c>
      <c r="O24" s="619">
        <f t="shared" si="4"/>
        <v>0</v>
      </c>
      <c r="P24" s="1180"/>
      <c r="Q24" s="791">
        <v>0</v>
      </c>
      <c r="R24" s="618">
        <f>'Labor Rates'!L23</f>
        <v>0</v>
      </c>
      <c r="S24" s="619">
        <f t="shared" si="5"/>
        <v>0</v>
      </c>
      <c r="T24" s="1180"/>
      <c r="U24" s="791">
        <v>0</v>
      </c>
      <c r="V24" s="618">
        <f>'Labor Rates'!N23</f>
        <v>0</v>
      </c>
      <c r="W24" s="619">
        <f t="shared" si="6"/>
        <v>0</v>
      </c>
      <c r="X24" s="1180"/>
      <c r="Y24" s="791">
        <v>0</v>
      </c>
      <c r="Z24" s="618">
        <f>'Labor Rates'!P23</f>
        <v>0</v>
      </c>
      <c r="AA24" s="619">
        <f t="shared" si="7"/>
        <v>0</v>
      </c>
      <c r="AB24" s="975"/>
      <c r="AC24" s="1002">
        <f t="shared" si="0"/>
        <v>0</v>
      </c>
      <c r="AD24" s="619">
        <f t="shared" si="1"/>
        <v>0</v>
      </c>
      <c r="AE24" s="958"/>
    </row>
    <row r="25" spans="1:31" ht="15" customHeight="1" x14ac:dyDescent="0.25">
      <c r="A25" s="1321" t="str">
        <f>IF(ISBLANK('Labor Rates'!D24),"",'Labor Rates'!D24)</f>
        <v/>
      </c>
      <c r="B25" s="1322"/>
      <c r="C25" s="950" t="str">
        <f>IF(ISBLANK('Labor Rates'!E24),"",'Labor Rates'!E24)</f>
        <v/>
      </c>
      <c r="D25" s="960"/>
      <c r="E25" s="791">
        <v>0</v>
      </c>
      <c r="F25" s="618">
        <f>'Labor Rates'!F24</f>
        <v>0</v>
      </c>
      <c r="G25" s="619">
        <f t="shared" si="2"/>
        <v>0</v>
      </c>
      <c r="H25" s="1180"/>
      <c r="I25" s="791">
        <v>0</v>
      </c>
      <c r="J25" s="618">
        <f>'Labor Rates'!H24</f>
        <v>0</v>
      </c>
      <c r="K25" s="619">
        <f t="shared" si="3"/>
        <v>0</v>
      </c>
      <c r="L25" s="1180"/>
      <c r="M25" s="791">
        <v>0</v>
      </c>
      <c r="N25" s="618">
        <f>'Labor Rates'!J24</f>
        <v>0</v>
      </c>
      <c r="O25" s="619">
        <f t="shared" si="4"/>
        <v>0</v>
      </c>
      <c r="P25" s="1180"/>
      <c r="Q25" s="791">
        <v>0</v>
      </c>
      <c r="R25" s="618">
        <f>'Labor Rates'!L24</f>
        <v>0</v>
      </c>
      <c r="S25" s="619">
        <f t="shared" si="5"/>
        <v>0</v>
      </c>
      <c r="T25" s="1180"/>
      <c r="U25" s="791">
        <v>0</v>
      </c>
      <c r="V25" s="618">
        <f>'Labor Rates'!N24</f>
        <v>0</v>
      </c>
      <c r="W25" s="619">
        <f t="shared" si="6"/>
        <v>0</v>
      </c>
      <c r="X25" s="1180"/>
      <c r="Y25" s="791">
        <v>0</v>
      </c>
      <c r="Z25" s="618">
        <f>'Labor Rates'!P24</f>
        <v>0</v>
      </c>
      <c r="AA25" s="619">
        <f t="shared" si="7"/>
        <v>0</v>
      </c>
      <c r="AB25" s="975"/>
      <c r="AC25" s="1002">
        <f t="shared" si="0"/>
        <v>0</v>
      </c>
      <c r="AD25" s="619">
        <f t="shared" si="1"/>
        <v>0</v>
      </c>
      <c r="AE25" s="958"/>
    </row>
    <row r="26" spans="1:31" ht="15" customHeight="1" x14ac:dyDescent="0.25">
      <c r="A26" s="1321" t="str">
        <f>IF(ISBLANK('Labor Rates'!D25),"",'Labor Rates'!D25)</f>
        <v/>
      </c>
      <c r="B26" s="1322"/>
      <c r="C26" s="950" t="str">
        <f>IF(ISBLANK('Labor Rates'!E25),"",'Labor Rates'!E25)</f>
        <v/>
      </c>
      <c r="D26" s="960"/>
      <c r="E26" s="791">
        <v>0</v>
      </c>
      <c r="F26" s="618">
        <f>'Labor Rates'!F25</f>
        <v>0</v>
      </c>
      <c r="G26" s="619">
        <f t="shared" si="2"/>
        <v>0</v>
      </c>
      <c r="H26" s="1180"/>
      <c r="I26" s="791">
        <v>0</v>
      </c>
      <c r="J26" s="618">
        <f>'Labor Rates'!H25</f>
        <v>0</v>
      </c>
      <c r="K26" s="619">
        <f t="shared" si="3"/>
        <v>0</v>
      </c>
      <c r="L26" s="1180"/>
      <c r="M26" s="791">
        <v>0</v>
      </c>
      <c r="N26" s="618">
        <f>'Labor Rates'!J25</f>
        <v>0</v>
      </c>
      <c r="O26" s="619">
        <f t="shared" si="4"/>
        <v>0</v>
      </c>
      <c r="P26" s="1180"/>
      <c r="Q26" s="791">
        <v>0</v>
      </c>
      <c r="R26" s="618">
        <f>'Labor Rates'!L25</f>
        <v>0</v>
      </c>
      <c r="S26" s="619">
        <f t="shared" si="5"/>
        <v>0</v>
      </c>
      <c r="T26" s="1180"/>
      <c r="U26" s="791">
        <v>0</v>
      </c>
      <c r="V26" s="618">
        <f>'Labor Rates'!N25</f>
        <v>0</v>
      </c>
      <c r="W26" s="619">
        <f t="shared" si="6"/>
        <v>0</v>
      </c>
      <c r="X26" s="1180"/>
      <c r="Y26" s="791">
        <v>0</v>
      </c>
      <c r="Z26" s="618">
        <f>'Labor Rates'!P25</f>
        <v>0</v>
      </c>
      <c r="AA26" s="619">
        <f t="shared" si="7"/>
        <v>0</v>
      </c>
      <c r="AB26" s="975"/>
      <c r="AC26" s="1002">
        <f t="shared" si="0"/>
        <v>0</v>
      </c>
      <c r="AD26" s="619">
        <f t="shared" si="1"/>
        <v>0</v>
      </c>
      <c r="AE26" s="958"/>
    </row>
    <row r="27" spans="1:31" ht="15" customHeight="1" x14ac:dyDescent="0.25">
      <c r="A27" s="1321" t="str">
        <f>IF(ISBLANK('Labor Rates'!D26),"",'Labor Rates'!D26)</f>
        <v/>
      </c>
      <c r="B27" s="1322"/>
      <c r="C27" s="950" t="str">
        <f>IF(ISBLANK('Labor Rates'!E26),"",'Labor Rates'!E26)</f>
        <v/>
      </c>
      <c r="D27" s="960"/>
      <c r="E27" s="791">
        <v>0</v>
      </c>
      <c r="F27" s="618">
        <f>'Labor Rates'!F26</f>
        <v>0</v>
      </c>
      <c r="G27" s="619">
        <f t="shared" si="2"/>
        <v>0</v>
      </c>
      <c r="H27" s="1180"/>
      <c r="I27" s="791">
        <v>0</v>
      </c>
      <c r="J27" s="618">
        <f>'Labor Rates'!H26</f>
        <v>0</v>
      </c>
      <c r="K27" s="619">
        <f t="shared" si="3"/>
        <v>0</v>
      </c>
      <c r="L27" s="1180"/>
      <c r="M27" s="791">
        <v>0</v>
      </c>
      <c r="N27" s="618">
        <f>'Labor Rates'!J26</f>
        <v>0</v>
      </c>
      <c r="O27" s="619">
        <f t="shared" si="4"/>
        <v>0</v>
      </c>
      <c r="P27" s="1180"/>
      <c r="Q27" s="791">
        <v>0</v>
      </c>
      <c r="R27" s="618">
        <f>'Labor Rates'!L26</f>
        <v>0</v>
      </c>
      <c r="S27" s="619">
        <f t="shared" si="5"/>
        <v>0</v>
      </c>
      <c r="T27" s="1180"/>
      <c r="U27" s="791">
        <v>0</v>
      </c>
      <c r="V27" s="618">
        <f>'Labor Rates'!N26</f>
        <v>0</v>
      </c>
      <c r="W27" s="619">
        <f t="shared" si="6"/>
        <v>0</v>
      </c>
      <c r="X27" s="1180"/>
      <c r="Y27" s="791">
        <v>0</v>
      </c>
      <c r="Z27" s="618">
        <f>'Labor Rates'!P26</f>
        <v>0</v>
      </c>
      <c r="AA27" s="619">
        <f t="shared" si="7"/>
        <v>0</v>
      </c>
      <c r="AB27" s="975"/>
      <c r="AC27" s="1002">
        <f t="shared" si="0"/>
        <v>0</v>
      </c>
      <c r="AD27" s="619">
        <f t="shared" si="1"/>
        <v>0</v>
      </c>
      <c r="AE27" s="958"/>
    </row>
    <row r="28" spans="1:31" ht="15" customHeight="1" x14ac:dyDescent="0.25">
      <c r="A28" s="1321" t="str">
        <f>IF(ISBLANK('Labor Rates'!D27),"",'Labor Rates'!D27)</f>
        <v/>
      </c>
      <c r="B28" s="1322"/>
      <c r="C28" s="950" t="str">
        <f>IF(ISBLANK('Labor Rates'!E27),"",'Labor Rates'!E27)</f>
        <v/>
      </c>
      <c r="D28" s="960"/>
      <c r="E28" s="791">
        <v>0</v>
      </c>
      <c r="F28" s="618">
        <f>'Labor Rates'!F27</f>
        <v>0</v>
      </c>
      <c r="G28" s="619">
        <f t="shared" si="2"/>
        <v>0</v>
      </c>
      <c r="H28" s="1180"/>
      <c r="I28" s="791">
        <v>0</v>
      </c>
      <c r="J28" s="618">
        <f>'Labor Rates'!H27</f>
        <v>0</v>
      </c>
      <c r="K28" s="619">
        <f t="shared" si="3"/>
        <v>0</v>
      </c>
      <c r="L28" s="1180"/>
      <c r="M28" s="791">
        <v>0</v>
      </c>
      <c r="N28" s="618">
        <f>'Labor Rates'!J27</f>
        <v>0</v>
      </c>
      <c r="O28" s="619">
        <f t="shared" si="4"/>
        <v>0</v>
      </c>
      <c r="P28" s="1180"/>
      <c r="Q28" s="791">
        <v>0</v>
      </c>
      <c r="R28" s="618">
        <f>'Labor Rates'!L27</f>
        <v>0</v>
      </c>
      <c r="S28" s="619">
        <f t="shared" si="5"/>
        <v>0</v>
      </c>
      <c r="T28" s="1180"/>
      <c r="U28" s="791">
        <v>0</v>
      </c>
      <c r="V28" s="618">
        <f>'Labor Rates'!N27</f>
        <v>0</v>
      </c>
      <c r="W28" s="619">
        <f t="shared" si="6"/>
        <v>0</v>
      </c>
      <c r="X28" s="1180"/>
      <c r="Y28" s="791">
        <v>0</v>
      </c>
      <c r="Z28" s="618">
        <f>'Labor Rates'!P27</f>
        <v>0</v>
      </c>
      <c r="AA28" s="619">
        <f t="shared" si="7"/>
        <v>0</v>
      </c>
      <c r="AB28" s="975"/>
      <c r="AC28" s="1002">
        <f t="shared" si="0"/>
        <v>0</v>
      </c>
      <c r="AD28" s="619">
        <f t="shared" si="1"/>
        <v>0</v>
      </c>
      <c r="AE28" s="958"/>
    </row>
    <row r="29" spans="1:31" ht="15" customHeight="1" x14ac:dyDescent="0.25">
      <c r="A29" s="1321" t="str">
        <f>IF(ISBLANK('Labor Rates'!D28),"",'Labor Rates'!D28)</f>
        <v/>
      </c>
      <c r="B29" s="1322"/>
      <c r="C29" s="950" t="str">
        <f>IF(ISBLANK('Labor Rates'!E28),"",'Labor Rates'!E28)</f>
        <v/>
      </c>
      <c r="D29" s="960"/>
      <c r="E29" s="791">
        <v>0</v>
      </c>
      <c r="F29" s="618">
        <f>'Labor Rates'!F28</f>
        <v>0</v>
      </c>
      <c r="G29" s="619">
        <f t="shared" si="2"/>
        <v>0</v>
      </c>
      <c r="H29" s="1180"/>
      <c r="I29" s="791">
        <v>0</v>
      </c>
      <c r="J29" s="618">
        <f>'Labor Rates'!H28</f>
        <v>0</v>
      </c>
      <c r="K29" s="619">
        <f t="shared" si="3"/>
        <v>0</v>
      </c>
      <c r="L29" s="1180"/>
      <c r="M29" s="791">
        <v>0</v>
      </c>
      <c r="N29" s="618">
        <f>'Labor Rates'!J28</f>
        <v>0</v>
      </c>
      <c r="O29" s="619">
        <f t="shared" si="4"/>
        <v>0</v>
      </c>
      <c r="P29" s="1180"/>
      <c r="Q29" s="791">
        <v>0</v>
      </c>
      <c r="R29" s="618">
        <f>'Labor Rates'!L28</f>
        <v>0</v>
      </c>
      <c r="S29" s="619">
        <f t="shared" si="5"/>
        <v>0</v>
      </c>
      <c r="T29" s="1180"/>
      <c r="U29" s="791">
        <v>0</v>
      </c>
      <c r="V29" s="618">
        <f>'Labor Rates'!N28</f>
        <v>0</v>
      </c>
      <c r="W29" s="619">
        <f t="shared" si="6"/>
        <v>0</v>
      </c>
      <c r="X29" s="1180"/>
      <c r="Y29" s="791">
        <v>0</v>
      </c>
      <c r="Z29" s="618">
        <f>'Labor Rates'!P28</f>
        <v>0</v>
      </c>
      <c r="AA29" s="619">
        <f t="shared" si="7"/>
        <v>0</v>
      </c>
      <c r="AB29" s="975"/>
      <c r="AC29" s="1002">
        <f t="shared" si="0"/>
        <v>0</v>
      </c>
      <c r="AD29" s="619">
        <f t="shared" si="1"/>
        <v>0</v>
      </c>
      <c r="AE29" s="958"/>
    </row>
    <row r="30" spans="1:31" ht="15" customHeight="1" x14ac:dyDescent="0.25">
      <c r="A30" s="1321" t="str">
        <f>IF(ISBLANK('Labor Rates'!D29),"",'Labor Rates'!D29)</f>
        <v/>
      </c>
      <c r="B30" s="1322"/>
      <c r="C30" s="950" t="str">
        <f>IF(ISBLANK('Labor Rates'!E29),"",'Labor Rates'!E29)</f>
        <v/>
      </c>
      <c r="D30" s="960"/>
      <c r="E30" s="791">
        <v>0</v>
      </c>
      <c r="F30" s="618">
        <f>'Labor Rates'!F29</f>
        <v>0</v>
      </c>
      <c r="G30" s="619">
        <f t="shared" si="2"/>
        <v>0</v>
      </c>
      <c r="H30" s="1180"/>
      <c r="I30" s="791">
        <v>0</v>
      </c>
      <c r="J30" s="618">
        <f>'Labor Rates'!H29</f>
        <v>0</v>
      </c>
      <c r="K30" s="619">
        <f t="shared" si="3"/>
        <v>0</v>
      </c>
      <c r="L30" s="1180"/>
      <c r="M30" s="791">
        <v>0</v>
      </c>
      <c r="N30" s="618">
        <f>'Labor Rates'!J29</f>
        <v>0</v>
      </c>
      <c r="O30" s="619">
        <f t="shared" si="4"/>
        <v>0</v>
      </c>
      <c r="P30" s="1180"/>
      <c r="Q30" s="791">
        <v>0</v>
      </c>
      <c r="R30" s="618">
        <f>'Labor Rates'!L29</f>
        <v>0</v>
      </c>
      <c r="S30" s="619">
        <f t="shared" si="5"/>
        <v>0</v>
      </c>
      <c r="T30" s="1180"/>
      <c r="U30" s="791">
        <v>0</v>
      </c>
      <c r="V30" s="618">
        <f>'Labor Rates'!N29</f>
        <v>0</v>
      </c>
      <c r="W30" s="619">
        <f t="shared" si="6"/>
        <v>0</v>
      </c>
      <c r="X30" s="1180"/>
      <c r="Y30" s="791">
        <v>0</v>
      </c>
      <c r="Z30" s="618">
        <f>'Labor Rates'!P29</f>
        <v>0</v>
      </c>
      <c r="AA30" s="619">
        <f t="shared" si="7"/>
        <v>0</v>
      </c>
      <c r="AB30" s="975"/>
      <c r="AC30" s="1002">
        <f t="shared" si="0"/>
        <v>0</v>
      </c>
      <c r="AD30" s="619">
        <f t="shared" si="1"/>
        <v>0</v>
      </c>
      <c r="AE30" s="958"/>
    </row>
    <row r="31" spans="1:31" ht="15" customHeight="1" x14ac:dyDescent="0.25">
      <c r="A31" s="1321" t="str">
        <f>IF(ISBLANK('Labor Rates'!D30),"",'Labor Rates'!D30)</f>
        <v/>
      </c>
      <c r="B31" s="1322"/>
      <c r="C31" s="950" t="str">
        <f>IF(ISBLANK('Labor Rates'!E30),"",'Labor Rates'!E30)</f>
        <v/>
      </c>
      <c r="D31" s="960"/>
      <c r="E31" s="791">
        <v>0</v>
      </c>
      <c r="F31" s="618">
        <f>'Labor Rates'!F30</f>
        <v>0</v>
      </c>
      <c r="G31" s="619">
        <f t="shared" si="2"/>
        <v>0</v>
      </c>
      <c r="H31" s="1180"/>
      <c r="I31" s="791">
        <v>0</v>
      </c>
      <c r="J31" s="618">
        <f>'Labor Rates'!H30</f>
        <v>0</v>
      </c>
      <c r="K31" s="619">
        <f t="shared" si="3"/>
        <v>0</v>
      </c>
      <c r="L31" s="1180"/>
      <c r="M31" s="791">
        <v>0</v>
      </c>
      <c r="N31" s="618">
        <f>'Labor Rates'!J30</f>
        <v>0</v>
      </c>
      <c r="O31" s="619">
        <f t="shared" si="4"/>
        <v>0</v>
      </c>
      <c r="P31" s="1180"/>
      <c r="Q31" s="791">
        <v>0</v>
      </c>
      <c r="R31" s="618">
        <f>'Labor Rates'!L30</f>
        <v>0</v>
      </c>
      <c r="S31" s="619">
        <f t="shared" si="5"/>
        <v>0</v>
      </c>
      <c r="T31" s="1180"/>
      <c r="U31" s="791">
        <v>0</v>
      </c>
      <c r="V31" s="618">
        <f>'Labor Rates'!N30</f>
        <v>0</v>
      </c>
      <c r="W31" s="619">
        <f t="shared" si="6"/>
        <v>0</v>
      </c>
      <c r="X31" s="1180"/>
      <c r="Y31" s="791">
        <v>0</v>
      </c>
      <c r="Z31" s="618">
        <f>'Labor Rates'!P30</f>
        <v>0</v>
      </c>
      <c r="AA31" s="619">
        <f t="shared" si="7"/>
        <v>0</v>
      </c>
      <c r="AB31" s="975"/>
      <c r="AC31" s="1002">
        <f t="shared" si="0"/>
        <v>0</v>
      </c>
      <c r="AD31" s="619">
        <f t="shared" si="1"/>
        <v>0</v>
      </c>
      <c r="AE31" s="958"/>
    </row>
    <row r="32" spans="1:31" ht="15" customHeight="1" x14ac:dyDescent="0.25">
      <c r="A32" s="1321" t="str">
        <f>IF(ISBLANK('Labor Rates'!D31),"",'Labor Rates'!D31)</f>
        <v/>
      </c>
      <c r="B32" s="1322"/>
      <c r="C32" s="949" t="str">
        <f>IF(ISBLANK('Labor Rates'!E31),"",'Labor Rates'!E31)</f>
        <v/>
      </c>
      <c r="D32" s="960"/>
      <c r="E32" s="791">
        <v>0</v>
      </c>
      <c r="F32" s="618">
        <f>'Labor Rates'!F31</f>
        <v>0</v>
      </c>
      <c r="G32" s="619">
        <f t="shared" si="2"/>
        <v>0</v>
      </c>
      <c r="H32" s="1180"/>
      <c r="I32" s="791">
        <v>0</v>
      </c>
      <c r="J32" s="618">
        <f>'Labor Rates'!H31</f>
        <v>0</v>
      </c>
      <c r="K32" s="619">
        <f t="shared" si="3"/>
        <v>0</v>
      </c>
      <c r="L32" s="1180"/>
      <c r="M32" s="791">
        <v>0</v>
      </c>
      <c r="N32" s="618">
        <f>'Labor Rates'!J31</f>
        <v>0</v>
      </c>
      <c r="O32" s="619">
        <f t="shared" si="4"/>
        <v>0</v>
      </c>
      <c r="P32" s="1180"/>
      <c r="Q32" s="791">
        <v>0</v>
      </c>
      <c r="R32" s="618">
        <f>'Labor Rates'!L31</f>
        <v>0</v>
      </c>
      <c r="S32" s="619">
        <f t="shared" si="5"/>
        <v>0</v>
      </c>
      <c r="T32" s="1180"/>
      <c r="U32" s="791">
        <v>0</v>
      </c>
      <c r="V32" s="618">
        <f>'Labor Rates'!N31</f>
        <v>0</v>
      </c>
      <c r="W32" s="619">
        <f t="shared" si="6"/>
        <v>0</v>
      </c>
      <c r="X32" s="1180"/>
      <c r="Y32" s="791">
        <v>0</v>
      </c>
      <c r="Z32" s="618">
        <f>'Labor Rates'!P31</f>
        <v>0</v>
      </c>
      <c r="AA32" s="619">
        <f t="shared" si="7"/>
        <v>0</v>
      </c>
      <c r="AB32" s="975"/>
      <c r="AC32" s="1002">
        <f t="shared" si="0"/>
        <v>0</v>
      </c>
      <c r="AD32" s="619">
        <f t="shared" si="1"/>
        <v>0</v>
      </c>
      <c r="AE32" s="958"/>
    </row>
    <row r="33" spans="1:545" s="620" customFormat="1" ht="23.15" customHeight="1" x14ac:dyDescent="0.25">
      <c r="A33" s="1004"/>
      <c r="B33" s="1005"/>
      <c r="C33" s="1130" t="s">
        <v>332</v>
      </c>
      <c r="D33" s="960"/>
      <c r="E33" s="800">
        <f>SUM(E9:E32)</f>
        <v>0</v>
      </c>
      <c r="F33" s="1143" t="s">
        <v>333</v>
      </c>
      <c r="G33" s="795">
        <f>SUM(G9:G32)</f>
        <v>0</v>
      </c>
      <c r="H33" s="977"/>
      <c r="I33" s="800">
        <f>SUM(I9:I32)</f>
        <v>0</v>
      </c>
      <c r="J33" s="1143" t="s">
        <v>333</v>
      </c>
      <c r="K33" s="795">
        <f>SUM(K9:K32)</f>
        <v>0</v>
      </c>
      <c r="L33" s="977"/>
      <c r="M33" s="800">
        <f>SUM(M9:M32)</f>
        <v>0</v>
      </c>
      <c r="N33" s="1143" t="s">
        <v>333</v>
      </c>
      <c r="O33" s="795">
        <f>SUM(O9:O32)</f>
        <v>0</v>
      </c>
      <c r="P33" s="977"/>
      <c r="Q33" s="800">
        <f>SUM(Q9:Q32)</f>
        <v>0</v>
      </c>
      <c r="R33" s="1143" t="s">
        <v>333</v>
      </c>
      <c r="S33" s="621">
        <f>SUM(S9:S32)</f>
        <v>0</v>
      </c>
      <c r="T33" s="977"/>
      <c r="U33" s="800">
        <f>SUM(U9:U32)</f>
        <v>0</v>
      </c>
      <c r="V33" s="1143" t="s">
        <v>333</v>
      </c>
      <c r="W33" s="795">
        <f>SUM(W9:W32)</f>
        <v>0</v>
      </c>
      <c r="X33" s="977"/>
      <c r="Y33" s="800">
        <f>SUM(Y9:Y32)</f>
        <v>0</v>
      </c>
      <c r="Z33" s="1143" t="s">
        <v>333</v>
      </c>
      <c r="AA33" s="795">
        <f>SUM(AA9:AA32)</f>
        <v>0</v>
      </c>
      <c r="AB33" s="976"/>
      <c r="AC33" s="800">
        <f>SUM(AC9:AC32)</f>
        <v>0</v>
      </c>
      <c r="AD33" s="795">
        <f>SUM(AD9:AD32)</f>
        <v>0</v>
      </c>
      <c r="AE33" s="971"/>
      <c r="AF33" s="806"/>
      <c r="AG33" s="806"/>
      <c r="AH33" s="292"/>
      <c r="AI33" s="292"/>
      <c r="AJ33" s="292"/>
      <c r="AK33" s="292"/>
      <c r="AL33" s="806"/>
      <c r="AM33" s="806"/>
      <c r="AN33" s="806"/>
      <c r="AO33" s="806"/>
      <c r="AP33" s="807"/>
      <c r="AQ33" s="292"/>
      <c r="AR33" s="292"/>
      <c r="AS33" s="292"/>
      <c r="AT33" s="806"/>
      <c r="AU33" s="806"/>
      <c r="AV33" s="806"/>
      <c r="AW33" s="806"/>
      <c r="AX33" s="807"/>
      <c r="AY33" s="292"/>
      <c r="AZ33" s="292"/>
      <c r="BA33" s="292"/>
      <c r="BB33" s="806"/>
      <c r="BC33" s="806"/>
      <c r="BD33" s="806"/>
      <c r="BE33" s="806"/>
      <c r="BF33" s="807"/>
      <c r="BG33" s="292"/>
      <c r="BH33" s="807"/>
      <c r="BI33" s="292"/>
      <c r="BJ33" s="292"/>
      <c r="BK33" s="292"/>
      <c r="BL33" s="292"/>
      <c r="BM33" s="292"/>
      <c r="BN33" s="292"/>
      <c r="BO33" s="292"/>
      <c r="BP33" s="292"/>
      <c r="BQ33" s="292"/>
      <c r="BR33" s="292"/>
      <c r="BS33" s="292"/>
      <c r="BT33" s="292"/>
      <c r="BU33" s="292"/>
      <c r="BV33" s="292"/>
      <c r="BW33" s="292"/>
      <c r="BX33" s="292"/>
      <c r="BY33" s="292"/>
      <c r="BZ33" s="292"/>
      <c r="CA33" s="292"/>
      <c r="CB33" s="292"/>
      <c r="CC33" s="292"/>
      <c r="CD33" s="292"/>
      <c r="CE33" s="292"/>
      <c r="CF33" s="292"/>
      <c r="CG33" s="292"/>
      <c r="CH33" s="292"/>
      <c r="CI33" s="292"/>
      <c r="CJ33" s="292"/>
      <c r="CK33" s="292"/>
      <c r="CL33" s="292"/>
      <c r="CM33" s="292"/>
      <c r="CN33" s="292"/>
      <c r="CO33" s="292"/>
      <c r="CP33" s="292"/>
      <c r="CQ33" s="292"/>
      <c r="CR33" s="292"/>
      <c r="CS33" s="292"/>
      <c r="CT33" s="292"/>
      <c r="CU33" s="292"/>
      <c r="CV33" s="292"/>
      <c r="CW33" s="292"/>
      <c r="CX33" s="292"/>
      <c r="CY33" s="292"/>
      <c r="CZ33" s="292"/>
      <c r="DA33" s="292"/>
      <c r="DB33" s="292"/>
      <c r="DC33" s="292"/>
      <c r="DD33" s="292"/>
      <c r="DE33" s="292"/>
      <c r="DF33" s="292"/>
      <c r="DG33" s="292"/>
      <c r="DH33" s="292"/>
      <c r="DI33" s="292"/>
      <c r="DJ33" s="292"/>
      <c r="DK33" s="292"/>
      <c r="DL33" s="292"/>
      <c r="DM33" s="292"/>
      <c r="DN33" s="292"/>
      <c r="DO33" s="292"/>
      <c r="DP33" s="292"/>
      <c r="DQ33" s="292"/>
      <c r="DR33" s="292"/>
      <c r="DS33" s="292"/>
      <c r="DT33" s="292"/>
      <c r="DU33" s="292"/>
      <c r="DV33" s="292"/>
      <c r="DW33" s="292"/>
      <c r="DX33" s="292"/>
      <c r="DY33" s="292"/>
      <c r="DZ33" s="292"/>
      <c r="EA33" s="292"/>
      <c r="EB33" s="292"/>
      <c r="EC33" s="292"/>
      <c r="ED33" s="292"/>
      <c r="EE33" s="292"/>
      <c r="EF33" s="292"/>
      <c r="EG33" s="292"/>
      <c r="EH33" s="292"/>
      <c r="EI33" s="292"/>
      <c r="EJ33" s="292"/>
      <c r="EK33" s="292"/>
      <c r="EL33" s="292"/>
      <c r="EM33" s="292"/>
      <c r="EN33" s="292"/>
      <c r="EO33" s="292"/>
      <c r="EP33" s="292"/>
      <c r="EQ33" s="292"/>
      <c r="ER33" s="292"/>
      <c r="ES33" s="292"/>
      <c r="ET33" s="292"/>
      <c r="EU33" s="292"/>
      <c r="EV33" s="292"/>
      <c r="EW33" s="292"/>
      <c r="EX33" s="292"/>
      <c r="EY33" s="292"/>
      <c r="EZ33" s="292"/>
      <c r="FA33" s="292"/>
      <c r="FB33" s="292"/>
      <c r="FC33" s="292"/>
      <c r="FD33" s="292"/>
      <c r="FE33" s="292"/>
      <c r="FF33" s="292"/>
      <c r="FG33" s="292"/>
      <c r="FH33" s="292"/>
      <c r="FI33" s="292"/>
      <c r="FJ33" s="292"/>
      <c r="FK33" s="292"/>
      <c r="FL33" s="292"/>
      <c r="FM33" s="292"/>
      <c r="FN33" s="292"/>
      <c r="FO33" s="292"/>
      <c r="FP33" s="292"/>
      <c r="FQ33" s="292"/>
      <c r="FR33" s="292"/>
      <c r="FS33" s="292"/>
      <c r="FT33" s="292"/>
      <c r="FU33" s="292"/>
      <c r="FV33" s="292"/>
      <c r="FW33" s="292"/>
      <c r="FX33" s="292"/>
      <c r="FY33" s="292"/>
      <c r="FZ33" s="292"/>
      <c r="GA33" s="292"/>
      <c r="GB33" s="292"/>
      <c r="GC33" s="292"/>
      <c r="GD33" s="292"/>
      <c r="GE33" s="292"/>
      <c r="GF33" s="292"/>
      <c r="GG33" s="292"/>
      <c r="GH33" s="292"/>
      <c r="GI33" s="292"/>
      <c r="GJ33" s="292"/>
      <c r="GK33" s="292"/>
      <c r="GL33" s="292"/>
      <c r="GM33" s="292"/>
      <c r="GN33" s="292"/>
      <c r="GO33" s="292"/>
      <c r="GP33" s="292"/>
      <c r="GQ33" s="292"/>
      <c r="GR33" s="292"/>
      <c r="GS33" s="292"/>
      <c r="GT33" s="292"/>
      <c r="GU33" s="292"/>
      <c r="GV33" s="292"/>
      <c r="GW33" s="292"/>
      <c r="GX33" s="292"/>
      <c r="GY33" s="292"/>
      <c r="GZ33" s="292"/>
      <c r="HA33" s="292"/>
      <c r="HB33" s="292"/>
      <c r="HC33" s="292"/>
      <c r="HD33" s="292"/>
      <c r="HE33" s="292"/>
      <c r="HF33" s="292"/>
      <c r="HG33" s="292"/>
      <c r="HH33" s="292"/>
      <c r="HI33" s="292"/>
      <c r="HJ33" s="292"/>
      <c r="HK33" s="292"/>
      <c r="HL33" s="292"/>
      <c r="HM33" s="292"/>
      <c r="HN33" s="292"/>
      <c r="HO33" s="292"/>
      <c r="HP33" s="292"/>
      <c r="HQ33" s="292"/>
      <c r="HR33" s="292"/>
      <c r="HS33" s="292"/>
      <c r="HT33" s="292"/>
      <c r="HU33" s="292"/>
      <c r="HV33" s="292"/>
      <c r="HW33" s="292"/>
      <c r="HX33" s="292"/>
      <c r="HY33" s="292"/>
      <c r="HZ33" s="292"/>
      <c r="IA33" s="292"/>
      <c r="IB33" s="292"/>
      <c r="IC33" s="292"/>
      <c r="ID33" s="292"/>
      <c r="IE33" s="292"/>
      <c r="IF33" s="292"/>
      <c r="IG33" s="292"/>
      <c r="IH33" s="292"/>
      <c r="II33" s="292"/>
      <c r="IJ33" s="292"/>
      <c r="IK33" s="292"/>
      <c r="IL33" s="292"/>
      <c r="IM33" s="292"/>
      <c r="IN33" s="292"/>
      <c r="IO33" s="292"/>
      <c r="IP33" s="292"/>
      <c r="IQ33" s="292"/>
      <c r="IR33" s="292"/>
      <c r="IS33" s="292"/>
      <c r="IT33" s="292"/>
      <c r="IU33" s="292"/>
      <c r="IV33" s="292"/>
      <c r="IW33" s="292"/>
      <c r="IX33" s="292"/>
      <c r="IY33" s="292"/>
      <c r="IZ33" s="292"/>
      <c r="JA33" s="292"/>
      <c r="JB33" s="292"/>
      <c r="JC33" s="292"/>
      <c r="JD33" s="292"/>
      <c r="JE33" s="292"/>
      <c r="JF33" s="292"/>
      <c r="JG33" s="292"/>
      <c r="JH33" s="292"/>
      <c r="JI33" s="292"/>
      <c r="JJ33" s="292"/>
      <c r="JK33" s="292"/>
      <c r="JL33" s="292"/>
      <c r="JM33" s="292"/>
      <c r="JN33" s="292"/>
      <c r="JO33" s="292"/>
      <c r="JP33" s="292"/>
      <c r="JQ33" s="292"/>
      <c r="JR33" s="292"/>
      <c r="JS33" s="292"/>
      <c r="JT33" s="292"/>
      <c r="JU33" s="292"/>
      <c r="JV33" s="292"/>
      <c r="JW33" s="292"/>
      <c r="JX33" s="292"/>
      <c r="JY33" s="292"/>
      <c r="JZ33" s="292"/>
      <c r="KA33" s="292"/>
      <c r="KB33" s="292"/>
      <c r="KC33" s="292"/>
      <c r="KD33" s="292"/>
      <c r="KE33" s="292"/>
      <c r="KF33" s="292"/>
      <c r="KG33" s="292"/>
      <c r="KH33" s="292"/>
      <c r="KI33" s="292"/>
      <c r="KJ33" s="292"/>
      <c r="KK33" s="292"/>
      <c r="KL33" s="292"/>
      <c r="KM33" s="292"/>
      <c r="KN33" s="292"/>
      <c r="KO33" s="292"/>
      <c r="KP33" s="292"/>
      <c r="KQ33" s="292"/>
      <c r="KR33" s="292"/>
      <c r="KS33" s="292"/>
      <c r="KT33" s="292"/>
      <c r="KU33" s="292"/>
      <c r="KV33" s="292"/>
      <c r="KW33" s="292"/>
      <c r="KX33" s="292"/>
      <c r="KY33" s="292"/>
      <c r="KZ33" s="292"/>
      <c r="LA33" s="292"/>
      <c r="LB33" s="292"/>
      <c r="LC33" s="292"/>
      <c r="LD33" s="292"/>
      <c r="LE33" s="292"/>
      <c r="LF33" s="292"/>
      <c r="LG33" s="292"/>
      <c r="LH33" s="292"/>
      <c r="LI33" s="292"/>
      <c r="LJ33" s="292"/>
      <c r="LK33" s="292"/>
      <c r="LL33" s="292"/>
      <c r="LM33" s="292"/>
      <c r="LN33" s="292"/>
      <c r="LO33" s="292"/>
      <c r="LP33" s="292"/>
      <c r="LQ33" s="292"/>
      <c r="LR33" s="292"/>
      <c r="LS33" s="292"/>
      <c r="LT33" s="292"/>
      <c r="LU33" s="292"/>
      <c r="LV33" s="292"/>
      <c r="LW33" s="292"/>
      <c r="LX33" s="292"/>
      <c r="LY33" s="292"/>
      <c r="LZ33" s="292"/>
      <c r="MA33" s="292"/>
      <c r="MB33" s="292"/>
      <c r="MC33" s="292"/>
      <c r="MD33" s="292"/>
      <c r="ME33" s="292"/>
      <c r="MF33" s="292"/>
      <c r="MG33" s="292"/>
      <c r="MH33" s="292"/>
      <c r="MI33" s="292"/>
      <c r="MJ33" s="292"/>
      <c r="MK33" s="292"/>
      <c r="ML33" s="292"/>
      <c r="MM33" s="292"/>
      <c r="MN33" s="292"/>
      <c r="MO33" s="292"/>
      <c r="MP33" s="292"/>
      <c r="MQ33" s="292"/>
      <c r="MR33" s="292"/>
      <c r="MS33" s="292"/>
      <c r="MT33" s="292"/>
      <c r="MU33" s="292"/>
      <c r="MV33" s="292"/>
      <c r="MW33" s="292"/>
      <c r="MX33" s="292"/>
      <c r="MY33" s="292"/>
      <c r="MZ33" s="292"/>
      <c r="NA33" s="292"/>
      <c r="NB33" s="292"/>
      <c r="NC33" s="292"/>
      <c r="ND33" s="292"/>
      <c r="NE33" s="292"/>
      <c r="NF33" s="292"/>
      <c r="NG33" s="292"/>
      <c r="NH33" s="292"/>
      <c r="NI33" s="292"/>
      <c r="NJ33" s="292"/>
      <c r="NK33" s="292"/>
      <c r="NL33" s="292"/>
      <c r="NM33" s="292"/>
      <c r="NN33" s="292"/>
      <c r="NO33" s="292"/>
      <c r="NP33" s="292"/>
      <c r="NQ33" s="292"/>
      <c r="NR33" s="292"/>
      <c r="NS33" s="292"/>
      <c r="NT33" s="292"/>
      <c r="NU33" s="292"/>
      <c r="NV33" s="292"/>
      <c r="NW33" s="292"/>
      <c r="NX33" s="292"/>
      <c r="NY33" s="292"/>
      <c r="NZ33" s="292"/>
      <c r="OA33" s="292"/>
      <c r="OB33" s="292"/>
      <c r="OC33" s="292"/>
      <c r="OD33" s="292"/>
      <c r="OE33" s="292"/>
      <c r="OF33" s="292"/>
      <c r="OG33" s="292"/>
      <c r="OH33" s="292"/>
      <c r="OI33" s="292"/>
      <c r="OJ33" s="292"/>
      <c r="OK33" s="292"/>
      <c r="OL33" s="292"/>
      <c r="OM33" s="292"/>
      <c r="ON33" s="292"/>
      <c r="OO33" s="292"/>
      <c r="OP33" s="292"/>
      <c r="OQ33" s="292"/>
      <c r="OR33" s="292"/>
      <c r="OS33" s="292"/>
      <c r="OT33" s="292"/>
      <c r="OU33" s="292"/>
      <c r="OV33" s="292"/>
      <c r="OW33" s="292"/>
      <c r="OX33" s="292"/>
      <c r="OY33" s="292"/>
      <c r="OZ33" s="292"/>
      <c r="PA33" s="292"/>
      <c r="PB33" s="292"/>
      <c r="PC33" s="292"/>
      <c r="PD33" s="292"/>
      <c r="PE33" s="292"/>
      <c r="PF33" s="292"/>
      <c r="PG33" s="292"/>
      <c r="PH33" s="292"/>
      <c r="PI33" s="292"/>
      <c r="PJ33" s="292"/>
      <c r="PK33" s="292"/>
      <c r="PL33" s="292"/>
      <c r="PM33" s="292"/>
      <c r="PN33" s="292"/>
      <c r="PO33" s="292"/>
      <c r="PP33" s="292"/>
      <c r="PQ33" s="292"/>
      <c r="PR33" s="292"/>
      <c r="PS33" s="292"/>
      <c r="PT33" s="292"/>
      <c r="PU33" s="292"/>
      <c r="PV33" s="292"/>
      <c r="PW33" s="292"/>
      <c r="PX33" s="292"/>
      <c r="PY33" s="292"/>
      <c r="PZ33" s="292"/>
      <c r="QA33" s="292"/>
      <c r="QB33" s="292"/>
      <c r="QC33" s="292"/>
      <c r="QD33" s="292"/>
      <c r="QE33" s="292"/>
      <c r="QF33" s="292"/>
      <c r="QG33" s="292"/>
      <c r="QH33" s="292"/>
      <c r="QI33" s="292"/>
      <c r="QJ33" s="292"/>
      <c r="QK33" s="292"/>
      <c r="QL33" s="292"/>
      <c r="QM33" s="292"/>
      <c r="QN33" s="292"/>
      <c r="QO33" s="292"/>
      <c r="QP33" s="292"/>
      <c r="QQ33" s="292"/>
      <c r="QR33" s="292"/>
      <c r="QS33" s="292"/>
      <c r="QT33" s="292"/>
      <c r="QU33" s="292"/>
      <c r="QV33" s="292"/>
      <c r="QW33" s="292"/>
      <c r="QX33" s="292"/>
      <c r="QY33" s="292"/>
      <c r="QZ33" s="292"/>
      <c r="RA33" s="292"/>
      <c r="RB33" s="292"/>
      <c r="RC33" s="292"/>
      <c r="RD33" s="292"/>
      <c r="RE33" s="292"/>
      <c r="RF33" s="292"/>
      <c r="RG33" s="292"/>
      <c r="RH33" s="292"/>
      <c r="RI33" s="292"/>
      <c r="RJ33" s="292"/>
      <c r="RK33" s="292"/>
      <c r="RL33" s="292"/>
      <c r="RM33" s="292"/>
      <c r="RN33" s="292"/>
      <c r="RO33" s="292"/>
      <c r="RP33" s="292"/>
      <c r="RQ33" s="292"/>
      <c r="RR33" s="292"/>
      <c r="RS33" s="292"/>
      <c r="RT33" s="292"/>
      <c r="RU33" s="292"/>
      <c r="RV33" s="292"/>
      <c r="RW33" s="292"/>
      <c r="RX33" s="292"/>
      <c r="RY33" s="292"/>
      <c r="RZ33" s="292"/>
      <c r="SA33" s="292"/>
      <c r="SB33" s="292"/>
      <c r="SC33" s="292"/>
      <c r="SD33" s="292"/>
      <c r="SE33" s="292"/>
      <c r="SF33" s="292"/>
      <c r="SG33" s="292"/>
      <c r="SH33" s="292"/>
      <c r="SI33" s="292"/>
      <c r="SJ33" s="292"/>
      <c r="SK33" s="292"/>
      <c r="SL33" s="292"/>
      <c r="SM33" s="292"/>
      <c r="SN33" s="292"/>
      <c r="SO33" s="292"/>
      <c r="SP33" s="292"/>
      <c r="SQ33" s="292"/>
      <c r="SR33" s="292"/>
      <c r="SS33" s="292"/>
      <c r="ST33" s="292"/>
      <c r="SU33" s="292"/>
      <c r="SV33" s="292"/>
      <c r="SW33" s="292"/>
      <c r="SX33" s="292"/>
      <c r="SY33" s="292"/>
      <c r="SZ33" s="292"/>
      <c r="TA33" s="292"/>
      <c r="TB33" s="292"/>
      <c r="TC33" s="292"/>
      <c r="TD33" s="292"/>
      <c r="TE33" s="292"/>
      <c r="TF33" s="292"/>
      <c r="TG33" s="292"/>
      <c r="TH33" s="292"/>
      <c r="TI33" s="292"/>
      <c r="TJ33" s="292"/>
      <c r="TK33" s="292"/>
      <c r="TL33" s="292"/>
      <c r="TM33" s="292"/>
      <c r="TN33" s="292"/>
      <c r="TO33" s="292"/>
      <c r="TP33" s="292"/>
      <c r="TQ33" s="292"/>
      <c r="TR33" s="292"/>
      <c r="TS33" s="292"/>
      <c r="TT33" s="292"/>
      <c r="TU33" s="292"/>
      <c r="TV33" s="292"/>
      <c r="TW33" s="292"/>
      <c r="TX33" s="292"/>
      <c r="TY33" s="292"/>
    </row>
    <row r="34" spans="1:545" s="620" customFormat="1" ht="15" customHeight="1" x14ac:dyDescent="0.25">
      <c r="A34" s="1004"/>
      <c r="B34" s="1005"/>
      <c r="C34" s="1006"/>
      <c r="D34" s="960"/>
      <c r="E34" s="980"/>
      <c r="F34" s="976"/>
      <c r="G34" s="981"/>
      <c r="H34" s="977"/>
      <c r="I34" s="980"/>
      <c r="J34" s="962"/>
      <c r="K34" s="981"/>
      <c r="L34" s="977"/>
      <c r="M34" s="980"/>
      <c r="N34" s="982"/>
      <c r="O34" s="981"/>
      <c r="P34" s="977"/>
      <c r="Q34" s="980"/>
      <c r="R34" s="962"/>
      <c r="S34" s="976"/>
      <c r="T34" s="977"/>
      <c r="U34" s="980"/>
      <c r="V34" s="962"/>
      <c r="W34" s="981"/>
      <c r="X34" s="977"/>
      <c r="Y34" s="980"/>
      <c r="Z34" s="962"/>
      <c r="AA34" s="981"/>
      <c r="AB34" s="976"/>
      <c r="AC34" s="980"/>
      <c r="AD34" s="981"/>
      <c r="AE34" s="971"/>
      <c r="AF34" s="806"/>
      <c r="AG34" s="806"/>
      <c r="AH34" s="292"/>
      <c r="AI34" s="292"/>
      <c r="AJ34" s="292"/>
      <c r="AK34" s="292"/>
      <c r="AL34" s="806"/>
      <c r="AM34" s="806"/>
      <c r="AN34" s="806"/>
      <c r="AO34" s="806"/>
      <c r="AP34" s="807"/>
      <c r="AQ34" s="292"/>
      <c r="AR34" s="292"/>
      <c r="AS34" s="292"/>
      <c r="AT34" s="806"/>
      <c r="AU34" s="806"/>
      <c r="AV34" s="806"/>
      <c r="AW34" s="806"/>
      <c r="AX34" s="807"/>
      <c r="AY34" s="292"/>
      <c r="AZ34" s="292"/>
      <c r="BA34" s="292"/>
      <c r="BB34" s="806"/>
      <c r="BC34" s="806"/>
      <c r="BD34" s="806"/>
      <c r="BE34" s="806"/>
      <c r="BF34" s="807"/>
      <c r="BG34" s="292"/>
      <c r="BH34" s="807"/>
      <c r="BI34" s="292"/>
      <c r="BJ34" s="292"/>
      <c r="BK34" s="292"/>
      <c r="BL34" s="292"/>
      <c r="BM34" s="292"/>
      <c r="BN34" s="292"/>
      <c r="BO34" s="292"/>
      <c r="BP34" s="292"/>
      <c r="BQ34" s="292"/>
      <c r="BR34" s="292"/>
      <c r="BS34" s="292"/>
      <c r="BT34" s="292"/>
      <c r="BU34" s="292"/>
      <c r="BV34" s="292"/>
      <c r="BW34" s="292"/>
      <c r="BX34" s="292"/>
      <c r="BY34" s="292"/>
      <c r="BZ34" s="292"/>
      <c r="CA34" s="292"/>
      <c r="CB34" s="292"/>
      <c r="CC34" s="292"/>
      <c r="CD34" s="292"/>
      <c r="CE34" s="292"/>
      <c r="CF34" s="292"/>
      <c r="CG34" s="292"/>
      <c r="CH34" s="292"/>
      <c r="CI34" s="292"/>
      <c r="CJ34" s="292"/>
      <c r="CK34" s="292"/>
      <c r="CL34" s="292"/>
      <c r="CM34" s="292"/>
      <c r="CN34" s="292"/>
      <c r="CO34" s="292"/>
      <c r="CP34" s="292"/>
      <c r="CQ34" s="292"/>
      <c r="CR34" s="292"/>
      <c r="CS34" s="292"/>
      <c r="CT34" s="292"/>
      <c r="CU34" s="292"/>
      <c r="CV34" s="292"/>
      <c r="CW34" s="292"/>
      <c r="CX34" s="292"/>
      <c r="CY34" s="292"/>
      <c r="CZ34" s="292"/>
      <c r="DA34" s="292"/>
      <c r="DB34" s="292"/>
      <c r="DC34" s="292"/>
      <c r="DD34" s="292"/>
      <c r="DE34" s="292"/>
      <c r="DF34" s="292"/>
      <c r="DG34" s="292"/>
      <c r="DH34" s="292"/>
      <c r="DI34" s="292"/>
      <c r="DJ34" s="292"/>
      <c r="DK34" s="292"/>
      <c r="DL34" s="292"/>
      <c r="DM34" s="292"/>
      <c r="DN34" s="292"/>
      <c r="DO34" s="292"/>
      <c r="DP34" s="292"/>
      <c r="DQ34" s="292"/>
      <c r="DR34" s="292"/>
      <c r="DS34" s="292"/>
      <c r="DT34" s="292"/>
      <c r="DU34" s="292"/>
      <c r="DV34" s="292"/>
      <c r="DW34" s="292"/>
      <c r="DX34" s="292"/>
      <c r="DY34" s="292"/>
      <c r="DZ34" s="292"/>
      <c r="EA34" s="292"/>
      <c r="EB34" s="292"/>
      <c r="EC34" s="292"/>
      <c r="ED34" s="292"/>
      <c r="EE34" s="292"/>
      <c r="EF34" s="292"/>
      <c r="EG34" s="292"/>
      <c r="EH34" s="292"/>
      <c r="EI34" s="292"/>
      <c r="EJ34" s="292"/>
      <c r="EK34" s="292"/>
      <c r="EL34" s="292"/>
      <c r="EM34" s="292"/>
      <c r="EN34" s="292"/>
      <c r="EO34" s="292"/>
      <c r="EP34" s="292"/>
      <c r="EQ34" s="292"/>
      <c r="ER34" s="292"/>
      <c r="ES34" s="292"/>
      <c r="ET34" s="292"/>
      <c r="EU34" s="292"/>
      <c r="EV34" s="292"/>
      <c r="EW34" s="292"/>
      <c r="EX34" s="292"/>
      <c r="EY34" s="292"/>
      <c r="EZ34" s="292"/>
      <c r="FA34" s="292"/>
      <c r="FB34" s="292"/>
      <c r="FC34" s="292"/>
      <c r="FD34" s="292"/>
      <c r="FE34" s="292"/>
      <c r="FF34" s="292"/>
      <c r="FG34" s="292"/>
      <c r="FH34" s="292"/>
      <c r="FI34" s="292"/>
      <c r="FJ34" s="292"/>
      <c r="FK34" s="292"/>
      <c r="FL34" s="292"/>
      <c r="FM34" s="292"/>
      <c r="FN34" s="292"/>
      <c r="FO34" s="292"/>
      <c r="FP34" s="292"/>
      <c r="FQ34" s="292"/>
      <c r="FR34" s="292"/>
      <c r="FS34" s="292"/>
      <c r="FT34" s="292"/>
      <c r="FU34" s="292"/>
      <c r="FV34" s="292"/>
      <c r="FW34" s="292"/>
      <c r="FX34" s="292"/>
      <c r="FY34" s="292"/>
      <c r="FZ34" s="292"/>
      <c r="GA34" s="292"/>
      <c r="GB34" s="292"/>
      <c r="GC34" s="292"/>
      <c r="GD34" s="292"/>
      <c r="GE34" s="292"/>
      <c r="GF34" s="292"/>
      <c r="GG34" s="292"/>
      <c r="GH34" s="292"/>
      <c r="GI34" s="292"/>
      <c r="GJ34" s="292"/>
      <c r="GK34" s="292"/>
      <c r="GL34" s="292"/>
      <c r="GM34" s="292"/>
      <c r="GN34" s="292"/>
      <c r="GO34" s="292"/>
      <c r="GP34" s="292"/>
      <c r="GQ34" s="292"/>
      <c r="GR34" s="292"/>
      <c r="GS34" s="292"/>
      <c r="GT34" s="292"/>
      <c r="GU34" s="292"/>
      <c r="GV34" s="292"/>
      <c r="GW34" s="292"/>
      <c r="GX34" s="292"/>
      <c r="GY34" s="292"/>
      <c r="GZ34" s="292"/>
      <c r="HA34" s="292"/>
      <c r="HB34" s="292"/>
      <c r="HC34" s="292"/>
      <c r="HD34" s="292"/>
      <c r="HE34" s="292"/>
      <c r="HF34" s="292"/>
      <c r="HG34" s="292"/>
      <c r="HH34" s="292"/>
      <c r="HI34" s="292"/>
      <c r="HJ34" s="292"/>
      <c r="HK34" s="292"/>
      <c r="HL34" s="292"/>
      <c r="HM34" s="292"/>
      <c r="HN34" s="292"/>
      <c r="HO34" s="292"/>
      <c r="HP34" s="292"/>
      <c r="HQ34" s="292"/>
      <c r="HR34" s="292"/>
      <c r="HS34" s="292"/>
      <c r="HT34" s="292"/>
      <c r="HU34" s="292"/>
      <c r="HV34" s="292"/>
      <c r="HW34" s="292"/>
      <c r="HX34" s="292"/>
      <c r="HY34" s="292"/>
      <c r="HZ34" s="292"/>
      <c r="IA34" s="292"/>
      <c r="IB34" s="292"/>
      <c r="IC34" s="292"/>
      <c r="ID34" s="292"/>
      <c r="IE34" s="292"/>
      <c r="IF34" s="292"/>
      <c r="IG34" s="292"/>
      <c r="IH34" s="292"/>
      <c r="II34" s="292"/>
      <c r="IJ34" s="292"/>
      <c r="IK34" s="292"/>
      <c r="IL34" s="292"/>
      <c r="IM34" s="292"/>
      <c r="IN34" s="292"/>
      <c r="IO34" s="292"/>
      <c r="IP34" s="292"/>
      <c r="IQ34" s="292"/>
      <c r="IR34" s="292"/>
      <c r="IS34" s="292"/>
      <c r="IT34" s="292"/>
      <c r="IU34" s="292"/>
      <c r="IV34" s="292"/>
      <c r="IW34" s="292"/>
      <c r="IX34" s="292"/>
      <c r="IY34" s="292"/>
      <c r="IZ34" s="292"/>
      <c r="JA34" s="292"/>
      <c r="JB34" s="292"/>
      <c r="JC34" s="292"/>
      <c r="JD34" s="292"/>
      <c r="JE34" s="292"/>
      <c r="JF34" s="292"/>
      <c r="JG34" s="292"/>
      <c r="JH34" s="292"/>
      <c r="JI34" s="292"/>
      <c r="JJ34" s="292"/>
      <c r="JK34" s="292"/>
      <c r="JL34" s="292"/>
      <c r="JM34" s="292"/>
      <c r="JN34" s="292"/>
      <c r="JO34" s="292"/>
      <c r="JP34" s="292"/>
      <c r="JQ34" s="292"/>
      <c r="JR34" s="292"/>
      <c r="JS34" s="292"/>
      <c r="JT34" s="292"/>
      <c r="JU34" s="292"/>
      <c r="JV34" s="292"/>
      <c r="JW34" s="292"/>
      <c r="JX34" s="292"/>
      <c r="JY34" s="292"/>
      <c r="JZ34" s="292"/>
      <c r="KA34" s="292"/>
      <c r="KB34" s="292"/>
      <c r="KC34" s="292"/>
      <c r="KD34" s="292"/>
      <c r="KE34" s="292"/>
      <c r="KF34" s="292"/>
      <c r="KG34" s="292"/>
      <c r="KH34" s="292"/>
      <c r="KI34" s="292"/>
      <c r="KJ34" s="292"/>
      <c r="KK34" s="292"/>
      <c r="KL34" s="292"/>
      <c r="KM34" s="292"/>
      <c r="KN34" s="292"/>
      <c r="KO34" s="292"/>
      <c r="KP34" s="292"/>
      <c r="KQ34" s="292"/>
      <c r="KR34" s="292"/>
      <c r="KS34" s="292"/>
      <c r="KT34" s="292"/>
      <c r="KU34" s="292"/>
      <c r="KV34" s="292"/>
      <c r="KW34" s="292"/>
      <c r="KX34" s="292"/>
      <c r="KY34" s="292"/>
      <c r="KZ34" s="292"/>
      <c r="LA34" s="292"/>
      <c r="LB34" s="292"/>
      <c r="LC34" s="292"/>
      <c r="LD34" s="292"/>
      <c r="LE34" s="292"/>
      <c r="LF34" s="292"/>
      <c r="LG34" s="292"/>
      <c r="LH34" s="292"/>
      <c r="LI34" s="292"/>
      <c r="LJ34" s="292"/>
      <c r="LK34" s="292"/>
      <c r="LL34" s="292"/>
      <c r="LM34" s="292"/>
      <c r="LN34" s="292"/>
      <c r="LO34" s="292"/>
      <c r="LP34" s="292"/>
      <c r="LQ34" s="292"/>
      <c r="LR34" s="292"/>
      <c r="LS34" s="292"/>
      <c r="LT34" s="292"/>
      <c r="LU34" s="292"/>
      <c r="LV34" s="292"/>
      <c r="LW34" s="292"/>
      <c r="LX34" s="292"/>
      <c r="LY34" s="292"/>
      <c r="LZ34" s="292"/>
      <c r="MA34" s="292"/>
      <c r="MB34" s="292"/>
      <c r="MC34" s="292"/>
      <c r="MD34" s="292"/>
      <c r="ME34" s="292"/>
      <c r="MF34" s="292"/>
      <c r="MG34" s="292"/>
      <c r="MH34" s="292"/>
      <c r="MI34" s="292"/>
      <c r="MJ34" s="292"/>
      <c r="MK34" s="292"/>
      <c r="ML34" s="292"/>
      <c r="MM34" s="292"/>
      <c r="MN34" s="292"/>
      <c r="MO34" s="292"/>
      <c r="MP34" s="292"/>
      <c r="MQ34" s="292"/>
      <c r="MR34" s="292"/>
      <c r="MS34" s="292"/>
      <c r="MT34" s="292"/>
      <c r="MU34" s="292"/>
      <c r="MV34" s="292"/>
      <c r="MW34" s="292"/>
      <c r="MX34" s="292"/>
      <c r="MY34" s="292"/>
      <c r="MZ34" s="292"/>
      <c r="NA34" s="292"/>
      <c r="NB34" s="292"/>
      <c r="NC34" s="292"/>
      <c r="ND34" s="292"/>
      <c r="NE34" s="292"/>
      <c r="NF34" s="292"/>
      <c r="NG34" s="292"/>
      <c r="NH34" s="292"/>
      <c r="NI34" s="292"/>
      <c r="NJ34" s="292"/>
      <c r="NK34" s="292"/>
      <c r="NL34" s="292"/>
      <c r="NM34" s="292"/>
      <c r="NN34" s="292"/>
      <c r="NO34" s="292"/>
      <c r="NP34" s="292"/>
      <c r="NQ34" s="292"/>
      <c r="NR34" s="292"/>
      <c r="NS34" s="292"/>
      <c r="NT34" s="292"/>
      <c r="NU34" s="292"/>
      <c r="NV34" s="292"/>
      <c r="NW34" s="292"/>
      <c r="NX34" s="292"/>
      <c r="NY34" s="292"/>
      <c r="NZ34" s="292"/>
      <c r="OA34" s="292"/>
      <c r="OB34" s="292"/>
      <c r="OC34" s="292"/>
      <c r="OD34" s="292"/>
      <c r="OE34" s="292"/>
      <c r="OF34" s="292"/>
      <c r="OG34" s="292"/>
      <c r="OH34" s="292"/>
      <c r="OI34" s="292"/>
      <c r="OJ34" s="292"/>
      <c r="OK34" s="292"/>
      <c r="OL34" s="292"/>
      <c r="OM34" s="292"/>
      <c r="ON34" s="292"/>
      <c r="OO34" s="292"/>
      <c r="OP34" s="292"/>
      <c r="OQ34" s="292"/>
      <c r="OR34" s="292"/>
      <c r="OS34" s="292"/>
      <c r="OT34" s="292"/>
      <c r="OU34" s="292"/>
      <c r="OV34" s="292"/>
      <c r="OW34" s="292"/>
      <c r="OX34" s="292"/>
      <c r="OY34" s="292"/>
      <c r="OZ34" s="292"/>
      <c r="PA34" s="292"/>
      <c r="PB34" s="292"/>
      <c r="PC34" s="292"/>
      <c r="PD34" s="292"/>
      <c r="PE34" s="292"/>
      <c r="PF34" s="292"/>
      <c r="PG34" s="292"/>
      <c r="PH34" s="292"/>
      <c r="PI34" s="292"/>
      <c r="PJ34" s="292"/>
      <c r="PK34" s="292"/>
      <c r="PL34" s="292"/>
      <c r="PM34" s="292"/>
      <c r="PN34" s="292"/>
      <c r="PO34" s="292"/>
      <c r="PP34" s="292"/>
      <c r="PQ34" s="292"/>
      <c r="PR34" s="292"/>
      <c r="PS34" s="292"/>
      <c r="PT34" s="292"/>
      <c r="PU34" s="292"/>
      <c r="PV34" s="292"/>
      <c r="PW34" s="292"/>
      <c r="PX34" s="292"/>
      <c r="PY34" s="292"/>
      <c r="PZ34" s="292"/>
      <c r="QA34" s="292"/>
      <c r="QB34" s="292"/>
      <c r="QC34" s="292"/>
      <c r="QD34" s="292"/>
      <c r="QE34" s="292"/>
      <c r="QF34" s="292"/>
      <c r="QG34" s="292"/>
      <c r="QH34" s="292"/>
      <c r="QI34" s="292"/>
      <c r="QJ34" s="292"/>
      <c r="QK34" s="292"/>
      <c r="QL34" s="292"/>
      <c r="QM34" s="292"/>
      <c r="QN34" s="292"/>
      <c r="QO34" s="292"/>
      <c r="QP34" s="292"/>
      <c r="QQ34" s="292"/>
      <c r="QR34" s="292"/>
      <c r="QS34" s="292"/>
      <c r="QT34" s="292"/>
      <c r="QU34" s="292"/>
      <c r="QV34" s="292"/>
      <c r="QW34" s="292"/>
      <c r="QX34" s="292"/>
      <c r="QY34" s="292"/>
      <c r="QZ34" s="292"/>
      <c r="RA34" s="292"/>
      <c r="RB34" s="292"/>
      <c r="RC34" s="292"/>
      <c r="RD34" s="292"/>
      <c r="RE34" s="292"/>
      <c r="RF34" s="292"/>
      <c r="RG34" s="292"/>
      <c r="RH34" s="292"/>
      <c r="RI34" s="292"/>
      <c r="RJ34" s="292"/>
      <c r="RK34" s="292"/>
      <c r="RL34" s="292"/>
      <c r="RM34" s="292"/>
      <c r="RN34" s="292"/>
      <c r="RO34" s="292"/>
      <c r="RP34" s="292"/>
      <c r="RQ34" s="292"/>
      <c r="RR34" s="292"/>
      <c r="RS34" s="292"/>
      <c r="RT34" s="292"/>
      <c r="RU34" s="292"/>
      <c r="RV34" s="292"/>
      <c r="RW34" s="292"/>
      <c r="RX34" s="292"/>
      <c r="RY34" s="292"/>
      <c r="RZ34" s="292"/>
      <c r="SA34" s="292"/>
      <c r="SB34" s="292"/>
      <c r="SC34" s="292"/>
      <c r="SD34" s="292"/>
      <c r="SE34" s="292"/>
      <c r="SF34" s="292"/>
      <c r="SG34" s="292"/>
      <c r="SH34" s="292"/>
      <c r="SI34" s="292"/>
      <c r="SJ34" s="292"/>
      <c r="SK34" s="292"/>
      <c r="SL34" s="292"/>
      <c r="SM34" s="292"/>
      <c r="SN34" s="292"/>
      <c r="SO34" s="292"/>
      <c r="SP34" s="292"/>
      <c r="SQ34" s="292"/>
      <c r="SR34" s="292"/>
      <c r="SS34" s="292"/>
      <c r="ST34" s="292"/>
      <c r="SU34" s="292"/>
      <c r="SV34" s="292"/>
      <c r="SW34" s="292"/>
      <c r="SX34" s="292"/>
      <c r="SY34" s="292"/>
      <c r="SZ34" s="292"/>
      <c r="TA34" s="292"/>
      <c r="TB34" s="292"/>
      <c r="TC34" s="292"/>
      <c r="TD34" s="292"/>
      <c r="TE34" s="292"/>
      <c r="TF34" s="292"/>
      <c r="TG34" s="292"/>
      <c r="TH34" s="292"/>
      <c r="TI34" s="292"/>
      <c r="TJ34" s="292"/>
      <c r="TK34" s="292"/>
      <c r="TL34" s="292"/>
      <c r="TM34" s="292"/>
      <c r="TN34" s="292"/>
      <c r="TO34" s="292"/>
      <c r="TP34" s="292"/>
      <c r="TQ34" s="292"/>
      <c r="TR34" s="292"/>
      <c r="TS34" s="292"/>
      <c r="TT34" s="292"/>
      <c r="TU34" s="292"/>
      <c r="TV34" s="292"/>
      <c r="TW34" s="292"/>
      <c r="TX34" s="292"/>
      <c r="TY34" s="292"/>
    </row>
    <row r="35" spans="1:545" ht="20.149999999999999" customHeight="1" x14ac:dyDescent="0.25">
      <c r="A35" s="1344" t="s">
        <v>334</v>
      </c>
      <c r="B35" s="1345"/>
      <c r="C35" s="1345"/>
      <c r="D35" s="957"/>
      <c r="E35" s="957"/>
      <c r="F35" s="957"/>
      <c r="G35" s="1137" t="s">
        <v>335</v>
      </c>
      <c r="H35" s="957"/>
      <c r="I35" s="957"/>
      <c r="J35" s="957"/>
      <c r="K35" s="1137" t="s">
        <v>335</v>
      </c>
      <c r="L35" s="957"/>
      <c r="M35" s="957"/>
      <c r="N35" s="957"/>
      <c r="O35" s="1137" t="s">
        <v>335</v>
      </c>
      <c r="P35" s="957"/>
      <c r="Q35" s="957"/>
      <c r="R35" s="957"/>
      <c r="S35" s="1137" t="s">
        <v>335</v>
      </c>
      <c r="T35" s="957"/>
      <c r="U35" s="957"/>
      <c r="V35" s="957"/>
      <c r="W35" s="1137" t="s">
        <v>335</v>
      </c>
      <c r="X35" s="957"/>
      <c r="Y35" s="957"/>
      <c r="Z35" s="957"/>
      <c r="AA35" s="1137" t="s">
        <v>335</v>
      </c>
      <c r="AB35" s="957"/>
      <c r="AC35" s="957"/>
      <c r="AD35" s="1171" t="s">
        <v>336</v>
      </c>
      <c r="AE35" s="971"/>
    </row>
    <row r="36" spans="1:545" ht="15" customHeight="1" x14ac:dyDescent="0.25">
      <c r="A36" s="1337" t="s">
        <v>337</v>
      </c>
      <c r="B36" s="1338"/>
      <c r="C36" s="1094" t="s">
        <v>338</v>
      </c>
      <c r="D36" s="957"/>
      <c r="E36" s="957"/>
      <c r="F36" s="957"/>
      <c r="G36" s="622">
        <v>0</v>
      </c>
      <c r="H36" s="957"/>
      <c r="I36" s="957"/>
      <c r="J36" s="957"/>
      <c r="K36" s="622">
        <v>0</v>
      </c>
      <c r="L36" s="957"/>
      <c r="M36" s="957"/>
      <c r="N36" s="957"/>
      <c r="O36" s="622">
        <v>0</v>
      </c>
      <c r="P36" s="957"/>
      <c r="Q36" s="957"/>
      <c r="R36" s="957"/>
      <c r="S36" s="622">
        <v>0</v>
      </c>
      <c r="T36" s="957"/>
      <c r="U36" s="957"/>
      <c r="V36" s="957"/>
      <c r="W36" s="622">
        <v>0</v>
      </c>
      <c r="X36" s="957"/>
      <c r="Y36" s="957"/>
      <c r="Z36" s="957"/>
      <c r="AA36" s="622">
        <v>0</v>
      </c>
      <c r="AB36" s="975"/>
      <c r="AC36" s="957"/>
      <c r="AD36" s="1001">
        <f>G36+K36+O36+S36+W36+AA36</f>
        <v>0</v>
      </c>
      <c r="AE36" s="971"/>
    </row>
    <row r="37" spans="1:545" ht="15" customHeight="1" x14ac:dyDescent="0.25">
      <c r="A37" s="1337" t="s">
        <v>339</v>
      </c>
      <c r="B37" s="1338"/>
      <c r="C37" s="1094" t="s">
        <v>338</v>
      </c>
      <c r="D37" s="957"/>
      <c r="E37" s="957"/>
      <c r="F37" s="957"/>
      <c r="G37" s="622">
        <v>0</v>
      </c>
      <c r="H37" s="957"/>
      <c r="I37" s="957"/>
      <c r="J37" s="957"/>
      <c r="K37" s="622">
        <v>0</v>
      </c>
      <c r="L37" s="957"/>
      <c r="M37" s="957"/>
      <c r="N37" s="957"/>
      <c r="O37" s="622">
        <v>0</v>
      </c>
      <c r="P37" s="957"/>
      <c r="Q37" s="957"/>
      <c r="R37" s="957"/>
      <c r="S37" s="622">
        <v>0</v>
      </c>
      <c r="T37" s="957"/>
      <c r="U37" s="957"/>
      <c r="V37" s="957"/>
      <c r="W37" s="622">
        <v>0</v>
      </c>
      <c r="X37" s="957"/>
      <c r="Y37" s="957"/>
      <c r="Z37" s="957"/>
      <c r="AA37" s="622">
        <v>0</v>
      </c>
      <c r="AB37" s="975"/>
      <c r="AC37" s="957"/>
      <c r="AD37" s="1001">
        <f>G37+K37+O37+S37+W37+AA37</f>
        <v>0</v>
      </c>
      <c r="AE37" s="971"/>
    </row>
    <row r="38" spans="1:545" ht="15" customHeight="1" x14ac:dyDescent="0.25">
      <c r="A38" s="1337" t="s">
        <v>340</v>
      </c>
      <c r="B38" s="1338"/>
      <c r="C38" s="1094" t="s">
        <v>338</v>
      </c>
      <c r="D38" s="957"/>
      <c r="E38" s="957"/>
      <c r="F38" s="957"/>
      <c r="G38" s="622">
        <v>0</v>
      </c>
      <c r="H38" s="957"/>
      <c r="I38" s="957"/>
      <c r="J38" s="957"/>
      <c r="K38" s="622">
        <v>0</v>
      </c>
      <c r="L38" s="957"/>
      <c r="M38" s="957"/>
      <c r="N38" s="957"/>
      <c r="O38" s="622">
        <v>0</v>
      </c>
      <c r="P38" s="957"/>
      <c r="Q38" s="957"/>
      <c r="R38" s="957"/>
      <c r="S38" s="622">
        <v>0</v>
      </c>
      <c r="T38" s="957"/>
      <c r="U38" s="957"/>
      <c r="V38" s="957"/>
      <c r="W38" s="622">
        <v>0</v>
      </c>
      <c r="X38" s="957"/>
      <c r="Y38" s="957"/>
      <c r="Z38" s="957"/>
      <c r="AA38" s="622">
        <v>0</v>
      </c>
      <c r="AB38" s="975"/>
      <c r="AC38" s="957"/>
      <c r="AD38" s="1001">
        <f>G38+K38+O38+S38+W38+AA38</f>
        <v>0</v>
      </c>
      <c r="AE38" s="971"/>
    </row>
    <row r="39" spans="1:545" ht="15" customHeight="1" x14ac:dyDescent="0.25">
      <c r="A39" s="1329" t="s">
        <v>341</v>
      </c>
      <c r="B39" s="1330"/>
      <c r="C39" s="1094" t="s">
        <v>338</v>
      </c>
      <c r="D39" s="957"/>
      <c r="E39" s="957"/>
      <c r="F39" s="957"/>
      <c r="G39" s="622">
        <v>0</v>
      </c>
      <c r="H39" s="957"/>
      <c r="I39" s="957"/>
      <c r="J39" s="957"/>
      <c r="K39" s="622">
        <v>0</v>
      </c>
      <c r="L39" s="957"/>
      <c r="M39" s="957"/>
      <c r="N39" s="957"/>
      <c r="O39" s="622">
        <v>0</v>
      </c>
      <c r="P39" s="957"/>
      <c r="Q39" s="957"/>
      <c r="R39" s="957"/>
      <c r="S39" s="622">
        <v>0</v>
      </c>
      <c r="T39" s="957"/>
      <c r="U39" s="957"/>
      <c r="V39" s="957"/>
      <c r="W39" s="622">
        <v>0</v>
      </c>
      <c r="X39" s="957"/>
      <c r="Y39" s="957"/>
      <c r="Z39" s="957"/>
      <c r="AA39" s="622">
        <v>0</v>
      </c>
      <c r="AB39" s="975"/>
      <c r="AC39" s="957"/>
      <c r="AD39" s="1001">
        <f>G39+K39+O39+S39+W39+AA39</f>
        <v>0</v>
      </c>
      <c r="AE39" s="971"/>
    </row>
    <row r="40" spans="1:545" s="623" customFormat="1" ht="23.15" customHeight="1" x14ac:dyDescent="0.25">
      <c r="A40" s="1358" t="s">
        <v>335</v>
      </c>
      <c r="B40" s="1359"/>
      <c r="C40" s="1359"/>
      <c r="D40" s="962"/>
      <c r="E40" s="962"/>
      <c r="F40" s="962"/>
      <c r="G40" s="794">
        <f>SUM(G35:G39)</f>
        <v>0</v>
      </c>
      <c r="H40" s="979"/>
      <c r="I40" s="962"/>
      <c r="J40" s="962"/>
      <c r="K40" s="794">
        <f>SUM(K35:K39)</f>
        <v>0</v>
      </c>
      <c r="L40" s="979"/>
      <c r="M40" s="962"/>
      <c r="N40" s="962"/>
      <c r="O40" s="794">
        <f>SUM(O35:O39)</f>
        <v>0</v>
      </c>
      <c r="P40" s="979"/>
      <c r="Q40" s="957"/>
      <c r="R40" s="957"/>
      <c r="S40" s="794">
        <f>SUM(S35:S39)</f>
        <v>0</v>
      </c>
      <c r="T40" s="957"/>
      <c r="U40" s="1295"/>
      <c r="V40" s="1295"/>
      <c r="W40" s="794">
        <f>SUM(W35:W39)</f>
        <v>0</v>
      </c>
      <c r="X40" s="957"/>
      <c r="Y40" s="1295"/>
      <c r="Z40" s="1295"/>
      <c r="AA40" s="794">
        <f>SUM(AA35:AA39)</f>
        <v>0</v>
      </c>
      <c r="AB40" s="976"/>
      <c r="AC40" s="957"/>
      <c r="AD40" s="794">
        <f>G40+K40+O40+S40+W40+AA40</f>
        <v>0</v>
      </c>
      <c r="AE40" s="971"/>
      <c r="AF40" s="292"/>
      <c r="AG40" s="292"/>
      <c r="AH40" s="292"/>
      <c r="AI40" s="292"/>
      <c r="AJ40" s="292"/>
      <c r="AK40" s="292"/>
      <c r="AL40" s="292"/>
      <c r="AM40" s="292"/>
      <c r="AN40" s="292"/>
      <c r="AO40" s="292"/>
      <c r="AP40" s="292"/>
      <c r="AQ40" s="292"/>
      <c r="AR40" s="292"/>
      <c r="AS40" s="292"/>
      <c r="AT40" s="292"/>
      <c r="AU40" s="292"/>
      <c r="AV40" s="292"/>
      <c r="AW40" s="292"/>
      <c r="AX40" s="292"/>
      <c r="AY40" s="292"/>
      <c r="AZ40" s="292"/>
      <c r="BA40" s="292"/>
      <c r="BB40" s="292"/>
      <c r="BC40" s="292"/>
      <c r="BD40" s="292"/>
      <c r="BE40" s="292"/>
      <c r="BF40" s="292"/>
      <c r="BG40" s="292"/>
      <c r="BH40" s="292"/>
      <c r="BI40" s="292"/>
      <c r="BJ40" s="292"/>
      <c r="BK40" s="292"/>
      <c r="BL40" s="292"/>
      <c r="BM40" s="292"/>
      <c r="BN40" s="292"/>
      <c r="BO40" s="292"/>
      <c r="BP40" s="292"/>
      <c r="BQ40" s="292"/>
      <c r="BR40" s="292"/>
      <c r="BS40" s="292"/>
      <c r="BT40" s="292"/>
      <c r="BU40" s="292"/>
      <c r="BV40" s="292"/>
      <c r="BW40" s="292"/>
      <c r="BX40" s="292"/>
      <c r="BY40" s="292"/>
      <c r="BZ40" s="292"/>
      <c r="CA40" s="292"/>
      <c r="CB40" s="292"/>
      <c r="CC40" s="292"/>
      <c r="CD40" s="292"/>
      <c r="CE40" s="292"/>
      <c r="CF40" s="292"/>
      <c r="CG40" s="292"/>
      <c r="CH40" s="292"/>
      <c r="CI40" s="292"/>
      <c r="CJ40" s="292"/>
      <c r="CK40" s="292"/>
      <c r="CL40" s="292"/>
      <c r="CM40" s="292"/>
      <c r="CN40" s="292"/>
      <c r="CO40" s="292"/>
      <c r="CP40" s="292"/>
      <c r="CQ40" s="292"/>
      <c r="CR40" s="292"/>
      <c r="CS40" s="292"/>
      <c r="CT40" s="292"/>
      <c r="CU40" s="292"/>
      <c r="CV40" s="292"/>
      <c r="CW40" s="292"/>
      <c r="CX40" s="292"/>
      <c r="CY40" s="292"/>
      <c r="CZ40" s="292"/>
      <c r="DA40" s="292"/>
      <c r="DB40" s="292"/>
      <c r="DC40" s="292"/>
      <c r="DD40" s="292"/>
      <c r="DE40" s="292"/>
      <c r="DF40" s="292"/>
      <c r="DG40" s="292"/>
      <c r="DH40" s="292"/>
      <c r="DI40" s="292"/>
      <c r="DJ40" s="292"/>
      <c r="DK40" s="292"/>
      <c r="DL40" s="292"/>
      <c r="DM40" s="292"/>
      <c r="DN40" s="292"/>
      <c r="DO40" s="292"/>
      <c r="DP40" s="292"/>
      <c r="DQ40" s="292"/>
      <c r="DR40" s="292"/>
      <c r="DS40" s="292"/>
      <c r="DT40" s="292"/>
      <c r="DU40" s="292"/>
      <c r="DV40" s="292"/>
      <c r="DW40" s="292"/>
      <c r="DX40" s="292"/>
      <c r="DY40" s="292"/>
      <c r="DZ40" s="292"/>
      <c r="EA40" s="292"/>
      <c r="EB40" s="292"/>
      <c r="EC40" s="292"/>
      <c r="ED40" s="292"/>
      <c r="EE40" s="292"/>
      <c r="EF40" s="292"/>
      <c r="EG40" s="292"/>
      <c r="EH40" s="292"/>
      <c r="EI40" s="292"/>
      <c r="EJ40" s="292"/>
      <c r="EK40" s="292"/>
      <c r="EL40" s="292"/>
      <c r="EM40" s="292"/>
      <c r="EN40" s="292"/>
      <c r="EO40" s="292"/>
      <c r="EP40" s="292"/>
      <c r="EQ40" s="292"/>
      <c r="ER40" s="292"/>
      <c r="ES40" s="292"/>
      <c r="ET40" s="292"/>
      <c r="EU40" s="292"/>
      <c r="EV40" s="292"/>
      <c r="EW40" s="292"/>
      <c r="EX40" s="292"/>
      <c r="EY40" s="292"/>
      <c r="EZ40" s="292"/>
      <c r="FA40" s="292"/>
      <c r="FB40" s="292"/>
      <c r="FC40" s="292"/>
      <c r="FD40" s="292"/>
      <c r="FE40" s="292"/>
      <c r="FF40" s="292"/>
      <c r="FG40" s="292"/>
      <c r="FH40" s="292"/>
      <c r="FI40" s="292"/>
      <c r="FJ40" s="292"/>
      <c r="FK40" s="292"/>
      <c r="FL40" s="292"/>
      <c r="FM40" s="292"/>
      <c r="FN40" s="292"/>
      <c r="FO40" s="292"/>
      <c r="FP40" s="292"/>
      <c r="FQ40" s="292"/>
      <c r="FR40" s="292"/>
      <c r="FS40" s="292"/>
      <c r="FT40" s="292"/>
      <c r="FU40" s="292"/>
      <c r="FV40" s="292"/>
      <c r="FW40" s="292"/>
      <c r="FX40" s="292"/>
      <c r="FY40" s="292"/>
      <c r="FZ40" s="292"/>
      <c r="GA40" s="292"/>
      <c r="GB40" s="292"/>
      <c r="GC40" s="292"/>
      <c r="GD40" s="292"/>
      <c r="GE40" s="292"/>
      <c r="GF40" s="292"/>
      <c r="GG40" s="292"/>
      <c r="GH40" s="292"/>
      <c r="GI40" s="292"/>
      <c r="GJ40" s="292"/>
      <c r="GK40" s="292"/>
      <c r="GL40" s="292"/>
      <c r="GM40" s="292"/>
      <c r="GN40" s="292"/>
      <c r="GO40" s="292"/>
      <c r="GP40" s="292"/>
      <c r="GQ40" s="292"/>
      <c r="GR40" s="292"/>
      <c r="GS40" s="292"/>
      <c r="GT40" s="292"/>
      <c r="GU40" s="292"/>
      <c r="GV40" s="292"/>
      <c r="GW40" s="292"/>
      <c r="GX40" s="292"/>
      <c r="GY40" s="292"/>
      <c r="GZ40" s="292"/>
      <c r="HA40" s="292"/>
      <c r="HB40" s="292"/>
      <c r="HC40" s="292"/>
      <c r="HD40" s="292"/>
      <c r="HE40" s="292"/>
      <c r="HF40" s="292"/>
      <c r="HG40" s="292"/>
      <c r="HH40" s="292"/>
      <c r="HI40" s="292"/>
      <c r="HJ40" s="292"/>
      <c r="HK40" s="292"/>
      <c r="HL40" s="292"/>
      <c r="HM40" s="292"/>
      <c r="HN40" s="292"/>
      <c r="HO40" s="292"/>
      <c r="HP40" s="292"/>
      <c r="HQ40" s="292"/>
      <c r="HR40" s="292"/>
      <c r="HS40" s="292"/>
      <c r="HT40" s="292"/>
      <c r="HU40" s="292"/>
      <c r="HV40" s="292"/>
      <c r="HW40" s="292"/>
      <c r="HX40" s="292"/>
      <c r="HY40" s="292"/>
      <c r="HZ40" s="292"/>
      <c r="IA40" s="292"/>
      <c r="IB40" s="292"/>
      <c r="IC40" s="292"/>
      <c r="ID40" s="292"/>
      <c r="IE40" s="292"/>
      <c r="IF40" s="292"/>
      <c r="IG40" s="292"/>
      <c r="IH40" s="292"/>
      <c r="II40" s="292"/>
      <c r="IJ40" s="292"/>
      <c r="IK40" s="292"/>
      <c r="IL40" s="292"/>
      <c r="IM40" s="292"/>
      <c r="IN40" s="292"/>
      <c r="IO40" s="292"/>
      <c r="IP40" s="292"/>
      <c r="IQ40" s="292"/>
      <c r="IR40" s="292"/>
      <c r="IS40" s="292"/>
      <c r="IT40" s="292"/>
      <c r="IU40" s="292"/>
      <c r="IV40" s="292"/>
      <c r="IW40" s="292"/>
      <c r="IX40" s="292"/>
      <c r="IY40" s="292"/>
      <c r="IZ40" s="292"/>
      <c r="JA40" s="292"/>
      <c r="JB40" s="292"/>
      <c r="JC40" s="292"/>
      <c r="JD40" s="292"/>
      <c r="JE40" s="292"/>
      <c r="JF40" s="292"/>
      <c r="JG40" s="292"/>
      <c r="JH40" s="292"/>
      <c r="JI40" s="292"/>
      <c r="JJ40" s="292"/>
      <c r="JK40" s="292"/>
      <c r="JL40" s="292"/>
      <c r="JM40" s="292"/>
      <c r="JN40" s="292"/>
      <c r="JO40" s="292"/>
      <c r="JP40" s="292"/>
      <c r="JQ40" s="292"/>
      <c r="JR40" s="292"/>
      <c r="JS40" s="292"/>
      <c r="JT40" s="292"/>
      <c r="JU40" s="292"/>
      <c r="JV40" s="292"/>
      <c r="JW40" s="292"/>
      <c r="JX40" s="292"/>
      <c r="JY40" s="292"/>
      <c r="JZ40" s="292"/>
      <c r="KA40" s="292"/>
      <c r="KB40" s="292"/>
      <c r="KC40" s="292"/>
      <c r="KD40" s="292"/>
      <c r="KE40" s="292"/>
      <c r="KF40" s="292"/>
      <c r="KG40" s="292"/>
      <c r="KH40" s="292"/>
      <c r="KI40" s="292"/>
      <c r="KJ40" s="292"/>
      <c r="KK40" s="292"/>
      <c r="KL40" s="292"/>
      <c r="KM40" s="292"/>
      <c r="KN40" s="292"/>
      <c r="KO40" s="292"/>
      <c r="KP40" s="292"/>
      <c r="KQ40" s="292"/>
      <c r="KR40" s="292"/>
      <c r="KS40" s="292"/>
      <c r="KT40" s="292"/>
      <c r="KU40" s="292"/>
      <c r="KV40" s="292"/>
      <c r="KW40" s="292"/>
      <c r="KX40" s="292"/>
      <c r="KY40" s="292"/>
      <c r="KZ40" s="292"/>
      <c r="LA40" s="292"/>
      <c r="LB40" s="292"/>
      <c r="LC40" s="292"/>
      <c r="LD40" s="292"/>
      <c r="LE40" s="292"/>
      <c r="LF40" s="292"/>
      <c r="LG40" s="292"/>
      <c r="LH40" s="292"/>
      <c r="LI40" s="292"/>
      <c r="LJ40" s="292"/>
      <c r="LK40" s="292"/>
      <c r="LL40" s="292"/>
      <c r="LM40" s="292"/>
      <c r="LN40" s="292"/>
      <c r="LO40" s="292"/>
      <c r="LP40" s="292"/>
      <c r="LQ40" s="292"/>
      <c r="LR40" s="292"/>
      <c r="LS40" s="292"/>
      <c r="LT40" s="292"/>
      <c r="LU40" s="292"/>
      <c r="LV40" s="292"/>
      <c r="LW40" s="292"/>
      <c r="LX40" s="292"/>
      <c r="LY40" s="292"/>
      <c r="LZ40" s="292"/>
      <c r="MA40" s="292"/>
      <c r="MB40" s="292"/>
      <c r="MC40" s="292"/>
      <c r="MD40" s="292"/>
      <c r="ME40" s="292"/>
      <c r="MF40" s="292"/>
      <c r="MG40" s="292"/>
      <c r="MH40" s="292"/>
      <c r="MI40" s="292"/>
      <c r="MJ40" s="292"/>
      <c r="MK40" s="292"/>
      <c r="ML40" s="292"/>
      <c r="MM40" s="292"/>
      <c r="MN40" s="292"/>
      <c r="MO40" s="292"/>
      <c r="MP40" s="292"/>
      <c r="MQ40" s="292"/>
      <c r="MR40" s="292"/>
      <c r="MS40" s="292"/>
      <c r="MT40" s="292"/>
      <c r="MU40" s="292"/>
      <c r="MV40" s="292"/>
      <c r="MW40" s="292"/>
      <c r="MX40" s="292"/>
      <c r="MY40" s="292"/>
      <c r="MZ40" s="292"/>
      <c r="NA40" s="292"/>
      <c r="NB40" s="292"/>
      <c r="NC40" s="292"/>
      <c r="ND40" s="292"/>
      <c r="NE40" s="292"/>
      <c r="NF40" s="292"/>
      <c r="NG40" s="292"/>
      <c r="NH40" s="292"/>
      <c r="NI40" s="292"/>
      <c r="NJ40" s="292"/>
      <c r="NK40" s="292"/>
      <c r="NL40" s="292"/>
      <c r="NM40" s="292"/>
      <c r="NN40" s="292"/>
      <c r="NO40" s="292"/>
      <c r="NP40" s="292"/>
      <c r="NQ40" s="292"/>
      <c r="NR40" s="292"/>
      <c r="NS40" s="292"/>
      <c r="NT40" s="292"/>
      <c r="NU40" s="292"/>
      <c r="NV40" s="292"/>
      <c r="NW40" s="292"/>
      <c r="NX40" s="292"/>
      <c r="NY40" s="292"/>
      <c r="NZ40" s="292"/>
      <c r="OA40" s="292"/>
      <c r="OB40" s="292"/>
      <c r="OC40" s="292"/>
      <c r="OD40" s="292"/>
      <c r="OE40" s="292"/>
      <c r="OF40" s="292"/>
      <c r="OG40" s="292"/>
      <c r="OH40" s="292"/>
      <c r="OI40" s="292"/>
      <c r="OJ40" s="292"/>
      <c r="OK40" s="292"/>
      <c r="OL40" s="292"/>
      <c r="OM40" s="292"/>
      <c r="ON40" s="292"/>
      <c r="OO40" s="292"/>
      <c r="OP40" s="292"/>
      <c r="OQ40" s="292"/>
      <c r="OR40" s="292"/>
      <c r="OS40" s="292"/>
      <c r="OT40" s="292"/>
      <c r="OU40" s="292"/>
      <c r="OV40" s="292"/>
      <c r="OW40" s="292"/>
      <c r="OX40" s="292"/>
      <c r="OY40" s="292"/>
      <c r="OZ40" s="292"/>
      <c r="PA40" s="292"/>
      <c r="PB40" s="292"/>
      <c r="PC40" s="292"/>
      <c r="PD40" s="292"/>
      <c r="PE40" s="292"/>
      <c r="PF40" s="292"/>
      <c r="PG40" s="292"/>
      <c r="PH40" s="292"/>
      <c r="PI40" s="292"/>
      <c r="PJ40" s="292"/>
      <c r="PK40" s="292"/>
      <c r="PL40" s="292"/>
      <c r="PM40" s="292"/>
      <c r="PN40" s="292"/>
      <c r="PO40" s="292"/>
      <c r="PP40" s="292"/>
      <c r="PQ40" s="292"/>
      <c r="PR40" s="292"/>
      <c r="PS40" s="292"/>
      <c r="PT40" s="292"/>
      <c r="PU40" s="292"/>
      <c r="PV40" s="292"/>
      <c r="PW40" s="292"/>
      <c r="PX40" s="292"/>
      <c r="PY40" s="292"/>
      <c r="PZ40" s="292"/>
      <c r="QA40" s="292"/>
      <c r="QB40" s="292"/>
      <c r="QC40" s="292"/>
      <c r="QD40" s="292"/>
      <c r="QE40" s="292"/>
      <c r="QF40" s="292"/>
      <c r="QG40" s="292"/>
      <c r="QH40" s="292"/>
      <c r="QI40" s="292"/>
      <c r="QJ40" s="292"/>
      <c r="QK40" s="292"/>
      <c r="QL40" s="292"/>
      <c r="QM40" s="292"/>
      <c r="QN40" s="292"/>
      <c r="QO40" s="292"/>
      <c r="QP40" s="292"/>
      <c r="QQ40" s="292"/>
      <c r="QR40" s="292"/>
      <c r="QS40" s="292"/>
      <c r="QT40" s="292"/>
      <c r="QU40" s="292"/>
      <c r="QV40" s="292"/>
      <c r="QW40" s="292"/>
      <c r="QX40" s="292"/>
      <c r="QY40" s="292"/>
      <c r="QZ40" s="292"/>
      <c r="RA40" s="292"/>
      <c r="RB40" s="292"/>
      <c r="RC40" s="292"/>
      <c r="RD40" s="292"/>
      <c r="RE40" s="292"/>
      <c r="RF40" s="292"/>
      <c r="RG40" s="292"/>
      <c r="RH40" s="292"/>
      <c r="RI40" s="292"/>
      <c r="RJ40" s="292"/>
      <c r="RK40" s="292"/>
      <c r="RL40" s="292"/>
      <c r="RM40" s="292"/>
      <c r="RN40" s="292"/>
      <c r="RO40" s="292"/>
      <c r="RP40" s="292"/>
      <c r="RQ40" s="292"/>
      <c r="RR40" s="292"/>
      <c r="RS40" s="292"/>
      <c r="RT40" s="292"/>
      <c r="RU40" s="292"/>
      <c r="RV40" s="292"/>
      <c r="RW40" s="292"/>
      <c r="RX40" s="292"/>
      <c r="RY40" s="292"/>
      <c r="RZ40" s="292"/>
      <c r="SA40" s="292"/>
      <c r="SB40" s="292"/>
      <c r="SC40" s="292"/>
      <c r="SD40" s="292"/>
      <c r="SE40" s="292"/>
      <c r="SF40" s="292"/>
      <c r="SG40" s="292"/>
      <c r="SH40" s="292"/>
      <c r="SI40" s="292"/>
      <c r="SJ40" s="292"/>
      <c r="SK40" s="292"/>
      <c r="SL40" s="292"/>
      <c r="SM40" s="292"/>
      <c r="SN40" s="292"/>
      <c r="SO40" s="292"/>
      <c r="SP40" s="292"/>
      <c r="SQ40" s="292"/>
      <c r="SR40" s="292"/>
      <c r="SS40" s="292"/>
      <c r="ST40" s="292"/>
      <c r="SU40" s="292"/>
    </row>
    <row r="41" spans="1:545" s="620" customFormat="1" ht="15" customHeight="1" x14ac:dyDescent="0.25">
      <c r="A41" s="1007"/>
      <c r="B41" s="1006"/>
      <c r="C41" s="1006"/>
      <c r="D41" s="962"/>
      <c r="E41" s="962"/>
      <c r="F41" s="962"/>
      <c r="G41" s="981"/>
      <c r="H41" s="957"/>
      <c r="I41" s="962"/>
      <c r="J41" s="962"/>
      <c r="K41" s="981"/>
      <c r="L41" s="957"/>
      <c r="M41" s="962"/>
      <c r="N41" s="962"/>
      <c r="O41" s="981"/>
      <c r="P41" s="957"/>
      <c r="Q41" s="957"/>
      <c r="R41" s="957"/>
      <c r="S41" s="981"/>
      <c r="T41" s="957"/>
      <c r="U41" s="1180"/>
      <c r="V41" s="1180"/>
      <c r="W41" s="981"/>
      <c r="X41" s="957"/>
      <c r="Y41" s="1180"/>
      <c r="Z41" s="1180"/>
      <c r="AA41" s="981"/>
      <c r="AB41" s="976"/>
      <c r="AC41" s="957"/>
      <c r="AD41" s="981"/>
      <c r="AE41" s="971"/>
      <c r="AF41" s="292"/>
      <c r="AG41" s="292"/>
      <c r="AH41" s="292"/>
      <c r="AI41" s="292"/>
      <c r="AJ41" s="292"/>
      <c r="AK41" s="292"/>
      <c r="AL41" s="292"/>
      <c r="AM41" s="292"/>
      <c r="AN41" s="292"/>
      <c r="AO41" s="292"/>
      <c r="AP41" s="292"/>
      <c r="AQ41" s="292"/>
      <c r="AR41" s="292"/>
      <c r="AS41" s="292"/>
      <c r="AT41" s="292"/>
      <c r="AU41" s="292"/>
      <c r="AV41" s="292"/>
      <c r="AW41" s="292"/>
      <c r="AX41" s="292"/>
      <c r="AY41" s="292"/>
      <c r="AZ41" s="292"/>
      <c r="BA41" s="292"/>
      <c r="BB41" s="292"/>
      <c r="BC41" s="292"/>
      <c r="BD41" s="292"/>
      <c r="BE41" s="292"/>
      <c r="BF41" s="292"/>
      <c r="BG41" s="292"/>
      <c r="BH41" s="292"/>
      <c r="BI41" s="292"/>
      <c r="BJ41" s="292"/>
      <c r="BK41" s="292"/>
      <c r="BL41" s="292"/>
    </row>
    <row r="42" spans="1:545" ht="27.65" customHeight="1" x14ac:dyDescent="0.25">
      <c r="A42" s="1334" t="s">
        <v>342</v>
      </c>
      <c r="B42" s="1335"/>
      <c r="C42" s="1335"/>
      <c r="D42" s="957"/>
      <c r="E42" s="1179" t="s">
        <v>327</v>
      </c>
      <c r="F42" s="1179" t="s">
        <v>343</v>
      </c>
      <c r="G42" s="1141" t="s">
        <v>344</v>
      </c>
      <c r="H42" s="957"/>
      <c r="I42" s="1179" t="s">
        <v>327</v>
      </c>
      <c r="J42" s="1179" t="s">
        <v>343</v>
      </c>
      <c r="K42" s="1141" t="s">
        <v>344</v>
      </c>
      <c r="L42" s="957"/>
      <c r="M42" s="1179" t="s">
        <v>327</v>
      </c>
      <c r="N42" s="1179" t="s">
        <v>343</v>
      </c>
      <c r="O42" s="1141" t="s">
        <v>344</v>
      </c>
      <c r="P42" s="957"/>
      <c r="Q42" s="1179" t="s">
        <v>327</v>
      </c>
      <c r="R42" s="1179" t="s">
        <v>343</v>
      </c>
      <c r="S42" s="1141" t="s">
        <v>344</v>
      </c>
      <c r="T42" s="957"/>
      <c r="U42" s="1179" t="s">
        <v>327</v>
      </c>
      <c r="V42" s="1179" t="s">
        <v>343</v>
      </c>
      <c r="W42" s="1141" t="s">
        <v>344</v>
      </c>
      <c r="X42" s="957"/>
      <c r="Y42" s="1179" t="s">
        <v>345</v>
      </c>
      <c r="Z42" s="1179" t="s">
        <v>343</v>
      </c>
      <c r="AA42" s="1141" t="s">
        <v>344</v>
      </c>
      <c r="AB42" s="957"/>
      <c r="AC42" s="1179" t="s">
        <v>327</v>
      </c>
      <c r="AD42" s="1142" t="s">
        <v>346</v>
      </c>
      <c r="AE42" s="971"/>
    </row>
    <row r="43" spans="1:545" ht="15" customHeight="1" x14ac:dyDescent="0.25">
      <c r="A43" s="1337" t="s">
        <v>347</v>
      </c>
      <c r="B43" s="1338"/>
      <c r="C43" s="1095" t="s">
        <v>348</v>
      </c>
      <c r="D43" s="957"/>
      <c r="E43" s="797">
        <v>0</v>
      </c>
      <c r="F43" s="1158">
        <v>0</v>
      </c>
      <c r="G43" s="998">
        <f>E43*F43</f>
        <v>0</v>
      </c>
      <c r="H43" s="957"/>
      <c r="I43" s="797">
        <v>0</v>
      </c>
      <c r="J43" s="622">
        <v>0</v>
      </c>
      <c r="K43" s="998">
        <f>I43*J43</f>
        <v>0</v>
      </c>
      <c r="L43" s="957"/>
      <c r="M43" s="797">
        <v>0</v>
      </c>
      <c r="N43" s="622">
        <v>0</v>
      </c>
      <c r="O43" s="998">
        <f>M43*N43</f>
        <v>0</v>
      </c>
      <c r="P43" s="957"/>
      <c r="Q43" s="797">
        <v>0</v>
      </c>
      <c r="R43" s="622">
        <v>0</v>
      </c>
      <c r="S43" s="998">
        <f>Q43*R43</f>
        <v>0</v>
      </c>
      <c r="T43" s="957"/>
      <c r="U43" s="797">
        <v>0</v>
      </c>
      <c r="V43" s="622">
        <v>0</v>
      </c>
      <c r="W43" s="998">
        <f>U43*V43</f>
        <v>0</v>
      </c>
      <c r="X43" s="957"/>
      <c r="Y43" s="797">
        <v>0</v>
      </c>
      <c r="Z43" s="622">
        <v>0</v>
      </c>
      <c r="AA43" s="998">
        <f>Y43*Z43</f>
        <v>0</v>
      </c>
      <c r="AB43" s="975"/>
      <c r="AC43" s="1097">
        <f>SUM(E43,I43,M43,Q43,U43,Y43)</f>
        <v>0</v>
      </c>
      <c r="AD43" s="998">
        <f>G43+K43+O43+S43+W43+AA43</f>
        <v>0</v>
      </c>
      <c r="AE43" s="971"/>
    </row>
    <row r="44" spans="1:545" ht="15" customHeight="1" x14ac:dyDescent="0.25">
      <c r="A44" s="1337" t="s">
        <v>349</v>
      </c>
      <c r="B44" s="1338"/>
      <c r="C44" s="1095" t="s">
        <v>348</v>
      </c>
      <c r="D44" s="957"/>
      <c r="E44" s="797">
        <v>0</v>
      </c>
      <c r="F44" s="622">
        <v>0</v>
      </c>
      <c r="G44" s="998">
        <f>E45*F44</f>
        <v>0</v>
      </c>
      <c r="H44" s="957"/>
      <c r="I44" s="797">
        <v>0</v>
      </c>
      <c r="J44" s="622">
        <v>0</v>
      </c>
      <c r="K44" s="998">
        <f>I44*J44</f>
        <v>0</v>
      </c>
      <c r="L44" s="957"/>
      <c r="M44" s="797">
        <v>0</v>
      </c>
      <c r="N44" s="622">
        <v>0</v>
      </c>
      <c r="O44" s="998">
        <f>M44*N44</f>
        <v>0</v>
      </c>
      <c r="P44" s="957"/>
      <c r="Q44" s="797">
        <v>0</v>
      </c>
      <c r="R44" s="622">
        <v>0</v>
      </c>
      <c r="S44" s="998">
        <f>Q44*R44</f>
        <v>0</v>
      </c>
      <c r="T44" s="957"/>
      <c r="U44" s="797">
        <v>0</v>
      </c>
      <c r="V44" s="622">
        <v>0</v>
      </c>
      <c r="W44" s="998">
        <f>U44*V44</f>
        <v>0</v>
      </c>
      <c r="X44" s="957"/>
      <c r="Y44" s="797">
        <v>0</v>
      </c>
      <c r="Z44" s="622">
        <v>0</v>
      </c>
      <c r="AA44" s="998">
        <f>Y44*Z44</f>
        <v>0</v>
      </c>
      <c r="AB44" s="975"/>
      <c r="AC44" s="1097">
        <f>SUM(E44,I44,M44,Q44,U44,Y44)</f>
        <v>0</v>
      </c>
      <c r="AD44" s="998">
        <f>G44+K44+O44+S44+W44+AA44</f>
        <v>0</v>
      </c>
      <c r="AE44" s="971"/>
    </row>
    <row r="45" spans="1:545" ht="15" customHeight="1" x14ac:dyDescent="0.25">
      <c r="A45" s="1337" t="s">
        <v>350</v>
      </c>
      <c r="B45" s="1338"/>
      <c r="C45" s="1095" t="s">
        <v>348</v>
      </c>
      <c r="D45" s="957"/>
      <c r="E45" s="797">
        <v>0</v>
      </c>
      <c r="F45" s="622">
        <v>0</v>
      </c>
      <c r="G45" s="998">
        <f>E46*F45</f>
        <v>0</v>
      </c>
      <c r="H45" s="957"/>
      <c r="I45" s="797">
        <v>0</v>
      </c>
      <c r="J45" s="622">
        <v>0</v>
      </c>
      <c r="K45" s="998">
        <f>I45*J45</f>
        <v>0</v>
      </c>
      <c r="L45" s="957"/>
      <c r="M45" s="797">
        <v>0</v>
      </c>
      <c r="N45" s="622">
        <v>0</v>
      </c>
      <c r="O45" s="998">
        <f>M45*N45</f>
        <v>0</v>
      </c>
      <c r="P45" s="957"/>
      <c r="Q45" s="797">
        <v>0</v>
      </c>
      <c r="R45" s="622">
        <v>0</v>
      </c>
      <c r="S45" s="998">
        <f>Q45*R45</f>
        <v>0</v>
      </c>
      <c r="T45" s="957"/>
      <c r="U45" s="797">
        <v>0</v>
      </c>
      <c r="V45" s="622">
        <v>0</v>
      </c>
      <c r="W45" s="998">
        <f>U45*V45</f>
        <v>0</v>
      </c>
      <c r="X45" s="957"/>
      <c r="Y45" s="797">
        <v>0</v>
      </c>
      <c r="Z45" s="622">
        <v>0</v>
      </c>
      <c r="AA45" s="998">
        <f>Y45*Z45</f>
        <v>0</v>
      </c>
      <c r="AB45" s="975"/>
      <c r="AC45" s="1097">
        <f>SUM(E45,I45,M45,Q45,U45,Y45)</f>
        <v>0</v>
      </c>
      <c r="AD45" s="998">
        <f>G45+K45+O45+S45+W45+AA45</f>
        <v>0</v>
      </c>
      <c r="AE45" s="971"/>
    </row>
    <row r="46" spans="1:545" ht="15" customHeight="1" x14ac:dyDescent="0.25">
      <c r="A46" s="1329" t="s">
        <v>351</v>
      </c>
      <c r="B46" s="1330"/>
      <c r="C46" s="1095" t="s">
        <v>348</v>
      </c>
      <c r="D46" s="957"/>
      <c r="E46" s="797">
        <v>0</v>
      </c>
      <c r="F46" s="622">
        <v>0</v>
      </c>
      <c r="G46" s="998">
        <f>E46*F46</f>
        <v>0</v>
      </c>
      <c r="H46" s="957"/>
      <c r="I46" s="797">
        <v>0</v>
      </c>
      <c r="J46" s="622">
        <v>0</v>
      </c>
      <c r="K46" s="998">
        <f>I46*J46</f>
        <v>0</v>
      </c>
      <c r="L46" s="957"/>
      <c r="M46" s="797">
        <v>0</v>
      </c>
      <c r="N46" s="622">
        <v>0</v>
      </c>
      <c r="O46" s="998">
        <f>M46*N46</f>
        <v>0</v>
      </c>
      <c r="P46" s="957"/>
      <c r="Q46" s="797">
        <v>0</v>
      </c>
      <c r="R46" s="622">
        <v>0</v>
      </c>
      <c r="S46" s="998">
        <f>Q46*R46</f>
        <v>0</v>
      </c>
      <c r="T46" s="957"/>
      <c r="U46" s="797">
        <v>0</v>
      </c>
      <c r="V46" s="622">
        <v>0</v>
      </c>
      <c r="W46" s="998">
        <f>U46*V46</f>
        <v>0</v>
      </c>
      <c r="X46" s="957"/>
      <c r="Y46" s="797">
        <v>0</v>
      </c>
      <c r="Z46" s="622">
        <v>0</v>
      </c>
      <c r="AA46" s="998">
        <f>Y46*Z46</f>
        <v>0</v>
      </c>
      <c r="AB46" s="975"/>
      <c r="AC46" s="1097">
        <f>SUM(E46,I46,M46,Q46,U46,Y46)</f>
        <v>0</v>
      </c>
      <c r="AD46" s="998">
        <f>G46+K46+O46+S46+W46+AA46</f>
        <v>0</v>
      </c>
      <c r="AE46" s="971"/>
    </row>
    <row r="47" spans="1:545" s="615" customFormat="1" ht="23.15" customHeight="1" x14ac:dyDescent="0.25">
      <c r="A47" s="1360" t="s">
        <v>342</v>
      </c>
      <c r="B47" s="1361"/>
      <c r="C47" s="1361"/>
      <c r="D47" s="957"/>
      <c r="E47" s="798">
        <f>SUM(E43:E46)</f>
        <v>0</v>
      </c>
      <c r="F47" s="995"/>
      <c r="G47" s="1131">
        <f>SUM(G42:G46)</f>
        <v>0</v>
      </c>
      <c r="H47" s="957"/>
      <c r="I47" s="798">
        <f>SUM(I43:I46)</f>
        <v>0</v>
      </c>
      <c r="J47" s="996"/>
      <c r="K47" s="1131">
        <f>SUM(K42:K46)</f>
        <v>0</v>
      </c>
      <c r="L47" s="957"/>
      <c r="M47" s="798">
        <f>SUM(M43:M46)</f>
        <v>0</v>
      </c>
      <c r="N47" s="996"/>
      <c r="O47" s="1131">
        <f>SUM(O42:O46)</f>
        <v>0</v>
      </c>
      <c r="P47" s="957"/>
      <c r="Q47" s="798">
        <f>SUM(Q43:Q46)</f>
        <v>0</v>
      </c>
      <c r="R47" s="996"/>
      <c r="S47" s="1131">
        <f>SUM(S42:S46)</f>
        <v>0</v>
      </c>
      <c r="T47" s="957"/>
      <c r="U47" s="798">
        <f>SUM(U43:U46)</f>
        <v>0</v>
      </c>
      <c r="V47" s="987"/>
      <c r="W47" s="1131">
        <f>SUM(W42:W46)</f>
        <v>0</v>
      </c>
      <c r="X47" s="957"/>
      <c r="Y47" s="798">
        <f>SUM(Y43:Y46)</f>
        <v>0</v>
      </c>
      <c r="Z47" s="987"/>
      <c r="AA47" s="1131">
        <f>SUM(AA42:AA46)</f>
        <v>0</v>
      </c>
      <c r="AB47" s="976"/>
      <c r="AC47" s="798">
        <f>SUM(AC43:AC46)</f>
        <v>0</v>
      </c>
      <c r="AD47" s="1131">
        <f>G47+K47+O47+S47+W47+AA47</f>
        <v>0</v>
      </c>
      <c r="AE47" s="971"/>
      <c r="AF47" s="292"/>
      <c r="AG47" s="292"/>
      <c r="AH47" s="292"/>
      <c r="AI47" s="292"/>
      <c r="AJ47" s="292"/>
      <c r="AK47" s="292"/>
      <c r="AL47" s="292"/>
      <c r="AM47" s="292"/>
      <c r="AN47" s="292"/>
      <c r="AO47" s="292"/>
      <c r="AP47" s="292"/>
      <c r="AQ47" s="292"/>
      <c r="AR47" s="292"/>
      <c r="AS47" s="292"/>
      <c r="AT47" s="292"/>
      <c r="AU47" s="292"/>
      <c r="AV47" s="292"/>
      <c r="AW47" s="292"/>
      <c r="AX47" s="292"/>
      <c r="AY47" s="292"/>
      <c r="AZ47" s="292"/>
      <c r="BA47" s="292"/>
      <c r="BB47" s="292"/>
      <c r="BC47" s="292"/>
      <c r="BD47" s="292"/>
      <c r="BE47" s="292"/>
      <c r="BF47" s="292"/>
      <c r="BG47" s="292"/>
      <c r="BH47" s="292"/>
      <c r="BI47" s="292"/>
      <c r="BJ47" s="292"/>
      <c r="BK47" s="292"/>
      <c r="BL47" s="292"/>
      <c r="BM47" s="292"/>
      <c r="BN47" s="292"/>
      <c r="BO47" s="292"/>
      <c r="BP47" s="292"/>
      <c r="BQ47" s="292"/>
      <c r="BR47" s="292"/>
      <c r="BS47" s="292"/>
      <c r="BT47" s="292"/>
      <c r="BU47" s="292"/>
      <c r="BV47" s="292"/>
      <c r="BW47" s="292"/>
      <c r="BX47" s="292"/>
      <c r="BY47" s="292"/>
      <c r="BZ47" s="292"/>
      <c r="CA47" s="292"/>
      <c r="CB47" s="292"/>
      <c r="CC47" s="292"/>
      <c r="CD47" s="292"/>
      <c r="CE47" s="292"/>
      <c r="CF47" s="292"/>
      <c r="CG47" s="292"/>
      <c r="CH47" s="292"/>
      <c r="CI47" s="292"/>
      <c r="CJ47" s="292"/>
      <c r="CK47" s="292"/>
      <c r="CL47" s="292"/>
      <c r="CM47" s="292"/>
      <c r="CN47" s="292"/>
      <c r="CO47" s="292"/>
      <c r="CP47" s="292"/>
      <c r="CQ47" s="292"/>
      <c r="CR47" s="292"/>
      <c r="CS47" s="292"/>
      <c r="CT47" s="292"/>
      <c r="CU47" s="292"/>
      <c r="CV47" s="292"/>
      <c r="CW47" s="292"/>
      <c r="CX47" s="292"/>
      <c r="CY47" s="292"/>
      <c r="CZ47" s="292"/>
      <c r="DA47" s="292"/>
      <c r="DB47" s="292"/>
      <c r="DC47" s="292"/>
      <c r="DD47" s="292"/>
      <c r="DE47" s="292"/>
      <c r="DF47" s="292"/>
      <c r="DG47" s="292"/>
      <c r="DH47" s="292"/>
      <c r="DI47" s="292"/>
      <c r="DJ47" s="292"/>
      <c r="DK47" s="292"/>
      <c r="DL47" s="292"/>
      <c r="DM47" s="292"/>
      <c r="DN47" s="292"/>
      <c r="DO47" s="292"/>
      <c r="DP47" s="292"/>
      <c r="DQ47" s="292"/>
      <c r="DR47" s="292"/>
      <c r="DS47" s="292"/>
      <c r="DT47" s="292"/>
      <c r="DU47" s="292"/>
      <c r="DV47" s="292"/>
      <c r="DW47" s="292"/>
      <c r="DX47" s="292"/>
      <c r="DY47" s="292"/>
      <c r="DZ47" s="292"/>
      <c r="EA47" s="292"/>
      <c r="EB47" s="292"/>
      <c r="EC47" s="292"/>
      <c r="ED47" s="292"/>
      <c r="EE47" s="292"/>
      <c r="EF47" s="292"/>
      <c r="EG47" s="292"/>
      <c r="EH47" s="292"/>
      <c r="EI47" s="292"/>
      <c r="EJ47" s="292"/>
      <c r="EK47" s="292"/>
      <c r="EL47" s="292"/>
      <c r="EM47" s="292"/>
      <c r="EN47" s="292"/>
      <c r="EO47" s="292"/>
      <c r="EP47" s="292"/>
      <c r="EQ47" s="292"/>
      <c r="ER47" s="292"/>
      <c r="ES47" s="292"/>
      <c r="ET47" s="292"/>
      <c r="EU47" s="292"/>
      <c r="EV47" s="292"/>
      <c r="EW47" s="292"/>
      <c r="EX47" s="292"/>
      <c r="EY47" s="292"/>
      <c r="EZ47" s="292"/>
      <c r="FA47" s="292"/>
      <c r="FB47" s="292"/>
      <c r="FC47" s="292"/>
      <c r="FD47" s="292"/>
      <c r="FE47" s="292"/>
      <c r="FF47" s="292"/>
      <c r="FG47" s="292"/>
      <c r="FH47" s="292"/>
      <c r="FI47" s="292"/>
      <c r="FJ47" s="292"/>
      <c r="FK47" s="292"/>
      <c r="FL47" s="292"/>
      <c r="FM47" s="292"/>
      <c r="FN47" s="292"/>
      <c r="FO47" s="292"/>
      <c r="FP47" s="292"/>
      <c r="FQ47" s="292"/>
      <c r="FR47" s="292"/>
      <c r="FS47" s="292"/>
      <c r="FT47" s="292"/>
      <c r="FU47" s="292"/>
      <c r="FV47" s="292"/>
      <c r="FW47" s="292"/>
      <c r="FX47" s="292"/>
      <c r="FY47" s="292"/>
      <c r="FZ47" s="292"/>
      <c r="GA47" s="292"/>
      <c r="GB47" s="292"/>
      <c r="GC47" s="292"/>
      <c r="GD47" s="292"/>
      <c r="GE47" s="292"/>
      <c r="GF47" s="292"/>
      <c r="GG47" s="292"/>
      <c r="GH47" s="292"/>
      <c r="GI47" s="292"/>
      <c r="GJ47" s="292"/>
      <c r="GK47" s="292"/>
      <c r="GL47" s="292"/>
      <c r="GM47" s="292"/>
      <c r="GN47" s="292"/>
      <c r="GO47" s="292"/>
      <c r="GP47" s="292"/>
      <c r="GQ47" s="292"/>
      <c r="GR47" s="292"/>
      <c r="GS47" s="292"/>
      <c r="GT47" s="292"/>
      <c r="GU47" s="292"/>
      <c r="GV47" s="292"/>
      <c r="GW47" s="292"/>
      <c r="GX47" s="292"/>
      <c r="GY47" s="292"/>
      <c r="GZ47" s="292"/>
      <c r="HA47" s="292"/>
      <c r="HB47" s="292"/>
      <c r="HC47" s="292"/>
      <c r="HD47" s="292"/>
      <c r="HE47" s="292"/>
      <c r="HF47" s="292"/>
      <c r="HG47" s="292"/>
      <c r="HH47" s="292"/>
      <c r="HI47" s="292"/>
      <c r="HJ47" s="292"/>
      <c r="HK47" s="292"/>
      <c r="HL47" s="292"/>
      <c r="HM47" s="292"/>
      <c r="HN47" s="292"/>
      <c r="HO47" s="292"/>
      <c r="HP47" s="292"/>
      <c r="HQ47" s="292"/>
      <c r="HR47" s="292"/>
      <c r="HS47" s="292"/>
      <c r="HT47" s="292"/>
      <c r="HU47" s="292"/>
      <c r="HV47" s="292"/>
      <c r="HW47" s="292"/>
      <c r="HX47" s="292"/>
      <c r="HY47" s="292"/>
      <c r="HZ47" s="292"/>
      <c r="IA47" s="292"/>
      <c r="IB47" s="292"/>
      <c r="IC47" s="292"/>
      <c r="ID47" s="292"/>
      <c r="IE47" s="292"/>
      <c r="IF47" s="292"/>
      <c r="IG47" s="292"/>
      <c r="IH47" s="292"/>
      <c r="II47" s="292"/>
      <c r="IJ47" s="292"/>
      <c r="IK47" s="292"/>
      <c r="IL47" s="292"/>
      <c r="IM47" s="292"/>
      <c r="IN47" s="292"/>
      <c r="IO47" s="292"/>
      <c r="IP47" s="292"/>
      <c r="IQ47" s="292"/>
      <c r="IR47" s="292"/>
      <c r="IS47" s="292"/>
      <c r="IT47" s="292"/>
      <c r="IU47" s="292"/>
      <c r="IV47" s="292"/>
      <c r="IW47" s="292"/>
      <c r="IX47" s="292"/>
      <c r="IY47" s="292"/>
      <c r="IZ47" s="292"/>
      <c r="JA47" s="292"/>
      <c r="JB47" s="292"/>
      <c r="JC47" s="292"/>
      <c r="JD47" s="292"/>
      <c r="JE47" s="292"/>
      <c r="JF47" s="292"/>
      <c r="JG47" s="292"/>
      <c r="JH47" s="292"/>
      <c r="JI47" s="292"/>
      <c r="JJ47" s="292"/>
      <c r="JK47" s="292"/>
      <c r="JL47" s="292"/>
      <c r="JM47" s="292"/>
      <c r="JN47" s="292"/>
      <c r="JO47" s="292"/>
      <c r="JP47" s="292"/>
      <c r="JQ47" s="292"/>
      <c r="JR47" s="292"/>
      <c r="JS47" s="292"/>
      <c r="JT47" s="292"/>
      <c r="JU47" s="292"/>
      <c r="JV47" s="292"/>
      <c r="JW47" s="292"/>
      <c r="JX47" s="292"/>
      <c r="JY47" s="292"/>
      <c r="JZ47" s="292"/>
      <c r="KA47" s="292"/>
      <c r="KB47" s="292"/>
      <c r="KC47" s="292"/>
      <c r="KD47" s="292"/>
      <c r="KE47" s="292"/>
      <c r="KF47" s="292"/>
      <c r="KG47" s="292"/>
      <c r="KH47" s="292"/>
      <c r="KI47" s="292"/>
      <c r="KJ47" s="292"/>
      <c r="KK47" s="292"/>
      <c r="KL47" s="292"/>
      <c r="KM47" s="292"/>
      <c r="KN47" s="292"/>
      <c r="KO47" s="292"/>
      <c r="KP47" s="292"/>
      <c r="KQ47" s="292"/>
      <c r="KR47" s="292"/>
      <c r="KS47" s="292"/>
      <c r="KT47" s="292"/>
      <c r="KU47" s="292"/>
      <c r="KV47" s="292"/>
      <c r="KW47" s="292"/>
      <c r="KX47" s="292"/>
      <c r="KY47" s="292"/>
      <c r="KZ47" s="292"/>
      <c r="LA47" s="292"/>
      <c r="LB47" s="292"/>
      <c r="LC47" s="292"/>
      <c r="LD47" s="292"/>
      <c r="LE47" s="292"/>
      <c r="LF47" s="292"/>
      <c r="LG47" s="292"/>
      <c r="LH47" s="292"/>
      <c r="LI47" s="292"/>
      <c r="LJ47" s="292"/>
      <c r="LK47" s="292"/>
      <c r="LL47" s="292"/>
      <c r="LM47" s="292"/>
      <c r="LN47" s="292"/>
      <c r="LO47" s="292"/>
      <c r="LP47" s="292"/>
      <c r="LQ47" s="292"/>
      <c r="LR47" s="292"/>
      <c r="LS47" s="292"/>
      <c r="LT47" s="292"/>
      <c r="LU47" s="292"/>
      <c r="LV47" s="292"/>
      <c r="LW47" s="292"/>
      <c r="LX47" s="292"/>
      <c r="LY47" s="292"/>
      <c r="LZ47" s="292"/>
      <c r="MA47" s="292"/>
      <c r="MB47" s="292"/>
      <c r="MC47" s="292"/>
      <c r="MD47" s="292"/>
      <c r="ME47" s="292"/>
      <c r="MF47" s="292"/>
      <c r="MG47" s="292"/>
      <c r="MH47" s="292"/>
      <c r="MI47" s="292"/>
      <c r="MJ47" s="292"/>
      <c r="MK47" s="292"/>
      <c r="ML47" s="292"/>
      <c r="MM47" s="292"/>
      <c r="MN47" s="292"/>
      <c r="MO47" s="292"/>
      <c r="MP47" s="292"/>
      <c r="MQ47" s="292"/>
      <c r="MR47" s="292"/>
      <c r="MS47" s="292"/>
      <c r="MT47" s="292"/>
      <c r="MU47" s="292"/>
      <c r="MV47" s="292"/>
      <c r="MW47" s="292"/>
      <c r="MX47" s="292"/>
      <c r="MY47" s="292"/>
      <c r="MZ47" s="292"/>
      <c r="NA47" s="292"/>
      <c r="NB47" s="292"/>
      <c r="NC47" s="292"/>
      <c r="ND47" s="292"/>
      <c r="NE47" s="292"/>
      <c r="NF47" s="292"/>
      <c r="NG47" s="292"/>
      <c r="NH47" s="292"/>
      <c r="NI47" s="292"/>
      <c r="NJ47" s="292"/>
      <c r="NK47" s="292"/>
      <c r="NL47" s="292"/>
      <c r="NM47" s="292"/>
      <c r="NN47" s="292"/>
      <c r="NO47" s="292"/>
      <c r="NP47" s="292"/>
      <c r="NQ47" s="292"/>
      <c r="NR47" s="292"/>
      <c r="NS47" s="292"/>
      <c r="NT47" s="292"/>
      <c r="NU47" s="292"/>
      <c r="NV47" s="292"/>
      <c r="NW47" s="292"/>
      <c r="NX47" s="292"/>
      <c r="NY47" s="292"/>
      <c r="NZ47" s="292"/>
      <c r="OA47" s="292"/>
      <c r="OB47" s="292"/>
      <c r="OC47" s="292"/>
      <c r="OD47" s="292"/>
      <c r="OE47" s="292"/>
      <c r="OF47" s="292"/>
      <c r="OG47" s="292"/>
      <c r="OH47" s="292"/>
      <c r="OI47" s="292"/>
      <c r="OJ47" s="292"/>
      <c r="OK47" s="292"/>
      <c r="OL47" s="292"/>
      <c r="OM47" s="292"/>
      <c r="ON47" s="292"/>
      <c r="OO47" s="292"/>
      <c r="OP47" s="292"/>
      <c r="OQ47" s="292"/>
      <c r="OR47" s="292"/>
      <c r="OS47" s="292"/>
      <c r="OT47" s="292"/>
      <c r="OU47" s="292"/>
      <c r="OV47" s="292"/>
      <c r="OW47" s="292"/>
      <c r="OX47" s="292"/>
      <c r="OY47" s="292"/>
      <c r="OZ47" s="292"/>
      <c r="PA47" s="292"/>
      <c r="PB47" s="292"/>
      <c r="PC47" s="292"/>
      <c r="PD47" s="292"/>
      <c r="PE47" s="292"/>
      <c r="PF47" s="292"/>
      <c r="PG47" s="292"/>
      <c r="PH47" s="292"/>
      <c r="PI47" s="292"/>
      <c r="PJ47" s="292"/>
      <c r="PK47" s="292"/>
      <c r="PL47" s="292"/>
      <c r="PM47" s="292"/>
      <c r="PN47" s="292"/>
      <c r="PO47" s="292"/>
      <c r="PP47" s="292"/>
      <c r="PQ47" s="292"/>
      <c r="PR47" s="292"/>
      <c r="PS47" s="292"/>
      <c r="PT47" s="292"/>
      <c r="PU47" s="292"/>
      <c r="PV47" s="292"/>
      <c r="PW47" s="292"/>
      <c r="PX47" s="292"/>
      <c r="PY47" s="292"/>
      <c r="PZ47" s="292"/>
      <c r="QA47" s="292"/>
      <c r="QB47" s="292"/>
      <c r="QC47" s="292"/>
      <c r="QD47" s="292"/>
      <c r="QE47" s="292"/>
      <c r="QF47" s="292"/>
      <c r="QG47" s="292"/>
      <c r="QH47" s="292"/>
      <c r="QI47" s="292"/>
      <c r="QJ47" s="292"/>
      <c r="QK47" s="292"/>
      <c r="QL47" s="292"/>
      <c r="QM47" s="292"/>
      <c r="QN47" s="292"/>
      <c r="QO47" s="292"/>
      <c r="QP47" s="292"/>
      <c r="QQ47" s="292"/>
      <c r="QR47" s="292"/>
      <c r="QS47" s="292"/>
      <c r="QT47" s="292"/>
      <c r="QU47" s="292"/>
      <c r="QV47" s="292"/>
      <c r="QW47" s="292"/>
      <c r="QX47" s="292"/>
      <c r="QY47" s="292"/>
      <c r="QZ47" s="292"/>
      <c r="RA47" s="292"/>
      <c r="RB47" s="292"/>
      <c r="RC47" s="292"/>
      <c r="RD47" s="292"/>
      <c r="RE47" s="292"/>
      <c r="RF47" s="292"/>
      <c r="RG47" s="292"/>
      <c r="RH47" s="292"/>
      <c r="RI47" s="292"/>
      <c r="RJ47" s="292"/>
      <c r="RK47" s="292"/>
      <c r="RL47" s="292"/>
      <c r="RM47" s="292"/>
      <c r="RN47" s="292"/>
      <c r="RO47" s="292"/>
      <c r="RP47" s="292"/>
      <c r="RQ47" s="292"/>
      <c r="RR47" s="292"/>
      <c r="RS47" s="292"/>
      <c r="RT47" s="292"/>
      <c r="RU47" s="292"/>
      <c r="RV47" s="292"/>
      <c r="RW47" s="292"/>
      <c r="RX47" s="292"/>
      <c r="RY47" s="292"/>
      <c r="RZ47" s="292"/>
      <c r="SA47" s="292"/>
      <c r="SB47" s="292"/>
      <c r="SC47" s="292"/>
      <c r="SD47" s="292"/>
      <c r="SE47" s="292"/>
      <c r="SF47" s="292"/>
      <c r="SG47" s="292"/>
      <c r="SH47" s="292"/>
      <c r="SI47" s="292"/>
      <c r="SJ47" s="292"/>
      <c r="SK47" s="292"/>
      <c r="SL47" s="292"/>
      <c r="SM47" s="292"/>
      <c r="SN47" s="292"/>
      <c r="SO47" s="292"/>
      <c r="SP47" s="292"/>
      <c r="SQ47" s="292"/>
      <c r="SR47" s="292"/>
      <c r="SS47" s="292"/>
      <c r="ST47" s="292"/>
      <c r="SU47" s="292"/>
    </row>
    <row r="48" spans="1:545" s="620" customFormat="1" ht="15" customHeight="1" x14ac:dyDescent="0.25">
      <c r="A48" s="986"/>
      <c r="B48" s="984"/>
      <c r="C48" s="984"/>
      <c r="D48" s="957"/>
      <c r="E48" s="983"/>
      <c r="F48" s="957"/>
      <c r="G48" s="981"/>
      <c r="H48" s="957"/>
      <c r="I48" s="983"/>
      <c r="J48" s="981"/>
      <c r="K48" s="981"/>
      <c r="L48" s="957"/>
      <c r="M48" s="983"/>
      <c r="N48" s="981"/>
      <c r="O48" s="981"/>
      <c r="P48" s="957"/>
      <c r="Q48" s="983"/>
      <c r="R48" s="981"/>
      <c r="S48" s="981"/>
      <c r="T48" s="957"/>
      <c r="U48" s="983"/>
      <c r="V48" s="957"/>
      <c r="W48" s="981"/>
      <c r="X48" s="957"/>
      <c r="Y48" s="983"/>
      <c r="Z48" s="957"/>
      <c r="AA48" s="981"/>
      <c r="AB48" s="976"/>
      <c r="AC48" s="983"/>
      <c r="AD48" s="981"/>
      <c r="AE48" s="971"/>
      <c r="AF48" s="292"/>
      <c r="AG48" s="292"/>
      <c r="AH48" s="292"/>
      <c r="AI48" s="292"/>
      <c r="AJ48" s="292"/>
      <c r="AK48" s="292"/>
      <c r="AL48" s="292"/>
      <c r="AM48" s="292"/>
      <c r="AN48" s="292"/>
      <c r="AO48" s="292"/>
      <c r="AP48" s="292"/>
      <c r="AQ48" s="292"/>
      <c r="AR48" s="292"/>
      <c r="AS48" s="292"/>
      <c r="AT48" s="292"/>
      <c r="AU48" s="292"/>
      <c r="AV48" s="292"/>
      <c r="AW48" s="292"/>
      <c r="AX48" s="292"/>
      <c r="AY48" s="292"/>
      <c r="AZ48" s="292"/>
      <c r="BA48" s="292"/>
      <c r="BB48" s="292"/>
      <c r="BC48" s="292"/>
      <c r="BD48" s="292"/>
      <c r="BE48" s="292"/>
      <c r="BF48" s="292"/>
      <c r="BG48" s="292"/>
      <c r="BH48" s="292"/>
      <c r="BI48" s="292"/>
      <c r="BJ48" s="292"/>
      <c r="BK48" s="292"/>
      <c r="BL48" s="292"/>
    </row>
    <row r="49" spans="1:515" s="624" customFormat="1" ht="23.15" customHeight="1" x14ac:dyDescent="0.25">
      <c r="A49" s="1364" t="s">
        <v>352</v>
      </c>
      <c r="B49" s="1365"/>
      <c r="C49" s="1365"/>
      <c r="D49" s="962"/>
      <c r="E49" s="962"/>
      <c r="F49" s="962"/>
      <c r="G49" s="1175" t="s">
        <v>353</v>
      </c>
      <c r="H49" s="962"/>
      <c r="I49" s="962"/>
      <c r="J49" s="962"/>
      <c r="K49" s="1175" t="s">
        <v>353</v>
      </c>
      <c r="L49" s="962"/>
      <c r="M49" s="962"/>
      <c r="N49" s="962"/>
      <c r="O49" s="1175" t="s">
        <v>353</v>
      </c>
      <c r="P49" s="962"/>
      <c r="Q49" s="962"/>
      <c r="R49" s="962"/>
      <c r="S49" s="1175" t="s">
        <v>353</v>
      </c>
      <c r="T49" s="962"/>
      <c r="U49" s="962"/>
      <c r="V49" s="962"/>
      <c r="W49" s="1175" t="s">
        <v>345</v>
      </c>
      <c r="X49" s="962"/>
      <c r="Y49" s="962"/>
      <c r="Z49" s="962"/>
      <c r="AA49" s="1175" t="s">
        <v>353</v>
      </c>
      <c r="AB49" s="962"/>
      <c r="AC49" s="962"/>
      <c r="AD49" s="1175" t="s">
        <v>353</v>
      </c>
      <c r="AE49" s="971"/>
      <c r="AF49" s="292"/>
      <c r="AG49" s="292"/>
      <c r="AH49" s="292"/>
      <c r="AI49" s="292"/>
      <c r="AJ49" s="292"/>
      <c r="AK49" s="292"/>
      <c r="AL49" s="292"/>
      <c r="AM49" s="292"/>
      <c r="AN49" s="292"/>
      <c r="AO49" s="292"/>
      <c r="AP49" s="292"/>
      <c r="AQ49" s="292"/>
      <c r="AR49" s="292"/>
      <c r="AS49" s="292"/>
      <c r="AT49" s="292"/>
      <c r="AU49" s="292"/>
      <c r="AV49" s="292"/>
      <c r="AW49" s="292"/>
      <c r="AX49" s="292"/>
      <c r="AY49" s="292"/>
      <c r="AZ49" s="292"/>
      <c r="BA49" s="292"/>
      <c r="BB49" s="292"/>
      <c r="BC49" s="292"/>
      <c r="BD49" s="292"/>
      <c r="BE49" s="292"/>
      <c r="BF49" s="292"/>
      <c r="BG49" s="292"/>
      <c r="BH49" s="292"/>
      <c r="BI49" s="292"/>
      <c r="BJ49" s="292"/>
      <c r="BK49" s="292"/>
      <c r="BL49" s="292"/>
      <c r="BM49" s="292"/>
      <c r="BN49" s="292"/>
      <c r="BO49" s="292"/>
      <c r="BP49" s="292"/>
      <c r="BQ49" s="292"/>
      <c r="BR49" s="292"/>
      <c r="BS49" s="292"/>
      <c r="BT49" s="292"/>
      <c r="BU49" s="292"/>
      <c r="BV49" s="292"/>
      <c r="BW49" s="292"/>
      <c r="BX49" s="292"/>
      <c r="BY49" s="292"/>
      <c r="BZ49" s="292"/>
      <c r="CA49" s="292"/>
      <c r="CB49" s="292"/>
      <c r="CC49" s="292"/>
      <c r="CD49" s="292"/>
      <c r="CE49" s="292"/>
      <c r="CF49" s="292"/>
      <c r="CG49" s="292"/>
      <c r="CH49" s="292"/>
      <c r="CI49" s="292"/>
      <c r="CJ49" s="292"/>
      <c r="CK49" s="292"/>
      <c r="CL49" s="292"/>
      <c r="CM49" s="292"/>
      <c r="CN49" s="292"/>
      <c r="CO49" s="292"/>
      <c r="CP49" s="292"/>
      <c r="CQ49" s="292"/>
      <c r="CR49" s="292"/>
      <c r="CS49" s="292"/>
      <c r="CT49" s="292"/>
      <c r="CU49" s="292"/>
      <c r="CV49" s="292"/>
      <c r="CW49" s="292"/>
      <c r="CX49" s="292"/>
      <c r="CY49" s="292"/>
      <c r="CZ49" s="292"/>
      <c r="DA49" s="292"/>
      <c r="DB49" s="292"/>
      <c r="DC49" s="292"/>
      <c r="DD49" s="292"/>
      <c r="DE49" s="292"/>
      <c r="DF49" s="292"/>
      <c r="DG49" s="292"/>
      <c r="DH49" s="292"/>
      <c r="DI49" s="292"/>
      <c r="DJ49" s="292"/>
      <c r="DK49" s="292"/>
      <c r="DL49" s="292"/>
      <c r="DM49" s="292"/>
      <c r="DN49" s="292"/>
      <c r="DO49" s="292"/>
      <c r="DP49" s="292"/>
      <c r="DQ49" s="292"/>
      <c r="DR49" s="292"/>
      <c r="DS49" s="292"/>
      <c r="DT49" s="292"/>
      <c r="DU49" s="292"/>
      <c r="DV49" s="292"/>
      <c r="DW49" s="292"/>
      <c r="DX49" s="292"/>
      <c r="DY49" s="292"/>
      <c r="DZ49" s="292"/>
      <c r="EA49" s="292"/>
      <c r="EB49" s="292"/>
      <c r="EC49" s="292"/>
      <c r="ED49" s="292"/>
      <c r="EE49" s="292"/>
      <c r="EF49" s="292"/>
      <c r="EG49" s="292"/>
      <c r="EH49" s="292"/>
      <c r="EI49" s="292"/>
      <c r="EJ49" s="292"/>
      <c r="EK49" s="292"/>
      <c r="EL49" s="292"/>
      <c r="EM49" s="292"/>
      <c r="EN49" s="292"/>
      <c r="EO49" s="292"/>
      <c r="EP49" s="292"/>
      <c r="EQ49" s="292"/>
      <c r="ER49" s="292"/>
      <c r="ES49" s="292"/>
      <c r="ET49" s="292"/>
      <c r="EU49" s="292"/>
      <c r="EV49" s="292"/>
      <c r="EW49" s="292"/>
      <c r="EX49" s="292"/>
      <c r="EY49" s="292"/>
      <c r="EZ49" s="292"/>
      <c r="FA49" s="292"/>
      <c r="FB49" s="292"/>
      <c r="FC49" s="292"/>
      <c r="FD49" s="292"/>
      <c r="FE49" s="292"/>
      <c r="FF49" s="292"/>
      <c r="FG49" s="292"/>
      <c r="FH49" s="292"/>
      <c r="FI49" s="292"/>
      <c r="FJ49" s="292"/>
      <c r="FK49" s="292"/>
      <c r="FL49" s="292"/>
      <c r="FM49" s="292"/>
      <c r="FN49" s="292"/>
      <c r="FO49" s="292"/>
      <c r="FP49" s="292"/>
      <c r="FQ49" s="292"/>
      <c r="FR49" s="292"/>
      <c r="FS49" s="292"/>
      <c r="FT49" s="292"/>
      <c r="FU49" s="292"/>
      <c r="FV49" s="292"/>
      <c r="FW49" s="292"/>
      <c r="FX49" s="292"/>
      <c r="FY49" s="292"/>
      <c r="FZ49" s="292"/>
      <c r="GA49" s="292"/>
      <c r="GB49" s="292"/>
      <c r="GC49" s="292"/>
      <c r="GD49" s="292"/>
      <c r="GE49" s="292"/>
      <c r="GF49" s="292"/>
      <c r="GG49" s="292"/>
      <c r="GH49" s="292"/>
      <c r="GI49" s="292"/>
      <c r="GJ49" s="292"/>
      <c r="GK49" s="292"/>
      <c r="GL49" s="292"/>
      <c r="GM49" s="292"/>
      <c r="GN49" s="292"/>
      <c r="GO49" s="292"/>
      <c r="GP49" s="292"/>
      <c r="GQ49" s="292"/>
      <c r="GR49" s="292"/>
      <c r="GS49" s="292"/>
      <c r="GT49" s="292"/>
      <c r="GU49" s="292"/>
      <c r="GV49" s="292"/>
      <c r="GW49" s="292"/>
      <c r="GX49" s="292"/>
      <c r="GY49" s="292"/>
      <c r="GZ49" s="292"/>
      <c r="HA49" s="292"/>
      <c r="HB49" s="292"/>
      <c r="HC49" s="292"/>
      <c r="HD49" s="292"/>
      <c r="HE49" s="292"/>
      <c r="HF49" s="292"/>
      <c r="HG49" s="292"/>
      <c r="HH49" s="292"/>
      <c r="HI49" s="292"/>
      <c r="HJ49" s="292"/>
      <c r="HK49" s="292"/>
      <c r="HL49" s="292"/>
      <c r="HM49" s="292"/>
      <c r="HN49" s="292"/>
      <c r="HO49" s="292"/>
      <c r="HP49" s="292"/>
      <c r="HQ49" s="292"/>
      <c r="HR49" s="292"/>
      <c r="HS49" s="292"/>
      <c r="HT49" s="292"/>
      <c r="HU49" s="292"/>
      <c r="HV49" s="292"/>
      <c r="HW49" s="292"/>
      <c r="HX49" s="292"/>
      <c r="HY49" s="292"/>
      <c r="HZ49" s="292"/>
      <c r="IA49" s="292"/>
      <c r="IB49" s="292"/>
      <c r="IC49" s="292"/>
      <c r="ID49" s="292"/>
      <c r="IE49" s="292"/>
      <c r="IF49" s="292"/>
      <c r="IG49" s="292"/>
      <c r="IH49" s="292"/>
      <c r="II49" s="292"/>
      <c r="IJ49" s="292"/>
      <c r="IK49" s="292"/>
      <c r="IL49" s="292"/>
      <c r="IM49" s="292"/>
      <c r="IN49" s="292"/>
      <c r="IO49" s="292"/>
      <c r="IP49" s="292"/>
      <c r="IQ49" s="292"/>
      <c r="IR49" s="292"/>
      <c r="IS49" s="292"/>
      <c r="IT49" s="292"/>
      <c r="IU49" s="292"/>
      <c r="IV49" s="292"/>
      <c r="IW49" s="292"/>
      <c r="IX49" s="292"/>
      <c r="IY49" s="292"/>
      <c r="IZ49" s="292"/>
      <c r="JA49" s="292"/>
      <c r="JB49" s="292"/>
      <c r="JC49" s="292"/>
      <c r="JD49" s="292"/>
      <c r="JE49" s="292"/>
      <c r="JF49" s="292"/>
      <c r="JG49" s="292"/>
      <c r="JH49" s="292"/>
      <c r="JI49" s="292"/>
      <c r="JJ49" s="292"/>
      <c r="JK49" s="292"/>
      <c r="JL49" s="292"/>
      <c r="JM49" s="292"/>
      <c r="JN49" s="292"/>
      <c r="JO49" s="292"/>
      <c r="JP49" s="292"/>
      <c r="JQ49" s="292"/>
      <c r="JR49" s="292"/>
      <c r="JS49" s="292"/>
      <c r="JT49" s="292"/>
      <c r="JU49" s="292"/>
      <c r="JV49" s="292"/>
      <c r="JW49" s="292"/>
      <c r="JX49" s="292"/>
      <c r="JY49" s="292"/>
      <c r="JZ49" s="292"/>
      <c r="KA49" s="292"/>
      <c r="KB49" s="292"/>
      <c r="KC49" s="292"/>
      <c r="KD49" s="292"/>
      <c r="KE49" s="292"/>
      <c r="KF49" s="292"/>
      <c r="KG49" s="292"/>
      <c r="KH49" s="292"/>
      <c r="KI49" s="292"/>
      <c r="KJ49" s="292"/>
      <c r="KK49" s="292"/>
      <c r="KL49" s="292"/>
      <c r="KM49" s="292"/>
      <c r="KN49" s="292"/>
      <c r="KO49" s="292"/>
      <c r="KP49" s="292"/>
      <c r="KQ49" s="292"/>
      <c r="KR49" s="292"/>
      <c r="KS49" s="292"/>
      <c r="KT49" s="292"/>
      <c r="KU49" s="292"/>
      <c r="KV49" s="292"/>
      <c r="KW49" s="292"/>
      <c r="KX49" s="292"/>
      <c r="KY49" s="292"/>
      <c r="KZ49" s="292"/>
      <c r="LA49" s="292"/>
      <c r="LB49" s="292"/>
      <c r="LC49" s="292"/>
      <c r="LD49" s="292"/>
      <c r="LE49" s="292"/>
      <c r="LF49" s="292"/>
      <c r="LG49" s="292"/>
      <c r="LH49" s="292"/>
      <c r="LI49" s="292"/>
      <c r="LJ49" s="292"/>
      <c r="LK49" s="292"/>
      <c r="LL49" s="292"/>
      <c r="LM49" s="292"/>
      <c r="LN49" s="292"/>
      <c r="LO49" s="292"/>
      <c r="LP49" s="292"/>
      <c r="LQ49" s="292"/>
      <c r="LR49" s="292"/>
      <c r="LS49" s="292"/>
      <c r="LT49" s="292"/>
      <c r="LU49" s="292"/>
      <c r="LV49" s="292"/>
      <c r="LW49" s="292"/>
      <c r="LX49" s="292"/>
      <c r="LY49" s="292"/>
      <c r="LZ49" s="292"/>
      <c r="MA49" s="292"/>
      <c r="MB49" s="292"/>
      <c r="MC49" s="292"/>
      <c r="MD49" s="292"/>
      <c r="ME49" s="292"/>
      <c r="MF49" s="292"/>
      <c r="MG49" s="292"/>
      <c r="MH49" s="292"/>
      <c r="MI49" s="292"/>
      <c r="MJ49" s="292"/>
      <c r="MK49" s="292"/>
      <c r="ML49" s="292"/>
      <c r="MM49" s="292"/>
      <c r="MN49" s="292"/>
      <c r="MO49" s="292"/>
      <c r="MP49" s="292"/>
      <c r="MQ49" s="292"/>
      <c r="MR49" s="292"/>
      <c r="MS49" s="292"/>
      <c r="MT49" s="292"/>
      <c r="MU49" s="292"/>
      <c r="MV49" s="292"/>
      <c r="MW49" s="292"/>
      <c r="MX49" s="292"/>
      <c r="MY49" s="292"/>
      <c r="MZ49" s="292"/>
      <c r="NA49" s="292"/>
      <c r="NB49" s="292"/>
      <c r="NC49" s="292"/>
      <c r="ND49" s="292"/>
      <c r="NE49" s="292"/>
      <c r="NF49" s="292"/>
      <c r="NG49" s="292"/>
      <c r="NH49" s="292"/>
      <c r="NI49" s="292"/>
      <c r="NJ49" s="292"/>
      <c r="NK49" s="292"/>
      <c r="NL49" s="292"/>
      <c r="NM49" s="292"/>
      <c r="NN49" s="292"/>
      <c r="NO49" s="292"/>
      <c r="NP49" s="292"/>
      <c r="NQ49" s="292"/>
      <c r="NR49" s="292"/>
      <c r="NS49" s="292"/>
      <c r="NT49" s="292"/>
      <c r="NU49" s="292"/>
      <c r="NV49" s="292"/>
      <c r="NW49" s="292"/>
      <c r="NX49" s="292"/>
      <c r="NY49" s="292"/>
      <c r="NZ49" s="292"/>
      <c r="OA49" s="292"/>
      <c r="OB49" s="292"/>
      <c r="OC49" s="292"/>
      <c r="OD49" s="292"/>
      <c r="OE49" s="292"/>
      <c r="OF49" s="292"/>
      <c r="OG49" s="292"/>
      <c r="OH49" s="292"/>
      <c r="OI49" s="292"/>
      <c r="OJ49" s="292"/>
      <c r="OK49" s="292"/>
      <c r="OL49" s="292"/>
      <c r="OM49" s="292"/>
      <c r="ON49" s="292"/>
      <c r="OO49" s="292"/>
      <c r="OP49" s="292"/>
      <c r="OQ49" s="292"/>
      <c r="OR49" s="292"/>
      <c r="OS49" s="292"/>
      <c r="OT49" s="292"/>
      <c r="OU49" s="292"/>
      <c r="OV49" s="292"/>
      <c r="OW49" s="292"/>
      <c r="OX49" s="292"/>
      <c r="OY49" s="292"/>
      <c r="OZ49" s="292"/>
      <c r="PA49" s="292"/>
      <c r="PB49" s="292"/>
      <c r="PC49" s="292"/>
      <c r="PD49" s="292"/>
      <c r="PE49" s="292"/>
      <c r="PF49" s="292"/>
      <c r="PG49" s="292"/>
      <c r="PH49" s="292"/>
      <c r="PI49" s="292"/>
      <c r="PJ49" s="292"/>
      <c r="PK49" s="292"/>
      <c r="PL49" s="292"/>
      <c r="PM49" s="292"/>
      <c r="PN49" s="292"/>
      <c r="PO49" s="292"/>
      <c r="PP49" s="292"/>
      <c r="PQ49" s="292"/>
      <c r="PR49" s="292"/>
      <c r="PS49" s="292"/>
      <c r="PT49" s="292"/>
      <c r="PU49" s="292"/>
      <c r="PV49" s="292"/>
      <c r="PW49" s="292"/>
      <c r="PX49" s="292"/>
      <c r="PY49" s="292"/>
      <c r="PZ49" s="292"/>
      <c r="QA49" s="292"/>
      <c r="QB49" s="292"/>
      <c r="QC49" s="292"/>
      <c r="QD49" s="292"/>
      <c r="QE49" s="292"/>
      <c r="QF49" s="292"/>
      <c r="QG49" s="292"/>
      <c r="QH49" s="292"/>
      <c r="QI49" s="292"/>
      <c r="QJ49" s="292"/>
      <c r="QK49" s="292"/>
      <c r="QL49" s="292"/>
      <c r="QM49" s="292"/>
      <c r="QN49" s="292"/>
      <c r="QO49" s="292"/>
      <c r="QP49" s="292"/>
      <c r="QQ49" s="292"/>
      <c r="QR49" s="292"/>
      <c r="QS49" s="292"/>
      <c r="QT49" s="292"/>
      <c r="QU49" s="292"/>
      <c r="QV49" s="292"/>
      <c r="QW49" s="292"/>
      <c r="QX49" s="292"/>
      <c r="QY49" s="292"/>
      <c r="QZ49" s="292"/>
      <c r="RA49" s="292"/>
      <c r="RB49" s="292"/>
      <c r="RC49" s="292"/>
      <c r="RD49" s="292"/>
      <c r="RE49" s="292"/>
      <c r="RF49" s="292"/>
      <c r="RG49" s="292"/>
      <c r="RH49" s="292"/>
      <c r="RI49" s="292"/>
      <c r="RJ49" s="292"/>
      <c r="RK49" s="292"/>
      <c r="RL49" s="292"/>
      <c r="RM49" s="292"/>
      <c r="RN49" s="292"/>
      <c r="RO49" s="292"/>
      <c r="RP49" s="292"/>
      <c r="RQ49" s="292"/>
      <c r="RR49" s="292"/>
      <c r="RS49" s="292"/>
      <c r="RT49" s="292"/>
      <c r="RU49" s="292"/>
      <c r="RV49" s="292"/>
      <c r="RW49" s="292"/>
      <c r="RX49" s="292"/>
      <c r="RY49" s="292"/>
      <c r="RZ49" s="292"/>
      <c r="SA49" s="292"/>
      <c r="SB49" s="292"/>
      <c r="SC49" s="292"/>
      <c r="SD49" s="292"/>
      <c r="SE49" s="292"/>
      <c r="SF49" s="292"/>
      <c r="SG49" s="292"/>
      <c r="SH49" s="292"/>
      <c r="SI49" s="292"/>
      <c r="SJ49" s="292"/>
      <c r="SK49" s="292"/>
      <c r="SL49" s="292"/>
      <c r="SM49" s="292"/>
      <c r="SN49" s="292"/>
      <c r="SO49" s="292"/>
      <c r="SP49" s="292"/>
      <c r="SQ49" s="292"/>
      <c r="SR49" s="292"/>
      <c r="SS49" s="292"/>
      <c r="ST49" s="292"/>
      <c r="SU49" s="292"/>
    </row>
    <row r="50" spans="1:515" ht="15" customHeight="1" x14ac:dyDescent="0.25">
      <c r="A50" s="1337" t="s">
        <v>354</v>
      </c>
      <c r="B50" s="1338"/>
      <c r="C50" s="1096" t="s">
        <v>355</v>
      </c>
      <c r="D50" s="962"/>
      <c r="E50" s="962"/>
      <c r="F50" s="962"/>
      <c r="G50" s="622">
        <v>0</v>
      </c>
      <c r="H50" s="962"/>
      <c r="I50" s="962"/>
      <c r="J50" s="962"/>
      <c r="K50" s="622">
        <v>0</v>
      </c>
      <c r="L50" s="962"/>
      <c r="M50" s="962"/>
      <c r="N50" s="962"/>
      <c r="O50" s="622">
        <v>0</v>
      </c>
      <c r="P50" s="962"/>
      <c r="Q50" s="962"/>
      <c r="R50" s="962"/>
      <c r="S50" s="622">
        <v>0</v>
      </c>
      <c r="T50" s="962"/>
      <c r="U50" s="962"/>
      <c r="V50" s="962"/>
      <c r="W50" s="622">
        <v>0</v>
      </c>
      <c r="X50" s="962"/>
      <c r="Y50" s="962"/>
      <c r="Z50" s="962"/>
      <c r="AA50" s="622">
        <v>0</v>
      </c>
      <c r="AB50" s="975"/>
      <c r="AC50" s="962"/>
      <c r="AD50" s="999">
        <f>G50+K50+O50+S50+W50+AA50</f>
        <v>0</v>
      </c>
      <c r="AE50" s="971"/>
    </row>
    <row r="51" spans="1:515" ht="15" customHeight="1" x14ac:dyDescent="0.25">
      <c r="A51" s="1337" t="s">
        <v>356</v>
      </c>
      <c r="B51" s="1338"/>
      <c r="C51" s="1096" t="s">
        <v>357</v>
      </c>
      <c r="D51" s="962"/>
      <c r="E51" s="962"/>
      <c r="F51" s="962"/>
      <c r="G51" s="622">
        <v>0</v>
      </c>
      <c r="H51" s="962"/>
      <c r="I51" s="962"/>
      <c r="J51" s="962" t="s">
        <v>358</v>
      </c>
      <c r="K51" s="622">
        <v>0</v>
      </c>
      <c r="L51" s="962"/>
      <c r="M51" s="962"/>
      <c r="N51" s="962"/>
      <c r="O51" s="622">
        <v>0</v>
      </c>
      <c r="P51" s="962"/>
      <c r="Q51" s="962"/>
      <c r="R51" s="962"/>
      <c r="S51" s="622">
        <v>0</v>
      </c>
      <c r="T51" s="962"/>
      <c r="U51" s="962"/>
      <c r="V51" s="962"/>
      <c r="W51" s="622">
        <v>0</v>
      </c>
      <c r="X51" s="962"/>
      <c r="Y51" s="962"/>
      <c r="Z51" s="962"/>
      <c r="AA51" s="622">
        <v>0</v>
      </c>
      <c r="AB51" s="975"/>
      <c r="AC51" s="962"/>
      <c r="AD51" s="999">
        <f>G51+K51+O51+S51+W51+AA51</f>
        <v>0</v>
      </c>
      <c r="AE51" s="971"/>
    </row>
    <row r="52" spans="1:515" ht="15" customHeight="1" x14ac:dyDescent="0.25">
      <c r="A52" s="1337" t="s">
        <v>48</v>
      </c>
      <c r="B52" s="1338"/>
      <c r="C52" s="1096" t="s">
        <v>359</v>
      </c>
      <c r="D52" s="962"/>
      <c r="E52" s="962"/>
      <c r="F52" s="962"/>
      <c r="G52" s="622">
        <v>0</v>
      </c>
      <c r="H52" s="962"/>
      <c r="I52" s="962"/>
      <c r="J52" s="962"/>
      <c r="K52" s="622">
        <v>0</v>
      </c>
      <c r="L52" s="962"/>
      <c r="M52" s="962"/>
      <c r="N52" s="962"/>
      <c r="O52" s="622">
        <v>0</v>
      </c>
      <c r="P52" s="962"/>
      <c r="Q52" s="962"/>
      <c r="R52" s="962"/>
      <c r="S52" s="622">
        <v>0</v>
      </c>
      <c r="T52" s="962"/>
      <c r="U52" s="962"/>
      <c r="V52" s="962"/>
      <c r="W52" s="622">
        <v>0</v>
      </c>
      <c r="X52" s="962"/>
      <c r="Y52" s="962"/>
      <c r="Z52" s="962"/>
      <c r="AA52" s="622">
        <v>0</v>
      </c>
      <c r="AB52" s="975"/>
      <c r="AC52" s="962"/>
      <c r="AD52" s="999">
        <f>G52+K52+O52+S52+W52+AA52</f>
        <v>0</v>
      </c>
      <c r="AE52" s="971"/>
    </row>
    <row r="53" spans="1:515" ht="21" customHeight="1" x14ac:dyDescent="0.25">
      <c r="A53" s="1329" t="s">
        <v>360</v>
      </c>
      <c r="B53" s="1330"/>
      <c r="C53" s="1096" t="s">
        <v>361</v>
      </c>
      <c r="D53" s="962"/>
      <c r="E53" s="962"/>
      <c r="F53" s="962"/>
      <c r="G53" s="622">
        <v>0</v>
      </c>
      <c r="H53" s="988"/>
      <c r="I53" s="962"/>
      <c r="J53" s="962"/>
      <c r="K53" s="622">
        <v>0</v>
      </c>
      <c r="L53" s="962"/>
      <c r="M53" s="962"/>
      <c r="N53" s="962"/>
      <c r="O53" s="622">
        <v>0</v>
      </c>
      <c r="P53" s="962"/>
      <c r="Q53" s="962"/>
      <c r="R53" s="962"/>
      <c r="S53" s="622">
        <v>0</v>
      </c>
      <c r="T53" s="962"/>
      <c r="U53" s="962"/>
      <c r="V53" s="962"/>
      <c r="W53" s="622">
        <v>0</v>
      </c>
      <c r="X53" s="962"/>
      <c r="Y53" s="962"/>
      <c r="Z53" s="962"/>
      <c r="AA53" s="622">
        <v>0</v>
      </c>
      <c r="AB53" s="975"/>
      <c r="AC53" s="962"/>
      <c r="AD53" s="999">
        <f>G53+K53+O53+S53+W53+AA53</f>
        <v>0</v>
      </c>
      <c r="AE53" s="971"/>
    </row>
    <row r="54" spans="1:515" s="624" customFormat="1" ht="23.15" customHeight="1" x14ac:dyDescent="0.25">
      <c r="A54" s="1362" t="s">
        <v>352</v>
      </c>
      <c r="B54" s="1363"/>
      <c r="C54" s="1363"/>
      <c r="D54" s="962"/>
      <c r="E54" s="960"/>
      <c r="F54" s="976"/>
      <c r="G54" s="789">
        <f>SUM(G49:G53)</f>
        <v>0</v>
      </c>
      <c r="H54" s="962"/>
      <c r="I54" s="960"/>
      <c r="J54" s="981"/>
      <c r="K54" s="789">
        <f>SUM(K49:K53)</f>
        <v>0</v>
      </c>
      <c r="L54" s="962"/>
      <c r="M54" s="984"/>
      <c r="N54" s="984"/>
      <c r="O54" s="789">
        <f>SUM(O49:O53)</f>
        <v>0</v>
      </c>
      <c r="P54" s="962"/>
      <c r="Q54" s="962"/>
      <c r="R54" s="962"/>
      <c r="S54" s="789">
        <f>SUM(S49:S53)</f>
        <v>0</v>
      </c>
      <c r="T54" s="962"/>
      <c r="U54" s="1309"/>
      <c r="V54" s="1309"/>
      <c r="W54" s="625">
        <f>SUM(W49:W53)</f>
        <v>0</v>
      </c>
      <c r="X54" s="962"/>
      <c r="Y54" s="1309"/>
      <c r="Z54" s="1309"/>
      <c r="AA54" s="789">
        <f>SUM(AA49:AA53)</f>
        <v>0</v>
      </c>
      <c r="AB54" s="976"/>
      <c r="AC54" s="962"/>
      <c r="AD54" s="789">
        <f>G54+K54+O54+S54+W54+AA54</f>
        <v>0</v>
      </c>
      <c r="AE54" s="971"/>
      <c r="AF54" s="292"/>
      <c r="AG54" s="292"/>
      <c r="AH54" s="292"/>
      <c r="AI54" s="292"/>
      <c r="AJ54" s="292"/>
      <c r="AK54" s="292"/>
      <c r="AL54" s="292"/>
      <c r="AM54" s="292"/>
      <c r="AN54" s="292"/>
      <c r="AO54" s="292"/>
      <c r="AP54" s="292"/>
      <c r="AQ54" s="292"/>
      <c r="AR54" s="292"/>
      <c r="AS54" s="292"/>
      <c r="AT54" s="292"/>
      <c r="AU54" s="292"/>
      <c r="AV54" s="292"/>
      <c r="AW54" s="292"/>
      <c r="AX54" s="292"/>
      <c r="AY54" s="292"/>
      <c r="AZ54" s="292"/>
      <c r="BA54" s="292"/>
      <c r="BB54" s="292"/>
      <c r="BC54" s="292"/>
      <c r="BD54" s="292"/>
      <c r="BE54" s="292"/>
      <c r="BF54" s="292"/>
      <c r="BG54" s="292"/>
      <c r="BH54" s="292"/>
      <c r="BI54" s="292"/>
      <c r="BJ54" s="292"/>
      <c r="BK54" s="292"/>
      <c r="BL54" s="292"/>
      <c r="BM54" s="292"/>
      <c r="BN54" s="292"/>
      <c r="BO54" s="292"/>
      <c r="BP54" s="292"/>
      <c r="BQ54" s="292"/>
      <c r="BR54" s="292"/>
      <c r="BS54" s="292"/>
      <c r="BT54" s="292"/>
      <c r="BU54" s="292"/>
      <c r="BV54" s="292"/>
      <c r="BW54" s="292"/>
      <c r="BX54" s="292"/>
      <c r="BY54" s="292"/>
      <c r="BZ54" s="292"/>
      <c r="CA54" s="292"/>
      <c r="CB54" s="292"/>
      <c r="CC54" s="292"/>
      <c r="CD54" s="292"/>
      <c r="CE54" s="292"/>
      <c r="CF54" s="292"/>
      <c r="CG54" s="292"/>
      <c r="CH54" s="292"/>
      <c r="CI54" s="292"/>
      <c r="CJ54" s="292"/>
      <c r="CK54" s="292"/>
      <c r="CL54" s="292"/>
      <c r="CM54" s="292"/>
      <c r="CN54" s="292"/>
      <c r="CO54" s="292"/>
      <c r="CP54" s="292"/>
      <c r="CQ54" s="292"/>
      <c r="CR54" s="292"/>
      <c r="CS54" s="292"/>
      <c r="CT54" s="292"/>
      <c r="CU54" s="292"/>
      <c r="CV54" s="292"/>
      <c r="CW54" s="292"/>
      <c r="CX54" s="292"/>
      <c r="CY54" s="292"/>
      <c r="CZ54" s="292"/>
      <c r="DA54" s="292"/>
      <c r="DB54" s="292"/>
      <c r="DC54" s="292"/>
      <c r="DD54" s="292"/>
      <c r="DE54" s="292"/>
      <c r="DF54" s="292"/>
      <c r="DG54" s="292"/>
      <c r="DH54" s="292"/>
      <c r="DI54" s="292"/>
      <c r="DJ54" s="292"/>
      <c r="DK54" s="292"/>
      <c r="DL54" s="292"/>
      <c r="DM54" s="292"/>
      <c r="DN54" s="292"/>
      <c r="DO54" s="292"/>
      <c r="DP54" s="292"/>
      <c r="DQ54" s="292"/>
      <c r="DR54" s="292"/>
      <c r="DS54" s="292"/>
      <c r="DT54" s="292"/>
      <c r="DU54" s="292"/>
      <c r="DV54" s="292"/>
      <c r="DW54" s="292"/>
      <c r="DX54" s="292"/>
      <c r="DY54" s="292"/>
      <c r="DZ54" s="292"/>
      <c r="EA54" s="292"/>
      <c r="EB54" s="292"/>
      <c r="EC54" s="292"/>
      <c r="ED54" s="292"/>
      <c r="EE54" s="292"/>
      <c r="EF54" s="292"/>
      <c r="EG54" s="292"/>
      <c r="EH54" s="292"/>
      <c r="EI54" s="292"/>
      <c r="EJ54" s="292"/>
      <c r="EK54" s="292"/>
      <c r="EL54" s="292"/>
      <c r="EM54" s="292"/>
      <c r="EN54" s="292"/>
      <c r="EO54" s="292"/>
      <c r="EP54" s="292"/>
      <c r="EQ54" s="292"/>
      <c r="ER54" s="292"/>
      <c r="ES54" s="292"/>
      <c r="ET54" s="292"/>
      <c r="EU54" s="292"/>
      <c r="EV54" s="292"/>
      <c r="EW54" s="292"/>
      <c r="EX54" s="292"/>
      <c r="EY54" s="292"/>
      <c r="EZ54" s="292"/>
      <c r="FA54" s="292"/>
      <c r="FB54" s="292"/>
      <c r="FC54" s="292"/>
      <c r="FD54" s="292"/>
      <c r="FE54" s="292"/>
      <c r="FF54" s="292"/>
      <c r="FG54" s="292"/>
      <c r="FH54" s="292"/>
      <c r="FI54" s="292"/>
      <c r="FJ54" s="292"/>
      <c r="FK54" s="292"/>
      <c r="FL54" s="292"/>
      <c r="FM54" s="292"/>
      <c r="FN54" s="292"/>
      <c r="FO54" s="292"/>
      <c r="FP54" s="292"/>
      <c r="FQ54" s="292"/>
      <c r="FR54" s="292"/>
      <c r="FS54" s="292"/>
      <c r="FT54" s="292"/>
      <c r="FU54" s="292"/>
      <c r="FV54" s="292"/>
      <c r="FW54" s="292"/>
      <c r="FX54" s="292"/>
      <c r="FY54" s="292"/>
      <c r="FZ54" s="292"/>
      <c r="GA54" s="292"/>
      <c r="GB54" s="292"/>
      <c r="GC54" s="292"/>
      <c r="GD54" s="292"/>
      <c r="GE54" s="292"/>
      <c r="GF54" s="292"/>
      <c r="GG54" s="292"/>
      <c r="GH54" s="292"/>
      <c r="GI54" s="292"/>
      <c r="GJ54" s="292"/>
      <c r="GK54" s="292"/>
      <c r="GL54" s="292"/>
      <c r="GM54" s="292"/>
      <c r="GN54" s="292"/>
      <c r="GO54" s="292"/>
      <c r="GP54" s="292"/>
      <c r="GQ54" s="292"/>
      <c r="GR54" s="292"/>
      <c r="GS54" s="292"/>
      <c r="GT54" s="292"/>
      <c r="GU54" s="292"/>
      <c r="GV54" s="292"/>
      <c r="GW54" s="292"/>
      <c r="GX54" s="292"/>
      <c r="GY54" s="292"/>
      <c r="GZ54" s="292"/>
      <c r="HA54" s="292"/>
      <c r="HB54" s="292"/>
      <c r="HC54" s="292"/>
      <c r="HD54" s="292"/>
      <c r="HE54" s="292"/>
      <c r="HF54" s="292"/>
      <c r="HG54" s="292"/>
      <c r="HH54" s="292"/>
      <c r="HI54" s="292"/>
      <c r="HJ54" s="292"/>
      <c r="HK54" s="292"/>
      <c r="HL54" s="292"/>
      <c r="HM54" s="292"/>
      <c r="HN54" s="292"/>
      <c r="HO54" s="292"/>
      <c r="HP54" s="292"/>
      <c r="HQ54" s="292"/>
      <c r="HR54" s="292"/>
      <c r="HS54" s="292"/>
      <c r="HT54" s="292"/>
      <c r="HU54" s="292"/>
      <c r="HV54" s="292"/>
      <c r="HW54" s="292"/>
      <c r="HX54" s="292"/>
      <c r="HY54" s="292"/>
      <c r="HZ54" s="292"/>
      <c r="IA54" s="292"/>
      <c r="IB54" s="292"/>
      <c r="IC54" s="292"/>
      <c r="ID54" s="292"/>
      <c r="IE54" s="292"/>
      <c r="IF54" s="292"/>
      <c r="IG54" s="292"/>
      <c r="IH54" s="292"/>
      <c r="II54" s="292"/>
      <c r="IJ54" s="292"/>
      <c r="IK54" s="292"/>
      <c r="IL54" s="292"/>
      <c r="IM54" s="292"/>
      <c r="IN54" s="292"/>
      <c r="IO54" s="292"/>
      <c r="IP54" s="292"/>
      <c r="IQ54" s="292"/>
      <c r="IR54" s="292"/>
      <c r="IS54" s="292"/>
      <c r="IT54" s="292"/>
      <c r="IU54" s="292"/>
      <c r="IV54" s="292"/>
      <c r="IW54" s="292"/>
      <c r="IX54" s="292"/>
      <c r="IY54" s="292"/>
      <c r="IZ54" s="292"/>
      <c r="JA54" s="292"/>
      <c r="JB54" s="292"/>
      <c r="JC54" s="292"/>
      <c r="JD54" s="292"/>
      <c r="JE54" s="292"/>
      <c r="JF54" s="292"/>
      <c r="JG54" s="292"/>
      <c r="JH54" s="292"/>
      <c r="JI54" s="292"/>
      <c r="JJ54" s="292"/>
      <c r="JK54" s="292"/>
      <c r="JL54" s="292"/>
      <c r="JM54" s="292"/>
      <c r="JN54" s="292"/>
      <c r="JO54" s="292"/>
      <c r="JP54" s="292"/>
      <c r="JQ54" s="292"/>
      <c r="JR54" s="292"/>
      <c r="JS54" s="292"/>
      <c r="JT54" s="292"/>
      <c r="JU54" s="292"/>
      <c r="JV54" s="292"/>
      <c r="JW54" s="292"/>
      <c r="JX54" s="292"/>
      <c r="JY54" s="292"/>
      <c r="JZ54" s="292"/>
      <c r="KA54" s="292"/>
      <c r="KB54" s="292"/>
      <c r="KC54" s="292"/>
      <c r="KD54" s="292"/>
      <c r="KE54" s="292"/>
      <c r="KF54" s="292"/>
      <c r="KG54" s="292"/>
      <c r="KH54" s="292"/>
      <c r="KI54" s="292"/>
      <c r="KJ54" s="292"/>
      <c r="KK54" s="292"/>
      <c r="KL54" s="292"/>
      <c r="KM54" s="292"/>
      <c r="KN54" s="292"/>
      <c r="KO54" s="292"/>
      <c r="KP54" s="292"/>
      <c r="KQ54" s="292"/>
      <c r="KR54" s="292"/>
      <c r="KS54" s="292"/>
      <c r="KT54" s="292"/>
      <c r="KU54" s="292"/>
      <c r="KV54" s="292"/>
      <c r="KW54" s="292"/>
      <c r="KX54" s="292"/>
      <c r="KY54" s="292"/>
      <c r="KZ54" s="292"/>
      <c r="LA54" s="292"/>
      <c r="LB54" s="292"/>
      <c r="LC54" s="292"/>
      <c r="LD54" s="292"/>
      <c r="LE54" s="292"/>
      <c r="LF54" s="292"/>
      <c r="LG54" s="292"/>
      <c r="LH54" s="292"/>
      <c r="LI54" s="292"/>
      <c r="LJ54" s="292"/>
      <c r="LK54" s="292"/>
      <c r="LL54" s="292"/>
      <c r="LM54" s="292"/>
      <c r="LN54" s="292"/>
      <c r="LO54" s="292"/>
      <c r="LP54" s="292"/>
      <c r="LQ54" s="292"/>
      <c r="LR54" s="292"/>
      <c r="LS54" s="292"/>
      <c r="LT54" s="292"/>
      <c r="LU54" s="292"/>
      <c r="LV54" s="292"/>
      <c r="LW54" s="292"/>
      <c r="LX54" s="292"/>
      <c r="LY54" s="292"/>
      <c r="LZ54" s="292"/>
      <c r="MA54" s="292"/>
      <c r="MB54" s="292"/>
      <c r="MC54" s="292"/>
      <c r="MD54" s="292"/>
      <c r="ME54" s="292"/>
      <c r="MF54" s="292"/>
      <c r="MG54" s="292"/>
      <c r="MH54" s="292"/>
      <c r="MI54" s="292"/>
      <c r="MJ54" s="292"/>
      <c r="MK54" s="292"/>
      <c r="ML54" s="292"/>
      <c r="MM54" s="292"/>
      <c r="MN54" s="292"/>
      <c r="MO54" s="292"/>
      <c r="MP54" s="292"/>
      <c r="MQ54" s="292"/>
      <c r="MR54" s="292"/>
      <c r="MS54" s="292"/>
      <c r="MT54" s="292"/>
      <c r="MU54" s="292"/>
      <c r="MV54" s="292"/>
      <c r="MW54" s="292"/>
      <c r="MX54" s="292"/>
      <c r="MY54" s="292"/>
      <c r="MZ54" s="292"/>
      <c r="NA54" s="292"/>
      <c r="NB54" s="292"/>
      <c r="NC54" s="292"/>
      <c r="ND54" s="292"/>
      <c r="NE54" s="292"/>
      <c r="NF54" s="292"/>
      <c r="NG54" s="292"/>
      <c r="NH54" s="292"/>
      <c r="NI54" s="292"/>
      <c r="NJ54" s="292"/>
      <c r="NK54" s="292"/>
      <c r="NL54" s="292"/>
      <c r="NM54" s="292"/>
      <c r="NN54" s="292"/>
      <c r="NO54" s="292"/>
      <c r="NP54" s="292"/>
      <c r="NQ54" s="292"/>
      <c r="NR54" s="292"/>
      <c r="NS54" s="292"/>
      <c r="NT54" s="292"/>
      <c r="NU54" s="292"/>
      <c r="NV54" s="292"/>
      <c r="NW54" s="292"/>
      <c r="NX54" s="292"/>
      <c r="NY54" s="292"/>
      <c r="NZ54" s="292"/>
      <c r="OA54" s="292"/>
      <c r="OB54" s="292"/>
      <c r="OC54" s="292"/>
      <c r="OD54" s="292"/>
      <c r="OE54" s="292"/>
      <c r="OF54" s="292"/>
      <c r="OG54" s="292"/>
      <c r="OH54" s="292"/>
      <c r="OI54" s="292"/>
      <c r="OJ54" s="292"/>
      <c r="OK54" s="292"/>
      <c r="OL54" s="292"/>
      <c r="OM54" s="292"/>
      <c r="ON54" s="292"/>
      <c r="OO54" s="292"/>
      <c r="OP54" s="292"/>
      <c r="OQ54" s="292"/>
      <c r="OR54" s="292"/>
      <c r="OS54" s="292"/>
      <c r="OT54" s="292"/>
      <c r="OU54" s="292"/>
      <c r="OV54" s="292"/>
      <c r="OW54" s="292"/>
      <c r="OX54" s="292"/>
      <c r="OY54" s="292"/>
      <c r="OZ54" s="292"/>
      <c r="PA54" s="292"/>
      <c r="PB54" s="292"/>
      <c r="PC54" s="292"/>
      <c r="PD54" s="292"/>
      <c r="PE54" s="292"/>
      <c r="PF54" s="292"/>
      <c r="PG54" s="292"/>
      <c r="PH54" s="292"/>
      <c r="PI54" s="292"/>
      <c r="PJ54" s="292"/>
      <c r="PK54" s="292"/>
      <c r="PL54" s="292"/>
      <c r="PM54" s="292"/>
      <c r="PN54" s="292"/>
      <c r="PO54" s="292"/>
      <c r="PP54" s="292"/>
      <c r="PQ54" s="292"/>
      <c r="PR54" s="292"/>
      <c r="PS54" s="292"/>
      <c r="PT54" s="292"/>
      <c r="PU54" s="292"/>
      <c r="PV54" s="292"/>
      <c r="PW54" s="292"/>
      <c r="PX54" s="292"/>
      <c r="PY54" s="292"/>
      <c r="PZ54" s="292"/>
      <c r="QA54" s="292"/>
      <c r="QB54" s="292"/>
      <c r="QC54" s="292"/>
      <c r="QD54" s="292"/>
      <c r="QE54" s="292"/>
      <c r="QF54" s="292"/>
      <c r="QG54" s="292"/>
      <c r="QH54" s="292"/>
      <c r="QI54" s="292"/>
      <c r="QJ54" s="292"/>
      <c r="QK54" s="292"/>
      <c r="QL54" s="292"/>
      <c r="QM54" s="292"/>
      <c r="QN54" s="292"/>
      <c r="QO54" s="292"/>
      <c r="QP54" s="292"/>
      <c r="QQ54" s="292"/>
      <c r="QR54" s="292"/>
      <c r="QS54" s="292"/>
      <c r="QT54" s="292"/>
      <c r="QU54" s="292"/>
      <c r="QV54" s="292"/>
      <c r="QW54" s="292"/>
      <c r="QX54" s="292"/>
      <c r="QY54" s="292"/>
      <c r="QZ54" s="292"/>
      <c r="RA54" s="292"/>
      <c r="RB54" s="292"/>
      <c r="RC54" s="292"/>
      <c r="RD54" s="292"/>
      <c r="RE54" s="292"/>
      <c r="RF54" s="292"/>
      <c r="RG54" s="292"/>
      <c r="RH54" s="292"/>
      <c r="RI54" s="292"/>
      <c r="RJ54" s="292"/>
      <c r="RK54" s="292"/>
      <c r="RL54" s="292"/>
      <c r="RM54" s="292"/>
      <c r="RN54" s="292"/>
      <c r="RO54" s="292"/>
      <c r="RP54" s="292"/>
      <c r="RQ54" s="292"/>
      <c r="RR54" s="292"/>
      <c r="RS54" s="292"/>
      <c r="RT54" s="292"/>
      <c r="RU54" s="292"/>
      <c r="RV54" s="292"/>
      <c r="RW54" s="292"/>
      <c r="RX54" s="292"/>
      <c r="RY54" s="292"/>
      <c r="RZ54" s="292"/>
      <c r="SA54" s="292"/>
      <c r="SB54" s="292"/>
      <c r="SC54" s="292"/>
      <c r="SD54" s="292"/>
      <c r="SE54" s="292"/>
      <c r="SF54" s="292"/>
      <c r="SG54" s="292"/>
      <c r="SH54" s="292"/>
      <c r="SI54" s="292"/>
      <c r="SJ54" s="292"/>
      <c r="SK54" s="292"/>
      <c r="SL54" s="292"/>
      <c r="SM54" s="292"/>
      <c r="SN54" s="292"/>
      <c r="SO54" s="292"/>
      <c r="SP54" s="292"/>
      <c r="SQ54" s="292"/>
      <c r="SR54" s="292"/>
      <c r="SS54" s="292"/>
      <c r="ST54" s="292"/>
      <c r="SU54" s="292"/>
    </row>
    <row r="55" spans="1:515" s="620" customFormat="1" ht="15" customHeight="1" x14ac:dyDescent="0.25">
      <c r="A55" s="986"/>
      <c r="B55" s="984"/>
      <c r="C55" s="984"/>
      <c r="D55" s="962"/>
      <c r="E55" s="960"/>
      <c r="F55" s="976"/>
      <c r="G55" s="981"/>
      <c r="H55" s="962"/>
      <c r="I55" s="960"/>
      <c r="J55" s="981"/>
      <c r="K55" s="981"/>
      <c r="L55" s="962"/>
      <c r="M55" s="984"/>
      <c r="N55" s="984"/>
      <c r="O55" s="981"/>
      <c r="P55" s="962"/>
      <c r="Q55" s="962"/>
      <c r="R55" s="962"/>
      <c r="S55" s="976"/>
      <c r="T55" s="962"/>
      <c r="U55" s="1177"/>
      <c r="V55" s="1177"/>
      <c r="W55" s="976"/>
      <c r="X55" s="962"/>
      <c r="Y55" s="1177"/>
      <c r="Z55" s="1177"/>
      <c r="AA55" s="981"/>
      <c r="AB55" s="976"/>
      <c r="AC55" s="962"/>
      <c r="AD55" s="981"/>
      <c r="AE55" s="971"/>
      <c r="AF55" s="292"/>
      <c r="AG55" s="292"/>
      <c r="AH55" s="292"/>
      <c r="AI55" s="292"/>
      <c r="AJ55" s="292"/>
      <c r="AK55" s="292"/>
      <c r="AL55" s="292"/>
      <c r="AM55" s="292"/>
      <c r="AN55" s="292"/>
      <c r="AO55" s="292"/>
      <c r="AP55" s="292"/>
      <c r="AQ55" s="292"/>
      <c r="AR55" s="292"/>
      <c r="AS55" s="292"/>
      <c r="AT55" s="292"/>
      <c r="AU55" s="292"/>
      <c r="AV55" s="292"/>
      <c r="AW55" s="292"/>
      <c r="AX55" s="292"/>
      <c r="AY55" s="292"/>
      <c r="AZ55" s="292"/>
      <c r="BA55" s="292"/>
      <c r="BB55" s="292"/>
      <c r="BC55" s="292"/>
      <c r="BD55" s="292"/>
      <c r="BE55" s="292"/>
      <c r="BF55" s="292"/>
      <c r="BG55" s="292"/>
      <c r="BH55" s="292"/>
      <c r="BI55" s="292"/>
      <c r="BJ55" s="292"/>
      <c r="BK55" s="292"/>
      <c r="BL55" s="292"/>
    </row>
    <row r="56" spans="1:515" s="478" customFormat="1" ht="23.15" customHeight="1" x14ac:dyDescent="0.25">
      <c r="A56" s="1346" t="s">
        <v>362</v>
      </c>
      <c r="B56" s="1308"/>
      <c r="C56" s="1308"/>
      <c r="D56" s="957"/>
      <c r="E56" s="1172">
        <v>0</v>
      </c>
      <c r="F56" s="1172" t="s">
        <v>363</v>
      </c>
      <c r="G56" s="1172" t="s">
        <v>364</v>
      </c>
      <c r="H56" s="957"/>
      <c r="I56" s="1172" t="s">
        <v>15</v>
      </c>
      <c r="J56" s="1172" t="s">
        <v>363</v>
      </c>
      <c r="K56" s="1172" t="s">
        <v>364</v>
      </c>
      <c r="L56" s="957"/>
      <c r="M56" s="1172" t="s">
        <v>15</v>
      </c>
      <c r="N56" s="1172" t="s">
        <v>363</v>
      </c>
      <c r="O56" s="1172" t="s">
        <v>364</v>
      </c>
      <c r="P56" s="957"/>
      <c r="Q56" s="1172" t="s">
        <v>15</v>
      </c>
      <c r="R56" s="1172" t="s">
        <v>363</v>
      </c>
      <c r="S56" s="1172" t="s">
        <v>364</v>
      </c>
      <c r="T56" s="957"/>
      <c r="U56" s="1172" t="s">
        <v>15</v>
      </c>
      <c r="V56" s="1172" t="s">
        <v>363</v>
      </c>
      <c r="W56" s="1172" t="s">
        <v>364</v>
      </c>
      <c r="X56" s="957"/>
      <c r="Y56" s="1172" t="s">
        <v>15</v>
      </c>
      <c r="Z56" s="1172" t="s">
        <v>363</v>
      </c>
      <c r="AA56" s="1172" t="s">
        <v>364</v>
      </c>
      <c r="AB56" s="957"/>
      <c r="AC56" s="957"/>
      <c r="AD56" s="1172" t="s">
        <v>138</v>
      </c>
      <c r="AE56" s="971"/>
      <c r="AF56" s="292"/>
      <c r="AG56" s="292"/>
      <c r="AH56" s="292"/>
      <c r="AI56" s="292"/>
      <c r="AJ56" s="292"/>
      <c r="AK56" s="292"/>
      <c r="AL56" s="292"/>
      <c r="AM56" s="292"/>
      <c r="AN56" s="292"/>
      <c r="AO56" s="292"/>
      <c r="AP56" s="292"/>
      <c r="AQ56" s="292"/>
      <c r="AR56" s="292"/>
      <c r="AS56" s="292"/>
      <c r="AT56" s="292"/>
      <c r="AU56" s="292"/>
      <c r="AV56" s="292"/>
      <c r="AW56" s="292"/>
      <c r="AX56" s="292"/>
      <c r="AY56" s="292"/>
      <c r="AZ56" s="292"/>
      <c r="BA56" s="292"/>
      <c r="BB56" s="292"/>
      <c r="BC56" s="292"/>
      <c r="BD56" s="292"/>
      <c r="BE56" s="292"/>
      <c r="BF56" s="292"/>
      <c r="BG56" s="292"/>
      <c r="BH56" s="292"/>
      <c r="BI56" s="292"/>
      <c r="BJ56" s="292"/>
      <c r="BK56" s="292"/>
      <c r="BL56" s="292"/>
      <c r="BM56" s="292"/>
      <c r="BN56" s="292"/>
      <c r="BO56" s="292"/>
      <c r="BP56" s="292"/>
      <c r="BQ56" s="292"/>
      <c r="BR56" s="292"/>
      <c r="BS56" s="292"/>
      <c r="BT56" s="292"/>
      <c r="BU56" s="292"/>
      <c r="BV56" s="292"/>
      <c r="BW56" s="292"/>
      <c r="BX56" s="292"/>
      <c r="BY56" s="292"/>
      <c r="BZ56" s="292"/>
      <c r="CA56" s="292"/>
      <c r="CB56" s="292"/>
      <c r="CC56" s="292"/>
      <c r="CD56" s="292"/>
      <c r="CE56" s="292"/>
      <c r="CF56" s="292"/>
      <c r="CG56" s="292"/>
      <c r="CH56" s="292"/>
      <c r="CI56" s="292"/>
      <c r="CJ56" s="292"/>
      <c r="CK56" s="292"/>
      <c r="CL56" s="292"/>
      <c r="CM56" s="292"/>
      <c r="CN56" s="292"/>
      <c r="CO56" s="292"/>
      <c r="CP56" s="292"/>
      <c r="CQ56" s="292"/>
      <c r="CR56" s="292"/>
      <c r="CS56" s="292"/>
      <c r="CT56" s="292"/>
      <c r="CU56" s="292"/>
      <c r="CV56" s="292"/>
      <c r="CW56" s="292"/>
      <c r="CX56" s="292"/>
      <c r="CY56" s="292"/>
      <c r="CZ56" s="292"/>
      <c r="DA56" s="292"/>
      <c r="DB56" s="292"/>
      <c r="DC56" s="292"/>
      <c r="DD56" s="292"/>
      <c r="DE56" s="292"/>
      <c r="DF56" s="292"/>
      <c r="DG56" s="292"/>
      <c r="DH56" s="292"/>
      <c r="DI56" s="292"/>
      <c r="DJ56" s="292"/>
      <c r="DK56" s="292"/>
      <c r="DL56" s="292"/>
      <c r="DM56" s="292"/>
      <c r="DN56" s="292"/>
      <c r="DO56" s="292"/>
      <c r="DP56" s="292"/>
      <c r="DQ56" s="292"/>
      <c r="DR56" s="292"/>
      <c r="DS56" s="292"/>
      <c r="DT56" s="292"/>
      <c r="DU56" s="292"/>
      <c r="DV56" s="292"/>
      <c r="DW56" s="292"/>
      <c r="DX56" s="292"/>
      <c r="DY56" s="292"/>
      <c r="DZ56" s="292"/>
      <c r="EA56" s="292"/>
      <c r="EB56" s="292"/>
      <c r="EC56" s="292"/>
      <c r="ED56" s="292"/>
      <c r="EE56" s="292"/>
      <c r="EF56" s="292"/>
      <c r="EG56" s="292"/>
      <c r="EH56" s="292"/>
      <c r="EI56" s="292"/>
      <c r="EJ56" s="292"/>
      <c r="EK56" s="292"/>
      <c r="EL56" s="292"/>
      <c r="EM56" s="292"/>
      <c r="EN56" s="292"/>
      <c r="EO56" s="292"/>
      <c r="EP56" s="292"/>
      <c r="EQ56" s="292"/>
      <c r="ER56" s="292"/>
      <c r="ES56" s="292"/>
      <c r="ET56" s="292"/>
      <c r="EU56" s="292"/>
      <c r="EV56" s="292"/>
      <c r="EW56" s="292"/>
      <c r="EX56" s="292"/>
      <c r="EY56" s="292"/>
      <c r="EZ56" s="292"/>
      <c r="FA56" s="292"/>
      <c r="FB56" s="292"/>
      <c r="FC56" s="292"/>
      <c r="FD56" s="292"/>
      <c r="FE56" s="292"/>
      <c r="FF56" s="292"/>
      <c r="FG56" s="292"/>
      <c r="FH56" s="292"/>
      <c r="FI56" s="292"/>
      <c r="FJ56" s="292"/>
      <c r="FK56" s="292"/>
      <c r="FL56" s="292"/>
      <c r="FM56" s="292"/>
      <c r="FN56" s="292"/>
      <c r="FO56" s="292"/>
      <c r="FP56" s="292"/>
      <c r="FQ56" s="292"/>
      <c r="FR56" s="292"/>
      <c r="FS56" s="292"/>
      <c r="FT56" s="292"/>
      <c r="FU56" s="292"/>
      <c r="FV56" s="292"/>
      <c r="FW56" s="292"/>
      <c r="FX56" s="292"/>
      <c r="FY56" s="292"/>
      <c r="FZ56" s="292"/>
      <c r="GA56" s="292"/>
      <c r="GB56" s="292"/>
      <c r="GC56" s="292"/>
      <c r="GD56" s="292"/>
      <c r="GE56" s="292"/>
      <c r="GF56" s="292"/>
      <c r="GG56" s="292"/>
      <c r="GH56" s="292"/>
      <c r="GI56" s="292"/>
      <c r="GJ56" s="292"/>
      <c r="GK56" s="292"/>
      <c r="GL56" s="292"/>
      <c r="GM56" s="292"/>
      <c r="GN56" s="292"/>
      <c r="GO56" s="292"/>
      <c r="GP56" s="292"/>
      <c r="GQ56" s="292"/>
      <c r="GR56" s="292"/>
      <c r="GS56" s="292"/>
      <c r="GT56" s="292"/>
      <c r="GU56" s="292"/>
      <c r="GV56" s="292"/>
      <c r="GW56" s="292"/>
      <c r="GX56" s="292"/>
      <c r="GY56" s="292"/>
      <c r="GZ56" s="292"/>
      <c r="HA56" s="292"/>
      <c r="HB56" s="292"/>
      <c r="HC56" s="292"/>
      <c r="HD56" s="292"/>
      <c r="HE56" s="292"/>
      <c r="HF56" s="292"/>
      <c r="HG56" s="292"/>
      <c r="HH56" s="292"/>
      <c r="HI56" s="292"/>
      <c r="HJ56" s="292"/>
      <c r="HK56" s="292"/>
      <c r="HL56" s="292"/>
      <c r="HM56" s="292"/>
      <c r="HN56" s="292"/>
      <c r="HO56" s="292"/>
      <c r="HP56" s="292"/>
      <c r="HQ56" s="292"/>
      <c r="HR56" s="292"/>
      <c r="HS56" s="292"/>
      <c r="HT56" s="292"/>
      <c r="HU56" s="292"/>
      <c r="HV56" s="292"/>
      <c r="HW56" s="292"/>
      <c r="HX56" s="292"/>
      <c r="HY56" s="292"/>
      <c r="HZ56" s="292"/>
      <c r="IA56" s="292"/>
      <c r="IB56" s="292"/>
      <c r="IC56" s="292"/>
      <c r="ID56" s="292"/>
      <c r="IE56" s="292"/>
      <c r="IF56" s="292"/>
      <c r="IG56" s="292"/>
      <c r="IH56" s="292"/>
      <c r="II56" s="292"/>
      <c r="IJ56" s="292"/>
      <c r="IK56" s="292"/>
      <c r="IL56" s="292"/>
      <c r="IM56" s="292"/>
      <c r="IN56" s="292"/>
      <c r="IO56" s="292"/>
      <c r="IP56" s="292"/>
      <c r="IQ56" s="292"/>
      <c r="IR56" s="292"/>
      <c r="IS56" s="292"/>
      <c r="IT56" s="292"/>
      <c r="IU56" s="292"/>
      <c r="IV56" s="292"/>
      <c r="IW56" s="292"/>
      <c r="IX56" s="292"/>
      <c r="IY56" s="292"/>
      <c r="IZ56" s="292"/>
      <c r="JA56" s="292"/>
      <c r="JB56" s="292"/>
      <c r="JC56" s="292"/>
      <c r="JD56" s="292"/>
      <c r="JE56" s="292"/>
      <c r="JF56" s="292"/>
      <c r="JG56" s="292"/>
      <c r="JH56" s="292"/>
      <c r="JI56" s="292"/>
      <c r="JJ56" s="292"/>
      <c r="JK56" s="292"/>
      <c r="JL56" s="292"/>
      <c r="JM56" s="292"/>
      <c r="JN56" s="292"/>
      <c r="JO56" s="292"/>
      <c r="JP56" s="292"/>
      <c r="JQ56" s="292"/>
      <c r="JR56" s="292"/>
      <c r="JS56" s="292"/>
      <c r="JT56" s="292"/>
      <c r="JU56" s="292"/>
      <c r="JV56" s="292"/>
      <c r="JW56" s="292"/>
      <c r="JX56" s="292"/>
      <c r="JY56" s="292"/>
      <c r="JZ56" s="292"/>
      <c r="KA56" s="292"/>
      <c r="KB56" s="292"/>
      <c r="KC56" s="292"/>
      <c r="KD56" s="292"/>
      <c r="KE56" s="292"/>
      <c r="KF56" s="292"/>
      <c r="KG56" s="292"/>
      <c r="KH56" s="292"/>
      <c r="KI56" s="292"/>
      <c r="KJ56" s="292"/>
      <c r="KK56" s="292"/>
      <c r="KL56" s="292"/>
      <c r="KM56" s="292"/>
      <c r="KN56" s="292"/>
      <c r="KO56" s="292"/>
      <c r="KP56" s="292"/>
      <c r="KQ56" s="292"/>
      <c r="KR56" s="292"/>
      <c r="KS56" s="292"/>
      <c r="KT56" s="292"/>
      <c r="KU56" s="292"/>
      <c r="KV56" s="292"/>
      <c r="KW56" s="292"/>
      <c r="KX56" s="292"/>
      <c r="KY56" s="292"/>
      <c r="KZ56" s="292"/>
      <c r="LA56" s="292"/>
      <c r="LB56" s="292"/>
      <c r="LC56" s="292"/>
      <c r="LD56" s="292"/>
      <c r="LE56" s="292"/>
      <c r="LF56" s="292"/>
      <c r="LG56" s="292"/>
      <c r="LH56" s="292"/>
      <c r="LI56" s="292"/>
      <c r="LJ56" s="292"/>
      <c r="LK56" s="292"/>
      <c r="LL56" s="292"/>
      <c r="LM56" s="292"/>
      <c r="LN56" s="292"/>
      <c r="LO56" s="292"/>
      <c r="LP56" s="292"/>
      <c r="LQ56" s="292"/>
      <c r="LR56" s="292"/>
      <c r="LS56" s="292"/>
      <c r="LT56" s="292"/>
      <c r="LU56" s="292"/>
      <c r="LV56" s="292"/>
      <c r="LW56" s="292"/>
      <c r="LX56" s="292"/>
      <c r="LY56" s="292"/>
      <c r="LZ56" s="292"/>
      <c r="MA56" s="292"/>
      <c r="MB56" s="292"/>
      <c r="MC56" s="292"/>
      <c r="MD56" s="292"/>
      <c r="ME56" s="292"/>
      <c r="MF56" s="292"/>
      <c r="MG56" s="292"/>
      <c r="MH56" s="292"/>
      <c r="MI56" s="292"/>
      <c r="MJ56" s="292"/>
      <c r="MK56" s="292"/>
      <c r="ML56" s="292"/>
      <c r="MM56" s="292"/>
      <c r="MN56" s="292"/>
      <c r="MO56" s="292"/>
      <c r="MP56" s="292"/>
      <c r="MQ56" s="292"/>
      <c r="MR56" s="292"/>
      <c r="MS56" s="292"/>
      <c r="MT56" s="292"/>
      <c r="MU56" s="292"/>
      <c r="MV56" s="292"/>
      <c r="MW56" s="292"/>
      <c r="MX56" s="292"/>
      <c r="MY56" s="292"/>
      <c r="MZ56" s="292"/>
      <c r="NA56" s="292"/>
      <c r="NB56" s="292"/>
      <c r="NC56" s="292"/>
      <c r="ND56" s="292"/>
      <c r="NE56" s="292"/>
      <c r="NF56" s="292"/>
      <c r="NG56" s="292"/>
      <c r="NH56" s="292"/>
      <c r="NI56" s="292"/>
      <c r="NJ56" s="292"/>
      <c r="NK56" s="292"/>
      <c r="NL56" s="292"/>
      <c r="NM56" s="292"/>
      <c r="NN56" s="292"/>
      <c r="NO56" s="292"/>
      <c r="NP56" s="292"/>
      <c r="NQ56" s="292"/>
      <c r="NR56" s="292"/>
      <c r="NS56" s="292"/>
      <c r="NT56" s="292"/>
      <c r="NU56" s="292"/>
      <c r="NV56" s="292"/>
      <c r="NW56" s="292"/>
      <c r="NX56" s="292"/>
      <c r="NY56" s="292"/>
      <c r="NZ56" s="292"/>
      <c r="OA56" s="292"/>
      <c r="OB56" s="292"/>
      <c r="OC56" s="292"/>
      <c r="OD56" s="292"/>
      <c r="OE56" s="292"/>
      <c r="OF56" s="292"/>
      <c r="OG56" s="292"/>
      <c r="OH56" s="292"/>
      <c r="OI56" s="292"/>
      <c r="OJ56" s="292"/>
      <c r="OK56" s="292"/>
      <c r="OL56" s="292"/>
      <c r="OM56" s="292"/>
      <c r="ON56" s="292"/>
      <c r="OO56" s="292"/>
      <c r="OP56" s="292"/>
      <c r="OQ56" s="292"/>
      <c r="OR56" s="292"/>
      <c r="OS56" s="292"/>
      <c r="OT56" s="292"/>
      <c r="OU56" s="292"/>
      <c r="OV56" s="292"/>
      <c r="OW56" s="292"/>
      <c r="OX56" s="292"/>
      <c r="OY56" s="292"/>
      <c r="OZ56" s="292"/>
      <c r="PA56" s="292"/>
      <c r="PB56" s="292"/>
      <c r="PC56" s="292"/>
      <c r="PD56" s="292"/>
      <c r="PE56" s="292"/>
      <c r="PF56" s="292"/>
      <c r="PG56" s="292"/>
      <c r="PH56" s="292"/>
      <c r="PI56" s="292"/>
      <c r="PJ56" s="292"/>
      <c r="PK56" s="292"/>
      <c r="PL56" s="292"/>
      <c r="PM56" s="292"/>
      <c r="PN56" s="292"/>
      <c r="PO56" s="292"/>
      <c r="PP56" s="292"/>
      <c r="PQ56" s="292"/>
      <c r="PR56" s="292"/>
      <c r="PS56" s="292"/>
      <c r="PT56" s="292"/>
      <c r="PU56" s="292"/>
      <c r="PV56" s="292"/>
      <c r="PW56" s="292"/>
      <c r="PX56" s="292"/>
      <c r="PY56" s="292"/>
      <c r="PZ56" s="292"/>
      <c r="QA56" s="292"/>
      <c r="QB56" s="292"/>
      <c r="QC56" s="292"/>
      <c r="QD56" s="292"/>
      <c r="QE56" s="292"/>
      <c r="QF56" s="292"/>
      <c r="QG56" s="292"/>
      <c r="QH56" s="292"/>
      <c r="QI56" s="292"/>
      <c r="QJ56" s="292"/>
      <c r="QK56" s="292"/>
      <c r="QL56" s="292"/>
      <c r="QM56" s="292"/>
      <c r="QN56" s="292"/>
      <c r="QO56" s="292"/>
      <c r="QP56" s="292"/>
      <c r="QQ56" s="292"/>
      <c r="QR56" s="292"/>
      <c r="QS56" s="292"/>
      <c r="QT56" s="292"/>
      <c r="QU56" s="292"/>
      <c r="QV56" s="292"/>
      <c r="QW56" s="292"/>
      <c r="QX56" s="292"/>
      <c r="QY56" s="292"/>
      <c r="QZ56" s="292"/>
      <c r="RA56" s="292"/>
      <c r="RB56" s="292"/>
      <c r="RC56" s="292"/>
      <c r="RD56" s="292"/>
      <c r="RE56" s="292"/>
      <c r="RF56" s="292"/>
      <c r="RG56" s="292"/>
      <c r="RH56" s="292"/>
      <c r="RI56" s="292"/>
      <c r="RJ56" s="292"/>
      <c r="RK56" s="292"/>
      <c r="RL56" s="292"/>
      <c r="RM56" s="292"/>
      <c r="RN56" s="292"/>
      <c r="RO56" s="292"/>
      <c r="RP56" s="292"/>
      <c r="RQ56" s="292"/>
      <c r="RR56" s="292"/>
      <c r="RS56" s="292"/>
      <c r="RT56" s="292"/>
      <c r="RU56" s="292"/>
      <c r="RV56" s="292"/>
      <c r="RW56" s="292"/>
      <c r="RX56" s="292"/>
      <c r="RY56" s="292"/>
      <c r="RZ56" s="292"/>
      <c r="SA56" s="292"/>
      <c r="SB56" s="292"/>
      <c r="SC56" s="292"/>
      <c r="SD56" s="292"/>
      <c r="SE56" s="292"/>
      <c r="SF56" s="292"/>
      <c r="SG56" s="292"/>
      <c r="SH56" s="292"/>
      <c r="SI56" s="292"/>
      <c r="SJ56" s="292"/>
      <c r="SK56" s="292"/>
      <c r="SL56" s="292"/>
      <c r="SM56" s="292"/>
      <c r="SN56" s="292"/>
      <c r="SO56" s="292"/>
      <c r="SP56" s="292"/>
      <c r="SQ56" s="292"/>
      <c r="SR56" s="292"/>
      <c r="SS56" s="292"/>
      <c r="ST56" s="292"/>
      <c r="SU56" s="292"/>
    </row>
    <row r="57" spans="1:515" ht="15" customHeight="1" x14ac:dyDescent="0.25">
      <c r="A57" s="1349" t="s">
        <v>365</v>
      </c>
      <c r="B57" s="1350"/>
      <c r="C57" s="1350"/>
      <c r="D57" s="957"/>
      <c r="E57" s="622">
        <v>0</v>
      </c>
      <c r="F57" s="626">
        <v>0</v>
      </c>
      <c r="G57" s="1000">
        <f>E57*F57</f>
        <v>0</v>
      </c>
      <c r="H57" s="957"/>
      <c r="I57" s="622">
        <v>0</v>
      </c>
      <c r="J57" s="626">
        <v>0</v>
      </c>
      <c r="K57" s="1000">
        <f>I57*J57</f>
        <v>0</v>
      </c>
      <c r="L57" s="957"/>
      <c r="M57" s="622">
        <v>0</v>
      </c>
      <c r="N57" s="626">
        <v>0</v>
      </c>
      <c r="O57" s="1000">
        <f>M57*N57</f>
        <v>0</v>
      </c>
      <c r="P57" s="957"/>
      <c r="Q57" s="622">
        <v>0</v>
      </c>
      <c r="R57" s="626">
        <v>0</v>
      </c>
      <c r="S57" s="1000">
        <f>Q57*R57</f>
        <v>0</v>
      </c>
      <c r="T57" s="957"/>
      <c r="U57" s="622">
        <v>0</v>
      </c>
      <c r="V57" s="626">
        <v>0</v>
      </c>
      <c r="W57" s="1000">
        <f>U57*V57</f>
        <v>0</v>
      </c>
      <c r="X57" s="957"/>
      <c r="Y57" s="622">
        <v>0</v>
      </c>
      <c r="Z57" s="626">
        <v>0</v>
      </c>
      <c r="AA57" s="1000">
        <f>Y57*Z57</f>
        <v>0</v>
      </c>
      <c r="AB57" s="975"/>
      <c r="AC57" s="957"/>
      <c r="AD57" s="1000">
        <f>G57+K57+O57+S57+W57+AA57</f>
        <v>0</v>
      </c>
      <c r="AE57" s="971"/>
    </row>
    <row r="58" spans="1:515" ht="15" customHeight="1" x14ac:dyDescent="0.25">
      <c r="A58" s="1349" t="s">
        <v>366</v>
      </c>
      <c r="B58" s="1350"/>
      <c r="C58" s="1350"/>
      <c r="D58" s="957"/>
      <c r="E58" s="622">
        <v>0</v>
      </c>
      <c r="F58" s="626">
        <v>0</v>
      </c>
      <c r="G58" s="1000">
        <f>E58*F58</f>
        <v>0</v>
      </c>
      <c r="H58" s="957"/>
      <c r="I58" s="622">
        <v>0</v>
      </c>
      <c r="J58" s="626">
        <v>0</v>
      </c>
      <c r="K58" s="1000">
        <f>I58*J58</f>
        <v>0</v>
      </c>
      <c r="L58" s="957"/>
      <c r="M58" s="622">
        <v>0</v>
      </c>
      <c r="N58" s="626">
        <v>0</v>
      </c>
      <c r="O58" s="1000">
        <f>M58*N58</f>
        <v>0</v>
      </c>
      <c r="P58" s="957"/>
      <c r="Q58" s="622">
        <v>0</v>
      </c>
      <c r="R58" s="626">
        <v>0</v>
      </c>
      <c r="S58" s="1000">
        <f>Q58*R58</f>
        <v>0</v>
      </c>
      <c r="T58" s="957"/>
      <c r="U58" s="622">
        <v>0</v>
      </c>
      <c r="V58" s="626">
        <v>0</v>
      </c>
      <c r="W58" s="1000">
        <f>U58*V58</f>
        <v>0</v>
      </c>
      <c r="X58" s="957"/>
      <c r="Y58" s="622">
        <v>0</v>
      </c>
      <c r="Z58" s="626">
        <v>0</v>
      </c>
      <c r="AA58" s="1000">
        <f>Y58*Z58</f>
        <v>0</v>
      </c>
      <c r="AB58" s="975"/>
      <c r="AC58" s="957"/>
      <c r="AD58" s="1000">
        <f>G58+K58+O58+S58+W58+AA58</f>
        <v>0</v>
      </c>
      <c r="AE58" s="971"/>
    </row>
    <row r="59" spans="1:515" s="478" customFormat="1" ht="23.15" customHeight="1" x14ac:dyDescent="0.25">
      <c r="A59" s="1366" t="s">
        <v>138</v>
      </c>
      <c r="B59" s="1367"/>
      <c r="C59" s="1367"/>
      <c r="D59" s="962"/>
      <c r="E59" s="960"/>
      <c r="F59" s="994"/>
      <c r="G59" s="788">
        <f>SUM(G56:G58)</f>
        <v>0</v>
      </c>
      <c r="H59" s="957"/>
      <c r="I59" s="960"/>
      <c r="J59" s="993"/>
      <c r="K59" s="788">
        <f>SUM(K56:K58)</f>
        <v>0</v>
      </c>
      <c r="L59" s="957"/>
      <c r="M59" s="960"/>
      <c r="N59" s="997"/>
      <c r="O59" s="788">
        <f>SUM(O56:O58)</f>
        <v>0</v>
      </c>
      <c r="P59" s="957"/>
      <c r="Q59" s="960"/>
      <c r="R59" s="993"/>
      <c r="S59" s="788">
        <f>SUM(S56:S58)</f>
        <v>0</v>
      </c>
      <c r="T59" s="957"/>
      <c r="U59" s="957"/>
      <c r="V59" s="957"/>
      <c r="W59" s="788">
        <f>SUM(W56:W58)</f>
        <v>0</v>
      </c>
      <c r="X59" s="957"/>
      <c r="Y59" s="957"/>
      <c r="Z59" s="957"/>
      <c r="AA59" s="788">
        <f>SUM(AA56:AA58)</f>
        <v>0</v>
      </c>
      <c r="AB59" s="976"/>
      <c r="AC59" s="957"/>
      <c r="AD59" s="786">
        <f>G59+K59+O59+S59+W59+AA59</f>
        <v>0</v>
      </c>
      <c r="AE59" s="971"/>
      <c r="AF59" s="292"/>
      <c r="AG59" s="292"/>
      <c r="AH59" s="292"/>
      <c r="AI59" s="292"/>
      <c r="AJ59" s="292"/>
      <c r="AK59" s="292"/>
      <c r="AL59" s="292"/>
      <c r="AM59" s="292"/>
      <c r="AN59" s="292"/>
      <c r="AO59" s="292"/>
      <c r="AP59" s="292"/>
      <c r="AQ59" s="292"/>
      <c r="AR59" s="292"/>
      <c r="AS59" s="292"/>
      <c r="AT59" s="292"/>
      <c r="AU59" s="292"/>
      <c r="AV59" s="292"/>
      <c r="AW59" s="292"/>
      <c r="AX59" s="292"/>
      <c r="AY59" s="292"/>
      <c r="AZ59" s="292"/>
      <c r="BA59" s="292"/>
      <c r="BB59" s="292"/>
      <c r="BC59" s="292"/>
      <c r="BD59" s="292"/>
      <c r="BE59" s="292"/>
      <c r="BF59" s="292"/>
      <c r="BG59" s="292"/>
      <c r="BH59" s="292"/>
      <c r="BI59" s="292"/>
      <c r="BJ59" s="292"/>
      <c r="BK59" s="292"/>
      <c r="BL59" s="292"/>
      <c r="BM59" s="292"/>
      <c r="BN59" s="292"/>
      <c r="BO59" s="292"/>
      <c r="BP59" s="292"/>
      <c r="BQ59" s="292"/>
      <c r="BR59" s="292"/>
      <c r="BS59" s="292"/>
      <c r="BT59" s="292"/>
      <c r="BU59" s="292"/>
      <c r="BV59" s="292"/>
      <c r="BW59" s="292"/>
      <c r="BX59" s="292"/>
      <c r="BY59" s="292"/>
      <c r="BZ59" s="292"/>
      <c r="CA59" s="292"/>
      <c r="CB59" s="292"/>
      <c r="CC59" s="292"/>
      <c r="CD59" s="292"/>
      <c r="CE59" s="292"/>
      <c r="CF59" s="292"/>
      <c r="CG59" s="292"/>
      <c r="CH59" s="292"/>
      <c r="CI59" s="292"/>
      <c r="CJ59" s="292"/>
      <c r="CK59" s="292"/>
      <c r="CL59" s="292"/>
      <c r="CM59" s="292"/>
      <c r="CN59" s="292"/>
      <c r="CO59" s="292"/>
      <c r="CP59" s="292"/>
      <c r="CQ59" s="292"/>
      <c r="CR59" s="292"/>
      <c r="CS59" s="292"/>
      <c r="CT59" s="292"/>
      <c r="CU59" s="292"/>
      <c r="CV59" s="292"/>
      <c r="CW59" s="292"/>
      <c r="CX59" s="292"/>
      <c r="CY59" s="292"/>
      <c r="CZ59" s="292"/>
      <c r="DA59" s="292"/>
      <c r="DB59" s="292"/>
      <c r="DC59" s="292"/>
      <c r="DD59" s="292"/>
      <c r="DE59" s="292"/>
      <c r="DF59" s="292"/>
      <c r="DG59" s="292"/>
      <c r="DH59" s="292"/>
      <c r="DI59" s="292"/>
      <c r="DJ59" s="292"/>
      <c r="DK59" s="292"/>
      <c r="DL59" s="292"/>
      <c r="DM59" s="292"/>
      <c r="DN59" s="292"/>
      <c r="DO59" s="292"/>
      <c r="DP59" s="292"/>
      <c r="DQ59" s="292"/>
      <c r="DR59" s="292"/>
      <c r="DS59" s="292"/>
      <c r="DT59" s="292"/>
      <c r="DU59" s="292"/>
      <c r="DV59" s="292"/>
      <c r="DW59" s="292"/>
      <c r="DX59" s="292"/>
      <c r="DY59" s="292"/>
      <c r="DZ59" s="292"/>
      <c r="EA59" s="292"/>
      <c r="EB59" s="292"/>
      <c r="EC59" s="292"/>
      <c r="ED59" s="292"/>
      <c r="EE59" s="292"/>
      <c r="EF59" s="292"/>
      <c r="EG59" s="292"/>
      <c r="EH59" s="292"/>
      <c r="EI59" s="292"/>
      <c r="EJ59" s="292"/>
      <c r="EK59" s="292"/>
      <c r="EL59" s="292"/>
      <c r="EM59" s="292"/>
      <c r="EN59" s="292"/>
      <c r="EO59" s="292"/>
      <c r="EP59" s="292"/>
      <c r="EQ59" s="292"/>
      <c r="ER59" s="292"/>
      <c r="ES59" s="292"/>
      <c r="ET59" s="292"/>
      <c r="EU59" s="292"/>
      <c r="EV59" s="292"/>
      <c r="EW59" s="292"/>
      <c r="EX59" s="292"/>
      <c r="EY59" s="292"/>
      <c r="EZ59" s="292"/>
      <c r="FA59" s="292"/>
      <c r="FB59" s="292"/>
      <c r="FC59" s="292"/>
      <c r="FD59" s="292"/>
      <c r="FE59" s="292"/>
      <c r="FF59" s="292"/>
      <c r="FG59" s="292"/>
      <c r="FH59" s="292"/>
      <c r="FI59" s="292"/>
      <c r="FJ59" s="292"/>
      <c r="FK59" s="292"/>
      <c r="FL59" s="292"/>
      <c r="FM59" s="292"/>
      <c r="FN59" s="292"/>
      <c r="FO59" s="292"/>
      <c r="FP59" s="292"/>
      <c r="FQ59" s="292"/>
      <c r="FR59" s="292"/>
      <c r="FS59" s="292"/>
      <c r="FT59" s="292"/>
      <c r="FU59" s="292"/>
      <c r="FV59" s="292"/>
      <c r="FW59" s="292"/>
      <c r="FX59" s="292"/>
      <c r="FY59" s="292"/>
      <c r="FZ59" s="292"/>
      <c r="GA59" s="292"/>
      <c r="GB59" s="292"/>
      <c r="GC59" s="292"/>
      <c r="GD59" s="292"/>
      <c r="GE59" s="292"/>
      <c r="GF59" s="292"/>
      <c r="GG59" s="292"/>
      <c r="GH59" s="292"/>
      <c r="GI59" s="292"/>
      <c r="GJ59" s="292"/>
      <c r="GK59" s="292"/>
      <c r="GL59" s="292"/>
      <c r="GM59" s="292"/>
      <c r="GN59" s="292"/>
      <c r="GO59" s="292"/>
      <c r="GP59" s="292"/>
      <c r="GQ59" s="292"/>
      <c r="GR59" s="292"/>
      <c r="GS59" s="292"/>
      <c r="GT59" s="292"/>
      <c r="GU59" s="292"/>
      <c r="GV59" s="292"/>
      <c r="GW59" s="292"/>
      <c r="GX59" s="292"/>
      <c r="GY59" s="292"/>
      <c r="GZ59" s="292"/>
      <c r="HA59" s="292"/>
      <c r="HB59" s="292"/>
      <c r="HC59" s="292"/>
      <c r="HD59" s="292"/>
      <c r="HE59" s="292"/>
      <c r="HF59" s="292"/>
      <c r="HG59" s="292"/>
      <c r="HH59" s="292"/>
      <c r="HI59" s="292"/>
      <c r="HJ59" s="292"/>
      <c r="HK59" s="292"/>
      <c r="HL59" s="292"/>
      <c r="HM59" s="292"/>
      <c r="HN59" s="292"/>
      <c r="HO59" s="292"/>
      <c r="HP59" s="292"/>
      <c r="HQ59" s="292"/>
      <c r="HR59" s="292"/>
      <c r="HS59" s="292"/>
      <c r="HT59" s="292"/>
      <c r="HU59" s="292"/>
      <c r="HV59" s="292"/>
      <c r="HW59" s="292"/>
      <c r="HX59" s="292"/>
      <c r="HY59" s="292"/>
      <c r="HZ59" s="292"/>
      <c r="IA59" s="292"/>
      <c r="IB59" s="292"/>
      <c r="IC59" s="292"/>
      <c r="ID59" s="292"/>
      <c r="IE59" s="292"/>
      <c r="IF59" s="292"/>
      <c r="IG59" s="292"/>
      <c r="IH59" s="292"/>
      <c r="II59" s="292"/>
      <c r="IJ59" s="292"/>
      <c r="IK59" s="292"/>
      <c r="IL59" s="292"/>
      <c r="IM59" s="292"/>
      <c r="IN59" s="292"/>
      <c r="IO59" s="292"/>
      <c r="IP59" s="292"/>
      <c r="IQ59" s="292"/>
      <c r="IR59" s="292"/>
      <c r="IS59" s="292"/>
      <c r="IT59" s="292"/>
      <c r="IU59" s="292"/>
      <c r="IV59" s="292"/>
      <c r="IW59" s="292"/>
      <c r="IX59" s="292"/>
      <c r="IY59" s="292"/>
      <c r="IZ59" s="292"/>
      <c r="JA59" s="292"/>
      <c r="JB59" s="292"/>
      <c r="JC59" s="292"/>
      <c r="JD59" s="292"/>
      <c r="JE59" s="292"/>
      <c r="JF59" s="292"/>
      <c r="JG59" s="292"/>
      <c r="JH59" s="292"/>
      <c r="JI59" s="292"/>
      <c r="JJ59" s="292"/>
      <c r="JK59" s="292"/>
      <c r="JL59" s="292"/>
      <c r="JM59" s="292"/>
      <c r="JN59" s="292"/>
      <c r="JO59" s="292"/>
      <c r="JP59" s="292"/>
      <c r="JQ59" s="292"/>
      <c r="JR59" s="292"/>
      <c r="JS59" s="292"/>
      <c r="JT59" s="292"/>
      <c r="JU59" s="292"/>
      <c r="JV59" s="292"/>
      <c r="JW59" s="292"/>
      <c r="JX59" s="292"/>
      <c r="JY59" s="292"/>
      <c r="JZ59" s="292"/>
      <c r="KA59" s="292"/>
      <c r="KB59" s="292"/>
      <c r="KC59" s="292"/>
      <c r="KD59" s="292"/>
      <c r="KE59" s="292"/>
      <c r="KF59" s="292"/>
      <c r="KG59" s="292"/>
      <c r="KH59" s="292"/>
      <c r="KI59" s="292"/>
      <c r="KJ59" s="292"/>
      <c r="KK59" s="292"/>
      <c r="KL59" s="292"/>
      <c r="KM59" s="292"/>
      <c r="KN59" s="292"/>
      <c r="KO59" s="292"/>
      <c r="KP59" s="292"/>
      <c r="KQ59" s="292"/>
      <c r="KR59" s="292"/>
      <c r="KS59" s="292"/>
      <c r="KT59" s="292"/>
      <c r="KU59" s="292"/>
      <c r="KV59" s="292"/>
      <c r="KW59" s="292"/>
      <c r="KX59" s="292"/>
      <c r="KY59" s="292"/>
      <c r="KZ59" s="292"/>
      <c r="LA59" s="292"/>
      <c r="LB59" s="292"/>
      <c r="LC59" s="292"/>
      <c r="LD59" s="292"/>
      <c r="LE59" s="292"/>
      <c r="LF59" s="292"/>
      <c r="LG59" s="292"/>
      <c r="LH59" s="292"/>
      <c r="LI59" s="292"/>
      <c r="LJ59" s="292"/>
      <c r="LK59" s="292"/>
      <c r="LL59" s="292"/>
      <c r="LM59" s="292"/>
      <c r="LN59" s="292"/>
      <c r="LO59" s="292"/>
      <c r="LP59" s="292"/>
      <c r="LQ59" s="292"/>
      <c r="LR59" s="292"/>
      <c r="LS59" s="292"/>
      <c r="LT59" s="292"/>
      <c r="LU59" s="292"/>
      <c r="LV59" s="292"/>
      <c r="LW59" s="292"/>
      <c r="LX59" s="292"/>
      <c r="LY59" s="292"/>
      <c r="LZ59" s="292"/>
      <c r="MA59" s="292"/>
      <c r="MB59" s="292"/>
      <c r="MC59" s="292"/>
      <c r="MD59" s="292"/>
      <c r="ME59" s="292"/>
      <c r="MF59" s="292"/>
      <c r="MG59" s="292"/>
      <c r="MH59" s="292"/>
      <c r="MI59" s="292"/>
      <c r="MJ59" s="292"/>
      <c r="MK59" s="292"/>
      <c r="ML59" s="292"/>
      <c r="MM59" s="292"/>
      <c r="MN59" s="292"/>
      <c r="MO59" s="292"/>
      <c r="MP59" s="292"/>
      <c r="MQ59" s="292"/>
      <c r="MR59" s="292"/>
      <c r="MS59" s="292"/>
      <c r="MT59" s="292"/>
      <c r="MU59" s="292"/>
      <c r="MV59" s="292"/>
      <c r="MW59" s="292"/>
      <c r="MX59" s="292"/>
      <c r="MY59" s="292"/>
      <c r="MZ59" s="292"/>
      <c r="NA59" s="292"/>
      <c r="NB59" s="292"/>
      <c r="NC59" s="292"/>
      <c r="ND59" s="292"/>
      <c r="NE59" s="292"/>
      <c r="NF59" s="292"/>
      <c r="NG59" s="292"/>
      <c r="NH59" s="292"/>
      <c r="NI59" s="292"/>
      <c r="NJ59" s="292"/>
      <c r="NK59" s="292"/>
      <c r="NL59" s="292"/>
      <c r="NM59" s="292"/>
      <c r="NN59" s="292"/>
      <c r="NO59" s="292"/>
      <c r="NP59" s="292"/>
      <c r="NQ59" s="292"/>
      <c r="NR59" s="292"/>
      <c r="NS59" s="292"/>
      <c r="NT59" s="292"/>
      <c r="NU59" s="292"/>
      <c r="NV59" s="292"/>
      <c r="NW59" s="292"/>
      <c r="NX59" s="292"/>
      <c r="NY59" s="292"/>
      <c r="NZ59" s="292"/>
      <c r="OA59" s="292"/>
      <c r="OB59" s="292"/>
      <c r="OC59" s="292"/>
      <c r="OD59" s="292"/>
      <c r="OE59" s="292"/>
      <c r="OF59" s="292"/>
      <c r="OG59" s="292"/>
      <c r="OH59" s="292"/>
      <c r="OI59" s="292"/>
      <c r="OJ59" s="292"/>
      <c r="OK59" s="292"/>
      <c r="OL59" s="292"/>
      <c r="OM59" s="292"/>
      <c r="ON59" s="292"/>
      <c r="OO59" s="292"/>
      <c r="OP59" s="292"/>
      <c r="OQ59" s="292"/>
      <c r="OR59" s="292"/>
      <c r="OS59" s="292"/>
      <c r="OT59" s="292"/>
      <c r="OU59" s="292"/>
      <c r="OV59" s="292"/>
      <c r="OW59" s="292"/>
      <c r="OX59" s="292"/>
      <c r="OY59" s="292"/>
      <c r="OZ59" s="292"/>
      <c r="PA59" s="292"/>
      <c r="PB59" s="292"/>
      <c r="PC59" s="292"/>
      <c r="PD59" s="292"/>
      <c r="PE59" s="292"/>
      <c r="PF59" s="292"/>
      <c r="PG59" s="292"/>
      <c r="PH59" s="292"/>
      <c r="PI59" s="292"/>
      <c r="PJ59" s="292"/>
      <c r="PK59" s="292"/>
      <c r="PL59" s="292"/>
      <c r="PM59" s="292"/>
      <c r="PN59" s="292"/>
      <c r="PO59" s="292"/>
      <c r="PP59" s="292"/>
      <c r="PQ59" s="292"/>
      <c r="PR59" s="292"/>
      <c r="PS59" s="292"/>
      <c r="PT59" s="292"/>
      <c r="PU59" s="292"/>
      <c r="PV59" s="292"/>
      <c r="PW59" s="292"/>
      <c r="PX59" s="292"/>
      <c r="PY59" s="292"/>
      <c r="PZ59" s="292"/>
      <c r="QA59" s="292"/>
      <c r="QB59" s="292"/>
      <c r="QC59" s="292"/>
      <c r="QD59" s="292"/>
      <c r="QE59" s="292"/>
      <c r="QF59" s="292"/>
      <c r="QG59" s="292"/>
      <c r="QH59" s="292"/>
      <c r="QI59" s="292"/>
      <c r="QJ59" s="292"/>
      <c r="QK59" s="292"/>
      <c r="QL59" s="292"/>
      <c r="QM59" s="292"/>
      <c r="QN59" s="292"/>
      <c r="QO59" s="292"/>
      <c r="QP59" s="292"/>
      <c r="QQ59" s="292"/>
      <c r="QR59" s="292"/>
      <c r="QS59" s="292"/>
      <c r="QT59" s="292"/>
      <c r="QU59" s="292"/>
      <c r="QV59" s="292"/>
      <c r="QW59" s="292"/>
      <c r="QX59" s="292"/>
      <c r="QY59" s="292"/>
      <c r="QZ59" s="292"/>
      <c r="RA59" s="292"/>
      <c r="RB59" s="292"/>
      <c r="RC59" s="292"/>
      <c r="RD59" s="292"/>
      <c r="RE59" s="292"/>
      <c r="RF59" s="292"/>
      <c r="RG59" s="292"/>
      <c r="RH59" s="292"/>
      <c r="RI59" s="292"/>
      <c r="RJ59" s="292"/>
      <c r="RK59" s="292"/>
      <c r="RL59" s="292"/>
      <c r="RM59" s="292"/>
      <c r="RN59" s="292"/>
      <c r="RO59" s="292"/>
      <c r="RP59" s="292"/>
      <c r="RQ59" s="292"/>
      <c r="RR59" s="292"/>
      <c r="RS59" s="292"/>
      <c r="RT59" s="292"/>
      <c r="RU59" s="292"/>
      <c r="RV59" s="292"/>
      <c r="RW59" s="292"/>
      <c r="RX59" s="292"/>
      <c r="RY59" s="292"/>
      <c r="RZ59" s="292"/>
      <c r="SA59" s="292"/>
      <c r="SB59" s="292"/>
      <c r="SC59" s="292"/>
      <c r="SD59" s="292"/>
      <c r="SE59" s="292"/>
      <c r="SF59" s="292"/>
      <c r="SG59" s="292"/>
      <c r="SH59" s="292"/>
      <c r="SI59" s="292"/>
      <c r="SJ59" s="292"/>
      <c r="SK59" s="292"/>
      <c r="SL59" s="292"/>
      <c r="SM59" s="292"/>
      <c r="SN59" s="292"/>
      <c r="SO59" s="292"/>
      <c r="SP59" s="292"/>
      <c r="SQ59" s="292"/>
      <c r="SR59" s="292"/>
      <c r="SS59" s="292"/>
      <c r="ST59" s="292"/>
      <c r="SU59" s="292"/>
    </row>
    <row r="60" spans="1:515" s="478" customFormat="1" ht="13" customHeight="1" x14ac:dyDescent="0.25">
      <c r="A60" s="986"/>
      <c r="B60" s="984"/>
      <c r="C60" s="984"/>
      <c r="D60" s="962"/>
      <c r="E60" s="960"/>
      <c r="F60" s="976"/>
      <c r="G60" s="981"/>
      <c r="H60" s="957"/>
      <c r="I60" s="960"/>
      <c r="J60" s="981"/>
      <c r="K60" s="981"/>
      <c r="L60" s="957"/>
      <c r="M60" s="960"/>
      <c r="N60" s="985"/>
      <c r="O60" s="981"/>
      <c r="P60" s="957"/>
      <c r="Q60" s="960"/>
      <c r="R60" s="981"/>
      <c r="S60" s="981"/>
      <c r="T60" s="957"/>
      <c r="U60" s="957"/>
      <c r="V60" s="957"/>
      <c r="W60" s="981"/>
      <c r="X60" s="957"/>
      <c r="Y60" s="957"/>
      <c r="Z60" s="957"/>
      <c r="AA60" s="981"/>
      <c r="AB60" s="976"/>
      <c r="AC60" s="957"/>
      <c r="AD60" s="976"/>
      <c r="AE60" s="971"/>
      <c r="AF60" s="292"/>
      <c r="AG60" s="292"/>
      <c r="AH60" s="292"/>
      <c r="AI60" s="292"/>
      <c r="AJ60" s="292"/>
      <c r="AK60" s="292"/>
      <c r="AL60" s="292"/>
      <c r="AM60" s="292"/>
      <c r="AN60" s="292"/>
      <c r="AO60" s="292"/>
      <c r="AP60" s="292"/>
      <c r="AQ60" s="292"/>
      <c r="AR60" s="292"/>
      <c r="AS60" s="292"/>
      <c r="AT60" s="292"/>
      <c r="AU60" s="292"/>
      <c r="AV60" s="292"/>
      <c r="AW60" s="292"/>
      <c r="AX60" s="292"/>
      <c r="AY60" s="292"/>
      <c r="AZ60" s="292"/>
      <c r="BA60" s="292"/>
      <c r="BB60" s="292"/>
      <c r="BC60" s="292"/>
      <c r="BD60" s="292"/>
      <c r="BE60" s="292"/>
      <c r="BF60" s="292"/>
      <c r="BG60" s="292"/>
      <c r="BH60" s="292"/>
      <c r="BI60" s="292"/>
      <c r="BJ60" s="292"/>
      <c r="BK60" s="292"/>
      <c r="BL60" s="292"/>
      <c r="BM60" s="292"/>
      <c r="BN60" s="292"/>
      <c r="BO60" s="292"/>
      <c r="BP60" s="292"/>
      <c r="BQ60" s="292"/>
      <c r="BR60" s="292"/>
      <c r="BS60" s="292"/>
      <c r="BT60" s="292"/>
      <c r="BU60" s="292"/>
      <c r="BV60" s="292"/>
      <c r="BW60" s="292"/>
      <c r="BX60" s="292"/>
      <c r="BY60" s="292"/>
      <c r="BZ60" s="292"/>
      <c r="CA60" s="292"/>
      <c r="CB60" s="292"/>
      <c r="CC60" s="292"/>
      <c r="CD60" s="292"/>
      <c r="CE60" s="292"/>
      <c r="CF60" s="292"/>
      <c r="CG60" s="292"/>
      <c r="CH60" s="292"/>
      <c r="CI60" s="292"/>
      <c r="CJ60" s="292"/>
      <c r="CK60" s="292"/>
      <c r="CL60" s="292"/>
      <c r="CM60" s="292"/>
      <c r="CN60" s="292"/>
      <c r="CO60" s="292"/>
      <c r="CP60" s="292"/>
      <c r="CQ60" s="292"/>
      <c r="CR60" s="292"/>
      <c r="CS60" s="292"/>
      <c r="CT60" s="292"/>
      <c r="CU60" s="292"/>
      <c r="CV60" s="292"/>
      <c r="CW60" s="292"/>
      <c r="CX60" s="292"/>
      <c r="CY60" s="292"/>
      <c r="CZ60" s="292"/>
      <c r="DA60" s="292"/>
      <c r="DB60" s="292"/>
      <c r="DC60" s="292"/>
      <c r="DD60" s="292"/>
      <c r="DE60" s="292"/>
      <c r="DF60" s="292"/>
      <c r="DG60" s="292"/>
      <c r="DH60" s="292"/>
      <c r="DI60" s="292"/>
      <c r="DJ60" s="292"/>
      <c r="DK60" s="292"/>
      <c r="DL60" s="292"/>
      <c r="DM60" s="292"/>
      <c r="DN60" s="292"/>
      <c r="DO60" s="292"/>
      <c r="DP60" s="292"/>
      <c r="DQ60" s="292"/>
      <c r="DR60" s="292"/>
      <c r="DS60" s="292"/>
      <c r="DT60" s="292"/>
      <c r="DU60" s="292"/>
      <c r="DV60" s="292"/>
      <c r="DW60" s="292"/>
      <c r="DX60" s="292"/>
      <c r="DY60" s="292"/>
      <c r="DZ60" s="292"/>
      <c r="EA60" s="292"/>
      <c r="EB60" s="292"/>
      <c r="EC60" s="292"/>
      <c r="ED60" s="292"/>
      <c r="EE60" s="292"/>
      <c r="EF60" s="292"/>
      <c r="EG60" s="292"/>
      <c r="EH60" s="292"/>
      <c r="EI60" s="292"/>
      <c r="EJ60" s="292"/>
      <c r="EK60" s="292"/>
      <c r="EL60" s="292"/>
      <c r="EM60" s="292"/>
      <c r="EN60" s="292"/>
      <c r="EO60" s="292"/>
      <c r="EP60" s="292"/>
      <c r="EQ60" s="292"/>
      <c r="ER60" s="292"/>
      <c r="ES60" s="292"/>
      <c r="ET60" s="292"/>
      <c r="EU60" s="292"/>
      <c r="EV60" s="292"/>
      <c r="EW60" s="292"/>
      <c r="EX60" s="292"/>
      <c r="EY60" s="292"/>
      <c r="EZ60" s="292"/>
      <c r="FA60" s="292"/>
      <c r="FB60" s="292"/>
      <c r="FC60" s="292"/>
      <c r="FD60" s="292"/>
      <c r="FE60" s="292"/>
      <c r="FF60" s="292"/>
      <c r="FG60" s="292"/>
      <c r="FH60" s="292"/>
      <c r="FI60" s="292"/>
      <c r="FJ60" s="292"/>
      <c r="FK60" s="292"/>
      <c r="FL60" s="292"/>
      <c r="FM60" s="292"/>
      <c r="FN60" s="292"/>
      <c r="FO60" s="292"/>
      <c r="FP60" s="292"/>
      <c r="FQ60" s="292"/>
      <c r="FR60" s="292"/>
      <c r="FS60" s="292"/>
      <c r="FT60" s="292"/>
      <c r="FU60" s="292"/>
      <c r="FV60" s="292"/>
      <c r="FW60" s="292"/>
      <c r="FX60" s="292"/>
      <c r="FY60" s="292"/>
      <c r="FZ60" s="292"/>
      <c r="GA60" s="292"/>
      <c r="GB60" s="292"/>
      <c r="GC60" s="292"/>
      <c r="GD60" s="292"/>
      <c r="GE60" s="292"/>
      <c r="GF60" s="292"/>
      <c r="GG60" s="292"/>
      <c r="GH60" s="292"/>
      <c r="GI60" s="292"/>
      <c r="GJ60" s="292"/>
      <c r="GK60" s="292"/>
      <c r="GL60" s="292"/>
      <c r="GM60" s="292"/>
      <c r="GN60" s="292"/>
      <c r="GO60" s="292"/>
      <c r="GP60" s="292"/>
      <c r="GQ60" s="292"/>
      <c r="GR60" s="292"/>
      <c r="GS60" s="292"/>
      <c r="GT60" s="292"/>
      <c r="GU60" s="292"/>
      <c r="GV60" s="292"/>
      <c r="GW60" s="292"/>
      <c r="GX60" s="292"/>
      <c r="GY60" s="292"/>
      <c r="GZ60" s="292"/>
      <c r="HA60" s="292"/>
      <c r="HB60" s="292"/>
      <c r="HC60" s="292"/>
      <c r="HD60" s="292"/>
      <c r="HE60" s="292"/>
      <c r="HF60" s="292"/>
      <c r="HG60" s="292"/>
      <c r="HH60" s="292"/>
      <c r="HI60" s="292"/>
      <c r="HJ60" s="292"/>
      <c r="HK60" s="292"/>
      <c r="HL60" s="292"/>
      <c r="HM60" s="292"/>
      <c r="HN60" s="292"/>
      <c r="HO60" s="292"/>
      <c r="HP60" s="292"/>
      <c r="HQ60" s="292"/>
      <c r="HR60" s="292"/>
      <c r="HS60" s="292"/>
      <c r="HT60" s="292"/>
      <c r="HU60" s="292"/>
      <c r="HV60" s="292"/>
      <c r="HW60" s="292"/>
      <c r="HX60" s="292"/>
      <c r="HY60" s="292"/>
      <c r="HZ60" s="292"/>
      <c r="IA60" s="292"/>
      <c r="IB60" s="292"/>
      <c r="IC60" s="292"/>
      <c r="ID60" s="292"/>
      <c r="IE60" s="292"/>
      <c r="IF60" s="292"/>
      <c r="IG60" s="292"/>
      <c r="IH60" s="292"/>
      <c r="II60" s="292"/>
      <c r="IJ60" s="292"/>
      <c r="IK60" s="292"/>
      <c r="IL60" s="292"/>
      <c r="IM60" s="292"/>
      <c r="IN60" s="292"/>
      <c r="IO60" s="292"/>
      <c r="IP60" s="292"/>
      <c r="IQ60" s="292"/>
      <c r="IR60" s="292"/>
      <c r="IS60" s="292"/>
      <c r="IT60" s="292"/>
      <c r="IU60" s="292"/>
      <c r="IV60" s="292"/>
      <c r="IW60" s="292"/>
      <c r="IX60" s="292"/>
      <c r="IY60" s="292"/>
      <c r="IZ60" s="292"/>
      <c r="JA60" s="292"/>
      <c r="JB60" s="292"/>
      <c r="JC60" s="292"/>
      <c r="JD60" s="292"/>
      <c r="JE60" s="292"/>
      <c r="JF60" s="292"/>
      <c r="JG60" s="292"/>
      <c r="JH60" s="292"/>
      <c r="JI60" s="292"/>
      <c r="JJ60" s="292"/>
      <c r="JK60" s="292"/>
      <c r="JL60" s="292"/>
      <c r="JM60" s="292"/>
      <c r="JN60" s="292"/>
      <c r="JO60" s="292"/>
      <c r="JP60" s="292"/>
      <c r="JQ60" s="292"/>
      <c r="JR60" s="292"/>
      <c r="JS60" s="292"/>
      <c r="JT60" s="292"/>
      <c r="JU60" s="292"/>
      <c r="JV60" s="292"/>
      <c r="JW60" s="292"/>
      <c r="JX60" s="292"/>
      <c r="JY60" s="292"/>
      <c r="JZ60" s="292"/>
      <c r="KA60" s="292"/>
      <c r="KB60" s="292"/>
      <c r="KC60" s="292"/>
      <c r="KD60" s="292"/>
      <c r="KE60" s="292"/>
      <c r="KF60" s="292"/>
      <c r="KG60" s="292"/>
      <c r="KH60" s="292"/>
      <c r="KI60" s="292"/>
      <c r="KJ60" s="292"/>
      <c r="KK60" s="292"/>
      <c r="KL60" s="292"/>
      <c r="KM60" s="292"/>
      <c r="KN60" s="292"/>
      <c r="KO60" s="292"/>
      <c r="KP60" s="292"/>
      <c r="KQ60" s="292"/>
      <c r="KR60" s="292"/>
      <c r="KS60" s="292"/>
      <c r="KT60" s="292"/>
      <c r="KU60" s="292"/>
      <c r="KV60" s="292"/>
      <c r="KW60" s="292"/>
      <c r="KX60" s="292"/>
      <c r="KY60" s="292"/>
      <c r="KZ60" s="292"/>
      <c r="LA60" s="292"/>
      <c r="LB60" s="292"/>
      <c r="LC60" s="292"/>
      <c r="LD60" s="292"/>
      <c r="LE60" s="292"/>
      <c r="LF60" s="292"/>
      <c r="LG60" s="292"/>
      <c r="LH60" s="292"/>
      <c r="LI60" s="292"/>
      <c r="LJ60" s="292"/>
      <c r="LK60" s="292"/>
      <c r="LL60" s="292"/>
      <c r="LM60" s="292"/>
      <c r="LN60" s="292"/>
      <c r="LO60" s="292"/>
      <c r="LP60" s="292"/>
      <c r="LQ60" s="292"/>
      <c r="LR60" s="292"/>
      <c r="LS60" s="292"/>
      <c r="LT60" s="292"/>
      <c r="LU60" s="292"/>
      <c r="LV60" s="292"/>
      <c r="LW60" s="292"/>
      <c r="LX60" s="292"/>
      <c r="LY60" s="292"/>
      <c r="LZ60" s="292"/>
      <c r="MA60" s="292"/>
      <c r="MB60" s="292"/>
      <c r="MC60" s="292"/>
      <c r="MD60" s="292"/>
      <c r="ME60" s="292"/>
      <c r="MF60" s="292"/>
      <c r="MG60" s="292"/>
      <c r="MH60" s="292"/>
      <c r="MI60" s="292"/>
      <c r="MJ60" s="292"/>
      <c r="MK60" s="292"/>
      <c r="ML60" s="292"/>
      <c r="MM60" s="292"/>
      <c r="MN60" s="292"/>
      <c r="MO60" s="292"/>
      <c r="MP60" s="292"/>
      <c r="MQ60" s="292"/>
      <c r="MR60" s="292"/>
      <c r="MS60" s="292"/>
      <c r="MT60" s="292"/>
      <c r="MU60" s="292"/>
      <c r="MV60" s="292"/>
      <c r="MW60" s="292"/>
      <c r="MX60" s="292"/>
      <c r="MY60" s="292"/>
      <c r="MZ60" s="292"/>
      <c r="NA60" s="292"/>
      <c r="NB60" s="292"/>
      <c r="NC60" s="292"/>
      <c r="ND60" s="292"/>
      <c r="NE60" s="292"/>
      <c r="NF60" s="292"/>
      <c r="NG60" s="292"/>
      <c r="NH60" s="292"/>
      <c r="NI60" s="292"/>
      <c r="NJ60" s="292"/>
      <c r="NK60" s="292"/>
      <c r="NL60" s="292"/>
      <c r="NM60" s="292"/>
      <c r="NN60" s="292"/>
      <c r="NO60" s="292"/>
      <c r="NP60" s="292"/>
      <c r="NQ60" s="292"/>
      <c r="NR60" s="292"/>
      <c r="NS60" s="292"/>
      <c r="NT60" s="292"/>
      <c r="NU60" s="292"/>
      <c r="NV60" s="292"/>
      <c r="NW60" s="292"/>
      <c r="NX60" s="292"/>
      <c r="NY60" s="292"/>
      <c r="NZ60" s="292"/>
      <c r="OA60" s="292"/>
      <c r="OB60" s="292"/>
      <c r="OC60" s="292"/>
      <c r="OD60" s="292"/>
      <c r="OE60" s="292"/>
      <c r="OF60" s="292"/>
      <c r="OG60" s="292"/>
      <c r="OH60" s="292"/>
      <c r="OI60" s="292"/>
      <c r="OJ60" s="292"/>
      <c r="OK60" s="292"/>
      <c r="OL60" s="292"/>
      <c r="OM60" s="292"/>
      <c r="ON60" s="292"/>
      <c r="OO60" s="292"/>
      <c r="OP60" s="292"/>
      <c r="OQ60" s="292"/>
      <c r="OR60" s="292"/>
      <c r="OS60" s="292"/>
      <c r="OT60" s="292"/>
      <c r="OU60" s="292"/>
      <c r="OV60" s="292"/>
      <c r="OW60" s="292"/>
      <c r="OX60" s="292"/>
      <c r="OY60" s="292"/>
      <c r="OZ60" s="292"/>
      <c r="PA60" s="292"/>
      <c r="PB60" s="292"/>
      <c r="PC60" s="292"/>
      <c r="PD60" s="292"/>
      <c r="PE60" s="292"/>
      <c r="PF60" s="292"/>
      <c r="PG60" s="292"/>
      <c r="PH60" s="292"/>
      <c r="PI60" s="292"/>
      <c r="PJ60" s="292"/>
      <c r="PK60" s="292"/>
      <c r="PL60" s="292"/>
      <c r="PM60" s="292"/>
      <c r="PN60" s="292"/>
      <c r="PO60" s="292"/>
      <c r="PP60" s="292"/>
      <c r="PQ60" s="292"/>
      <c r="PR60" s="292"/>
      <c r="PS60" s="292"/>
      <c r="PT60" s="292"/>
      <c r="PU60" s="292"/>
      <c r="PV60" s="292"/>
      <c r="PW60" s="292"/>
      <c r="PX60" s="292"/>
      <c r="PY60" s="292"/>
      <c r="PZ60" s="292"/>
      <c r="QA60" s="292"/>
      <c r="QB60" s="292"/>
      <c r="QC60" s="292"/>
      <c r="QD60" s="292"/>
      <c r="QE60" s="292"/>
      <c r="QF60" s="292"/>
      <c r="QG60" s="292"/>
      <c r="QH60" s="292"/>
      <c r="QI60" s="292"/>
      <c r="QJ60" s="292"/>
      <c r="QK60" s="292"/>
      <c r="QL60" s="292"/>
      <c r="QM60" s="292"/>
      <c r="QN60" s="292"/>
      <c r="QO60" s="292"/>
      <c r="QP60" s="292"/>
      <c r="QQ60" s="292"/>
      <c r="QR60" s="292"/>
      <c r="QS60" s="292"/>
      <c r="QT60" s="292"/>
      <c r="QU60" s="292"/>
      <c r="QV60" s="292"/>
      <c r="QW60" s="292"/>
      <c r="QX60" s="292"/>
      <c r="QY60" s="292"/>
      <c r="QZ60" s="292"/>
      <c r="RA60" s="292"/>
      <c r="RB60" s="292"/>
      <c r="RC60" s="292"/>
      <c r="RD60" s="292"/>
      <c r="RE60" s="292"/>
      <c r="RF60" s="292"/>
      <c r="RG60" s="292"/>
      <c r="RH60" s="292"/>
      <c r="RI60" s="292"/>
      <c r="RJ60" s="292"/>
      <c r="RK60" s="292"/>
      <c r="RL60" s="292"/>
      <c r="RM60" s="292"/>
      <c r="RN60" s="292"/>
      <c r="RO60" s="292"/>
      <c r="RP60" s="292"/>
      <c r="RQ60" s="292"/>
      <c r="RR60" s="292"/>
      <c r="RS60" s="292"/>
      <c r="RT60" s="292"/>
      <c r="RU60" s="292"/>
      <c r="RV60" s="292"/>
      <c r="RW60" s="292"/>
      <c r="RX60" s="292"/>
      <c r="RY60" s="292"/>
      <c r="RZ60" s="292"/>
      <c r="SA60" s="292"/>
      <c r="SB60" s="292"/>
      <c r="SC60" s="292"/>
      <c r="SD60" s="292"/>
      <c r="SE60" s="292"/>
      <c r="SF60" s="292"/>
      <c r="SG60" s="292"/>
      <c r="SH60" s="292"/>
      <c r="SI60" s="292"/>
      <c r="SJ60" s="292"/>
      <c r="SK60" s="292"/>
      <c r="SL60" s="292"/>
      <c r="SM60" s="292"/>
      <c r="SN60" s="292"/>
      <c r="SO60" s="292"/>
      <c r="SP60" s="292"/>
      <c r="SQ60" s="292"/>
      <c r="SR60" s="292"/>
      <c r="SS60" s="292"/>
      <c r="ST60" s="292"/>
      <c r="SU60" s="292"/>
    </row>
    <row r="61" spans="1:515" s="478" customFormat="1" ht="13" customHeight="1" x14ac:dyDescent="0.25">
      <c r="A61" s="986"/>
      <c r="B61" s="984"/>
      <c r="C61" s="984"/>
      <c r="D61" s="962"/>
      <c r="E61" s="960"/>
      <c r="F61" s="976"/>
      <c r="G61" s="981"/>
      <c r="H61" s="957"/>
      <c r="I61" s="960"/>
      <c r="J61" s="981"/>
      <c r="K61" s="981"/>
      <c r="L61" s="957"/>
      <c r="M61" s="960"/>
      <c r="N61" s="985"/>
      <c r="O61" s="981"/>
      <c r="P61" s="957"/>
      <c r="Q61" s="960"/>
      <c r="R61" s="981"/>
      <c r="S61" s="981"/>
      <c r="T61" s="957"/>
      <c r="U61" s="957"/>
      <c r="V61" s="957"/>
      <c r="W61" s="981"/>
      <c r="X61" s="957"/>
      <c r="Y61" s="957"/>
      <c r="Z61" s="957"/>
      <c r="AA61" s="981"/>
      <c r="AB61" s="976"/>
      <c r="AC61" s="957"/>
      <c r="AD61" s="976"/>
      <c r="AE61" s="971"/>
      <c r="AF61" s="292"/>
      <c r="AG61" s="292"/>
      <c r="AH61" s="292"/>
      <c r="AI61" s="292"/>
      <c r="AJ61" s="292"/>
      <c r="AK61" s="292"/>
      <c r="AL61" s="292"/>
      <c r="AM61" s="292"/>
      <c r="AN61" s="292"/>
      <c r="AO61" s="292"/>
      <c r="AP61" s="292"/>
      <c r="AQ61" s="292"/>
      <c r="AR61" s="292"/>
      <c r="AS61" s="292"/>
      <c r="AT61" s="292"/>
      <c r="AU61" s="292"/>
      <c r="AV61" s="292"/>
      <c r="AW61" s="292"/>
      <c r="AX61" s="292"/>
      <c r="AY61" s="292"/>
      <c r="AZ61" s="292"/>
      <c r="BA61" s="292"/>
      <c r="BB61" s="292"/>
      <c r="BC61" s="292"/>
      <c r="BD61" s="292"/>
      <c r="BE61" s="292"/>
      <c r="BF61" s="292"/>
      <c r="BG61" s="292"/>
      <c r="BH61" s="292"/>
      <c r="BI61" s="292"/>
      <c r="BJ61" s="292"/>
      <c r="BK61" s="292"/>
      <c r="BL61" s="292"/>
      <c r="BM61" s="292"/>
      <c r="BN61" s="292"/>
      <c r="BO61" s="292"/>
      <c r="BP61" s="292"/>
      <c r="BQ61" s="292"/>
      <c r="BR61" s="292"/>
      <c r="BS61" s="292"/>
      <c r="BT61" s="292"/>
      <c r="BU61" s="292"/>
      <c r="BV61" s="292"/>
      <c r="BW61" s="292"/>
      <c r="BX61" s="292"/>
      <c r="BY61" s="292"/>
      <c r="BZ61" s="292"/>
      <c r="CA61" s="292"/>
      <c r="CB61" s="292"/>
      <c r="CC61" s="292"/>
      <c r="CD61" s="292"/>
      <c r="CE61" s="292"/>
      <c r="CF61" s="292"/>
      <c r="CG61" s="292"/>
      <c r="CH61" s="292"/>
      <c r="CI61" s="292"/>
      <c r="CJ61" s="292"/>
      <c r="CK61" s="292"/>
      <c r="CL61" s="292"/>
      <c r="CM61" s="292"/>
      <c r="CN61" s="292"/>
      <c r="CO61" s="292"/>
      <c r="CP61" s="292"/>
      <c r="CQ61" s="292"/>
      <c r="CR61" s="292"/>
      <c r="CS61" s="292"/>
      <c r="CT61" s="292"/>
      <c r="CU61" s="292"/>
      <c r="CV61" s="292"/>
      <c r="CW61" s="292"/>
      <c r="CX61" s="292"/>
      <c r="CY61" s="292"/>
      <c r="CZ61" s="292"/>
      <c r="DA61" s="292"/>
      <c r="DB61" s="292"/>
      <c r="DC61" s="292"/>
      <c r="DD61" s="292"/>
      <c r="DE61" s="292"/>
      <c r="DF61" s="292"/>
      <c r="DG61" s="292"/>
      <c r="DH61" s="292"/>
      <c r="DI61" s="292"/>
      <c r="DJ61" s="292"/>
      <c r="DK61" s="292"/>
      <c r="DL61" s="292"/>
      <c r="DM61" s="292"/>
      <c r="DN61" s="292"/>
      <c r="DO61" s="292"/>
      <c r="DP61" s="292"/>
      <c r="DQ61" s="292"/>
      <c r="DR61" s="292"/>
      <c r="DS61" s="292"/>
      <c r="DT61" s="292"/>
      <c r="DU61" s="292"/>
      <c r="DV61" s="292"/>
      <c r="DW61" s="292"/>
      <c r="DX61" s="292"/>
      <c r="DY61" s="292"/>
      <c r="DZ61" s="292"/>
      <c r="EA61" s="292"/>
      <c r="EB61" s="292"/>
      <c r="EC61" s="292"/>
      <c r="ED61" s="292"/>
      <c r="EE61" s="292"/>
      <c r="EF61" s="292"/>
      <c r="EG61" s="292"/>
      <c r="EH61" s="292"/>
      <c r="EI61" s="292"/>
      <c r="EJ61" s="292"/>
      <c r="EK61" s="292"/>
      <c r="EL61" s="292"/>
      <c r="EM61" s="292"/>
      <c r="EN61" s="292"/>
      <c r="EO61" s="292"/>
      <c r="EP61" s="292"/>
      <c r="EQ61" s="292"/>
      <c r="ER61" s="292"/>
      <c r="ES61" s="292"/>
      <c r="ET61" s="292"/>
      <c r="EU61" s="292"/>
      <c r="EV61" s="292"/>
      <c r="EW61" s="292"/>
      <c r="EX61" s="292"/>
      <c r="EY61" s="292"/>
      <c r="EZ61" s="292"/>
      <c r="FA61" s="292"/>
      <c r="FB61" s="292"/>
      <c r="FC61" s="292"/>
      <c r="FD61" s="292"/>
      <c r="FE61" s="292"/>
      <c r="FF61" s="292"/>
      <c r="FG61" s="292"/>
      <c r="FH61" s="292"/>
      <c r="FI61" s="292"/>
      <c r="FJ61" s="292"/>
      <c r="FK61" s="292"/>
      <c r="FL61" s="292"/>
      <c r="FM61" s="292"/>
      <c r="FN61" s="292"/>
      <c r="FO61" s="292"/>
      <c r="FP61" s="292"/>
      <c r="FQ61" s="292"/>
      <c r="FR61" s="292"/>
      <c r="FS61" s="292"/>
      <c r="FT61" s="292"/>
      <c r="FU61" s="292"/>
      <c r="FV61" s="292"/>
      <c r="FW61" s="292"/>
      <c r="FX61" s="292"/>
      <c r="FY61" s="292"/>
      <c r="FZ61" s="292"/>
      <c r="GA61" s="292"/>
      <c r="GB61" s="292"/>
      <c r="GC61" s="292"/>
      <c r="GD61" s="292"/>
      <c r="GE61" s="292"/>
      <c r="GF61" s="292"/>
      <c r="GG61" s="292"/>
      <c r="GH61" s="292"/>
      <c r="GI61" s="292"/>
      <c r="GJ61" s="292"/>
      <c r="GK61" s="292"/>
      <c r="GL61" s="292"/>
      <c r="GM61" s="292"/>
      <c r="GN61" s="292"/>
      <c r="GO61" s="292"/>
      <c r="GP61" s="292"/>
      <c r="GQ61" s="292"/>
      <c r="GR61" s="292"/>
      <c r="GS61" s="292"/>
      <c r="GT61" s="292"/>
      <c r="GU61" s="292"/>
      <c r="GV61" s="292"/>
      <c r="GW61" s="292"/>
      <c r="GX61" s="292"/>
      <c r="GY61" s="292"/>
      <c r="GZ61" s="292"/>
      <c r="HA61" s="292"/>
      <c r="HB61" s="292"/>
      <c r="HC61" s="292"/>
      <c r="HD61" s="292"/>
      <c r="HE61" s="292"/>
      <c r="HF61" s="292"/>
      <c r="HG61" s="292"/>
      <c r="HH61" s="292"/>
      <c r="HI61" s="292"/>
      <c r="HJ61" s="292"/>
      <c r="HK61" s="292"/>
      <c r="HL61" s="292"/>
      <c r="HM61" s="292"/>
      <c r="HN61" s="292"/>
      <c r="HO61" s="292"/>
      <c r="HP61" s="292"/>
      <c r="HQ61" s="292"/>
      <c r="HR61" s="292"/>
      <c r="HS61" s="292"/>
      <c r="HT61" s="292"/>
      <c r="HU61" s="292"/>
      <c r="HV61" s="292"/>
      <c r="HW61" s="292"/>
      <c r="HX61" s="292"/>
      <c r="HY61" s="292"/>
      <c r="HZ61" s="292"/>
      <c r="IA61" s="292"/>
      <c r="IB61" s="292"/>
      <c r="IC61" s="292"/>
      <c r="ID61" s="292"/>
      <c r="IE61" s="292"/>
      <c r="IF61" s="292"/>
      <c r="IG61" s="292"/>
      <c r="IH61" s="292"/>
      <c r="II61" s="292"/>
      <c r="IJ61" s="292"/>
      <c r="IK61" s="292"/>
      <c r="IL61" s="292"/>
      <c r="IM61" s="292"/>
      <c r="IN61" s="292"/>
      <c r="IO61" s="292"/>
      <c r="IP61" s="292"/>
      <c r="IQ61" s="292"/>
      <c r="IR61" s="292"/>
      <c r="IS61" s="292"/>
      <c r="IT61" s="292"/>
      <c r="IU61" s="292"/>
      <c r="IV61" s="292"/>
      <c r="IW61" s="292"/>
      <c r="IX61" s="292"/>
      <c r="IY61" s="292"/>
      <c r="IZ61" s="292"/>
      <c r="JA61" s="292"/>
      <c r="JB61" s="292"/>
      <c r="JC61" s="292"/>
      <c r="JD61" s="292"/>
      <c r="JE61" s="292"/>
      <c r="JF61" s="292"/>
      <c r="JG61" s="292"/>
      <c r="JH61" s="292"/>
      <c r="JI61" s="292"/>
      <c r="JJ61" s="292"/>
      <c r="JK61" s="292"/>
      <c r="JL61" s="292"/>
      <c r="JM61" s="292"/>
      <c r="JN61" s="292"/>
      <c r="JO61" s="292"/>
      <c r="JP61" s="292"/>
      <c r="JQ61" s="292"/>
      <c r="JR61" s="292"/>
      <c r="JS61" s="292"/>
      <c r="JT61" s="292"/>
      <c r="JU61" s="292"/>
      <c r="JV61" s="292"/>
      <c r="JW61" s="292"/>
      <c r="JX61" s="292"/>
      <c r="JY61" s="292"/>
      <c r="JZ61" s="292"/>
      <c r="KA61" s="292"/>
      <c r="KB61" s="292"/>
      <c r="KC61" s="292"/>
      <c r="KD61" s="292"/>
      <c r="KE61" s="292"/>
      <c r="KF61" s="292"/>
      <c r="KG61" s="292"/>
      <c r="KH61" s="292"/>
      <c r="KI61" s="292"/>
      <c r="KJ61" s="292"/>
      <c r="KK61" s="292"/>
      <c r="KL61" s="292"/>
      <c r="KM61" s="292"/>
      <c r="KN61" s="292"/>
      <c r="KO61" s="292"/>
      <c r="KP61" s="292"/>
      <c r="KQ61" s="292"/>
      <c r="KR61" s="292"/>
      <c r="KS61" s="292"/>
      <c r="KT61" s="292"/>
      <c r="KU61" s="292"/>
      <c r="KV61" s="292"/>
      <c r="KW61" s="292"/>
      <c r="KX61" s="292"/>
      <c r="KY61" s="292"/>
      <c r="KZ61" s="292"/>
      <c r="LA61" s="292"/>
      <c r="LB61" s="292"/>
      <c r="LC61" s="292"/>
      <c r="LD61" s="292"/>
      <c r="LE61" s="292"/>
      <c r="LF61" s="292"/>
      <c r="LG61" s="292"/>
      <c r="LH61" s="292"/>
      <c r="LI61" s="292"/>
      <c r="LJ61" s="292"/>
      <c r="LK61" s="292"/>
      <c r="LL61" s="292"/>
      <c r="LM61" s="292"/>
      <c r="LN61" s="292"/>
      <c r="LO61" s="292"/>
      <c r="LP61" s="292"/>
      <c r="LQ61" s="292"/>
      <c r="LR61" s="292"/>
      <c r="LS61" s="292"/>
      <c r="LT61" s="292"/>
      <c r="LU61" s="292"/>
      <c r="LV61" s="292"/>
      <c r="LW61" s="292"/>
      <c r="LX61" s="292"/>
      <c r="LY61" s="292"/>
      <c r="LZ61" s="292"/>
      <c r="MA61" s="292"/>
      <c r="MB61" s="292"/>
      <c r="MC61" s="292"/>
      <c r="MD61" s="292"/>
      <c r="ME61" s="292"/>
      <c r="MF61" s="292"/>
      <c r="MG61" s="292"/>
      <c r="MH61" s="292"/>
      <c r="MI61" s="292"/>
      <c r="MJ61" s="292"/>
      <c r="MK61" s="292"/>
      <c r="ML61" s="292"/>
      <c r="MM61" s="292"/>
      <c r="MN61" s="292"/>
      <c r="MO61" s="292"/>
      <c r="MP61" s="292"/>
      <c r="MQ61" s="292"/>
      <c r="MR61" s="292"/>
      <c r="MS61" s="292"/>
      <c r="MT61" s="292"/>
      <c r="MU61" s="292"/>
      <c r="MV61" s="292"/>
      <c r="MW61" s="292"/>
      <c r="MX61" s="292"/>
      <c r="MY61" s="292"/>
      <c r="MZ61" s="292"/>
      <c r="NA61" s="292"/>
      <c r="NB61" s="292"/>
      <c r="NC61" s="292"/>
      <c r="ND61" s="292"/>
      <c r="NE61" s="292"/>
      <c r="NF61" s="292"/>
      <c r="NG61" s="292"/>
      <c r="NH61" s="292"/>
      <c r="NI61" s="292"/>
      <c r="NJ61" s="292"/>
      <c r="NK61" s="292"/>
      <c r="NL61" s="292"/>
      <c r="NM61" s="292"/>
      <c r="NN61" s="292"/>
      <c r="NO61" s="292"/>
      <c r="NP61" s="292"/>
      <c r="NQ61" s="292"/>
      <c r="NR61" s="292"/>
      <c r="NS61" s="292"/>
      <c r="NT61" s="292"/>
      <c r="NU61" s="292"/>
      <c r="NV61" s="292"/>
      <c r="NW61" s="292"/>
      <c r="NX61" s="292"/>
      <c r="NY61" s="292"/>
      <c r="NZ61" s="292"/>
      <c r="OA61" s="292"/>
      <c r="OB61" s="292"/>
      <c r="OC61" s="292"/>
      <c r="OD61" s="292"/>
      <c r="OE61" s="292"/>
      <c r="OF61" s="292"/>
      <c r="OG61" s="292"/>
      <c r="OH61" s="292"/>
      <c r="OI61" s="292"/>
      <c r="OJ61" s="292"/>
      <c r="OK61" s="292"/>
      <c r="OL61" s="292"/>
      <c r="OM61" s="292"/>
      <c r="ON61" s="292"/>
      <c r="OO61" s="292"/>
      <c r="OP61" s="292"/>
      <c r="OQ61" s="292"/>
      <c r="OR61" s="292"/>
      <c r="OS61" s="292"/>
      <c r="OT61" s="292"/>
      <c r="OU61" s="292"/>
      <c r="OV61" s="292"/>
      <c r="OW61" s="292"/>
      <c r="OX61" s="292"/>
      <c r="OY61" s="292"/>
      <c r="OZ61" s="292"/>
      <c r="PA61" s="292"/>
      <c r="PB61" s="292"/>
      <c r="PC61" s="292"/>
      <c r="PD61" s="292"/>
      <c r="PE61" s="292"/>
      <c r="PF61" s="292"/>
      <c r="PG61" s="292"/>
      <c r="PH61" s="292"/>
      <c r="PI61" s="292"/>
      <c r="PJ61" s="292"/>
      <c r="PK61" s="292"/>
      <c r="PL61" s="292"/>
      <c r="PM61" s="292"/>
      <c r="PN61" s="292"/>
      <c r="PO61" s="292"/>
      <c r="PP61" s="292"/>
      <c r="PQ61" s="292"/>
      <c r="PR61" s="292"/>
      <c r="PS61" s="292"/>
      <c r="PT61" s="292"/>
      <c r="PU61" s="292"/>
      <c r="PV61" s="292"/>
      <c r="PW61" s="292"/>
      <c r="PX61" s="292"/>
      <c r="PY61" s="292"/>
      <c r="PZ61" s="292"/>
      <c r="QA61" s="292"/>
      <c r="QB61" s="292"/>
      <c r="QC61" s="292"/>
      <c r="QD61" s="292"/>
      <c r="QE61" s="292"/>
      <c r="QF61" s="292"/>
      <c r="QG61" s="292"/>
      <c r="QH61" s="292"/>
      <c r="QI61" s="292"/>
      <c r="QJ61" s="292"/>
      <c r="QK61" s="292"/>
      <c r="QL61" s="292"/>
      <c r="QM61" s="292"/>
      <c r="QN61" s="292"/>
      <c r="QO61" s="292"/>
      <c r="QP61" s="292"/>
      <c r="QQ61" s="292"/>
      <c r="QR61" s="292"/>
      <c r="QS61" s="292"/>
      <c r="QT61" s="292"/>
      <c r="QU61" s="292"/>
      <c r="QV61" s="292"/>
      <c r="QW61" s="292"/>
      <c r="QX61" s="292"/>
      <c r="QY61" s="292"/>
      <c r="QZ61" s="292"/>
      <c r="RA61" s="292"/>
      <c r="RB61" s="292"/>
      <c r="RC61" s="292"/>
      <c r="RD61" s="292"/>
      <c r="RE61" s="292"/>
      <c r="RF61" s="292"/>
      <c r="RG61" s="292"/>
      <c r="RH61" s="292"/>
      <c r="RI61" s="292"/>
      <c r="RJ61" s="292"/>
      <c r="RK61" s="292"/>
      <c r="RL61" s="292"/>
      <c r="RM61" s="292"/>
      <c r="RN61" s="292"/>
      <c r="RO61" s="292"/>
      <c r="RP61" s="292"/>
      <c r="RQ61" s="292"/>
      <c r="RR61" s="292"/>
      <c r="RS61" s="292"/>
      <c r="RT61" s="292"/>
      <c r="RU61" s="292"/>
      <c r="RV61" s="292"/>
      <c r="RW61" s="292"/>
      <c r="RX61" s="292"/>
      <c r="RY61" s="292"/>
      <c r="RZ61" s="292"/>
      <c r="SA61" s="292"/>
      <c r="SB61" s="292"/>
      <c r="SC61" s="292"/>
      <c r="SD61" s="292"/>
      <c r="SE61" s="292"/>
      <c r="SF61" s="292"/>
      <c r="SG61" s="292"/>
      <c r="SH61" s="292"/>
      <c r="SI61" s="292"/>
      <c r="SJ61" s="292"/>
      <c r="SK61" s="292"/>
      <c r="SL61" s="292"/>
      <c r="SM61" s="292"/>
      <c r="SN61" s="292"/>
      <c r="SO61" s="292"/>
      <c r="SP61" s="292"/>
      <c r="SQ61" s="292"/>
      <c r="SR61" s="292"/>
      <c r="SS61" s="292"/>
      <c r="ST61" s="292"/>
      <c r="SU61" s="292"/>
    </row>
    <row r="62" spans="1:515" s="478" customFormat="1" ht="28.5" customHeight="1" x14ac:dyDescent="0.25">
      <c r="A62" s="986"/>
      <c r="B62" s="984"/>
      <c r="C62" s="984"/>
      <c r="D62" s="962"/>
      <c r="E62" s="1294" t="s">
        <v>367</v>
      </c>
      <c r="F62" s="1294"/>
      <c r="G62" s="1294"/>
      <c r="H62" s="957"/>
      <c r="I62" s="1294" t="s">
        <v>367</v>
      </c>
      <c r="J62" s="1294"/>
      <c r="K62" s="1294"/>
      <c r="L62" s="957"/>
      <c r="M62" s="1294" t="s">
        <v>367</v>
      </c>
      <c r="N62" s="1294"/>
      <c r="O62" s="1294"/>
      <c r="P62" s="957"/>
      <c r="Q62" s="1294" t="s">
        <v>367</v>
      </c>
      <c r="R62" s="1294"/>
      <c r="S62" s="1294"/>
      <c r="T62" s="957"/>
      <c r="U62" s="1294" t="s">
        <v>367</v>
      </c>
      <c r="V62" s="1294"/>
      <c r="W62" s="1294"/>
      <c r="X62" s="957"/>
      <c r="Y62" s="1294" t="s">
        <v>367</v>
      </c>
      <c r="Z62" s="1294"/>
      <c r="AA62" s="1294"/>
      <c r="AB62" s="976"/>
      <c r="AC62" s="957"/>
      <c r="AD62" s="1181" t="s">
        <v>367</v>
      </c>
      <c r="AE62" s="971"/>
      <c r="AF62" s="292"/>
      <c r="AG62" s="292"/>
      <c r="AH62" s="292"/>
      <c r="AI62" s="292"/>
      <c r="AJ62" s="292"/>
      <c r="AK62" s="292"/>
      <c r="AL62" s="292"/>
      <c r="AM62" s="292"/>
      <c r="AN62" s="292"/>
      <c r="AO62" s="292"/>
      <c r="AP62" s="292"/>
      <c r="AQ62" s="292"/>
      <c r="AR62" s="292"/>
      <c r="AS62" s="292"/>
      <c r="AT62" s="292"/>
      <c r="AU62" s="292"/>
      <c r="AV62" s="292"/>
      <c r="AW62" s="292"/>
      <c r="AX62" s="292"/>
      <c r="AY62" s="292"/>
      <c r="AZ62" s="292"/>
      <c r="BA62" s="292"/>
      <c r="BB62" s="292"/>
      <c r="BC62" s="292"/>
      <c r="BD62" s="292"/>
      <c r="BE62" s="292"/>
      <c r="BF62" s="292"/>
      <c r="BG62" s="292"/>
      <c r="BH62" s="292"/>
      <c r="BI62" s="292"/>
      <c r="BJ62" s="292"/>
      <c r="BK62" s="292"/>
      <c r="BL62" s="292"/>
      <c r="BM62" s="292"/>
      <c r="BN62" s="292"/>
      <c r="BO62" s="292"/>
      <c r="BP62" s="292"/>
      <c r="BQ62" s="292"/>
      <c r="BR62" s="292"/>
      <c r="BS62" s="292"/>
      <c r="BT62" s="292"/>
      <c r="BU62" s="292"/>
      <c r="BV62" s="292"/>
      <c r="BW62" s="292"/>
      <c r="BX62" s="292"/>
      <c r="BY62" s="292"/>
      <c r="BZ62" s="292"/>
      <c r="CA62" s="292"/>
      <c r="CB62" s="292"/>
      <c r="CC62" s="292"/>
      <c r="CD62" s="292"/>
      <c r="CE62" s="292"/>
      <c r="CF62" s="292"/>
      <c r="CG62" s="292"/>
      <c r="CH62" s="292"/>
      <c r="CI62" s="292"/>
      <c r="CJ62" s="292"/>
      <c r="CK62" s="292"/>
      <c r="CL62" s="292"/>
      <c r="CM62" s="292"/>
      <c r="CN62" s="292"/>
      <c r="CO62" s="292"/>
      <c r="CP62" s="292"/>
      <c r="CQ62" s="292"/>
      <c r="CR62" s="292"/>
      <c r="CS62" s="292"/>
      <c r="CT62" s="292"/>
      <c r="CU62" s="292"/>
      <c r="CV62" s="292"/>
      <c r="CW62" s="292"/>
      <c r="CX62" s="292"/>
      <c r="CY62" s="292"/>
      <c r="CZ62" s="292"/>
      <c r="DA62" s="292"/>
      <c r="DB62" s="292"/>
      <c r="DC62" s="292"/>
      <c r="DD62" s="292"/>
      <c r="DE62" s="292"/>
      <c r="DF62" s="292"/>
      <c r="DG62" s="292"/>
      <c r="DH62" s="292"/>
      <c r="DI62" s="292"/>
      <c r="DJ62" s="292"/>
      <c r="DK62" s="292"/>
      <c r="DL62" s="292"/>
      <c r="DM62" s="292"/>
      <c r="DN62" s="292"/>
      <c r="DO62" s="292"/>
      <c r="DP62" s="292"/>
      <c r="DQ62" s="292"/>
      <c r="DR62" s="292"/>
      <c r="DS62" s="292"/>
      <c r="DT62" s="292"/>
      <c r="DU62" s="292"/>
      <c r="DV62" s="292"/>
      <c r="DW62" s="292"/>
      <c r="DX62" s="292"/>
      <c r="DY62" s="292"/>
      <c r="DZ62" s="292"/>
      <c r="EA62" s="292"/>
      <c r="EB62" s="292"/>
      <c r="EC62" s="292"/>
      <c r="ED62" s="292"/>
      <c r="EE62" s="292"/>
      <c r="EF62" s="292"/>
      <c r="EG62" s="292"/>
      <c r="EH62" s="292"/>
      <c r="EI62" s="292"/>
      <c r="EJ62" s="292"/>
      <c r="EK62" s="292"/>
      <c r="EL62" s="292"/>
      <c r="EM62" s="292"/>
      <c r="EN62" s="292"/>
      <c r="EO62" s="292"/>
      <c r="EP62" s="292"/>
      <c r="EQ62" s="292"/>
      <c r="ER62" s="292"/>
      <c r="ES62" s="292"/>
      <c r="ET62" s="292"/>
      <c r="EU62" s="292"/>
      <c r="EV62" s="292"/>
      <c r="EW62" s="292"/>
      <c r="EX62" s="292"/>
      <c r="EY62" s="292"/>
      <c r="EZ62" s="292"/>
      <c r="FA62" s="292"/>
      <c r="FB62" s="292"/>
      <c r="FC62" s="292"/>
      <c r="FD62" s="292"/>
      <c r="FE62" s="292"/>
      <c r="FF62" s="292"/>
      <c r="FG62" s="292"/>
      <c r="FH62" s="292"/>
      <c r="FI62" s="292"/>
      <c r="FJ62" s="292"/>
      <c r="FK62" s="292"/>
      <c r="FL62" s="292"/>
      <c r="FM62" s="292"/>
      <c r="FN62" s="292"/>
      <c r="FO62" s="292"/>
      <c r="FP62" s="292"/>
      <c r="FQ62" s="292"/>
      <c r="FR62" s="292"/>
      <c r="FS62" s="292"/>
      <c r="FT62" s="292"/>
      <c r="FU62" s="292"/>
      <c r="FV62" s="292"/>
      <c r="FW62" s="292"/>
      <c r="FX62" s="292"/>
      <c r="FY62" s="292"/>
      <c r="FZ62" s="292"/>
      <c r="GA62" s="292"/>
      <c r="GB62" s="292"/>
      <c r="GC62" s="292"/>
      <c r="GD62" s="292"/>
      <c r="GE62" s="292"/>
      <c r="GF62" s="292"/>
      <c r="GG62" s="292"/>
      <c r="GH62" s="292"/>
      <c r="GI62" s="292"/>
      <c r="GJ62" s="292"/>
      <c r="GK62" s="292"/>
      <c r="GL62" s="292"/>
      <c r="GM62" s="292"/>
      <c r="GN62" s="292"/>
      <c r="GO62" s="292"/>
      <c r="GP62" s="292"/>
      <c r="GQ62" s="292"/>
      <c r="GR62" s="292"/>
      <c r="GS62" s="292"/>
      <c r="GT62" s="292"/>
      <c r="GU62" s="292"/>
      <c r="GV62" s="292"/>
      <c r="GW62" s="292"/>
      <c r="GX62" s="292"/>
      <c r="GY62" s="292"/>
      <c r="GZ62" s="292"/>
      <c r="HA62" s="292"/>
      <c r="HB62" s="292"/>
      <c r="HC62" s="292"/>
      <c r="HD62" s="292"/>
      <c r="HE62" s="292"/>
      <c r="HF62" s="292"/>
      <c r="HG62" s="292"/>
      <c r="HH62" s="292"/>
      <c r="HI62" s="292"/>
      <c r="HJ62" s="292"/>
      <c r="HK62" s="292"/>
      <c r="HL62" s="292"/>
      <c r="HM62" s="292"/>
      <c r="HN62" s="292"/>
      <c r="HO62" s="292"/>
      <c r="HP62" s="292"/>
      <c r="HQ62" s="292"/>
      <c r="HR62" s="292"/>
      <c r="HS62" s="292"/>
      <c r="HT62" s="292"/>
      <c r="HU62" s="292"/>
      <c r="HV62" s="292"/>
      <c r="HW62" s="292"/>
      <c r="HX62" s="292"/>
      <c r="HY62" s="292"/>
      <c r="HZ62" s="292"/>
      <c r="IA62" s="292"/>
      <c r="IB62" s="292"/>
      <c r="IC62" s="292"/>
      <c r="ID62" s="292"/>
      <c r="IE62" s="292"/>
      <c r="IF62" s="292"/>
      <c r="IG62" s="292"/>
      <c r="IH62" s="292"/>
      <c r="II62" s="292"/>
      <c r="IJ62" s="292"/>
      <c r="IK62" s="292"/>
      <c r="IL62" s="292"/>
      <c r="IM62" s="292"/>
      <c r="IN62" s="292"/>
      <c r="IO62" s="292"/>
      <c r="IP62" s="292"/>
      <c r="IQ62" s="292"/>
      <c r="IR62" s="292"/>
      <c r="IS62" s="292"/>
      <c r="IT62" s="292"/>
      <c r="IU62" s="292"/>
      <c r="IV62" s="292"/>
      <c r="IW62" s="292"/>
      <c r="IX62" s="292"/>
      <c r="IY62" s="292"/>
      <c r="IZ62" s="292"/>
      <c r="JA62" s="292"/>
      <c r="JB62" s="292"/>
      <c r="JC62" s="292"/>
      <c r="JD62" s="292"/>
      <c r="JE62" s="292"/>
      <c r="JF62" s="292"/>
      <c r="JG62" s="292"/>
      <c r="JH62" s="292"/>
      <c r="JI62" s="292"/>
      <c r="JJ62" s="292"/>
      <c r="JK62" s="292"/>
      <c r="JL62" s="292"/>
      <c r="JM62" s="292"/>
      <c r="JN62" s="292"/>
      <c r="JO62" s="292"/>
      <c r="JP62" s="292"/>
      <c r="JQ62" s="292"/>
      <c r="JR62" s="292"/>
      <c r="JS62" s="292"/>
      <c r="JT62" s="292"/>
      <c r="JU62" s="292"/>
      <c r="JV62" s="292"/>
      <c r="JW62" s="292"/>
      <c r="JX62" s="292"/>
      <c r="JY62" s="292"/>
      <c r="JZ62" s="292"/>
      <c r="KA62" s="292"/>
      <c r="KB62" s="292"/>
      <c r="KC62" s="292"/>
      <c r="KD62" s="292"/>
      <c r="KE62" s="292"/>
      <c r="KF62" s="292"/>
      <c r="KG62" s="292"/>
      <c r="KH62" s="292"/>
      <c r="KI62" s="292"/>
      <c r="KJ62" s="292"/>
      <c r="KK62" s="292"/>
      <c r="KL62" s="292"/>
      <c r="KM62" s="292"/>
      <c r="KN62" s="292"/>
      <c r="KO62" s="292"/>
      <c r="KP62" s="292"/>
      <c r="KQ62" s="292"/>
      <c r="KR62" s="292"/>
      <c r="KS62" s="292"/>
      <c r="KT62" s="292"/>
      <c r="KU62" s="292"/>
      <c r="KV62" s="292"/>
      <c r="KW62" s="292"/>
      <c r="KX62" s="292"/>
      <c r="KY62" s="292"/>
      <c r="KZ62" s="292"/>
      <c r="LA62" s="292"/>
      <c r="LB62" s="292"/>
      <c r="LC62" s="292"/>
      <c r="LD62" s="292"/>
      <c r="LE62" s="292"/>
      <c r="LF62" s="292"/>
      <c r="LG62" s="292"/>
      <c r="LH62" s="292"/>
      <c r="LI62" s="292"/>
      <c r="LJ62" s="292"/>
      <c r="LK62" s="292"/>
      <c r="LL62" s="292"/>
      <c r="LM62" s="292"/>
      <c r="LN62" s="292"/>
      <c r="LO62" s="292"/>
      <c r="LP62" s="292"/>
      <c r="LQ62" s="292"/>
      <c r="LR62" s="292"/>
      <c r="LS62" s="292"/>
      <c r="LT62" s="292"/>
      <c r="LU62" s="292"/>
      <c r="LV62" s="292"/>
      <c r="LW62" s="292"/>
      <c r="LX62" s="292"/>
      <c r="LY62" s="292"/>
      <c r="LZ62" s="292"/>
      <c r="MA62" s="292"/>
      <c r="MB62" s="292"/>
      <c r="MC62" s="292"/>
      <c r="MD62" s="292"/>
      <c r="ME62" s="292"/>
      <c r="MF62" s="292"/>
      <c r="MG62" s="292"/>
      <c r="MH62" s="292"/>
      <c r="MI62" s="292"/>
      <c r="MJ62" s="292"/>
      <c r="MK62" s="292"/>
      <c r="ML62" s="292"/>
      <c r="MM62" s="292"/>
      <c r="MN62" s="292"/>
      <c r="MO62" s="292"/>
      <c r="MP62" s="292"/>
      <c r="MQ62" s="292"/>
      <c r="MR62" s="292"/>
      <c r="MS62" s="292"/>
      <c r="MT62" s="292"/>
      <c r="MU62" s="292"/>
      <c r="MV62" s="292"/>
      <c r="MW62" s="292"/>
      <c r="MX62" s="292"/>
      <c r="MY62" s="292"/>
      <c r="MZ62" s="292"/>
      <c r="NA62" s="292"/>
      <c r="NB62" s="292"/>
      <c r="NC62" s="292"/>
      <c r="ND62" s="292"/>
      <c r="NE62" s="292"/>
      <c r="NF62" s="292"/>
      <c r="NG62" s="292"/>
      <c r="NH62" s="292"/>
      <c r="NI62" s="292"/>
      <c r="NJ62" s="292"/>
      <c r="NK62" s="292"/>
      <c r="NL62" s="292"/>
      <c r="NM62" s="292"/>
      <c r="NN62" s="292"/>
      <c r="NO62" s="292"/>
      <c r="NP62" s="292"/>
      <c r="NQ62" s="292"/>
      <c r="NR62" s="292"/>
      <c r="NS62" s="292"/>
      <c r="NT62" s="292"/>
      <c r="NU62" s="292"/>
      <c r="NV62" s="292"/>
      <c r="NW62" s="292"/>
      <c r="NX62" s="292"/>
      <c r="NY62" s="292"/>
      <c r="NZ62" s="292"/>
      <c r="OA62" s="292"/>
      <c r="OB62" s="292"/>
      <c r="OC62" s="292"/>
      <c r="OD62" s="292"/>
      <c r="OE62" s="292"/>
      <c r="OF62" s="292"/>
      <c r="OG62" s="292"/>
      <c r="OH62" s="292"/>
      <c r="OI62" s="292"/>
      <c r="OJ62" s="292"/>
      <c r="OK62" s="292"/>
      <c r="OL62" s="292"/>
      <c r="OM62" s="292"/>
      <c r="ON62" s="292"/>
      <c r="OO62" s="292"/>
      <c r="OP62" s="292"/>
      <c r="OQ62" s="292"/>
      <c r="OR62" s="292"/>
      <c r="OS62" s="292"/>
      <c r="OT62" s="292"/>
      <c r="OU62" s="292"/>
      <c r="OV62" s="292"/>
      <c r="OW62" s="292"/>
      <c r="OX62" s="292"/>
      <c r="OY62" s="292"/>
      <c r="OZ62" s="292"/>
      <c r="PA62" s="292"/>
      <c r="PB62" s="292"/>
      <c r="PC62" s="292"/>
      <c r="PD62" s="292"/>
      <c r="PE62" s="292"/>
      <c r="PF62" s="292"/>
      <c r="PG62" s="292"/>
      <c r="PH62" s="292"/>
      <c r="PI62" s="292"/>
      <c r="PJ62" s="292"/>
      <c r="PK62" s="292"/>
      <c r="PL62" s="292"/>
      <c r="PM62" s="292"/>
      <c r="PN62" s="292"/>
      <c r="PO62" s="292"/>
      <c r="PP62" s="292"/>
      <c r="PQ62" s="292"/>
      <c r="PR62" s="292"/>
      <c r="PS62" s="292"/>
      <c r="PT62" s="292"/>
      <c r="PU62" s="292"/>
      <c r="PV62" s="292"/>
      <c r="PW62" s="292"/>
      <c r="PX62" s="292"/>
      <c r="PY62" s="292"/>
      <c r="PZ62" s="292"/>
      <c r="QA62" s="292"/>
      <c r="QB62" s="292"/>
      <c r="QC62" s="292"/>
      <c r="QD62" s="292"/>
      <c r="QE62" s="292"/>
      <c r="QF62" s="292"/>
      <c r="QG62" s="292"/>
      <c r="QH62" s="292"/>
      <c r="QI62" s="292"/>
      <c r="QJ62" s="292"/>
      <c r="QK62" s="292"/>
      <c r="QL62" s="292"/>
      <c r="QM62" s="292"/>
      <c r="QN62" s="292"/>
      <c r="QO62" s="292"/>
      <c r="QP62" s="292"/>
      <c r="QQ62" s="292"/>
      <c r="QR62" s="292"/>
      <c r="QS62" s="292"/>
      <c r="QT62" s="292"/>
      <c r="QU62" s="292"/>
      <c r="QV62" s="292"/>
      <c r="QW62" s="292"/>
      <c r="QX62" s="292"/>
      <c r="QY62" s="292"/>
      <c r="QZ62" s="292"/>
      <c r="RA62" s="292"/>
      <c r="RB62" s="292"/>
      <c r="RC62" s="292"/>
      <c r="RD62" s="292"/>
      <c r="RE62" s="292"/>
      <c r="RF62" s="292"/>
      <c r="RG62" s="292"/>
      <c r="RH62" s="292"/>
      <c r="RI62" s="292"/>
      <c r="RJ62" s="292"/>
      <c r="RK62" s="292"/>
      <c r="RL62" s="292"/>
      <c r="RM62" s="292"/>
      <c r="RN62" s="292"/>
      <c r="RO62" s="292"/>
      <c r="RP62" s="292"/>
      <c r="RQ62" s="292"/>
      <c r="RR62" s="292"/>
      <c r="RS62" s="292"/>
      <c r="RT62" s="292"/>
      <c r="RU62" s="292"/>
      <c r="RV62" s="292"/>
      <c r="RW62" s="292"/>
      <c r="RX62" s="292"/>
      <c r="RY62" s="292"/>
      <c r="RZ62" s="292"/>
      <c r="SA62" s="292"/>
      <c r="SB62" s="292"/>
      <c r="SC62" s="292"/>
      <c r="SD62" s="292"/>
      <c r="SE62" s="292"/>
      <c r="SF62" s="292"/>
      <c r="SG62" s="292"/>
      <c r="SH62" s="292"/>
      <c r="SI62" s="292"/>
      <c r="SJ62" s="292"/>
      <c r="SK62" s="292"/>
      <c r="SL62" s="292"/>
      <c r="SM62" s="292"/>
      <c r="SN62" s="292"/>
      <c r="SO62" s="292"/>
      <c r="SP62" s="292"/>
      <c r="SQ62" s="292"/>
      <c r="SR62" s="292"/>
      <c r="SS62" s="292"/>
      <c r="ST62" s="292"/>
      <c r="SU62" s="292"/>
    </row>
    <row r="63" spans="1:515" s="603" customFormat="1" ht="23.15" customHeight="1" x14ac:dyDescent="0.25">
      <c r="A63" s="1323" t="s">
        <v>368</v>
      </c>
      <c r="B63" s="1324"/>
      <c r="C63" s="1324"/>
      <c r="D63" s="962"/>
      <c r="E63" s="1296">
        <f>G33+G40+G47+G54+G59</f>
        <v>0</v>
      </c>
      <c r="F63" s="1296"/>
      <c r="G63" s="1296"/>
      <c r="H63" s="962"/>
      <c r="I63" s="1296">
        <f>K33+K40+K47+K54+K59</f>
        <v>0</v>
      </c>
      <c r="J63" s="1296"/>
      <c r="K63" s="1296"/>
      <c r="L63" s="962"/>
      <c r="M63" s="1296">
        <f>O33+O40+O47+O54+O59</f>
        <v>0</v>
      </c>
      <c r="N63" s="1296"/>
      <c r="O63" s="1296"/>
      <c r="P63" s="962"/>
      <c r="Q63" s="1296">
        <f>S33+S40+S47+S54+S59</f>
        <v>0</v>
      </c>
      <c r="R63" s="1296"/>
      <c r="S63" s="1296"/>
      <c r="T63" s="962"/>
      <c r="U63" s="1296">
        <f>W33+W40+W47+W54+W59</f>
        <v>0</v>
      </c>
      <c r="V63" s="1296"/>
      <c r="W63" s="1296"/>
      <c r="X63" s="962"/>
      <c r="Y63" s="1296">
        <f>AA33+AA40+AA47+AA54+AA59</f>
        <v>0</v>
      </c>
      <c r="Z63" s="1296"/>
      <c r="AA63" s="1296"/>
      <c r="AB63" s="976"/>
      <c r="AC63" s="1144"/>
      <c r="AD63" s="1176">
        <f>E63+I63+M63+Q63+U63+Y63</f>
        <v>0</v>
      </c>
      <c r="AE63" s="971"/>
      <c r="AF63" s="613"/>
      <c r="AG63" s="613"/>
      <c r="AH63" s="613"/>
      <c r="AI63" s="613"/>
      <c r="AJ63" s="613"/>
      <c r="AK63" s="613"/>
      <c r="AL63" s="613"/>
      <c r="AM63" s="613"/>
      <c r="AN63" s="613"/>
      <c r="AO63" s="613"/>
      <c r="AP63" s="613"/>
      <c r="AQ63" s="613"/>
      <c r="AR63" s="613"/>
      <c r="AS63" s="613"/>
      <c r="AT63" s="613"/>
      <c r="AU63" s="613"/>
      <c r="AV63" s="613"/>
      <c r="AW63" s="613"/>
      <c r="AX63" s="613"/>
      <c r="AY63" s="613"/>
      <c r="AZ63" s="613"/>
      <c r="BA63" s="613"/>
      <c r="BB63" s="613"/>
      <c r="BC63" s="613"/>
      <c r="BD63" s="613"/>
      <c r="BE63" s="613"/>
      <c r="BF63" s="613"/>
      <c r="BG63" s="613"/>
      <c r="BH63" s="613"/>
      <c r="BI63" s="613"/>
      <c r="BJ63" s="613"/>
      <c r="BK63" s="613"/>
      <c r="BL63" s="613"/>
      <c r="BM63" s="613"/>
      <c r="BN63" s="613"/>
      <c r="BO63" s="613"/>
      <c r="BP63" s="613"/>
      <c r="BQ63" s="613"/>
      <c r="BR63" s="613"/>
      <c r="BS63" s="613"/>
      <c r="BT63" s="613"/>
      <c r="BU63" s="613"/>
      <c r="BV63" s="613"/>
      <c r="BW63" s="613"/>
      <c r="BX63" s="613"/>
      <c r="BY63" s="613"/>
      <c r="BZ63" s="613"/>
      <c r="CA63" s="613"/>
      <c r="CB63" s="613"/>
      <c r="CC63" s="613"/>
      <c r="CD63" s="613"/>
      <c r="CE63" s="613"/>
      <c r="CF63" s="613"/>
      <c r="CG63" s="613"/>
      <c r="CH63" s="613"/>
      <c r="CI63" s="613"/>
      <c r="CJ63" s="613"/>
      <c r="CK63" s="613"/>
      <c r="CL63" s="613"/>
      <c r="CM63" s="613"/>
      <c r="CN63" s="613"/>
      <c r="CO63" s="613"/>
      <c r="CP63" s="613"/>
      <c r="CQ63" s="613"/>
      <c r="CR63" s="613"/>
      <c r="CS63" s="613"/>
      <c r="CT63" s="613"/>
      <c r="CU63" s="613"/>
      <c r="CV63" s="613"/>
      <c r="CW63" s="613"/>
      <c r="CX63" s="613"/>
      <c r="CY63" s="613"/>
      <c r="CZ63" s="613"/>
      <c r="DA63" s="613"/>
      <c r="DB63" s="613"/>
      <c r="DC63" s="613"/>
      <c r="DD63" s="613"/>
      <c r="DE63" s="613"/>
      <c r="DF63" s="613"/>
      <c r="DG63" s="613"/>
      <c r="DH63" s="613"/>
      <c r="DI63" s="613"/>
      <c r="DJ63" s="613"/>
      <c r="DK63" s="613"/>
      <c r="DL63" s="613"/>
      <c r="DM63" s="613"/>
      <c r="DN63" s="613"/>
      <c r="DO63" s="613"/>
      <c r="DP63" s="613"/>
      <c r="DQ63" s="613"/>
      <c r="DR63" s="613"/>
      <c r="DS63" s="613"/>
      <c r="DT63" s="613"/>
      <c r="DU63" s="613"/>
      <c r="DV63" s="613"/>
      <c r="DW63" s="613"/>
      <c r="DX63" s="613"/>
      <c r="DY63" s="613"/>
      <c r="DZ63" s="613"/>
      <c r="EA63" s="613"/>
      <c r="EB63" s="613"/>
      <c r="EC63" s="613"/>
      <c r="ED63" s="613"/>
      <c r="EE63" s="613"/>
      <c r="EF63" s="613"/>
      <c r="EG63" s="613"/>
      <c r="EH63" s="613"/>
      <c r="EI63" s="613"/>
      <c r="EJ63" s="613"/>
      <c r="EK63" s="613"/>
      <c r="EL63" s="613"/>
      <c r="EM63" s="613"/>
      <c r="EN63" s="613"/>
      <c r="EO63" s="613"/>
      <c r="EP63" s="613"/>
      <c r="EQ63" s="613"/>
      <c r="ER63" s="613"/>
      <c r="ES63" s="613"/>
      <c r="ET63" s="613"/>
      <c r="EU63" s="613"/>
      <c r="EV63" s="613"/>
      <c r="EW63" s="613"/>
      <c r="EX63" s="613"/>
      <c r="EY63" s="613"/>
      <c r="EZ63" s="613"/>
      <c r="FA63" s="613"/>
      <c r="FB63" s="613"/>
      <c r="FC63" s="613"/>
      <c r="FD63" s="613"/>
      <c r="FE63" s="613"/>
      <c r="FF63" s="613"/>
      <c r="FG63" s="613"/>
      <c r="FH63" s="613"/>
      <c r="FI63" s="613"/>
      <c r="FJ63" s="613"/>
      <c r="FK63" s="613"/>
      <c r="FL63" s="613"/>
      <c r="FM63" s="613"/>
      <c r="FN63" s="613"/>
      <c r="FO63" s="613"/>
      <c r="FP63" s="613"/>
      <c r="FQ63" s="613"/>
      <c r="FR63" s="613"/>
      <c r="FS63" s="613"/>
      <c r="FT63" s="613"/>
      <c r="FU63" s="613"/>
      <c r="FV63" s="613"/>
      <c r="FW63" s="613"/>
      <c r="FX63" s="613"/>
      <c r="FY63" s="613"/>
      <c r="FZ63" s="613"/>
      <c r="GA63" s="613"/>
      <c r="GB63" s="613"/>
      <c r="GC63" s="613"/>
      <c r="GD63" s="613"/>
      <c r="GE63" s="613"/>
      <c r="GF63" s="613"/>
      <c r="GG63" s="613"/>
      <c r="GH63" s="613"/>
      <c r="GI63" s="613"/>
      <c r="GJ63" s="613"/>
      <c r="GK63" s="613"/>
      <c r="GL63" s="613"/>
      <c r="GM63" s="613"/>
      <c r="GN63" s="613"/>
      <c r="GO63" s="613"/>
      <c r="GP63" s="613"/>
      <c r="GQ63" s="613"/>
      <c r="GR63" s="613"/>
      <c r="GS63" s="613"/>
      <c r="GT63" s="613"/>
      <c r="GU63" s="613"/>
      <c r="GV63" s="613"/>
      <c r="GW63" s="613"/>
      <c r="GX63" s="613"/>
      <c r="GY63" s="613"/>
      <c r="GZ63" s="613"/>
      <c r="HA63" s="613"/>
      <c r="HB63" s="613"/>
      <c r="HC63" s="613"/>
      <c r="HD63" s="613"/>
      <c r="HE63" s="613"/>
      <c r="HF63" s="613"/>
      <c r="HG63" s="613"/>
      <c r="HH63" s="613"/>
      <c r="HI63" s="613"/>
      <c r="HJ63" s="613"/>
      <c r="HK63" s="613"/>
      <c r="HL63" s="613"/>
      <c r="HM63" s="613"/>
      <c r="HN63" s="613"/>
      <c r="HO63" s="613"/>
      <c r="HP63" s="613"/>
      <c r="HQ63" s="613"/>
      <c r="HR63" s="613"/>
      <c r="HS63" s="613"/>
      <c r="HT63" s="613"/>
      <c r="HU63" s="613"/>
      <c r="HV63" s="613"/>
      <c r="HW63" s="613"/>
      <c r="HX63" s="613"/>
      <c r="HY63" s="613"/>
      <c r="HZ63" s="613"/>
      <c r="IA63" s="613"/>
      <c r="IB63" s="613"/>
      <c r="IC63" s="613"/>
      <c r="ID63" s="613"/>
      <c r="IE63" s="613"/>
      <c r="IF63" s="613"/>
      <c r="IG63" s="613"/>
      <c r="IH63" s="613"/>
      <c r="II63" s="613"/>
      <c r="IJ63" s="613"/>
      <c r="IK63" s="613"/>
      <c r="IL63" s="613"/>
      <c r="IM63" s="613"/>
      <c r="IN63" s="613"/>
      <c r="IO63" s="613"/>
      <c r="IP63" s="613"/>
      <c r="IQ63" s="613"/>
      <c r="IR63" s="613"/>
      <c r="IS63" s="613"/>
      <c r="IT63" s="613"/>
      <c r="IU63" s="613"/>
      <c r="IV63" s="613"/>
      <c r="IW63" s="613"/>
      <c r="IX63" s="613"/>
      <c r="IY63" s="613"/>
      <c r="IZ63" s="613"/>
      <c r="JA63" s="613"/>
      <c r="JB63" s="613"/>
      <c r="JC63" s="613"/>
      <c r="JD63" s="613"/>
      <c r="JE63" s="613"/>
      <c r="JF63" s="613"/>
      <c r="JG63" s="613"/>
      <c r="JH63" s="613"/>
      <c r="JI63" s="613"/>
      <c r="JJ63" s="613"/>
      <c r="JK63" s="613"/>
      <c r="JL63" s="613"/>
      <c r="JM63" s="613"/>
      <c r="JN63" s="613"/>
      <c r="JO63" s="613"/>
      <c r="JP63" s="613"/>
      <c r="JQ63" s="613"/>
      <c r="JR63" s="613"/>
      <c r="JS63" s="613"/>
      <c r="JT63" s="613"/>
      <c r="JU63" s="613"/>
      <c r="JV63" s="613"/>
      <c r="JW63" s="613"/>
      <c r="JX63" s="613"/>
      <c r="JY63" s="613"/>
      <c r="JZ63" s="613"/>
      <c r="KA63" s="613"/>
      <c r="KB63" s="613"/>
      <c r="KC63" s="613"/>
      <c r="KD63" s="613"/>
      <c r="KE63" s="613"/>
      <c r="KF63" s="613"/>
      <c r="KG63" s="613"/>
      <c r="KH63" s="613"/>
      <c r="KI63" s="613"/>
      <c r="KJ63" s="613"/>
      <c r="KK63" s="613"/>
      <c r="KL63" s="613"/>
      <c r="KM63" s="613"/>
      <c r="KN63" s="613"/>
      <c r="KO63" s="613"/>
      <c r="KP63" s="613"/>
      <c r="KQ63" s="613"/>
      <c r="KR63" s="613"/>
      <c r="KS63" s="613"/>
      <c r="KT63" s="613"/>
      <c r="KU63" s="613"/>
      <c r="KV63" s="613"/>
      <c r="KW63" s="613"/>
      <c r="KX63" s="613"/>
      <c r="KY63" s="613"/>
      <c r="KZ63" s="613"/>
      <c r="LA63" s="613"/>
      <c r="LB63" s="613"/>
      <c r="LC63" s="613"/>
      <c r="LD63" s="613"/>
      <c r="LE63" s="613"/>
      <c r="LF63" s="613"/>
      <c r="LG63" s="613"/>
      <c r="LH63" s="613"/>
      <c r="LI63" s="613"/>
      <c r="LJ63" s="613"/>
      <c r="LK63" s="613"/>
      <c r="LL63" s="613"/>
      <c r="LM63" s="613"/>
      <c r="LN63" s="613"/>
      <c r="LO63" s="613"/>
      <c r="LP63" s="613"/>
      <c r="LQ63" s="613"/>
      <c r="LR63" s="613"/>
      <c r="LS63" s="613"/>
      <c r="LT63" s="613"/>
      <c r="LU63" s="613"/>
      <c r="LV63" s="613"/>
      <c r="LW63" s="613"/>
      <c r="LX63" s="613"/>
      <c r="LY63" s="613"/>
      <c r="LZ63" s="613"/>
      <c r="MA63" s="613"/>
      <c r="MB63" s="613"/>
      <c r="MC63" s="613"/>
      <c r="MD63" s="613"/>
      <c r="ME63" s="613"/>
      <c r="MF63" s="613"/>
      <c r="MG63" s="613"/>
      <c r="MH63" s="613"/>
      <c r="MI63" s="613"/>
      <c r="MJ63" s="613"/>
      <c r="MK63" s="613"/>
      <c r="ML63" s="613"/>
      <c r="MM63" s="613"/>
      <c r="MN63" s="613"/>
      <c r="MO63" s="613"/>
      <c r="MP63" s="613"/>
      <c r="MQ63" s="613"/>
      <c r="MR63" s="613"/>
      <c r="MS63" s="613"/>
      <c r="MT63" s="613"/>
      <c r="MU63" s="613"/>
      <c r="MV63" s="613"/>
      <c r="MW63" s="613"/>
      <c r="MX63" s="613"/>
      <c r="MY63" s="613"/>
      <c r="MZ63" s="613"/>
      <c r="NA63" s="613"/>
      <c r="NB63" s="613"/>
      <c r="NC63" s="613"/>
      <c r="ND63" s="613"/>
      <c r="NE63" s="613"/>
      <c r="NF63" s="613"/>
      <c r="NG63" s="613"/>
      <c r="NH63" s="613"/>
      <c r="NI63" s="613"/>
      <c r="NJ63" s="613"/>
      <c r="NK63" s="613"/>
      <c r="NL63" s="613"/>
      <c r="NM63" s="613"/>
      <c r="NN63" s="613"/>
      <c r="NO63" s="613"/>
      <c r="NP63" s="613"/>
      <c r="NQ63" s="613"/>
      <c r="NR63" s="613"/>
      <c r="NS63" s="613"/>
      <c r="NT63" s="613"/>
      <c r="NU63" s="613"/>
      <c r="NV63" s="613"/>
      <c r="NW63" s="613"/>
      <c r="NX63" s="613"/>
      <c r="NY63" s="613"/>
      <c r="NZ63" s="613"/>
      <c r="OA63" s="613"/>
      <c r="OB63" s="613"/>
      <c r="OC63" s="613"/>
      <c r="OD63" s="613"/>
      <c r="OE63" s="613"/>
      <c r="OF63" s="613"/>
      <c r="OG63" s="613"/>
      <c r="OH63" s="613"/>
      <c r="OI63" s="613"/>
      <c r="OJ63" s="613"/>
      <c r="OK63" s="613"/>
      <c r="OL63" s="613"/>
      <c r="OM63" s="613"/>
      <c r="ON63" s="613"/>
      <c r="OO63" s="613"/>
      <c r="OP63" s="613"/>
      <c r="OQ63" s="613"/>
      <c r="OR63" s="613"/>
      <c r="OS63" s="613"/>
      <c r="OT63" s="613"/>
      <c r="OU63" s="613"/>
      <c r="OV63" s="613"/>
      <c r="OW63" s="613"/>
      <c r="OX63" s="613"/>
      <c r="OY63" s="613"/>
      <c r="OZ63" s="613"/>
      <c r="PA63" s="613"/>
      <c r="PB63" s="613"/>
      <c r="PC63" s="613"/>
      <c r="PD63" s="613"/>
      <c r="PE63" s="613"/>
      <c r="PF63" s="613"/>
      <c r="PG63" s="613"/>
      <c r="PH63" s="613"/>
      <c r="PI63" s="613"/>
      <c r="PJ63" s="613"/>
      <c r="PK63" s="613"/>
      <c r="PL63" s="613"/>
      <c r="PM63" s="613"/>
      <c r="PN63" s="613"/>
      <c r="PO63" s="613"/>
      <c r="PP63" s="613"/>
      <c r="PQ63" s="613"/>
      <c r="PR63" s="613"/>
      <c r="PS63" s="613"/>
      <c r="PT63" s="613"/>
      <c r="PU63" s="613"/>
      <c r="PV63" s="613"/>
      <c r="PW63" s="613"/>
      <c r="PX63" s="613"/>
      <c r="PY63" s="613"/>
      <c r="PZ63" s="613"/>
      <c r="QA63" s="613"/>
      <c r="QB63" s="613"/>
      <c r="QC63" s="613"/>
      <c r="QD63" s="613"/>
      <c r="QE63" s="613"/>
      <c r="QF63" s="613"/>
      <c r="QG63" s="613"/>
      <c r="QH63" s="613"/>
      <c r="QI63" s="613"/>
      <c r="QJ63" s="613"/>
      <c r="QK63" s="613"/>
      <c r="QL63" s="613"/>
      <c r="QM63" s="613"/>
      <c r="QN63" s="613"/>
      <c r="QO63" s="613"/>
      <c r="QP63" s="613"/>
      <c r="QQ63" s="613"/>
      <c r="QR63" s="613"/>
      <c r="QS63" s="613"/>
      <c r="QT63" s="613"/>
      <c r="QU63" s="613"/>
      <c r="QV63" s="613"/>
      <c r="QW63" s="613"/>
      <c r="QX63" s="613"/>
      <c r="QY63" s="613"/>
      <c r="QZ63" s="613"/>
      <c r="RA63" s="613"/>
      <c r="RB63" s="613"/>
      <c r="RC63" s="613"/>
      <c r="RD63" s="613"/>
      <c r="RE63" s="613"/>
      <c r="RF63" s="613"/>
      <c r="RG63" s="613"/>
      <c r="RH63" s="613"/>
      <c r="RI63" s="613"/>
      <c r="RJ63" s="613"/>
      <c r="RK63" s="613"/>
      <c r="RL63" s="613"/>
      <c r="RM63" s="613"/>
      <c r="RN63" s="613"/>
      <c r="RO63" s="613"/>
      <c r="RP63" s="613"/>
      <c r="RQ63" s="613"/>
      <c r="RR63" s="613"/>
      <c r="RS63" s="613"/>
      <c r="RT63" s="613"/>
      <c r="RU63" s="613"/>
      <c r="RV63" s="613"/>
      <c r="RW63" s="613"/>
      <c r="RX63" s="613"/>
      <c r="RY63" s="613"/>
      <c r="RZ63" s="613"/>
      <c r="SA63" s="613"/>
      <c r="SB63" s="613"/>
      <c r="SC63" s="613"/>
      <c r="SD63" s="613"/>
      <c r="SE63" s="613"/>
      <c r="SF63" s="613"/>
      <c r="SG63" s="613"/>
      <c r="SH63" s="613"/>
      <c r="SI63" s="613"/>
      <c r="SJ63" s="613"/>
      <c r="SK63" s="613"/>
      <c r="SL63" s="613"/>
      <c r="SM63" s="613"/>
      <c r="SN63" s="613"/>
      <c r="SO63" s="613"/>
      <c r="SP63" s="613"/>
      <c r="SQ63" s="613"/>
      <c r="SR63" s="613"/>
      <c r="SS63" s="613"/>
      <c r="ST63" s="613"/>
      <c r="SU63" s="613"/>
    </row>
    <row r="64" spans="1:515" s="801" customFormat="1" ht="15" customHeight="1" x14ac:dyDescent="0.25">
      <c r="A64" s="986"/>
      <c r="B64" s="984"/>
      <c r="C64" s="984"/>
      <c r="D64" s="962"/>
      <c r="E64" s="981"/>
      <c r="F64" s="981"/>
      <c r="G64" s="981"/>
      <c r="H64" s="962"/>
      <c r="I64" s="981"/>
      <c r="J64" s="981"/>
      <c r="K64" s="981"/>
      <c r="L64" s="962"/>
      <c r="M64" s="981"/>
      <c r="N64" s="981"/>
      <c r="O64" s="981"/>
      <c r="P64" s="962"/>
      <c r="Q64" s="981"/>
      <c r="R64" s="981"/>
      <c r="S64" s="981"/>
      <c r="T64" s="962"/>
      <c r="U64" s="981"/>
      <c r="V64" s="981"/>
      <c r="W64" s="981"/>
      <c r="X64" s="962"/>
      <c r="Y64" s="981"/>
      <c r="Z64" s="981"/>
      <c r="AA64" s="981"/>
      <c r="AB64" s="976"/>
      <c r="AC64" s="1144"/>
      <c r="AD64" s="981"/>
      <c r="AE64" s="971"/>
      <c r="AF64" s="613"/>
      <c r="AG64" s="613"/>
      <c r="AH64" s="613"/>
      <c r="AI64" s="613"/>
      <c r="AJ64" s="613"/>
      <c r="AK64" s="613"/>
      <c r="AL64" s="613"/>
      <c r="AM64" s="613"/>
      <c r="AN64" s="613"/>
      <c r="AO64" s="613"/>
      <c r="AP64" s="613"/>
      <c r="AQ64" s="613"/>
      <c r="AR64" s="613"/>
      <c r="AS64" s="613"/>
      <c r="AT64" s="613"/>
      <c r="AU64" s="613"/>
      <c r="AV64" s="613"/>
      <c r="AW64" s="613"/>
      <c r="AX64" s="613"/>
      <c r="AY64" s="613"/>
      <c r="AZ64" s="613"/>
      <c r="BA64" s="613"/>
      <c r="BB64" s="613"/>
      <c r="BC64" s="613"/>
      <c r="BD64" s="613"/>
      <c r="BE64" s="613"/>
      <c r="BF64" s="613"/>
      <c r="BG64" s="613"/>
      <c r="BH64" s="613"/>
      <c r="BI64" s="613"/>
      <c r="BJ64" s="613"/>
      <c r="BK64" s="613"/>
      <c r="BL64" s="613"/>
    </row>
    <row r="65" spans="1:515" s="624" customFormat="1" ht="23.15" customHeight="1" x14ac:dyDescent="0.25">
      <c r="A65" s="1347" t="s">
        <v>369</v>
      </c>
      <c r="B65" s="1348"/>
      <c r="C65" s="1348"/>
      <c r="D65" s="957"/>
      <c r="E65" s="1173" t="s">
        <v>15</v>
      </c>
      <c r="F65" s="1173" t="s">
        <v>363</v>
      </c>
      <c r="G65" s="1136" t="s">
        <v>370</v>
      </c>
      <c r="H65" s="957"/>
      <c r="I65" s="1173" t="s">
        <v>15</v>
      </c>
      <c r="J65" s="1173" t="s">
        <v>363</v>
      </c>
      <c r="K65" s="1136" t="s">
        <v>370</v>
      </c>
      <c r="L65" s="957"/>
      <c r="M65" s="1173" t="s">
        <v>15</v>
      </c>
      <c r="N65" s="1173" t="s">
        <v>363</v>
      </c>
      <c r="O65" s="1136" t="s">
        <v>370</v>
      </c>
      <c r="P65" s="957"/>
      <c r="Q65" s="1173" t="s">
        <v>15</v>
      </c>
      <c r="R65" s="1173" t="s">
        <v>363</v>
      </c>
      <c r="S65" s="1136" t="s">
        <v>370</v>
      </c>
      <c r="T65" s="957"/>
      <c r="U65" s="1173" t="s">
        <v>15</v>
      </c>
      <c r="V65" s="1173" t="s">
        <v>363</v>
      </c>
      <c r="W65" s="1136" t="s">
        <v>370</v>
      </c>
      <c r="X65" s="957"/>
      <c r="Y65" s="1173" t="s">
        <v>15</v>
      </c>
      <c r="Z65" s="1173" t="s">
        <v>363</v>
      </c>
      <c r="AA65" s="1136" t="s">
        <v>370</v>
      </c>
      <c r="AB65" s="957"/>
      <c r="AC65" s="957"/>
      <c r="AD65" s="1136" t="s">
        <v>370</v>
      </c>
      <c r="AE65" s="971"/>
      <c r="AF65" s="292"/>
      <c r="AG65" s="292"/>
      <c r="AH65" s="292"/>
      <c r="AI65" s="292"/>
      <c r="AJ65" s="292"/>
      <c r="AK65" s="292"/>
      <c r="AL65" s="292"/>
      <c r="AM65" s="292"/>
      <c r="AN65" s="292"/>
      <c r="AO65" s="292"/>
      <c r="AP65" s="292"/>
      <c r="AQ65" s="292"/>
      <c r="AR65" s="292"/>
      <c r="AS65" s="292"/>
      <c r="AT65" s="292"/>
      <c r="AU65" s="292"/>
      <c r="AV65" s="292"/>
      <c r="AW65" s="292"/>
      <c r="AX65" s="292"/>
      <c r="AY65" s="292"/>
      <c r="AZ65" s="292"/>
      <c r="BA65" s="292"/>
      <c r="BB65" s="292"/>
      <c r="BC65" s="292"/>
      <c r="BD65" s="292"/>
      <c r="BE65" s="292"/>
      <c r="BF65" s="292"/>
      <c r="BG65" s="292"/>
      <c r="BH65" s="292"/>
      <c r="BI65" s="292"/>
      <c r="BJ65" s="292"/>
      <c r="BK65" s="292"/>
      <c r="BL65" s="292"/>
      <c r="BM65" s="292"/>
      <c r="BN65" s="292"/>
      <c r="BO65" s="292"/>
      <c r="BP65" s="292"/>
      <c r="BQ65" s="292"/>
      <c r="BR65" s="292"/>
      <c r="BS65" s="292"/>
      <c r="BT65" s="292"/>
      <c r="BU65" s="292"/>
      <c r="BV65" s="292"/>
      <c r="BW65" s="292"/>
      <c r="BX65" s="292"/>
      <c r="BY65" s="292"/>
      <c r="BZ65" s="292"/>
      <c r="CA65" s="292"/>
      <c r="CB65" s="292"/>
      <c r="CC65" s="292"/>
      <c r="CD65" s="292"/>
      <c r="CE65" s="292"/>
      <c r="CF65" s="292"/>
      <c r="CG65" s="292"/>
      <c r="CH65" s="292"/>
      <c r="CI65" s="292"/>
      <c r="CJ65" s="292"/>
      <c r="CK65" s="292"/>
      <c r="CL65" s="292"/>
      <c r="CM65" s="292"/>
      <c r="CN65" s="292"/>
      <c r="CO65" s="292"/>
      <c r="CP65" s="292"/>
      <c r="CQ65" s="292"/>
      <c r="CR65" s="292"/>
      <c r="CS65" s="292"/>
      <c r="CT65" s="292"/>
      <c r="CU65" s="292"/>
      <c r="CV65" s="292"/>
      <c r="CW65" s="292"/>
      <c r="CX65" s="292"/>
      <c r="CY65" s="292"/>
      <c r="CZ65" s="292"/>
      <c r="DA65" s="292"/>
      <c r="DB65" s="292"/>
      <c r="DC65" s="292"/>
      <c r="DD65" s="292"/>
      <c r="DE65" s="292"/>
      <c r="DF65" s="292"/>
      <c r="DG65" s="292"/>
      <c r="DH65" s="292"/>
      <c r="DI65" s="292"/>
      <c r="DJ65" s="292"/>
      <c r="DK65" s="292"/>
      <c r="DL65" s="292"/>
      <c r="DM65" s="292"/>
      <c r="DN65" s="292"/>
      <c r="DO65" s="292"/>
      <c r="DP65" s="292"/>
      <c r="DQ65" s="292"/>
      <c r="DR65" s="292"/>
      <c r="DS65" s="292"/>
      <c r="DT65" s="292"/>
      <c r="DU65" s="292"/>
      <c r="DV65" s="292"/>
      <c r="DW65" s="292"/>
      <c r="DX65" s="292"/>
      <c r="DY65" s="292"/>
      <c r="DZ65" s="292"/>
      <c r="EA65" s="292"/>
      <c r="EB65" s="292"/>
      <c r="EC65" s="292"/>
      <c r="ED65" s="292"/>
      <c r="EE65" s="292"/>
      <c r="EF65" s="292"/>
      <c r="EG65" s="292"/>
      <c r="EH65" s="292"/>
      <c r="EI65" s="292"/>
      <c r="EJ65" s="292"/>
      <c r="EK65" s="292"/>
      <c r="EL65" s="292"/>
      <c r="EM65" s="292"/>
      <c r="EN65" s="292"/>
      <c r="EO65" s="292"/>
      <c r="EP65" s="292"/>
      <c r="EQ65" s="292"/>
      <c r="ER65" s="292"/>
      <c r="ES65" s="292"/>
      <c r="ET65" s="292"/>
      <c r="EU65" s="292"/>
      <c r="EV65" s="292"/>
      <c r="EW65" s="292"/>
      <c r="EX65" s="292"/>
      <c r="EY65" s="292"/>
      <c r="EZ65" s="292"/>
      <c r="FA65" s="292"/>
      <c r="FB65" s="292"/>
      <c r="FC65" s="292"/>
      <c r="FD65" s="292"/>
      <c r="FE65" s="292"/>
      <c r="FF65" s="292"/>
      <c r="FG65" s="292"/>
      <c r="FH65" s="292"/>
      <c r="FI65" s="292"/>
      <c r="FJ65" s="292"/>
      <c r="FK65" s="292"/>
      <c r="FL65" s="292"/>
      <c r="FM65" s="292"/>
      <c r="FN65" s="292"/>
      <c r="FO65" s="292"/>
      <c r="FP65" s="292"/>
      <c r="FQ65" s="292"/>
      <c r="FR65" s="292"/>
      <c r="FS65" s="292"/>
      <c r="FT65" s="292"/>
      <c r="FU65" s="292"/>
      <c r="FV65" s="292"/>
      <c r="FW65" s="292"/>
      <c r="FX65" s="292"/>
      <c r="FY65" s="292"/>
      <c r="FZ65" s="292"/>
      <c r="GA65" s="292"/>
      <c r="GB65" s="292"/>
      <c r="GC65" s="292"/>
      <c r="GD65" s="292"/>
      <c r="GE65" s="292"/>
      <c r="GF65" s="292"/>
      <c r="GG65" s="292"/>
      <c r="GH65" s="292"/>
      <c r="GI65" s="292"/>
      <c r="GJ65" s="292"/>
      <c r="GK65" s="292"/>
      <c r="GL65" s="292"/>
      <c r="GM65" s="292"/>
      <c r="GN65" s="292"/>
      <c r="GO65" s="292"/>
      <c r="GP65" s="292"/>
      <c r="GQ65" s="292"/>
      <c r="GR65" s="292"/>
      <c r="GS65" s="292"/>
      <c r="GT65" s="292"/>
      <c r="GU65" s="292"/>
      <c r="GV65" s="292"/>
      <c r="GW65" s="292"/>
      <c r="GX65" s="292"/>
      <c r="GY65" s="292"/>
      <c r="GZ65" s="292"/>
      <c r="HA65" s="292"/>
      <c r="HB65" s="292"/>
      <c r="HC65" s="292"/>
      <c r="HD65" s="292"/>
      <c r="HE65" s="292"/>
      <c r="HF65" s="292"/>
      <c r="HG65" s="292"/>
      <c r="HH65" s="292"/>
      <c r="HI65" s="292"/>
      <c r="HJ65" s="292"/>
      <c r="HK65" s="292"/>
      <c r="HL65" s="292"/>
      <c r="HM65" s="292"/>
      <c r="HN65" s="292"/>
      <c r="HO65" s="292"/>
      <c r="HP65" s="292"/>
      <c r="HQ65" s="292"/>
      <c r="HR65" s="292"/>
      <c r="HS65" s="292"/>
      <c r="HT65" s="292"/>
      <c r="HU65" s="292"/>
      <c r="HV65" s="292"/>
      <c r="HW65" s="292"/>
      <c r="HX65" s="292"/>
      <c r="HY65" s="292"/>
      <c r="HZ65" s="292"/>
      <c r="IA65" s="292"/>
      <c r="IB65" s="292"/>
      <c r="IC65" s="292"/>
      <c r="ID65" s="292"/>
      <c r="IE65" s="292"/>
      <c r="IF65" s="292"/>
      <c r="IG65" s="292"/>
      <c r="IH65" s="292"/>
      <c r="II65" s="292"/>
      <c r="IJ65" s="292"/>
      <c r="IK65" s="292"/>
      <c r="IL65" s="292"/>
      <c r="IM65" s="292"/>
      <c r="IN65" s="292"/>
      <c r="IO65" s="292"/>
      <c r="IP65" s="292"/>
      <c r="IQ65" s="292"/>
      <c r="IR65" s="292"/>
      <c r="IS65" s="292"/>
      <c r="IT65" s="292"/>
      <c r="IU65" s="292"/>
      <c r="IV65" s="292"/>
      <c r="IW65" s="292"/>
      <c r="IX65" s="292"/>
      <c r="IY65" s="292"/>
      <c r="IZ65" s="292"/>
      <c r="JA65" s="292"/>
      <c r="JB65" s="292"/>
      <c r="JC65" s="292"/>
      <c r="JD65" s="292"/>
      <c r="JE65" s="292"/>
      <c r="JF65" s="292"/>
      <c r="JG65" s="292"/>
      <c r="JH65" s="292"/>
      <c r="JI65" s="292"/>
      <c r="JJ65" s="292"/>
      <c r="JK65" s="292"/>
      <c r="JL65" s="292"/>
      <c r="JM65" s="292"/>
      <c r="JN65" s="292"/>
      <c r="JO65" s="292"/>
      <c r="JP65" s="292"/>
      <c r="JQ65" s="292"/>
      <c r="JR65" s="292"/>
      <c r="JS65" s="292"/>
      <c r="JT65" s="292"/>
      <c r="JU65" s="292"/>
      <c r="JV65" s="292"/>
      <c r="JW65" s="292"/>
      <c r="JX65" s="292"/>
      <c r="JY65" s="292"/>
      <c r="JZ65" s="292"/>
      <c r="KA65" s="292"/>
      <c r="KB65" s="292"/>
      <c r="KC65" s="292"/>
      <c r="KD65" s="292"/>
      <c r="KE65" s="292"/>
      <c r="KF65" s="292"/>
      <c r="KG65" s="292"/>
      <c r="KH65" s="292"/>
      <c r="KI65" s="292"/>
      <c r="KJ65" s="292"/>
      <c r="KK65" s="292"/>
      <c r="KL65" s="292"/>
      <c r="KM65" s="292"/>
      <c r="KN65" s="292"/>
      <c r="KO65" s="292"/>
      <c r="KP65" s="292"/>
      <c r="KQ65" s="292"/>
      <c r="KR65" s="292"/>
      <c r="KS65" s="292"/>
      <c r="KT65" s="292"/>
      <c r="KU65" s="292"/>
      <c r="KV65" s="292"/>
      <c r="KW65" s="292"/>
      <c r="KX65" s="292"/>
      <c r="KY65" s="292"/>
      <c r="KZ65" s="292"/>
      <c r="LA65" s="292"/>
      <c r="LB65" s="292"/>
      <c r="LC65" s="292"/>
      <c r="LD65" s="292"/>
      <c r="LE65" s="292"/>
      <c r="LF65" s="292"/>
      <c r="LG65" s="292"/>
      <c r="LH65" s="292"/>
      <c r="LI65" s="292"/>
      <c r="LJ65" s="292"/>
      <c r="LK65" s="292"/>
      <c r="LL65" s="292"/>
      <c r="LM65" s="292"/>
      <c r="LN65" s="292"/>
      <c r="LO65" s="292"/>
      <c r="LP65" s="292"/>
      <c r="LQ65" s="292"/>
      <c r="LR65" s="292"/>
      <c r="LS65" s="292"/>
      <c r="LT65" s="292"/>
      <c r="LU65" s="292"/>
      <c r="LV65" s="292"/>
      <c r="LW65" s="292"/>
      <c r="LX65" s="292"/>
      <c r="LY65" s="292"/>
      <c r="LZ65" s="292"/>
      <c r="MA65" s="292"/>
      <c r="MB65" s="292"/>
      <c r="MC65" s="292"/>
      <c r="MD65" s="292"/>
      <c r="ME65" s="292"/>
      <c r="MF65" s="292"/>
      <c r="MG65" s="292"/>
      <c r="MH65" s="292"/>
      <c r="MI65" s="292"/>
      <c r="MJ65" s="292"/>
      <c r="MK65" s="292"/>
      <c r="ML65" s="292"/>
      <c r="MM65" s="292"/>
      <c r="MN65" s="292"/>
      <c r="MO65" s="292"/>
      <c r="MP65" s="292"/>
      <c r="MQ65" s="292"/>
      <c r="MR65" s="292"/>
      <c r="MS65" s="292"/>
      <c r="MT65" s="292"/>
      <c r="MU65" s="292"/>
      <c r="MV65" s="292"/>
      <c r="MW65" s="292"/>
      <c r="MX65" s="292"/>
      <c r="MY65" s="292"/>
      <c r="MZ65" s="292"/>
      <c r="NA65" s="292"/>
      <c r="NB65" s="292"/>
      <c r="NC65" s="292"/>
      <c r="ND65" s="292"/>
      <c r="NE65" s="292"/>
      <c r="NF65" s="292"/>
      <c r="NG65" s="292"/>
      <c r="NH65" s="292"/>
      <c r="NI65" s="292"/>
      <c r="NJ65" s="292"/>
      <c r="NK65" s="292"/>
      <c r="NL65" s="292"/>
      <c r="NM65" s="292"/>
      <c r="NN65" s="292"/>
      <c r="NO65" s="292"/>
      <c r="NP65" s="292"/>
      <c r="NQ65" s="292"/>
      <c r="NR65" s="292"/>
      <c r="NS65" s="292"/>
      <c r="NT65" s="292"/>
      <c r="NU65" s="292"/>
      <c r="NV65" s="292"/>
      <c r="NW65" s="292"/>
      <c r="NX65" s="292"/>
      <c r="NY65" s="292"/>
      <c r="NZ65" s="292"/>
      <c r="OA65" s="292"/>
      <c r="OB65" s="292"/>
      <c r="OC65" s="292"/>
      <c r="OD65" s="292"/>
      <c r="OE65" s="292"/>
      <c r="OF65" s="292"/>
      <c r="OG65" s="292"/>
      <c r="OH65" s="292"/>
      <c r="OI65" s="292"/>
      <c r="OJ65" s="292"/>
      <c r="OK65" s="292"/>
      <c r="OL65" s="292"/>
      <c r="OM65" s="292"/>
      <c r="ON65" s="292"/>
      <c r="OO65" s="292"/>
      <c r="OP65" s="292"/>
      <c r="OQ65" s="292"/>
      <c r="OR65" s="292"/>
      <c r="OS65" s="292"/>
      <c r="OT65" s="292"/>
      <c r="OU65" s="292"/>
      <c r="OV65" s="292"/>
      <c r="OW65" s="292"/>
      <c r="OX65" s="292"/>
      <c r="OY65" s="292"/>
      <c r="OZ65" s="292"/>
      <c r="PA65" s="292"/>
      <c r="PB65" s="292"/>
      <c r="PC65" s="292"/>
      <c r="PD65" s="292"/>
      <c r="PE65" s="292"/>
      <c r="PF65" s="292"/>
      <c r="PG65" s="292"/>
      <c r="PH65" s="292"/>
      <c r="PI65" s="292"/>
      <c r="PJ65" s="292"/>
      <c r="PK65" s="292"/>
      <c r="PL65" s="292"/>
      <c r="PM65" s="292"/>
      <c r="PN65" s="292"/>
      <c r="PO65" s="292"/>
      <c r="PP65" s="292"/>
      <c r="PQ65" s="292"/>
      <c r="PR65" s="292"/>
      <c r="PS65" s="292"/>
      <c r="PT65" s="292"/>
      <c r="PU65" s="292"/>
      <c r="PV65" s="292"/>
      <c r="PW65" s="292"/>
      <c r="PX65" s="292"/>
      <c r="PY65" s="292"/>
      <c r="PZ65" s="292"/>
      <c r="QA65" s="292"/>
      <c r="QB65" s="292"/>
      <c r="QC65" s="292"/>
      <c r="QD65" s="292"/>
      <c r="QE65" s="292"/>
      <c r="QF65" s="292"/>
      <c r="QG65" s="292"/>
      <c r="QH65" s="292"/>
      <c r="QI65" s="292"/>
      <c r="QJ65" s="292"/>
      <c r="QK65" s="292"/>
      <c r="QL65" s="292"/>
      <c r="QM65" s="292"/>
      <c r="QN65" s="292"/>
      <c r="QO65" s="292"/>
      <c r="QP65" s="292"/>
      <c r="QQ65" s="292"/>
      <c r="QR65" s="292"/>
      <c r="QS65" s="292"/>
      <c r="QT65" s="292"/>
      <c r="QU65" s="292"/>
      <c r="QV65" s="292"/>
      <c r="QW65" s="292"/>
      <c r="QX65" s="292"/>
      <c r="QY65" s="292"/>
      <c r="QZ65" s="292"/>
      <c r="RA65" s="292"/>
      <c r="RB65" s="292"/>
      <c r="RC65" s="292"/>
      <c r="RD65" s="292"/>
      <c r="RE65" s="292"/>
      <c r="RF65" s="292"/>
      <c r="RG65" s="292"/>
      <c r="RH65" s="292"/>
      <c r="RI65" s="292"/>
      <c r="RJ65" s="292"/>
      <c r="RK65" s="292"/>
      <c r="RL65" s="292"/>
      <c r="RM65" s="292"/>
      <c r="RN65" s="292"/>
      <c r="RO65" s="292"/>
      <c r="RP65" s="292"/>
      <c r="RQ65" s="292"/>
      <c r="RR65" s="292"/>
      <c r="RS65" s="292"/>
      <c r="RT65" s="292"/>
      <c r="RU65" s="292"/>
      <c r="RV65" s="292"/>
      <c r="RW65" s="292"/>
      <c r="RX65" s="292"/>
      <c r="RY65" s="292"/>
      <c r="RZ65" s="292"/>
      <c r="SA65" s="292"/>
      <c r="SB65" s="292"/>
      <c r="SC65" s="292"/>
      <c r="SD65" s="292"/>
      <c r="SE65" s="292"/>
      <c r="SF65" s="292"/>
      <c r="SG65" s="292"/>
      <c r="SH65" s="292"/>
      <c r="SI65" s="292"/>
      <c r="SJ65" s="292"/>
      <c r="SK65" s="292"/>
      <c r="SL65" s="292"/>
      <c r="SM65" s="292"/>
      <c r="SN65" s="292"/>
      <c r="SO65" s="292"/>
      <c r="SP65" s="292"/>
      <c r="SQ65" s="292"/>
      <c r="SR65" s="292"/>
      <c r="SS65" s="292"/>
      <c r="ST65" s="292"/>
      <c r="SU65" s="292"/>
    </row>
    <row r="66" spans="1:515" ht="15" customHeight="1" x14ac:dyDescent="0.25">
      <c r="A66" s="1327" t="str">
        <f>IF(LaborCollection="Academia","F&amp;A","G&amp;A")</f>
        <v>G&amp;A</v>
      </c>
      <c r="B66" s="1328"/>
      <c r="C66" s="1368" t="s">
        <v>371</v>
      </c>
      <c r="D66" s="957" t="s">
        <v>358</v>
      </c>
      <c r="E66" s="622">
        <f>G33</f>
        <v>0</v>
      </c>
      <c r="F66" s="626">
        <v>0</v>
      </c>
      <c r="G66" s="999">
        <f>E66*F66</f>
        <v>0</v>
      </c>
      <c r="H66" s="957"/>
      <c r="I66" s="622">
        <f>K33</f>
        <v>0</v>
      </c>
      <c r="J66" s="626">
        <v>0</v>
      </c>
      <c r="K66" s="999">
        <f>I66*J66</f>
        <v>0</v>
      </c>
      <c r="L66" s="957"/>
      <c r="M66" s="622">
        <f>O33</f>
        <v>0</v>
      </c>
      <c r="N66" s="626">
        <v>0</v>
      </c>
      <c r="O66" s="999">
        <f>M66*N66</f>
        <v>0</v>
      </c>
      <c r="P66" s="957"/>
      <c r="Q66" s="622">
        <f>S33</f>
        <v>0</v>
      </c>
      <c r="R66" s="626">
        <v>0</v>
      </c>
      <c r="S66" s="999">
        <f>Q66*R66</f>
        <v>0</v>
      </c>
      <c r="T66" s="957"/>
      <c r="U66" s="622">
        <f>W33</f>
        <v>0</v>
      </c>
      <c r="V66" s="626">
        <v>0</v>
      </c>
      <c r="W66" s="999">
        <f>U66*V66</f>
        <v>0</v>
      </c>
      <c r="X66" s="957"/>
      <c r="Y66" s="622">
        <f>AA33</f>
        <v>0</v>
      </c>
      <c r="Z66" s="626">
        <v>0</v>
      </c>
      <c r="AA66" s="999">
        <f>Y66*Z66</f>
        <v>0</v>
      </c>
      <c r="AB66" s="975"/>
      <c r="AC66" s="957"/>
      <c r="AD66" s="999">
        <f>G66+K66+O66+S66+W66+AA66</f>
        <v>0</v>
      </c>
      <c r="AE66" s="971"/>
    </row>
    <row r="67" spans="1:515" ht="15" customHeight="1" x14ac:dyDescent="0.25">
      <c r="A67" s="1329" t="s">
        <v>372</v>
      </c>
      <c r="B67" s="1330"/>
      <c r="C67" s="1370"/>
      <c r="D67" s="957"/>
      <c r="E67" s="622">
        <v>0</v>
      </c>
      <c r="F67" s="626">
        <v>0</v>
      </c>
      <c r="G67" s="999">
        <f>E67*F67</f>
        <v>0</v>
      </c>
      <c r="H67" s="957"/>
      <c r="I67" s="622">
        <v>0</v>
      </c>
      <c r="J67" s="626">
        <v>0</v>
      </c>
      <c r="K67" s="999">
        <f>I67*J67</f>
        <v>0</v>
      </c>
      <c r="L67" s="957"/>
      <c r="M67" s="622">
        <v>0</v>
      </c>
      <c r="N67" s="626">
        <v>0</v>
      </c>
      <c r="O67" s="999">
        <f>M67*N67</f>
        <v>0</v>
      </c>
      <c r="P67" s="957"/>
      <c r="Q67" s="622">
        <v>0</v>
      </c>
      <c r="R67" s="626">
        <v>0</v>
      </c>
      <c r="S67" s="999">
        <f>Q67*R67</f>
        <v>0</v>
      </c>
      <c r="T67" s="957"/>
      <c r="U67" s="622">
        <v>0</v>
      </c>
      <c r="V67" s="626">
        <v>0</v>
      </c>
      <c r="W67" s="999">
        <f>U67*V67</f>
        <v>0</v>
      </c>
      <c r="X67" s="957"/>
      <c r="Y67" s="622">
        <v>0</v>
      </c>
      <c r="Z67" s="626">
        <v>0</v>
      </c>
      <c r="AA67" s="999">
        <f>Y67*Z67</f>
        <v>0</v>
      </c>
      <c r="AB67" s="975"/>
      <c r="AC67" s="957"/>
      <c r="AD67" s="999">
        <f>G67+K67+O67+S67+W67+AA67</f>
        <v>0</v>
      </c>
      <c r="AE67" s="971"/>
    </row>
    <row r="68" spans="1:515" s="624" customFormat="1" ht="23.15" customHeight="1" x14ac:dyDescent="0.25">
      <c r="A68" s="1319" t="s">
        <v>373</v>
      </c>
      <c r="B68" s="1320"/>
      <c r="C68" s="1320"/>
      <c r="D68" s="957"/>
      <c r="E68" s="960"/>
      <c r="F68" s="989"/>
      <c r="G68" s="792">
        <f>SUM(G65:G67)</f>
        <v>0</v>
      </c>
      <c r="H68" s="957"/>
      <c r="I68" s="990"/>
      <c r="J68" s="991"/>
      <c r="K68" s="792">
        <f>SUM(K66:K67)</f>
        <v>0</v>
      </c>
      <c r="L68" s="957"/>
      <c r="M68" s="990"/>
      <c r="N68" s="991"/>
      <c r="O68" s="792">
        <f>SUM(O66:O67)</f>
        <v>0</v>
      </c>
      <c r="P68" s="957"/>
      <c r="Q68" s="957"/>
      <c r="R68" s="957"/>
      <c r="S68" s="792">
        <f>SUM(S66:S67)</f>
        <v>0</v>
      </c>
      <c r="T68" s="957"/>
      <c r="U68" s="1295"/>
      <c r="V68" s="1295"/>
      <c r="W68" s="792">
        <f>SUM(W66:W67)</f>
        <v>0</v>
      </c>
      <c r="X68" s="957"/>
      <c r="Y68" s="1297"/>
      <c r="Z68" s="1298"/>
      <c r="AA68" s="792">
        <f>SUM(AA66:AA67)</f>
        <v>0</v>
      </c>
      <c r="AB68" s="976"/>
      <c r="AC68" s="957"/>
      <c r="AD68" s="787">
        <f>G68+K68+O68+S68+W68+AA68</f>
        <v>0</v>
      </c>
      <c r="AE68" s="971"/>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292"/>
      <c r="BH68" s="292"/>
      <c r="BI68" s="292"/>
      <c r="BJ68" s="292"/>
      <c r="BK68" s="292"/>
      <c r="BL68" s="292"/>
      <c r="BM68" s="292"/>
      <c r="BN68" s="292"/>
      <c r="BO68" s="292"/>
      <c r="BP68" s="292"/>
      <c r="BQ68" s="292"/>
      <c r="BR68" s="292"/>
      <c r="BS68" s="292"/>
      <c r="BT68" s="292"/>
      <c r="BU68" s="292"/>
      <c r="BV68" s="292"/>
      <c r="BW68" s="292"/>
      <c r="BX68" s="292"/>
      <c r="BY68" s="292"/>
      <c r="BZ68" s="292"/>
      <c r="CA68" s="292"/>
      <c r="CB68" s="292"/>
      <c r="CC68" s="292"/>
      <c r="CD68" s="292"/>
      <c r="CE68" s="292"/>
      <c r="CF68" s="292"/>
      <c r="CG68" s="292"/>
      <c r="CH68" s="292"/>
      <c r="CI68" s="292"/>
      <c r="CJ68" s="292"/>
      <c r="CK68" s="292"/>
      <c r="CL68" s="292"/>
      <c r="CM68" s="292"/>
      <c r="CN68" s="292"/>
      <c r="CO68" s="292"/>
      <c r="CP68" s="292"/>
      <c r="CQ68" s="292"/>
      <c r="CR68" s="292"/>
      <c r="CS68" s="292"/>
      <c r="CT68" s="292"/>
      <c r="CU68" s="292"/>
      <c r="CV68" s="292"/>
      <c r="CW68" s="292"/>
      <c r="CX68" s="292"/>
      <c r="CY68" s="292"/>
      <c r="CZ68" s="292"/>
      <c r="DA68" s="292"/>
      <c r="DB68" s="292"/>
      <c r="DC68" s="292"/>
      <c r="DD68" s="292"/>
      <c r="DE68" s="292"/>
      <c r="DF68" s="292"/>
      <c r="DG68" s="292"/>
      <c r="DH68" s="292"/>
      <c r="DI68" s="292"/>
      <c r="DJ68" s="292"/>
      <c r="DK68" s="292"/>
      <c r="DL68" s="292"/>
      <c r="DM68" s="292"/>
      <c r="DN68" s="292"/>
      <c r="DO68" s="292"/>
      <c r="DP68" s="292"/>
      <c r="DQ68" s="292"/>
      <c r="DR68" s="292"/>
      <c r="DS68" s="292"/>
      <c r="DT68" s="292"/>
      <c r="DU68" s="292"/>
      <c r="DV68" s="292"/>
      <c r="DW68" s="292"/>
      <c r="DX68" s="292"/>
      <c r="DY68" s="292"/>
      <c r="DZ68" s="292"/>
      <c r="EA68" s="292"/>
      <c r="EB68" s="292"/>
      <c r="EC68" s="292"/>
      <c r="ED68" s="292"/>
      <c r="EE68" s="292"/>
      <c r="EF68" s="292"/>
      <c r="EG68" s="292"/>
      <c r="EH68" s="292"/>
      <c r="EI68" s="292"/>
      <c r="EJ68" s="292"/>
      <c r="EK68" s="292"/>
      <c r="EL68" s="292"/>
      <c r="EM68" s="292"/>
      <c r="EN68" s="292"/>
      <c r="EO68" s="292"/>
      <c r="EP68" s="292"/>
      <c r="EQ68" s="292"/>
      <c r="ER68" s="292"/>
      <c r="ES68" s="292"/>
      <c r="ET68" s="292"/>
      <c r="EU68" s="292"/>
      <c r="EV68" s="292"/>
      <c r="EW68" s="292"/>
      <c r="EX68" s="292"/>
      <c r="EY68" s="292"/>
      <c r="EZ68" s="292"/>
      <c r="FA68" s="292"/>
      <c r="FB68" s="292"/>
      <c r="FC68" s="292"/>
      <c r="FD68" s="292"/>
      <c r="FE68" s="292"/>
      <c r="FF68" s="292"/>
      <c r="FG68" s="292"/>
      <c r="FH68" s="292"/>
      <c r="FI68" s="292"/>
      <c r="FJ68" s="292"/>
      <c r="FK68" s="292"/>
      <c r="FL68" s="292"/>
      <c r="FM68" s="292"/>
      <c r="FN68" s="292"/>
      <c r="FO68" s="292"/>
      <c r="FP68" s="292"/>
      <c r="FQ68" s="292"/>
      <c r="FR68" s="292"/>
      <c r="FS68" s="292"/>
      <c r="FT68" s="292"/>
      <c r="FU68" s="292"/>
      <c r="FV68" s="292"/>
      <c r="FW68" s="292"/>
      <c r="FX68" s="292"/>
      <c r="FY68" s="292"/>
      <c r="FZ68" s="292"/>
      <c r="GA68" s="292"/>
      <c r="GB68" s="292"/>
      <c r="GC68" s="292"/>
      <c r="GD68" s="292"/>
      <c r="GE68" s="292"/>
      <c r="GF68" s="292"/>
      <c r="GG68" s="292"/>
      <c r="GH68" s="292"/>
      <c r="GI68" s="292"/>
      <c r="GJ68" s="292"/>
      <c r="GK68" s="292"/>
      <c r="GL68" s="292"/>
      <c r="GM68" s="292"/>
      <c r="GN68" s="292"/>
      <c r="GO68" s="292"/>
      <c r="GP68" s="292"/>
      <c r="GQ68" s="292"/>
      <c r="GR68" s="292"/>
      <c r="GS68" s="292"/>
      <c r="GT68" s="292"/>
      <c r="GU68" s="292"/>
      <c r="GV68" s="292"/>
      <c r="GW68" s="292"/>
      <c r="GX68" s="292"/>
      <c r="GY68" s="292"/>
      <c r="GZ68" s="292"/>
      <c r="HA68" s="292"/>
      <c r="HB68" s="292"/>
      <c r="HC68" s="292"/>
      <c r="HD68" s="292"/>
      <c r="HE68" s="292"/>
      <c r="HF68" s="292"/>
      <c r="HG68" s="292"/>
      <c r="HH68" s="292"/>
      <c r="HI68" s="292"/>
      <c r="HJ68" s="292"/>
      <c r="HK68" s="292"/>
      <c r="HL68" s="292"/>
      <c r="HM68" s="292"/>
      <c r="HN68" s="292"/>
      <c r="HO68" s="292"/>
      <c r="HP68" s="292"/>
      <c r="HQ68" s="292"/>
      <c r="HR68" s="292"/>
      <c r="HS68" s="292"/>
      <c r="HT68" s="292"/>
      <c r="HU68" s="292"/>
      <c r="HV68" s="292"/>
      <c r="HW68" s="292"/>
      <c r="HX68" s="292"/>
      <c r="HY68" s="292"/>
      <c r="HZ68" s="292"/>
      <c r="IA68" s="292"/>
      <c r="IB68" s="292"/>
      <c r="IC68" s="292"/>
      <c r="ID68" s="292"/>
      <c r="IE68" s="292"/>
      <c r="IF68" s="292"/>
      <c r="IG68" s="292"/>
      <c r="IH68" s="292"/>
      <c r="II68" s="292"/>
      <c r="IJ68" s="292"/>
      <c r="IK68" s="292"/>
      <c r="IL68" s="292"/>
      <c r="IM68" s="292"/>
      <c r="IN68" s="292"/>
      <c r="IO68" s="292"/>
      <c r="IP68" s="292"/>
      <c r="IQ68" s="292"/>
      <c r="IR68" s="292"/>
      <c r="IS68" s="292"/>
      <c r="IT68" s="292"/>
      <c r="IU68" s="292"/>
      <c r="IV68" s="292"/>
      <c r="IW68" s="292"/>
      <c r="IX68" s="292"/>
      <c r="IY68" s="292"/>
      <c r="IZ68" s="292"/>
      <c r="JA68" s="292"/>
      <c r="JB68" s="292"/>
      <c r="JC68" s="292"/>
      <c r="JD68" s="292"/>
      <c r="JE68" s="292"/>
      <c r="JF68" s="292"/>
      <c r="JG68" s="292"/>
      <c r="JH68" s="292"/>
      <c r="JI68" s="292"/>
      <c r="JJ68" s="292"/>
      <c r="JK68" s="292"/>
      <c r="JL68" s="292"/>
      <c r="JM68" s="292"/>
      <c r="JN68" s="292"/>
      <c r="JO68" s="292"/>
      <c r="JP68" s="292"/>
      <c r="JQ68" s="292"/>
      <c r="JR68" s="292"/>
      <c r="JS68" s="292"/>
      <c r="JT68" s="292"/>
      <c r="JU68" s="292"/>
      <c r="JV68" s="292"/>
      <c r="JW68" s="292"/>
      <c r="JX68" s="292"/>
      <c r="JY68" s="292"/>
      <c r="JZ68" s="292"/>
      <c r="KA68" s="292"/>
      <c r="KB68" s="292"/>
      <c r="KC68" s="292"/>
      <c r="KD68" s="292"/>
      <c r="KE68" s="292"/>
      <c r="KF68" s="292"/>
      <c r="KG68" s="292"/>
      <c r="KH68" s="292"/>
      <c r="KI68" s="292"/>
      <c r="KJ68" s="292"/>
      <c r="KK68" s="292"/>
      <c r="KL68" s="292"/>
      <c r="KM68" s="292"/>
      <c r="KN68" s="292"/>
      <c r="KO68" s="292"/>
      <c r="KP68" s="292"/>
      <c r="KQ68" s="292"/>
      <c r="KR68" s="292"/>
      <c r="KS68" s="292"/>
      <c r="KT68" s="292"/>
      <c r="KU68" s="292"/>
      <c r="KV68" s="292"/>
      <c r="KW68" s="292"/>
      <c r="KX68" s="292"/>
      <c r="KY68" s="292"/>
      <c r="KZ68" s="292"/>
      <c r="LA68" s="292"/>
      <c r="LB68" s="292"/>
      <c r="LC68" s="292"/>
      <c r="LD68" s="292"/>
      <c r="LE68" s="292"/>
      <c r="LF68" s="292"/>
      <c r="LG68" s="292"/>
      <c r="LH68" s="292"/>
      <c r="LI68" s="292"/>
      <c r="LJ68" s="292"/>
      <c r="LK68" s="292"/>
      <c r="LL68" s="292"/>
      <c r="LM68" s="292"/>
      <c r="LN68" s="292"/>
      <c r="LO68" s="292"/>
      <c r="LP68" s="292"/>
      <c r="LQ68" s="292"/>
      <c r="LR68" s="292"/>
      <c r="LS68" s="292"/>
      <c r="LT68" s="292"/>
      <c r="LU68" s="292"/>
      <c r="LV68" s="292"/>
      <c r="LW68" s="292"/>
      <c r="LX68" s="292"/>
      <c r="LY68" s="292"/>
      <c r="LZ68" s="292"/>
      <c r="MA68" s="292"/>
      <c r="MB68" s="292"/>
      <c r="MC68" s="292"/>
      <c r="MD68" s="292"/>
      <c r="ME68" s="292"/>
      <c r="MF68" s="292"/>
      <c r="MG68" s="292"/>
      <c r="MH68" s="292"/>
      <c r="MI68" s="292"/>
      <c r="MJ68" s="292"/>
      <c r="MK68" s="292"/>
      <c r="ML68" s="292"/>
      <c r="MM68" s="292"/>
      <c r="MN68" s="292"/>
      <c r="MO68" s="292"/>
      <c r="MP68" s="292"/>
      <c r="MQ68" s="292"/>
      <c r="MR68" s="292"/>
      <c r="MS68" s="292"/>
      <c r="MT68" s="292"/>
      <c r="MU68" s="292"/>
      <c r="MV68" s="292"/>
      <c r="MW68" s="292"/>
      <c r="MX68" s="292"/>
      <c r="MY68" s="292"/>
      <c r="MZ68" s="292"/>
      <c r="NA68" s="292"/>
      <c r="NB68" s="292"/>
      <c r="NC68" s="292"/>
      <c r="ND68" s="292"/>
      <c r="NE68" s="292"/>
      <c r="NF68" s="292"/>
      <c r="NG68" s="292"/>
      <c r="NH68" s="292"/>
      <c r="NI68" s="292"/>
      <c r="NJ68" s="292"/>
      <c r="NK68" s="292"/>
      <c r="NL68" s="292"/>
      <c r="NM68" s="292"/>
      <c r="NN68" s="292"/>
      <c r="NO68" s="292"/>
      <c r="NP68" s="292"/>
      <c r="NQ68" s="292"/>
      <c r="NR68" s="292"/>
      <c r="NS68" s="292"/>
      <c r="NT68" s="292"/>
      <c r="NU68" s="292"/>
      <c r="NV68" s="292"/>
      <c r="NW68" s="292"/>
      <c r="NX68" s="292"/>
      <c r="NY68" s="292"/>
      <c r="NZ68" s="292"/>
      <c r="OA68" s="292"/>
      <c r="OB68" s="292"/>
      <c r="OC68" s="292"/>
      <c r="OD68" s="292"/>
      <c r="OE68" s="292"/>
      <c r="OF68" s="292"/>
      <c r="OG68" s="292"/>
      <c r="OH68" s="292"/>
      <c r="OI68" s="292"/>
      <c r="OJ68" s="292"/>
      <c r="OK68" s="292"/>
      <c r="OL68" s="292"/>
      <c r="OM68" s="292"/>
      <c r="ON68" s="292"/>
      <c r="OO68" s="292"/>
      <c r="OP68" s="292"/>
      <c r="OQ68" s="292"/>
      <c r="OR68" s="292"/>
      <c r="OS68" s="292"/>
      <c r="OT68" s="292"/>
      <c r="OU68" s="292"/>
      <c r="OV68" s="292"/>
      <c r="OW68" s="292"/>
      <c r="OX68" s="292"/>
      <c r="OY68" s="292"/>
      <c r="OZ68" s="292"/>
      <c r="PA68" s="292"/>
      <c r="PB68" s="292"/>
      <c r="PC68" s="292"/>
      <c r="PD68" s="292"/>
      <c r="PE68" s="292"/>
      <c r="PF68" s="292"/>
      <c r="PG68" s="292"/>
      <c r="PH68" s="292"/>
      <c r="PI68" s="292"/>
      <c r="PJ68" s="292"/>
      <c r="PK68" s="292"/>
      <c r="PL68" s="292"/>
      <c r="PM68" s="292"/>
      <c r="PN68" s="292"/>
      <c r="PO68" s="292"/>
      <c r="PP68" s="292"/>
      <c r="PQ68" s="292"/>
      <c r="PR68" s="292"/>
      <c r="PS68" s="292"/>
      <c r="PT68" s="292"/>
      <c r="PU68" s="292"/>
      <c r="PV68" s="292"/>
      <c r="PW68" s="292"/>
      <c r="PX68" s="292"/>
      <c r="PY68" s="292"/>
      <c r="PZ68" s="292"/>
      <c r="QA68" s="292"/>
      <c r="QB68" s="292"/>
      <c r="QC68" s="292"/>
      <c r="QD68" s="292"/>
      <c r="QE68" s="292"/>
      <c r="QF68" s="292"/>
      <c r="QG68" s="292"/>
      <c r="QH68" s="292"/>
      <c r="QI68" s="292"/>
      <c r="QJ68" s="292"/>
      <c r="QK68" s="292"/>
      <c r="QL68" s="292"/>
      <c r="QM68" s="292"/>
      <c r="QN68" s="292"/>
      <c r="QO68" s="292"/>
      <c r="QP68" s="292"/>
      <c r="QQ68" s="292"/>
      <c r="QR68" s="292"/>
      <c r="QS68" s="292"/>
      <c r="QT68" s="292"/>
      <c r="QU68" s="292"/>
      <c r="QV68" s="292"/>
      <c r="QW68" s="292"/>
      <c r="QX68" s="292"/>
      <c r="QY68" s="292"/>
      <c r="QZ68" s="292"/>
      <c r="RA68" s="292"/>
      <c r="RB68" s="292"/>
      <c r="RC68" s="292"/>
      <c r="RD68" s="292"/>
      <c r="RE68" s="292"/>
      <c r="RF68" s="292"/>
      <c r="RG68" s="292"/>
      <c r="RH68" s="292"/>
      <c r="RI68" s="292"/>
      <c r="RJ68" s="292"/>
      <c r="RK68" s="292"/>
      <c r="RL68" s="292"/>
      <c r="RM68" s="292"/>
      <c r="RN68" s="292"/>
      <c r="RO68" s="292"/>
      <c r="RP68" s="292"/>
      <c r="RQ68" s="292"/>
      <c r="RR68" s="292"/>
      <c r="RS68" s="292"/>
      <c r="RT68" s="292"/>
      <c r="RU68" s="292"/>
      <c r="RV68" s="292"/>
      <c r="RW68" s="292"/>
      <c r="RX68" s="292"/>
      <c r="RY68" s="292"/>
      <c r="RZ68" s="292"/>
      <c r="SA68" s="292"/>
      <c r="SB68" s="292"/>
      <c r="SC68" s="292"/>
      <c r="SD68" s="292"/>
      <c r="SE68" s="292"/>
      <c r="SF68" s="292"/>
      <c r="SG68" s="292"/>
      <c r="SH68" s="292"/>
      <c r="SI68" s="292"/>
      <c r="SJ68" s="292"/>
      <c r="SK68" s="292"/>
      <c r="SL68" s="292"/>
      <c r="SM68" s="292"/>
      <c r="SN68" s="292"/>
      <c r="SO68" s="292"/>
      <c r="SP68" s="292"/>
      <c r="SQ68" s="292"/>
      <c r="SR68" s="292"/>
      <c r="SS68" s="292"/>
      <c r="ST68" s="292"/>
      <c r="SU68" s="292"/>
    </row>
    <row r="69" spans="1:515" s="624" customFormat="1" ht="11.5" customHeight="1" x14ac:dyDescent="0.25">
      <c r="A69" s="986"/>
      <c r="B69" s="984"/>
      <c r="C69" s="984"/>
      <c r="D69" s="957"/>
      <c r="E69" s="960"/>
      <c r="F69" s="960"/>
      <c r="G69" s="981"/>
      <c r="H69" s="957"/>
      <c r="I69" s="957"/>
      <c r="J69" s="957"/>
      <c r="K69" s="981"/>
      <c r="L69" s="957"/>
      <c r="M69" s="957"/>
      <c r="N69" s="957"/>
      <c r="O69" s="981"/>
      <c r="P69" s="957"/>
      <c r="Q69" s="957"/>
      <c r="R69" s="957"/>
      <c r="S69" s="981"/>
      <c r="T69" s="957"/>
      <c r="U69" s="1180"/>
      <c r="V69" s="1180"/>
      <c r="W69" s="981"/>
      <c r="X69" s="957"/>
      <c r="Y69" s="1180"/>
      <c r="Z69" s="1180"/>
      <c r="AA69" s="981"/>
      <c r="AB69" s="976"/>
      <c r="AC69" s="957"/>
      <c r="AD69" s="976"/>
      <c r="AE69" s="971"/>
      <c r="AF69" s="292"/>
      <c r="AG69" s="292"/>
      <c r="AH69" s="292"/>
      <c r="AI69" s="292"/>
      <c r="AJ69" s="292"/>
      <c r="AK69" s="292"/>
      <c r="AL69" s="292"/>
      <c r="AM69" s="292"/>
      <c r="AN69" s="292"/>
      <c r="AO69" s="292"/>
      <c r="AP69" s="292"/>
      <c r="AQ69" s="292"/>
      <c r="AR69" s="292"/>
      <c r="AS69" s="292"/>
      <c r="AT69" s="292"/>
      <c r="AU69" s="292"/>
      <c r="AV69" s="292"/>
      <c r="AW69" s="292"/>
      <c r="AX69" s="292"/>
      <c r="AY69" s="292"/>
      <c r="AZ69" s="292"/>
      <c r="BA69" s="292"/>
      <c r="BB69" s="292"/>
      <c r="BC69" s="292"/>
      <c r="BD69" s="292"/>
      <c r="BE69" s="292"/>
      <c r="BF69" s="292"/>
      <c r="BG69" s="292"/>
      <c r="BH69" s="292"/>
      <c r="BI69" s="292"/>
      <c r="BJ69" s="292"/>
      <c r="BK69" s="292"/>
      <c r="BL69" s="292"/>
      <c r="BM69" s="292"/>
      <c r="BN69" s="292"/>
      <c r="BO69" s="292"/>
      <c r="BP69" s="292"/>
      <c r="BQ69" s="292"/>
      <c r="BR69" s="292"/>
      <c r="BS69" s="292"/>
      <c r="BT69" s="292"/>
      <c r="BU69" s="292"/>
      <c r="BV69" s="292"/>
      <c r="BW69" s="292"/>
      <c r="BX69" s="292"/>
      <c r="BY69" s="292"/>
      <c r="BZ69" s="292"/>
      <c r="CA69" s="292"/>
      <c r="CB69" s="292"/>
      <c r="CC69" s="292"/>
      <c r="CD69" s="292"/>
      <c r="CE69" s="292"/>
      <c r="CF69" s="292"/>
      <c r="CG69" s="292"/>
      <c r="CH69" s="292"/>
      <c r="CI69" s="292"/>
      <c r="CJ69" s="292"/>
      <c r="CK69" s="292"/>
      <c r="CL69" s="292"/>
      <c r="CM69" s="292"/>
      <c r="CN69" s="292"/>
      <c r="CO69" s="292"/>
      <c r="CP69" s="292"/>
      <c r="CQ69" s="292"/>
      <c r="CR69" s="292"/>
      <c r="CS69" s="292"/>
      <c r="CT69" s="292"/>
      <c r="CU69" s="292"/>
      <c r="CV69" s="292"/>
      <c r="CW69" s="292"/>
      <c r="CX69" s="292"/>
      <c r="CY69" s="292"/>
      <c r="CZ69" s="292"/>
      <c r="DA69" s="292"/>
      <c r="DB69" s="292"/>
      <c r="DC69" s="292"/>
      <c r="DD69" s="292"/>
      <c r="DE69" s="292"/>
      <c r="DF69" s="292"/>
      <c r="DG69" s="292"/>
      <c r="DH69" s="292"/>
      <c r="DI69" s="292"/>
      <c r="DJ69" s="292"/>
      <c r="DK69" s="292"/>
      <c r="DL69" s="292"/>
      <c r="DM69" s="292"/>
      <c r="DN69" s="292"/>
      <c r="DO69" s="292"/>
      <c r="DP69" s="292"/>
      <c r="DQ69" s="292"/>
      <c r="DR69" s="292"/>
      <c r="DS69" s="292"/>
      <c r="DT69" s="292"/>
      <c r="DU69" s="292"/>
      <c r="DV69" s="292"/>
      <c r="DW69" s="292"/>
      <c r="DX69" s="292"/>
      <c r="DY69" s="292"/>
      <c r="DZ69" s="292"/>
      <c r="EA69" s="292"/>
      <c r="EB69" s="292"/>
      <c r="EC69" s="292"/>
      <c r="ED69" s="292"/>
      <c r="EE69" s="292"/>
      <c r="EF69" s="292"/>
      <c r="EG69" s="292"/>
      <c r="EH69" s="292"/>
      <c r="EI69" s="292"/>
      <c r="EJ69" s="292"/>
      <c r="EK69" s="292"/>
      <c r="EL69" s="292"/>
      <c r="EM69" s="292"/>
      <c r="EN69" s="292"/>
      <c r="EO69" s="292"/>
      <c r="EP69" s="292"/>
      <c r="EQ69" s="292"/>
      <c r="ER69" s="292"/>
      <c r="ES69" s="292"/>
      <c r="ET69" s="292"/>
      <c r="EU69" s="292"/>
      <c r="EV69" s="292"/>
      <c r="EW69" s="292"/>
      <c r="EX69" s="292"/>
      <c r="EY69" s="292"/>
      <c r="EZ69" s="292"/>
      <c r="FA69" s="292"/>
      <c r="FB69" s="292"/>
      <c r="FC69" s="292"/>
      <c r="FD69" s="292"/>
      <c r="FE69" s="292"/>
      <c r="FF69" s="292"/>
      <c r="FG69" s="292"/>
      <c r="FH69" s="292"/>
      <c r="FI69" s="292"/>
      <c r="FJ69" s="292"/>
      <c r="FK69" s="292"/>
      <c r="FL69" s="292"/>
      <c r="FM69" s="292"/>
      <c r="FN69" s="292"/>
      <c r="FO69" s="292"/>
      <c r="FP69" s="292"/>
      <c r="FQ69" s="292"/>
      <c r="FR69" s="292"/>
      <c r="FS69" s="292"/>
      <c r="FT69" s="292"/>
      <c r="FU69" s="292"/>
      <c r="FV69" s="292"/>
      <c r="FW69" s="292"/>
      <c r="FX69" s="292"/>
      <c r="FY69" s="292"/>
      <c r="FZ69" s="292"/>
      <c r="GA69" s="292"/>
      <c r="GB69" s="292"/>
      <c r="GC69" s="292"/>
      <c r="GD69" s="292"/>
      <c r="GE69" s="292"/>
      <c r="GF69" s="292"/>
      <c r="GG69" s="292"/>
      <c r="GH69" s="292"/>
      <c r="GI69" s="292"/>
      <c r="GJ69" s="292"/>
      <c r="GK69" s="292"/>
      <c r="GL69" s="292"/>
      <c r="GM69" s="292"/>
      <c r="GN69" s="292"/>
      <c r="GO69" s="292"/>
      <c r="GP69" s="292"/>
      <c r="GQ69" s="292"/>
      <c r="GR69" s="292"/>
      <c r="GS69" s="292"/>
      <c r="GT69" s="292"/>
      <c r="GU69" s="292"/>
      <c r="GV69" s="292"/>
      <c r="GW69" s="292"/>
      <c r="GX69" s="292"/>
      <c r="GY69" s="292"/>
      <c r="GZ69" s="292"/>
      <c r="HA69" s="292"/>
      <c r="HB69" s="292"/>
      <c r="HC69" s="292"/>
      <c r="HD69" s="292"/>
      <c r="HE69" s="292"/>
      <c r="HF69" s="292"/>
      <c r="HG69" s="292"/>
      <c r="HH69" s="292"/>
      <c r="HI69" s="292"/>
      <c r="HJ69" s="292"/>
      <c r="HK69" s="292"/>
      <c r="HL69" s="292"/>
      <c r="HM69" s="292"/>
      <c r="HN69" s="292"/>
      <c r="HO69" s="292"/>
      <c r="HP69" s="292"/>
      <c r="HQ69" s="292"/>
      <c r="HR69" s="292"/>
      <c r="HS69" s="292"/>
      <c r="HT69" s="292"/>
      <c r="HU69" s="292"/>
      <c r="HV69" s="292"/>
      <c r="HW69" s="292"/>
      <c r="HX69" s="292"/>
      <c r="HY69" s="292"/>
      <c r="HZ69" s="292"/>
      <c r="IA69" s="292"/>
      <c r="IB69" s="292"/>
      <c r="IC69" s="292"/>
      <c r="ID69" s="292"/>
      <c r="IE69" s="292"/>
      <c r="IF69" s="292"/>
      <c r="IG69" s="292"/>
      <c r="IH69" s="292"/>
      <c r="II69" s="292"/>
      <c r="IJ69" s="292"/>
      <c r="IK69" s="292"/>
      <c r="IL69" s="292"/>
      <c r="IM69" s="292"/>
      <c r="IN69" s="292"/>
      <c r="IO69" s="292"/>
      <c r="IP69" s="292"/>
      <c r="IQ69" s="292"/>
      <c r="IR69" s="292"/>
      <c r="IS69" s="292"/>
      <c r="IT69" s="292"/>
      <c r="IU69" s="292"/>
      <c r="IV69" s="292"/>
      <c r="IW69" s="292"/>
      <c r="IX69" s="292"/>
      <c r="IY69" s="292"/>
      <c r="IZ69" s="292"/>
      <c r="JA69" s="292"/>
      <c r="JB69" s="292"/>
      <c r="JC69" s="292"/>
      <c r="JD69" s="292"/>
      <c r="JE69" s="292"/>
      <c r="JF69" s="292"/>
      <c r="JG69" s="292"/>
      <c r="JH69" s="292"/>
      <c r="JI69" s="292"/>
      <c r="JJ69" s="292"/>
      <c r="JK69" s="292"/>
      <c r="JL69" s="292"/>
      <c r="JM69" s="292"/>
      <c r="JN69" s="292"/>
      <c r="JO69" s="292"/>
      <c r="JP69" s="292"/>
      <c r="JQ69" s="292"/>
      <c r="JR69" s="292"/>
      <c r="JS69" s="292"/>
      <c r="JT69" s="292"/>
      <c r="JU69" s="292"/>
      <c r="JV69" s="292"/>
      <c r="JW69" s="292"/>
      <c r="JX69" s="292"/>
      <c r="JY69" s="292"/>
      <c r="JZ69" s="292"/>
      <c r="KA69" s="292"/>
      <c r="KB69" s="292"/>
      <c r="KC69" s="292"/>
      <c r="KD69" s="292"/>
      <c r="KE69" s="292"/>
      <c r="KF69" s="292"/>
      <c r="KG69" s="292"/>
      <c r="KH69" s="292"/>
      <c r="KI69" s="292"/>
      <c r="KJ69" s="292"/>
      <c r="KK69" s="292"/>
      <c r="KL69" s="292"/>
      <c r="KM69" s="292"/>
      <c r="KN69" s="292"/>
      <c r="KO69" s="292"/>
      <c r="KP69" s="292"/>
      <c r="KQ69" s="292"/>
      <c r="KR69" s="292"/>
      <c r="KS69" s="292"/>
      <c r="KT69" s="292"/>
      <c r="KU69" s="292"/>
      <c r="KV69" s="292"/>
      <c r="KW69" s="292"/>
      <c r="KX69" s="292"/>
      <c r="KY69" s="292"/>
      <c r="KZ69" s="292"/>
      <c r="LA69" s="292"/>
      <c r="LB69" s="292"/>
      <c r="LC69" s="292"/>
      <c r="LD69" s="292"/>
      <c r="LE69" s="292"/>
      <c r="LF69" s="292"/>
      <c r="LG69" s="292"/>
      <c r="LH69" s="292"/>
      <c r="LI69" s="292"/>
      <c r="LJ69" s="292"/>
      <c r="LK69" s="292"/>
      <c r="LL69" s="292"/>
      <c r="LM69" s="292"/>
      <c r="LN69" s="292"/>
      <c r="LO69" s="292"/>
      <c r="LP69" s="292"/>
      <c r="LQ69" s="292"/>
      <c r="LR69" s="292"/>
      <c r="LS69" s="292"/>
      <c r="LT69" s="292"/>
      <c r="LU69" s="292"/>
      <c r="LV69" s="292"/>
      <c r="LW69" s="292"/>
      <c r="LX69" s="292"/>
      <c r="LY69" s="292"/>
      <c r="LZ69" s="292"/>
      <c r="MA69" s="292"/>
      <c r="MB69" s="292"/>
      <c r="MC69" s="292"/>
      <c r="MD69" s="292"/>
      <c r="ME69" s="292"/>
      <c r="MF69" s="292"/>
      <c r="MG69" s="292"/>
      <c r="MH69" s="292"/>
      <c r="MI69" s="292"/>
      <c r="MJ69" s="292"/>
      <c r="MK69" s="292"/>
      <c r="ML69" s="292"/>
      <c r="MM69" s="292"/>
      <c r="MN69" s="292"/>
      <c r="MO69" s="292"/>
      <c r="MP69" s="292"/>
      <c r="MQ69" s="292"/>
      <c r="MR69" s="292"/>
      <c r="MS69" s="292"/>
      <c r="MT69" s="292"/>
      <c r="MU69" s="292"/>
      <c r="MV69" s="292"/>
      <c r="MW69" s="292"/>
      <c r="MX69" s="292"/>
      <c r="MY69" s="292"/>
      <c r="MZ69" s="292"/>
      <c r="NA69" s="292"/>
      <c r="NB69" s="292"/>
      <c r="NC69" s="292"/>
      <c r="ND69" s="292"/>
      <c r="NE69" s="292"/>
      <c r="NF69" s="292"/>
      <c r="NG69" s="292"/>
      <c r="NH69" s="292"/>
      <c r="NI69" s="292"/>
      <c r="NJ69" s="292"/>
      <c r="NK69" s="292"/>
      <c r="NL69" s="292"/>
      <c r="NM69" s="292"/>
      <c r="NN69" s="292"/>
      <c r="NO69" s="292"/>
      <c r="NP69" s="292"/>
      <c r="NQ69" s="292"/>
      <c r="NR69" s="292"/>
      <c r="NS69" s="292"/>
      <c r="NT69" s="292"/>
      <c r="NU69" s="292"/>
      <c r="NV69" s="292"/>
      <c r="NW69" s="292"/>
      <c r="NX69" s="292"/>
      <c r="NY69" s="292"/>
      <c r="NZ69" s="292"/>
      <c r="OA69" s="292"/>
      <c r="OB69" s="292"/>
      <c r="OC69" s="292"/>
      <c r="OD69" s="292"/>
      <c r="OE69" s="292"/>
      <c r="OF69" s="292"/>
      <c r="OG69" s="292"/>
      <c r="OH69" s="292"/>
      <c r="OI69" s="292"/>
      <c r="OJ69" s="292"/>
      <c r="OK69" s="292"/>
      <c r="OL69" s="292"/>
      <c r="OM69" s="292"/>
      <c r="ON69" s="292"/>
      <c r="OO69" s="292"/>
      <c r="OP69" s="292"/>
      <c r="OQ69" s="292"/>
      <c r="OR69" s="292"/>
      <c r="OS69" s="292"/>
      <c r="OT69" s="292"/>
      <c r="OU69" s="292"/>
      <c r="OV69" s="292"/>
      <c r="OW69" s="292"/>
      <c r="OX69" s="292"/>
      <c r="OY69" s="292"/>
      <c r="OZ69" s="292"/>
      <c r="PA69" s="292"/>
      <c r="PB69" s="292"/>
      <c r="PC69" s="292"/>
      <c r="PD69" s="292"/>
      <c r="PE69" s="292"/>
      <c r="PF69" s="292"/>
      <c r="PG69" s="292"/>
      <c r="PH69" s="292"/>
      <c r="PI69" s="292"/>
      <c r="PJ69" s="292"/>
      <c r="PK69" s="292"/>
      <c r="PL69" s="292"/>
      <c r="PM69" s="292"/>
      <c r="PN69" s="292"/>
      <c r="PO69" s="292"/>
      <c r="PP69" s="292"/>
      <c r="PQ69" s="292"/>
      <c r="PR69" s="292"/>
      <c r="PS69" s="292"/>
      <c r="PT69" s="292"/>
      <c r="PU69" s="292"/>
      <c r="PV69" s="292"/>
      <c r="PW69" s="292"/>
      <c r="PX69" s="292"/>
      <c r="PY69" s="292"/>
      <c r="PZ69" s="292"/>
      <c r="QA69" s="292"/>
      <c r="QB69" s="292"/>
      <c r="QC69" s="292"/>
      <c r="QD69" s="292"/>
      <c r="QE69" s="292"/>
      <c r="QF69" s="292"/>
      <c r="QG69" s="292"/>
      <c r="QH69" s="292"/>
      <c r="QI69" s="292"/>
      <c r="QJ69" s="292"/>
      <c r="QK69" s="292"/>
      <c r="QL69" s="292"/>
      <c r="QM69" s="292"/>
      <c r="QN69" s="292"/>
      <c r="QO69" s="292"/>
      <c r="QP69" s="292"/>
      <c r="QQ69" s="292"/>
      <c r="QR69" s="292"/>
      <c r="QS69" s="292"/>
      <c r="QT69" s="292"/>
      <c r="QU69" s="292"/>
      <c r="QV69" s="292"/>
      <c r="QW69" s="292"/>
      <c r="QX69" s="292"/>
      <c r="QY69" s="292"/>
      <c r="QZ69" s="292"/>
      <c r="RA69" s="292"/>
      <c r="RB69" s="292"/>
      <c r="RC69" s="292"/>
      <c r="RD69" s="292"/>
      <c r="RE69" s="292"/>
      <c r="RF69" s="292"/>
      <c r="RG69" s="292"/>
      <c r="RH69" s="292"/>
      <c r="RI69" s="292"/>
      <c r="RJ69" s="292"/>
      <c r="RK69" s="292"/>
      <c r="RL69" s="292"/>
      <c r="RM69" s="292"/>
      <c r="RN69" s="292"/>
      <c r="RO69" s="292"/>
      <c r="RP69" s="292"/>
      <c r="RQ69" s="292"/>
      <c r="RR69" s="292"/>
      <c r="RS69" s="292"/>
      <c r="RT69" s="292"/>
      <c r="RU69" s="292"/>
      <c r="RV69" s="292"/>
      <c r="RW69" s="292"/>
      <c r="RX69" s="292"/>
      <c r="RY69" s="292"/>
      <c r="RZ69" s="292"/>
      <c r="SA69" s="292"/>
      <c r="SB69" s="292"/>
      <c r="SC69" s="292"/>
      <c r="SD69" s="292"/>
      <c r="SE69" s="292"/>
      <c r="SF69" s="292"/>
      <c r="SG69" s="292"/>
      <c r="SH69" s="292"/>
      <c r="SI69" s="292"/>
      <c r="SJ69" s="292"/>
      <c r="SK69" s="292"/>
      <c r="SL69" s="292"/>
      <c r="SM69" s="292"/>
      <c r="SN69" s="292"/>
      <c r="SO69" s="292"/>
      <c r="SP69" s="292"/>
      <c r="SQ69" s="292"/>
      <c r="SR69" s="292"/>
      <c r="SS69" s="292"/>
      <c r="ST69" s="292"/>
      <c r="SU69" s="292"/>
    </row>
    <row r="70" spans="1:515" s="624" customFormat="1" ht="11.5" customHeight="1" x14ac:dyDescent="0.25">
      <c r="A70" s="986"/>
      <c r="B70" s="984"/>
      <c r="C70" s="984"/>
      <c r="D70" s="957"/>
      <c r="E70" s="960"/>
      <c r="F70" s="960"/>
      <c r="G70" s="981"/>
      <c r="H70" s="957"/>
      <c r="I70" s="957"/>
      <c r="J70" s="957"/>
      <c r="K70" s="981"/>
      <c r="L70" s="957"/>
      <c r="M70" s="957"/>
      <c r="N70" s="957"/>
      <c r="O70" s="981"/>
      <c r="P70" s="957"/>
      <c r="Q70" s="957"/>
      <c r="R70" s="957"/>
      <c r="S70" s="981"/>
      <c r="T70" s="957"/>
      <c r="U70" s="1180"/>
      <c r="V70" s="1180"/>
      <c r="W70" s="981"/>
      <c r="X70" s="957"/>
      <c r="Y70" s="1180"/>
      <c r="Z70" s="1180"/>
      <c r="AA70" s="981"/>
      <c r="AB70" s="976"/>
      <c r="AC70" s="957"/>
      <c r="AD70" s="976"/>
      <c r="AE70" s="971"/>
      <c r="AF70" s="292"/>
      <c r="AG70" s="292"/>
      <c r="AH70" s="292"/>
      <c r="AI70" s="292"/>
      <c r="AJ70" s="292"/>
      <c r="AK70" s="292"/>
      <c r="AL70" s="292"/>
      <c r="AM70" s="292"/>
      <c r="AN70" s="292"/>
      <c r="AO70" s="292"/>
      <c r="AP70" s="292"/>
      <c r="AQ70" s="292"/>
      <c r="AR70" s="292"/>
      <c r="AS70" s="292"/>
      <c r="AT70" s="292"/>
      <c r="AU70" s="292"/>
      <c r="AV70" s="292"/>
      <c r="AW70" s="292"/>
      <c r="AX70" s="292"/>
      <c r="AY70" s="292"/>
      <c r="AZ70" s="292"/>
      <c r="BA70" s="292"/>
      <c r="BB70" s="292"/>
      <c r="BC70" s="292"/>
      <c r="BD70" s="292"/>
      <c r="BE70" s="292"/>
      <c r="BF70" s="292"/>
      <c r="BG70" s="292"/>
      <c r="BH70" s="292"/>
      <c r="BI70" s="292"/>
      <c r="BJ70" s="292"/>
      <c r="BK70" s="292"/>
      <c r="BL70" s="292"/>
      <c r="BM70" s="292"/>
      <c r="BN70" s="292"/>
      <c r="BO70" s="292"/>
      <c r="BP70" s="292"/>
      <c r="BQ70" s="292"/>
      <c r="BR70" s="292"/>
      <c r="BS70" s="292"/>
      <c r="BT70" s="292"/>
      <c r="BU70" s="292"/>
      <c r="BV70" s="292"/>
      <c r="BW70" s="292"/>
      <c r="BX70" s="292"/>
      <c r="BY70" s="292"/>
      <c r="BZ70" s="292"/>
      <c r="CA70" s="292"/>
      <c r="CB70" s="292"/>
      <c r="CC70" s="292"/>
      <c r="CD70" s="292"/>
      <c r="CE70" s="292"/>
      <c r="CF70" s="292"/>
      <c r="CG70" s="292"/>
      <c r="CH70" s="292"/>
      <c r="CI70" s="292"/>
      <c r="CJ70" s="292"/>
      <c r="CK70" s="292"/>
      <c r="CL70" s="292"/>
      <c r="CM70" s="292"/>
      <c r="CN70" s="292"/>
      <c r="CO70" s="292"/>
      <c r="CP70" s="292"/>
      <c r="CQ70" s="292"/>
      <c r="CR70" s="292"/>
      <c r="CS70" s="292"/>
      <c r="CT70" s="292"/>
      <c r="CU70" s="292"/>
      <c r="CV70" s="292"/>
      <c r="CW70" s="292"/>
      <c r="CX70" s="292"/>
      <c r="CY70" s="292"/>
      <c r="CZ70" s="292"/>
      <c r="DA70" s="292"/>
      <c r="DB70" s="292"/>
      <c r="DC70" s="292"/>
      <c r="DD70" s="292"/>
      <c r="DE70" s="292"/>
      <c r="DF70" s="292"/>
      <c r="DG70" s="292"/>
      <c r="DH70" s="292"/>
      <c r="DI70" s="292"/>
      <c r="DJ70" s="292"/>
      <c r="DK70" s="292"/>
      <c r="DL70" s="292"/>
      <c r="DM70" s="292"/>
      <c r="DN70" s="292"/>
      <c r="DO70" s="292"/>
      <c r="DP70" s="292"/>
      <c r="DQ70" s="292"/>
      <c r="DR70" s="292"/>
      <c r="DS70" s="292"/>
      <c r="DT70" s="292"/>
      <c r="DU70" s="292"/>
      <c r="DV70" s="292"/>
      <c r="DW70" s="292"/>
      <c r="DX70" s="292"/>
      <c r="DY70" s="292"/>
      <c r="DZ70" s="292"/>
      <c r="EA70" s="292"/>
      <c r="EB70" s="292"/>
      <c r="EC70" s="292"/>
      <c r="ED70" s="292"/>
      <c r="EE70" s="292"/>
      <c r="EF70" s="292"/>
      <c r="EG70" s="292"/>
      <c r="EH70" s="292"/>
      <c r="EI70" s="292"/>
      <c r="EJ70" s="292"/>
      <c r="EK70" s="292"/>
      <c r="EL70" s="292"/>
      <c r="EM70" s="292"/>
      <c r="EN70" s="292"/>
      <c r="EO70" s="292"/>
      <c r="EP70" s="292"/>
      <c r="EQ70" s="292"/>
      <c r="ER70" s="292"/>
      <c r="ES70" s="292"/>
      <c r="ET70" s="292"/>
      <c r="EU70" s="292"/>
      <c r="EV70" s="292"/>
      <c r="EW70" s="292"/>
      <c r="EX70" s="292"/>
      <c r="EY70" s="292"/>
      <c r="EZ70" s="292"/>
      <c r="FA70" s="292"/>
      <c r="FB70" s="292"/>
      <c r="FC70" s="292"/>
      <c r="FD70" s="292"/>
      <c r="FE70" s="292"/>
      <c r="FF70" s="292"/>
      <c r="FG70" s="292"/>
      <c r="FH70" s="292"/>
      <c r="FI70" s="292"/>
      <c r="FJ70" s="292"/>
      <c r="FK70" s="292"/>
      <c r="FL70" s="292"/>
      <c r="FM70" s="292"/>
      <c r="FN70" s="292"/>
      <c r="FO70" s="292"/>
      <c r="FP70" s="292"/>
      <c r="FQ70" s="292"/>
      <c r="FR70" s="292"/>
      <c r="FS70" s="292"/>
      <c r="FT70" s="292"/>
      <c r="FU70" s="292"/>
      <c r="FV70" s="292"/>
      <c r="FW70" s="292"/>
      <c r="FX70" s="292"/>
      <c r="FY70" s="292"/>
      <c r="FZ70" s="292"/>
      <c r="GA70" s="292"/>
      <c r="GB70" s="292"/>
      <c r="GC70" s="292"/>
      <c r="GD70" s="292"/>
      <c r="GE70" s="292"/>
      <c r="GF70" s="292"/>
      <c r="GG70" s="292"/>
      <c r="GH70" s="292"/>
      <c r="GI70" s="292"/>
      <c r="GJ70" s="292"/>
      <c r="GK70" s="292"/>
      <c r="GL70" s="292"/>
      <c r="GM70" s="292"/>
      <c r="GN70" s="292"/>
      <c r="GO70" s="292"/>
      <c r="GP70" s="292"/>
      <c r="GQ70" s="292"/>
      <c r="GR70" s="292"/>
      <c r="GS70" s="292"/>
      <c r="GT70" s="292"/>
      <c r="GU70" s="292"/>
      <c r="GV70" s="292"/>
      <c r="GW70" s="292"/>
      <c r="GX70" s="292"/>
      <c r="GY70" s="292"/>
      <c r="GZ70" s="292"/>
      <c r="HA70" s="292"/>
      <c r="HB70" s="292"/>
      <c r="HC70" s="292"/>
      <c r="HD70" s="292"/>
      <c r="HE70" s="292"/>
      <c r="HF70" s="292"/>
      <c r="HG70" s="292"/>
      <c r="HH70" s="292"/>
      <c r="HI70" s="292"/>
      <c r="HJ70" s="292"/>
      <c r="HK70" s="292"/>
      <c r="HL70" s="292"/>
      <c r="HM70" s="292"/>
      <c r="HN70" s="292"/>
      <c r="HO70" s="292"/>
      <c r="HP70" s="292"/>
      <c r="HQ70" s="292"/>
      <c r="HR70" s="292"/>
      <c r="HS70" s="292"/>
      <c r="HT70" s="292"/>
      <c r="HU70" s="292"/>
      <c r="HV70" s="292"/>
      <c r="HW70" s="292"/>
      <c r="HX70" s="292"/>
      <c r="HY70" s="292"/>
      <c r="HZ70" s="292"/>
      <c r="IA70" s="292"/>
      <c r="IB70" s="292"/>
      <c r="IC70" s="292"/>
      <c r="ID70" s="292"/>
      <c r="IE70" s="292"/>
      <c r="IF70" s="292"/>
      <c r="IG70" s="292"/>
      <c r="IH70" s="292"/>
      <c r="II70" s="292"/>
      <c r="IJ70" s="292"/>
      <c r="IK70" s="292"/>
      <c r="IL70" s="292"/>
      <c r="IM70" s="292"/>
      <c r="IN70" s="292"/>
      <c r="IO70" s="292"/>
      <c r="IP70" s="292"/>
      <c r="IQ70" s="292"/>
      <c r="IR70" s="292"/>
      <c r="IS70" s="292"/>
      <c r="IT70" s="292"/>
      <c r="IU70" s="292"/>
      <c r="IV70" s="292"/>
      <c r="IW70" s="292"/>
      <c r="IX70" s="292"/>
      <c r="IY70" s="292"/>
      <c r="IZ70" s="292"/>
      <c r="JA70" s="292"/>
      <c r="JB70" s="292"/>
      <c r="JC70" s="292"/>
      <c r="JD70" s="292"/>
      <c r="JE70" s="292"/>
      <c r="JF70" s="292"/>
      <c r="JG70" s="292"/>
      <c r="JH70" s="292"/>
      <c r="JI70" s="292"/>
      <c r="JJ70" s="292"/>
      <c r="JK70" s="292"/>
      <c r="JL70" s="292"/>
      <c r="JM70" s="292"/>
      <c r="JN70" s="292"/>
      <c r="JO70" s="292"/>
      <c r="JP70" s="292"/>
      <c r="JQ70" s="292"/>
      <c r="JR70" s="292"/>
      <c r="JS70" s="292"/>
      <c r="JT70" s="292"/>
      <c r="JU70" s="292"/>
      <c r="JV70" s="292"/>
      <c r="JW70" s="292"/>
      <c r="JX70" s="292"/>
      <c r="JY70" s="292"/>
      <c r="JZ70" s="292"/>
      <c r="KA70" s="292"/>
      <c r="KB70" s="292"/>
      <c r="KC70" s="292"/>
      <c r="KD70" s="292"/>
      <c r="KE70" s="292"/>
      <c r="KF70" s="292"/>
      <c r="KG70" s="292"/>
      <c r="KH70" s="292"/>
      <c r="KI70" s="292"/>
      <c r="KJ70" s="292"/>
      <c r="KK70" s="292"/>
      <c r="KL70" s="292"/>
      <c r="KM70" s="292"/>
      <c r="KN70" s="292"/>
      <c r="KO70" s="292"/>
      <c r="KP70" s="292"/>
      <c r="KQ70" s="292"/>
      <c r="KR70" s="292"/>
      <c r="KS70" s="292"/>
      <c r="KT70" s="292"/>
      <c r="KU70" s="292"/>
      <c r="KV70" s="292"/>
      <c r="KW70" s="292"/>
      <c r="KX70" s="292"/>
      <c r="KY70" s="292"/>
      <c r="KZ70" s="292"/>
      <c r="LA70" s="292"/>
      <c r="LB70" s="292"/>
      <c r="LC70" s="292"/>
      <c r="LD70" s="292"/>
      <c r="LE70" s="292"/>
      <c r="LF70" s="292"/>
      <c r="LG70" s="292"/>
      <c r="LH70" s="292"/>
      <c r="LI70" s="292"/>
      <c r="LJ70" s="292"/>
      <c r="LK70" s="292"/>
      <c r="LL70" s="292"/>
      <c r="LM70" s="292"/>
      <c r="LN70" s="292"/>
      <c r="LO70" s="292"/>
      <c r="LP70" s="292"/>
      <c r="LQ70" s="292"/>
      <c r="LR70" s="292"/>
      <c r="LS70" s="292"/>
      <c r="LT70" s="292"/>
      <c r="LU70" s="292"/>
      <c r="LV70" s="292"/>
      <c r="LW70" s="292"/>
      <c r="LX70" s="292"/>
      <c r="LY70" s="292"/>
      <c r="LZ70" s="292"/>
      <c r="MA70" s="292"/>
      <c r="MB70" s="292"/>
      <c r="MC70" s="292"/>
      <c r="MD70" s="292"/>
      <c r="ME70" s="292"/>
      <c r="MF70" s="292"/>
      <c r="MG70" s="292"/>
      <c r="MH70" s="292"/>
      <c r="MI70" s="292"/>
      <c r="MJ70" s="292"/>
      <c r="MK70" s="292"/>
      <c r="ML70" s="292"/>
      <c r="MM70" s="292"/>
      <c r="MN70" s="292"/>
      <c r="MO70" s="292"/>
      <c r="MP70" s="292"/>
      <c r="MQ70" s="292"/>
      <c r="MR70" s="292"/>
      <c r="MS70" s="292"/>
      <c r="MT70" s="292"/>
      <c r="MU70" s="292"/>
      <c r="MV70" s="292"/>
      <c r="MW70" s="292"/>
      <c r="MX70" s="292"/>
      <c r="MY70" s="292"/>
      <c r="MZ70" s="292"/>
      <c r="NA70" s="292"/>
      <c r="NB70" s="292"/>
      <c r="NC70" s="292"/>
      <c r="ND70" s="292"/>
      <c r="NE70" s="292"/>
      <c r="NF70" s="292"/>
      <c r="NG70" s="292"/>
      <c r="NH70" s="292"/>
      <c r="NI70" s="292"/>
      <c r="NJ70" s="292"/>
      <c r="NK70" s="292"/>
      <c r="NL70" s="292"/>
      <c r="NM70" s="292"/>
      <c r="NN70" s="292"/>
      <c r="NO70" s="292"/>
      <c r="NP70" s="292"/>
      <c r="NQ70" s="292"/>
      <c r="NR70" s="292"/>
      <c r="NS70" s="292"/>
      <c r="NT70" s="292"/>
      <c r="NU70" s="292"/>
      <c r="NV70" s="292"/>
      <c r="NW70" s="292"/>
      <c r="NX70" s="292"/>
      <c r="NY70" s="292"/>
      <c r="NZ70" s="292"/>
      <c r="OA70" s="292"/>
      <c r="OB70" s="292"/>
      <c r="OC70" s="292"/>
      <c r="OD70" s="292"/>
      <c r="OE70" s="292"/>
      <c r="OF70" s="292"/>
      <c r="OG70" s="292"/>
      <c r="OH70" s="292"/>
      <c r="OI70" s="292"/>
      <c r="OJ70" s="292"/>
      <c r="OK70" s="292"/>
      <c r="OL70" s="292"/>
      <c r="OM70" s="292"/>
      <c r="ON70" s="292"/>
      <c r="OO70" s="292"/>
      <c r="OP70" s="292"/>
      <c r="OQ70" s="292"/>
      <c r="OR70" s="292"/>
      <c r="OS70" s="292"/>
      <c r="OT70" s="292"/>
      <c r="OU70" s="292"/>
      <c r="OV70" s="292"/>
      <c r="OW70" s="292"/>
      <c r="OX70" s="292"/>
      <c r="OY70" s="292"/>
      <c r="OZ70" s="292"/>
      <c r="PA70" s="292"/>
      <c r="PB70" s="292"/>
      <c r="PC70" s="292"/>
      <c r="PD70" s="292"/>
      <c r="PE70" s="292"/>
      <c r="PF70" s="292"/>
      <c r="PG70" s="292"/>
      <c r="PH70" s="292"/>
      <c r="PI70" s="292"/>
      <c r="PJ70" s="292"/>
      <c r="PK70" s="292"/>
      <c r="PL70" s="292"/>
      <c r="PM70" s="292"/>
      <c r="PN70" s="292"/>
      <c r="PO70" s="292"/>
      <c r="PP70" s="292"/>
      <c r="PQ70" s="292"/>
      <c r="PR70" s="292"/>
      <c r="PS70" s="292"/>
      <c r="PT70" s="292"/>
      <c r="PU70" s="292"/>
      <c r="PV70" s="292"/>
      <c r="PW70" s="292"/>
      <c r="PX70" s="292"/>
      <c r="PY70" s="292"/>
      <c r="PZ70" s="292"/>
      <c r="QA70" s="292"/>
      <c r="QB70" s="292"/>
      <c r="QC70" s="292"/>
      <c r="QD70" s="292"/>
      <c r="QE70" s="292"/>
      <c r="QF70" s="292"/>
      <c r="QG70" s="292"/>
      <c r="QH70" s="292"/>
      <c r="QI70" s="292"/>
      <c r="QJ70" s="292"/>
      <c r="QK70" s="292"/>
      <c r="QL70" s="292"/>
      <c r="QM70" s="292"/>
      <c r="QN70" s="292"/>
      <c r="QO70" s="292"/>
      <c r="QP70" s="292"/>
      <c r="QQ70" s="292"/>
      <c r="QR70" s="292"/>
      <c r="QS70" s="292"/>
      <c r="QT70" s="292"/>
      <c r="QU70" s="292"/>
      <c r="QV70" s="292"/>
      <c r="QW70" s="292"/>
      <c r="QX70" s="292"/>
      <c r="QY70" s="292"/>
      <c r="QZ70" s="292"/>
      <c r="RA70" s="292"/>
      <c r="RB70" s="292"/>
      <c r="RC70" s="292"/>
      <c r="RD70" s="292"/>
      <c r="RE70" s="292"/>
      <c r="RF70" s="292"/>
      <c r="RG70" s="292"/>
      <c r="RH70" s="292"/>
      <c r="RI70" s="292"/>
      <c r="RJ70" s="292"/>
      <c r="RK70" s="292"/>
      <c r="RL70" s="292"/>
      <c r="RM70" s="292"/>
      <c r="RN70" s="292"/>
      <c r="RO70" s="292"/>
      <c r="RP70" s="292"/>
      <c r="RQ70" s="292"/>
      <c r="RR70" s="292"/>
      <c r="RS70" s="292"/>
      <c r="RT70" s="292"/>
      <c r="RU70" s="292"/>
      <c r="RV70" s="292"/>
      <c r="RW70" s="292"/>
      <c r="RX70" s="292"/>
      <c r="RY70" s="292"/>
      <c r="RZ70" s="292"/>
      <c r="SA70" s="292"/>
      <c r="SB70" s="292"/>
      <c r="SC70" s="292"/>
      <c r="SD70" s="292"/>
      <c r="SE70" s="292"/>
      <c r="SF70" s="292"/>
      <c r="SG70" s="292"/>
      <c r="SH70" s="292"/>
      <c r="SI70" s="292"/>
      <c r="SJ70" s="292"/>
      <c r="SK70" s="292"/>
      <c r="SL70" s="292"/>
      <c r="SM70" s="292"/>
      <c r="SN70" s="292"/>
      <c r="SO70" s="292"/>
      <c r="SP70" s="292"/>
      <c r="SQ70" s="292"/>
      <c r="SR70" s="292"/>
      <c r="SS70" s="292"/>
      <c r="ST70" s="292"/>
      <c r="SU70" s="292"/>
    </row>
    <row r="71" spans="1:515" s="624" customFormat="1" ht="20.5" customHeight="1" x14ac:dyDescent="0.25">
      <c r="A71" s="986"/>
      <c r="B71" s="984"/>
      <c r="C71" s="984"/>
      <c r="D71" s="957"/>
      <c r="E71" s="1294" t="s">
        <v>374</v>
      </c>
      <c r="F71" s="1294"/>
      <c r="G71" s="1294"/>
      <c r="H71" s="957"/>
      <c r="I71" s="1294" t="s">
        <v>374</v>
      </c>
      <c r="J71" s="1294"/>
      <c r="K71" s="1294"/>
      <c r="L71" s="957"/>
      <c r="M71" s="1294" t="s">
        <v>374</v>
      </c>
      <c r="N71" s="1294"/>
      <c r="O71" s="1294"/>
      <c r="P71" s="957"/>
      <c r="Q71" s="1294" t="s">
        <v>374</v>
      </c>
      <c r="R71" s="1294"/>
      <c r="S71" s="1294"/>
      <c r="T71" s="957"/>
      <c r="U71" s="1294" t="s">
        <v>374</v>
      </c>
      <c r="V71" s="1294"/>
      <c r="W71" s="1294"/>
      <c r="X71" s="957"/>
      <c r="Y71" s="1294" t="s">
        <v>374</v>
      </c>
      <c r="Z71" s="1294"/>
      <c r="AA71" s="1294"/>
      <c r="AB71" s="976"/>
      <c r="AC71" s="957"/>
      <c r="AD71" s="1145" t="s">
        <v>374</v>
      </c>
      <c r="AE71" s="971"/>
      <c r="AF71" s="292"/>
      <c r="AG71" s="292"/>
      <c r="AH71" s="292"/>
      <c r="AI71" s="292"/>
      <c r="AJ71" s="292"/>
      <c r="AK71" s="292"/>
      <c r="AL71" s="292"/>
      <c r="AM71" s="292"/>
      <c r="AN71" s="292"/>
      <c r="AO71" s="292"/>
      <c r="AP71" s="292"/>
      <c r="AQ71" s="292"/>
      <c r="AR71" s="292"/>
      <c r="AS71" s="292"/>
      <c r="AT71" s="292"/>
      <c r="AU71" s="292"/>
      <c r="AV71" s="292"/>
      <c r="AW71" s="292"/>
      <c r="AX71" s="292"/>
      <c r="AY71" s="292"/>
      <c r="AZ71" s="292"/>
      <c r="BA71" s="292"/>
      <c r="BB71" s="292"/>
      <c r="BC71" s="292"/>
      <c r="BD71" s="292"/>
      <c r="BE71" s="292"/>
      <c r="BF71" s="292"/>
      <c r="BG71" s="292"/>
      <c r="BH71" s="292"/>
      <c r="BI71" s="292"/>
      <c r="BJ71" s="292"/>
      <c r="BK71" s="292"/>
      <c r="BL71" s="292"/>
      <c r="BM71" s="292"/>
      <c r="BN71" s="292"/>
      <c r="BO71" s="292"/>
      <c r="BP71" s="292"/>
      <c r="BQ71" s="292"/>
      <c r="BR71" s="292"/>
      <c r="BS71" s="292"/>
      <c r="BT71" s="292"/>
      <c r="BU71" s="292"/>
      <c r="BV71" s="292"/>
      <c r="BW71" s="292"/>
      <c r="BX71" s="292"/>
      <c r="BY71" s="292"/>
      <c r="BZ71" s="292"/>
      <c r="CA71" s="292"/>
      <c r="CB71" s="292"/>
      <c r="CC71" s="292"/>
      <c r="CD71" s="292"/>
      <c r="CE71" s="292"/>
      <c r="CF71" s="292"/>
      <c r="CG71" s="292"/>
      <c r="CH71" s="292"/>
      <c r="CI71" s="292"/>
      <c r="CJ71" s="292"/>
      <c r="CK71" s="292"/>
      <c r="CL71" s="292"/>
      <c r="CM71" s="292"/>
      <c r="CN71" s="292"/>
      <c r="CO71" s="292"/>
      <c r="CP71" s="292"/>
      <c r="CQ71" s="292"/>
      <c r="CR71" s="292"/>
      <c r="CS71" s="292"/>
      <c r="CT71" s="292"/>
      <c r="CU71" s="292"/>
      <c r="CV71" s="292"/>
      <c r="CW71" s="292"/>
      <c r="CX71" s="292"/>
      <c r="CY71" s="292"/>
      <c r="CZ71" s="292"/>
      <c r="DA71" s="292"/>
      <c r="DB71" s="292"/>
      <c r="DC71" s="292"/>
      <c r="DD71" s="292"/>
      <c r="DE71" s="292"/>
      <c r="DF71" s="292"/>
      <c r="DG71" s="292"/>
      <c r="DH71" s="292"/>
      <c r="DI71" s="292"/>
      <c r="DJ71" s="292"/>
      <c r="DK71" s="292"/>
      <c r="DL71" s="292"/>
      <c r="DM71" s="292"/>
      <c r="DN71" s="292"/>
      <c r="DO71" s="292"/>
      <c r="DP71" s="292"/>
      <c r="DQ71" s="292"/>
      <c r="DR71" s="292"/>
      <c r="DS71" s="292"/>
      <c r="DT71" s="292"/>
      <c r="DU71" s="292"/>
      <c r="DV71" s="292"/>
      <c r="DW71" s="292"/>
      <c r="DX71" s="292"/>
      <c r="DY71" s="292"/>
      <c r="DZ71" s="292"/>
      <c r="EA71" s="292"/>
      <c r="EB71" s="292"/>
      <c r="EC71" s="292"/>
      <c r="ED71" s="292"/>
      <c r="EE71" s="292"/>
      <c r="EF71" s="292"/>
      <c r="EG71" s="292"/>
      <c r="EH71" s="292"/>
      <c r="EI71" s="292"/>
      <c r="EJ71" s="292"/>
      <c r="EK71" s="292"/>
      <c r="EL71" s="292"/>
      <c r="EM71" s="292"/>
      <c r="EN71" s="292"/>
      <c r="EO71" s="292"/>
      <c r="EP71" s="292"/>
      <c r="EQ71" s="292"/>
      <c r="ER71" s="292"/>
      <c r="ES71" s="292"/>
      <c r="ET71" s="292"/>
      <c r="EU71" s="292"/>
      <c r="EV71" s="292"/>
      <c r="EW71" s="292"/>
      <c r="EX71" s="292"/>
      <c r="EY71" s="292"/>
      <c r="EZ71" s="292"/>
      <c r="FA71" s="292"/>
      <c r="FB71" s="292"/>
      <c r="FC71" s="292"/>
      <c r="FD71" s="292"/>
      <c r="FE71" s="292"/>
      <c r="FF71" s="292"/>
      <c r="FG71" s="292"/>
      <c r="FH71" s="292"/>
      <c r="FI71" s="292"/>
      <c r="FJ71" s="292"/>
      <c r="FK71" s="292"/>
      <c r="FL71" s="292"/>
      <c r="FM71" s="292"/>
      <c r="FN71" s="292"/>
      <c r="FO71" s="292"/>
      <c r="FP71" s="292"/>
      <c r="FQ71" s="292"/>
      <c r="FR71" s="292"/>
      <c r="FS71" s="292"/>
      <c r="FT71" s="292"/>
      <c r="FU71" s="292"/>
      <c r="FV71" s="292"/>
      <c r="FW71" s="292"/>
      <c r="FX71" s="292"/>
      <c r="FY71" s="292"/>
      <c r="FZ71" s="292"/>
      <c r="GA71" s="292"/>
      <c r="GB71" s="292"/>
      <c r="GC71" s="292"/>
      <c r="GD71" s="292"/>
      <c r="GE71" s="292"/>
      <c r="GF71" s="292"/>
      <c r="GG71" s="292"/>
      <c r="GH71" s="292"/>
      <c r="GI71" s="292"/>
      <c r="GJ71" s="292"/>
      <c r="GK71" s="292"/>
      <c r="GL71" s="292"/>
      <c r="GM71" s="292"/>
      <c r="GN71" s="292"/>
      <c r="GO71" s="292"/>
      <c r="GP71" s="292"/>
      <c r="GQ71" s="292"/>
      <c r="GR71" s="292"/>
      <c r="GS71" s="292"/>
      <c r="GT71" s="292"/>
      <c r="GU71" s="292"/>
      <c r="GV71" s="292"/>
      <c r="GW71" s="292"/>
      <c r="GX71" s="292"/>
      <c r="GY71" s="292"/>
      <c r="GZ71" s="292"/>
      <c r="HA71" s="292"/>
      <c r="HB71" s="292"/>
      <c r="HC71" s="292"/>
      <c r="HD71" s="292"/>
      <c r="HE71" s="292"/>
      <c r="HF71" s="292"/>
      <c r="HG71" s="292"/>
      <c r="HH71" s="292"/>
      <c r="HI71" s="292"/>
      <c r="HJ71" s="292"/>
      <c r="HK71" s="292"/>
      <c r="HL71" s="292"/>
      <c r="HM71" s="292"/>
      <c r="HN71" s="292"/>
      <c r="HO71" s="292"/>
      <c r="HP71" s="292"/>
      <c r="HQ71" s="292"/>
      <c r="HR71" s="292"/>
      <c r="HS71" s="292"/>
      <c r="HT71" s="292"/>
      <c r="HU71" s="292"/>
      <c r="HV71" s="292"/>
      <c r="HW71" s="292"/>
      <c r="HX71" s="292"/>
      <c r="HY71" s="292"/>
      <c r="HZ71" s="292"/>
      <c r="IA71" s="292"/>
      <c r="IB71" s="292"/>
      <c r="IC71" s="292"/>
      <c r="ID71" s="292"/>
      <c r="IE71" s="292"/>
      <c r="IF71" s="292"/>
      <c r="IG71" s="292"/>
      <c r="IH71" s="292"/>
      <c r="II71" s="292"/>
      <c r="IJ71" s="292"/>
      <c r="IK71" s="292"/>
      <c r="IL71" s="292"/>
      <c r="IM71" s="292"/>
      <c r="IN71" s="292"/>
      <c r="IO71" s="292"/>
      <c r="IP71" s="292"/>
      <c r="IQ71" s="292"/>
      <c r="IR71" s="292"/>
      <c r="IS71" s="292"/>
      <c r="IT71" s="292"/>
      <c r="IU71" s="292"/>
      <c r="IV71" s="292"/>
      <c r="IW71" s="292"/>
      <c r="IX71" s="292"/>
      <c r="IY71" s="292"/>
      <c r="IZ71" s="292"/>
      <c r="JA71" s="292"/>
      <c r="JB71" s="292"/>
      <c r="JC71" s="292"/>
      <c r="JD71" s="292"/>
      <c r="JE71" s="292"/>
      <c r="JF71" s="292"/>
      <c r="JG71" s="292"/>
      <c r="JH71" s="292"/>
      <c r="JI71" s="292"/>
      <c r="JJ71" s="292"/>
      <c r="JK71" s="292"/>
      <c r="JL71" s="292"/>
      <c r="JM71" s="292"/>
      <c r="JN71" s="292"/>
      <c r="JO71" s="292"/>
      <c r="JP71" s="292"/>
      <c r="JQ71" s="292"/>
      <c r="JR71" s="292"/>
      <c r="JS71" s="292"/>
      <c r="JT71" s="292"/>
      <c r="JU71" s="292"/>
      <c r="JV71" s="292"/>
      <c r="JW71" s="292"/>
      <c r="JX71" s="292"/>
      <c r="JY71" s="292"/>
      <c r="JZ71" s="292"/>
      <c r="KA71" s="292"/>
      <c r="KB71" s="292"/>
      <c r="KC71" s="292"/>
      <c r="KD71" s="292"/>
      <c r="KE71" s="292"/>
      <c r="KF71" s="292"/>
      <c r="KG71" s="292"/>
      <c r="KH71" s="292"/>
      <c r="KI71" s="292"/>
      <c r="KJ71" s="292"/>
      <c r="KK71" s="292"/>
      <c r="KL71" s="292"/>
      <c r="KM71" s="292"/>
      <c r="KN71" s="292"/>
      <c r="KO71" s="292"/>
      <c r="KP71" s="292"/>
      <c r="KQ71" s="292"/>
      <c r="KR71" s="292"/>
      <c r="KS71" s="292"/>
      <c r="KT71" s="292"/>
      <c r="KU71" s="292"/>
      <c r="KV71" s="292"/>
      <c r="KW71" s="292"/>
      <c r="KX71" s="292"/>
      <c r="KY71" s="292"/>
      <c r="KZ71" s="292"/>
      <c r="LA71" s="292"/>
      <c r="LB71" s="292"/>
      <c r="LC71" s="292"/>
      <c r="LD71" s="292"/>
      <c r="LE71" s="292"/>
      <c r="LF71" s="292"/>
      <c r="LG71" s="292"/>
      <c r="LH71" s="292"/>
      <c r="LI71" s="292"/>
      <c r="LJ71" s="292"/>
      <c r="LK71" s="292"/>
      <c r="LL71" s="292"/>
      <c r="LM71" s="292"/>
      <c r="LN71" s="292"/>
      <c r="LO71" s="292"/>
      <c r="LP71" s="292"/>
      <c r="LQ71" s="292"/>
      <c r="LR71" s="292"/>
      <c r="LS71" s="292"/>
      <c r="LT71" s="292"/>
      <c r="LU71" s="292"/>
      <c r="LV71" s="292"/>
      <c r="LW71" s="292"/>
      <c r="LX71" s="292"/>
      <c r="LY71" s="292"/>
      <c r="LZ71" s="292"/>
      <c r="MA71" s="292"/>
      <c r="MB71" s="292"/>
      <c r="MC71" s="292"/>
      <c r="MD71" s="292"/>
      <c r="ME71" s="292"/>
      <c r="MF71" s="292"/>
      <c r="MG71" s="292"/>
      <c r="MH71" s="292"/>
      <c r="MI71" s="292"/>
      <c r="MJ71" s="292"/>
      <c r="MK71" s="292"/>
      <c r="ML71" s="292"/>
      <c r="MM71" s="292"/>
      <c r="MN71" s="292"/>
      <c r="MO71" s="292"/>
      <c r="MP71" s="292"/>
      <c r="MQ71" s="292"/>
      <c r="MR71" s="292"/>
      <c r="MS71" s="292"/>
      <c r="MT71" s="292"/>
      <c r="MU71" s="292"/>
      <c r="MV71" s="292"/>
      <c r="MW71" s="292"/>
      <c r="MX71" s="292"/>
      <c r="MY71" s="292"/>
      <c r="MZ71" s="292"/>
      <c r="NA71" s="292"/>
      <c r="NB71" s="292"/>
      <c r="NC71" s="292"/>
      <c r="ND71" s="292"/>
      <c r="NE71" s="292"/>
      <c r="NF71" s="292"/>
      <c r="NG71" s="292"/>
      <c r="NH71" s="292"/>
      <c r="NI71" s="292"/>
      <c r="NJ71" s="292"/>
      <c r="NK71" s="292"/>
      <c r="NL71" s="292"/>
      <c r="NM71" s="292"/>
      <c r="NN71" s="292"/>
      <c r="NO71" s="292"/>
      <c r="NP71" s="292"/>
      <c r="NQ71" s="292"/>
      <c r="NR71" s="292"/>
      <c r="NS71" s="292"/>
      <c r="NT71" s="292"/>
      <c r="NU71" s="292"/>
      <c r="NV71" s="292"/>
      <c r="NW71" s="292"/>
      <c r="NX71" s="292"/>
      <c r="NY71" s="292"/>
      <c r="NZ71" s="292"/>
      <c r="OA71" s="292"/>
      <c r="OB71" s="292"/>
      <c r="OC71" s="292"/>
      <c r="OD71" s="292"/>
      <c r="OE71" s="292"/>
      <c r="OF71" s="292"/>
      <c r="OG71" s="292"/>
      <c r="OH71" s="292"/>
      <c r="OI71" s="292"/>
      <c r="OJ71" s="292"/>
      <c r="OK71" s="292"/>
      <c r="OL71" s="292"/>
      <c r="OM71" s="292"/>
      <c r="ON71" s="292"/>
      <c r="OO71" s="292"/>
      <c r="OP71" s="292"/>
      <c r="OQ71" s="292"/>
      <c r="OR71" s="292"/>
      <c r="OS71" s="292"/>
      <c r="OT71" s="292"/>
      <c r="OU71" s="292"/>
      <c r="OV71" s="292"/>
      <c r="OW71" s="292"/>
      <c r="OX71" s="292"/>
      <c r="OY71" s="292"/>
      <c r="OZ71" s="292"/>
      <c r="PA71" s="292"/>
      <c r="PB71" s="292"/>
      <c r="PC71" s="292"/>
      <c r="PD71" s="292"/>
      <c r="PE71" s="292"/>
      <c r="PF71" s="292"/>
      <c r="PG71" s="292"/>
      <c r="PH71" s="292"/>
      <c r="PI71" s="292"/>
      <c r="PJ71" s="292"/>
      <c r="PK71" s="292"/>
      <c r="PL71" s="292"/>
      <c r="PM71" s="292"/>
      <c r="PN71" s="292"/>
      <c r="PO71" s="292"/>
      <c r="PP71" s="292"/>
      <c r="PQ71" s="292"/>
      <c r="PR71" s="292"/>
      <c r="PS71" s="292"/>
      <c r="PT71" s="292"/>
      <c r="PU71" s="292"/>
      <c r="PV71" s="292"/>
      <c r="PW71" s="292"/>
      <c r="PX71" s="292"/>
      <c r="PY71" s="292"/>
      <c r="PZ71" s="292"/>
      <c r="QA71" s="292"/>
      <c r="QB71" s="292"/>
      <c r="QC71" s="292"/>
      <c r="QD71" s="292"/>
      <c r="QE71" s="292"/>
      <c r="QF71" s="292"/>
      <c r="QG71" s="292"/>
      <c r="QH71" s="292"/>
      <c r="QI71" s="292"/>
      <c r="QJ71" s="292"/>
      <c r="QK71" s="292"/>
      <c r="QL71" s="292"/>
      <c r="QM71" s="292"/>
      <c r="QN71" s="292"/>
      <c r="QO71" s="292"/>
      <c r="QP71" s="292"/>
      <c r="QQ71" s="292"/>
      <c r="QR71" s="292"/>
      <c r="QS71" s="292"/>
      <c r="QT71" s="292"/>
      <c r="QU71" s="292"/>
      <c r="QV71" s="292"/>
      <c r="QW71" s="292"/>
      <c r="QX71" s="292"/>
      <c r="QY71" s="292"/>
      <c r="QZ71" s="292"/>
      <c r="RA71" s="292"/>
      <c r="RB71" s="292"/>
      <c r="RC71" s="292"/>
      <c r="RD71" s="292"/>
      <c r="RE71" s="292"/>
      <c r="RF71" s="292"/>
      <c r="RG71" s="292"/>
      <c r="RH71" s="292"/>
      <c r="RI71" s="292"/>
      <c r="RJ71" s="292"/>
      <c r="RK71" s="292"/>
      <c r="RL71" s="292"/>
      <c r="RM71" s="292"/>
      <c r="RN71" s="292"/>
      <c r="RO71" s="292"/>
      <c r="RP71" s="292"/>
      <c r="RQ71" s="292"/>
      <c r="RR71" s="292"/>
      <c r="RS71" s="292"/>
      <c r="RT71" s="292"/>
      <c r="RU71" s="292"/>
      <c r="RV71" s="292"/>
      <c r="RW71" s="292"/>
      <c r="RX71" s="292"/>
      <c r="RY71" s="292"/>
      <c r="RZ71" s="292"/>
      <c r="SA71" s="292"/>
      <c r="SB71" s="292"/>
      <c r="SC71" s="292"/>
      <c r="SD71" s="292"/>
      <c r="SE71" s="292"/>
      <c r="SF71" s="292"/>
      <c r="SG71" s="292"/>
      <c r="SH71" s="292"/>
      <c r="SI71" s="292"/>
      <c r="SJ71" s="292"/>
      <c r="SK71" s="292"/>
      <c r="SL71" s="292"/>
      <c r="SM71" s="292"/>
      <c r="SN71" s="292"/>
      <c r="SO71" s="292"/>
      <c r="SP71" s="292"/>
      <c r="SQ71" s="292"/>
      <c r="SR71" s="292"/>
      <c r="SS71" s="292"/>
      <c r="ST71" s="292"/>
      <c r="SU71" s="292"/>
    </row>
    <row r="72" spans="1:515" s="538" customFormat="1" ht="23.15" customHeight="1" x14ac:dyDescent="0.25">
      <c r="A72" s="1323" t="s">
        <v>375</v>
      </c>
      <c r="B72" s="1324"/>
      <c r="C72" s="1324"/>
      <c r="D72" s="957"/>
      <c r="E72" s="1296">
        <f>E63+G68</f>
        <v>0</v>
      </c>
      <c r="F72" s="1296"/>
      <c r="G72" s="1296"/>
      <c r="H72" s="957"/>
      <c r="I72" s="1296">
        <f>I63+K68</f>
        <v>0</v>
      </c>
      <c r="J72" s="1296"/>
      <c r="K72" s="1296"/>
      <c r="L72" s="957"/>
      <c r="M72" s="1296">
        <f>M63+O68</f>
        <v>0</v>
      </c>
      <c r="N72" s="1296"/>
      <c r="O72" s="1296"/>
      <c r="P72" s="957"/>
      <c r="Q72" s="1296">
        <f>Q63+S68</f>
        <v>0</v>
      </c>
      <c r="R72" s="1296"/>
      <c r="S72" s="1296"/>
      <c r="T72" s="957"/>
      <c r="U72" s="1296">
        <f>U63+W68</f>
        <v>0</v>
      </c>
      <c r="V72" s="1296"/>
      <c r="W72" s="1296"/>
      <c r="X72" s="957"/>
      <c r="Y72" s="1296">
        <f>Y63+AA68</f>
        <v>0</v>
      </c>
      <c r="Z72" s="1296"/>
      <c r="AA72" s="1296"/>
      <c r="AB72" s="976"/>
      <c r="AC72" s="1144"/>
      <c r="AD72" s="1176">
        <f>E72+I72+M72+Q72+U72+Y72</f>
        <v>0</v>
      </c>
      <c r="AE72" s="971"/>
      <c r="AF72" s="292"/>
      <c r="AG72" s="292"/>
      <c r="AH72" s="292"/>
      <c r="AI72" s="292"/>
      <c r="AJ72" s="292"/>
      <c r="AK72" s="292"/>
      <c r="AL72" s="292"/>
      <c r="AM72" s="292"/>
      <c r="AN72" s="292"/>
      <c r="AO72" s="292"/>
      <c r="AP72" s="292"/>
      <c r="AQ72" s="292"/>
      <c r="AR72" s="292"/>
      <c r="AS72" s="292"/>
      <c r="AT72" s="292"/>
      <c r="AU72" s="292"/>
      <c r="AV72" s="292"/>
      <c r="AW72" s="292"/>
      <c r="AX72" s="292"/>
      <c r="AY72" s="292"/>
      <c r="AZ72" s="292"/>
      <c r="BA72" s="292"/>
      <c r="BB72" s="292"/>
      <c r="BC72" s="292"/>
      <c r="BD72" s="292"/>
      <c r="BE72" s="292"/>
      <c r="BF72" s="292"/>
      <c r="BG72" s="292"/>
      <c r="BH72" s="292"/>
      <c r="BI72" s="292"/>
      <c r="BJ72" s="292"/>
      <c r="BK72" s="292"/>
      <c r="BL72" s="292"/>
      <c r="BM72" s="292"/>
      <c r="BN72" s="292"/>
      <c r="BO72" s="292"/>
      <c r="BP72" s="292"/>
      <c r="BQ72" s="292"/>
      <c r="BR72" s="292"/>
      <c r="BS72" s="292"/>
      <c r="BT72" s="292"/>
      <c r="BU72" s="292"/>
      <c r="BV72" s="292"/>
      <c r="BW72" s="292"/>
      <c r="BX72" s="292"/>
      <c r="BY72" s="292"/>
      <c r="BZ72" s="292"/>
      <c r="CA72" s="292"/>
      <c r="CB72" s="292"/>
      <c r="CC72" s="292"/>
      <c r="CD72" s="292"/>
      <c r="CE72" s="292"/>
      <c r="CF72" s="292"/>
      <c r="CG72" s="292"/>
      <c r="CH72" s="292"/>
      <c r="CI72" s="292"/>
      <c r="CJ72" s="292"/>
      <c r="CK72" s="292"/>
      <c r="CL72" s="292"/>
      <c r="CM72" s="292"/>
      <c r="CN72" s="292"/>
      <c r="CO72" s="292"/>
      <c r="CP72" s="292"/>
      <c r="CQ72" s="292"/>
      <c r="CR72" s="292"/>
      <c r="CS72" s="292"/>
      <c r="CT72" s="292"/>
      <c r="CU72" s="292"/>
      <c r="CV72" s="292"/>
      <c r="CW72" s="292"/>
      <c r="CX72" s="292"/>
      <c r="CY72" s="292"/>
      <c r="CZ72" s="292"/>
      <c r="DA72" s="292"/>
      <c r="DB72" s="292"/>
      <c r="DC72" s="292"/>
      <c r="DD72" s="292"/>
      <c r="DE72" s="292"/>
      <c r="DF72" s="292"/>
      <c r="DG72" s="292"/>
      <c r="DH72" s="292"/>
      <c r="DI72" s="292"/>
      <c r="DJ72" s="292"/>
      <c r="DK72" s="292"/>
      <c r="DL72" s="292"/>
      <c r="DM72" s="292"/>
      <c r="DN72" s="292"/>
      <c r="DO72" s="292"/>
      <c r="DP72" s="292"/>
      <c r="DQ72" s="292"/>
      <c r="DR72" s="292"/>
      <c r="DS72" s="292"/>
      <c r="DT72" s="292"/>
      <c r="DU72" s="292"/>
      <c r="DV72" s="292"/>
      <c r="DW72" s="292"/>
      <c r="DX72" s="292"/>
      <c r="DY72" s="292"/>
      <c r="DZ72" s="292"/>
      <c r="EA72" s="292"/>
      <c r="EB72" s="292"/>
      <c r="EC72" s="292"/>
      <c r="ED72" s="292"/>
      <c r="EE72" s="292"/>
      <c r="EF72" s="292"/>
      <c r="EG72" s="292"/>
      <c r="EH72" s="292"/>
      <c r="EI72" s="292"/>
      <c r="EJ72" s="292"/>
      <c r="EK72" s="292"/>
      <c r="EL72" s="292"/>
      <c r="EM72" s="292"/>
      <c r="EN72" s="292"/>
      <c r="EO72" s="292"/>
      <c r="EP72" s="292"/>
      <c r="EQ72" s="292"/>
      <c r="ER72" s="292"/>
      <c r="ES72" s="292"/>
      <c r="ET72" s="292"/>
      <c r="EU72" s="292"/>
      <c r="EV72" s="292"/>
      <c r="EW72" s="292"/>
      <c r="EX72" s="292"/>
      <c r="EY72" s="292"/>
      <c r="EZ72" s="292"/>
      <c r="FA72" s="292"/>
      <c r="FB72" s="292"/>
      <c r="FC72" s="292"/>
      <c r="FD72" s="292"/>
      <c r="FE72" s="292"/>
      <c r="FF72" s="292"/>
      <c r="FG72" s="292"/>
      <c r="FH72" s="292"/>
      <c r="FI72" s="292"/>
      <c r="FJ72" s="292"/>
      <c r="FK72" s="292"/>
      <c r="FL72" s="292"/>
      <c r="FM72" s="292"/>
      <c r="FN72" s="292"/>
      <c r="FO72" s="292"/>
      <c r="FP72" s="292"/>
      <c r="FQ72" s="292"/>
      <c r="FR72" s="292"/>
      <c r="FS72" s="292"/>
      <c r="FT72" s="292"/>
      <c r="FU72" s="292"/>
      <c r="FV72" s="292"/>
      <c r="FW72" s="292"/>
      <c r="FX72" s="292"/>
      <c r="FY72" s="292"/>
      <c r="FZ72" s="292"/>
      <c r="GA72" s="292"/>
      <c r="GB72" s="292"/>
      <c r="GC72" s="292"/>
      <c r="GD72" s="292"/>
      <c r="GE72" s="292"/>
      <c r="GF72" s="292"/>
      <c r="GG72" s="292"/>
      <c r="GH72" s="292"/>
      <c r="GI72" s="292"/>
      <c r="GJ72" s="292"/>
      <c r="GK72" s="292"/>
      <c r="GL72" s="292"/>
      <c r="GM72" s="292"/>
      <c r="GN72" s="292"/>
      <c r="GO72" s="292"/>
      <c r="GP72" s="292"/>
      <c r="GQ72" s="292"/>
      <c r="GR72" s="292"/>
      <c r="GS72" s="292"/>
      <c r="GT72" s="292"/>
      <c r="GU72" s="292"/>
      <c r="GV72" s="292"/>
      <c r="GW72" s="292"/>
      <c r="GX72" s="292"/>
      <c r="GY72" s="292"/>
      <c r="GZ72" s="292"/>
      <c r="HA72" s="292"/>
      <c r="HB72" s="292"/>
      <c r="HC72" s="292"/>
      <c r="HD72" s="292"/>
      <c r="HE72" s="292"/>
      <c r="HF72" s="292"/>
      <c r="HG72" s="292"/>
      <c r="HH72" s="292"/>
      <c r="HI72" s="292"/>
      <c r="HJ72" s="292"/>
      <c r="HK72" s="292"/>
      <c r="HL72" s="292"/>
      <c r="HM72" s="292"/>
      <c r="HN72" s="292"/>
      <c r="HO72" s="292"/>
      <c r="HP72" s="292"/>
      <c r="HQ72" s="292"/>
      <c r="HR72" s="292"/>
      <c r="HS72" s="292"/>
      <c r="HT72" s="292"/>
      <c r="HU72" s="292"/>
      <c r="HV72" s="292"/>
      <c r="HW72" s="292"/>
      <c r="HX72" s="292"/>
      <c r="HY72" s="292"/>
      <c r="HZ72" s="292"/>
      <c r="IA72" s="292"/>
      <c r="IB72" s="292"/>
      <c r="IC72" s="292"/>
      <c r="ID72" s="292"/>
      <c r="IE72" s="292"/>
      <c r="IF72" s="292"/>
      <c r="IG72" s="292"/>
      <c r="IH72" s="292"/>
      <c r="II72" s="292"/>
      <c r="IJ72" s="292"/>
      <c r="IK72" s="292"/>
      <c r="IL72" s="292"/>
      <c r="IM72" s="292"/>
      <c r="IN72" s="292"/>
      <c r="IO72" s="292"/>
      <c r="IP72" s="292"/>
      <c r="IQ72" s="292"/>
      <c r="IR72" s="292"/>
      <c r="IS72" s="292"/>
      <c r="IT72" s="292"/>
      <c r="IU72" s="292"/>
      <c r="IV72" s="292"/>
      <c r="IW72" s="292"/>
      <c r="IX72" s="292"/>
      <c r="IY72" s="292"/>
      <c r="IZ72" s="292"/>
      <c r="JA72" s="292"/>
      <c r="JB72" s="292"/>
      <c r="JC72" s="292"/>
      <c r="JD72" s="292"/>
      <c r="JE72" s="292"/>
      <c r="JF72" s="292"/>
      <c r="JG72" s="292"/>
      <c r="JH72" s="292"/>
      <c r="JI72" s="292"/>
      <c r="JJ72" s="292"/>
      <c r="JK72" s="292"/>
      <c r="JL72" s="292"/>
      <c r="JM72" s="292"/>
      <c r="JN72" s="292"/>
      <c r="JO72" s="292"/>
      <c r="JP72" s="292"/>
      <c r="JQ72" s="292"/>
      <c r="JR72" s="292"/>
      <c r="JS72" s="292"/>
      <c r="JT72" s="292"/>
      <c r="JU72" s="292"/>
      <c r="JV72" s="292"/>
      <c r="JW72" s="292"/>
      <c r="JX72" s="292"/>
      <c r="JY72" s="292"/>
      <c r="JZ72" s="292"/>
      <c r="KA72" s="292"/>
      <c r="KB72" s="292"/>
      <c r="KC72" s="292"/>
      <c r="KD72" s="292"/>
      <c r="KE72" s="292"/>
      <c r="KF72" s="292"/>
      <c r="KG72" s="292"/>
      <c r="KH72" s="292"/>
      <c r="KI72" s="292"/>
      <c r="KJ72" s="292"/>
      <c r="KK72" s="292"/>
      <c r="KL72" s="292"/>
      <c r="KM72" s="292"/>
      <c r="KN72" s="292"/>
      <c r="KO72" s="292"/>
      <c r="KP72" s="292"/>
      <c r="KQ72" s="292"/>
      <c r="KR72" s="292"/>
      <c r="KS72" s="292"/>
      <c r="KT72" s="292"/>
      <c r="KU72" s="292"/>
      <c r="KV72" s="292"/>
      <c r="KW72" s="292"/>
      <c r="KX72" s="292"/>
      <c r="KY72" s="292"/>
      <c r="KZ72" s="292"/>
      <c r="LA72" s="292"/>
      <c r="LB72" s="292"/>
      <c r="LC72" s="292"/>
      <c r="LD72" s="292"/>
      <c r="LE72" s="292"/>
      <c r="LF72" s="292"/>
      <c r="LG72" s="292"/>
      <c r="LH72" s="292"/>
      <c r="LI72" s="292"/>
      <c r="LJ72" s="292"/>
      <c r="LK72" s="292"/>
      <c r="LL72" s="292"/>
      <c r="LM72" s="292"/>
      <c r="LN72" s="292"/>
      <c r="LO72" s="292"/>
      <c r="LP72" s="292"/>
      <c r="LQ72" s="292"/>
      <c r="LR72" s="292"/>
      <c r="LS72" s="292"/>
      <c r="LT72" s="292"/>
      <c r="LU72" s="292"/>
      <c r="LV72" s="292"/>
      <c r="LW72" s="292"/>
      <c r="LX72" s="292"/>
      <c r="LY72" s="292"/>
      <c r="LZ72" s="292"/>
      <c r="MA72" s="292"/>
      <c r="MB72" s="292"/>
      <c r="MC72" s="292"/>
      <c r="MD72" s="292"/>
      <c r="ME72" s="292"/>
      <c r="MF72" s="292"/>
      <c r="MG72" s="292"/>
      <c r="MH72" s="292"/>
      <c r="MI72" s="292"/>
      <c r="MJ72" s="292"/>
      <c r="MK72" s="292"/>
      <c r="ML72" s="292"/>
      <c r="MM72" s="292"/>
      <c r="MN72" s="292"/>
      <c r="MO72" s="292"/>
      <c r="MP72" s="292"/>
      <c r="MQ72" s="292"/>
      <c r="MR72" s="292"/>
      <c r="MS72" s="292"/>
      <c r="MT72" s="292"/>
      <c r="MU72" s="292"/>
      <c r="MV72" s="292"/>
      <c r="MW72" s="292"/>
      <c r="MX72" s="292"/>
      <c r="MY72" s="292"/>
      <c r="MZ72" s="292"/>
      <c r="NA72" s="292"/>
      <c r="NB72" s="292"/>
      <c r="NC72" s="292"/>
      <c r="ND72" s="292"/>
      <c r="NE72" s="292"/>
      <c r="NF72" s="292"/>
      <c r="NG72" s="292"/>
      <c r="NH72" s="292"/>
      <c r="NI72" s="292"/>
      <c r="NJ72" s="292"/>
      <c r="NK72" s="292"/>
      <c r="NL72" s="292"/>
      <c r="NM72" s="292"/>
      <c r="NN72" s="292"/>
      <c r="NO72" s="292"/>
      <c r="NP72" s="292"/>
      <c r="NQ72" s="292"/>
      <c r="NR72" s="292"/>
      <c r="NS72" s="292"/>
      <c r="NT72" s="292"/>
      <c r="NU72" s="292"/>
      <c r="NV72" s="292"/>
      <c r="NW72" s="292"/>
      <c r="NX72" s="292"/>
      <c r="NY72" s="292"/>
      <c r="NZ72" s="292"/>
      <c r="OA72" s="292"/>
      <c r="OB72" s="292"/>
      <c r="OC72" s="292"/>
      <c r="OD72" s="292"/>
      <c r="OE72" s="292"/>
      <c r="OF72" s="292"/>
      <c r="OG72" s="292"/>
      <c r="OH72" s="292"/>
      <c r="OI72" s="292"/>
      <c r="OJ72" s="292"/>
      <c r="OK72" s="292"/>
      <c r="OL72" s="292"/>
      <c r="OM72" s="292"/>
      <c r="ON72" s="292"/>
      <c r="OO72" s="292"/>
      <c r="OP72" s="292"/>
      <c r="OQ72" s="292"/>
      <c r="OR72" s="292"/>
      <c r="OS72" s="292"/>
      <c r="OT72" s="292"/>
      <c r="OU72" s="292"/>
      <c r="OV72" s="292"/>
      <c r="OW72" s="292"/>
      <c r="OX72" s="292"/>
      <c r="OY72" s="292"/>
      <c r="OZ72" s="292"/>
      <c r="PA72" s="292"/>
      <c r="PB72" s="292"/>
      <c r="PC72" s="292"/>
      <c r="PD72" s="292"/>
      <c r="PE72" s="292"/>
      <c r="PF72" s="292"/>
      <c r="PG72" s="292"/>
      <c r="PH72" s="292"/>
      <c r="PI72" s="292"/>
      <c r="PJ72" s="292"/>
      <c r="PK72" s="292"/>
      <c r="PL72" s="292"/>
      <c r="PM72" s="292"/>
      <c r="PN72" s="292"/>
      <c r="PO72" s="292"/>
      <c r="PP72" s="292"/>
      <c r="PQ72" s="292"/>
      <c r="PR72" s="292"/>
      <c r="PS72" s="292"/>
      <c r="PT72" s="292"/>
      <c r="PU72" s="292"/>
      <c r="PV72" s="292"/>
      <c r="PW72" s="292"/>
      <c r="PX72" s="292"/>
      <c r="PY72" s="292"/>
      <c r="PZ72" s="292"/>
      <c r="QA72" s="292"/>
      <c r="QB72" s="292"/>
      <c r="QC72" s="292"/>
      <c r="QD72" s="292"/>
      <c r="QE72" s="292"/>
      <c r="QF72" s="292"/>
      <c r="QG72" s="292"/>
      <c r="QH72" s="292"/>
      <c r="QI72" s="292"/>
      <c r="QJ72" s="292"/>
      <c r="QK72" s="292"/>
      <c r="QL72" s="292"/>
      <c r="QM72" s="292"/>
      <c r="QN72" s="292"/>
      <c r="QO72" s="292"/>
      <c r="QP72" s="292"/>
      <c r="QQ72" s="292"/>
      <c r="QR72" s="292"/>
      <c r="QS72" s="292"/>
      <c r="QT72" s="292"/>
      <c r="QU72" s="292"/>
      <c r="QV72" s="292"/>
      <c r="QW72" s="292"/>
      <c r="QX72" s="292"/>
      <c r="QY72" s="292"/>
      <c r="QZ72" s="292"/>
      <c r="RA72" s="292"/>
      <c r="RB72" s="292"/>
      <c r="RC72" s="292"/>
      <c r="RD72" s="292"/>
      <c r="RE72" s="292"/>
      <c r="RF72" s="292"/>
      <c r="RG72" s="292"/>
      <c r="RH72" s="292"/>
      <c r="RI72" s="292"/>
      <c r="RJ72" s="292"/>
      <c r="RK72" s="292"/>
      <c r="RL72" s="292"/>
      <c r="RM72" s="292"/>
      <c r="RN72" s="292"/>
      <c r="RO72" s="292"/>
      <c r="RP72" s="292"/>
      <c r="RQ72" s="292"/>
      <c r="RR72" s="292"/>
      <c r="RS72" s="292"/>
      <c r="RT72" s="292"/>
      <c r="RU72" s="292"/>
      <c r="RV72" s="292"/>
      <c r="RW72" s="292"/>
      <c r="RX72" s="292"/>
      <c r="RY72" s="292"/>
      <c r="RZ72" s="292"/>
      <c r="SA72" s="292"/>
      <c r="SB72" s="292"/>
      <c r="SC72" s="292"/>
      <c r="SD72" s="292"/>
      <c r="SE72" s="292"/>
      <c r="SF72" s="292"/>
      <c r="SG72" s="292"/>
      <c r="SH72" s="292"/>
      <c r="SI72" s="292"/>
      <c r="SJ72" s="292"/>
      <c r="SK72" s="292"/>
      <c r="SL72" s="292"/>
      <c r="SM72" s="292"/>
      <c r="SN72" s="292"/>
      <c r="SO72" s="292"/>
      <c r="SP72" s="292"/>
      <c r="SQ72" s="292"/>
      <c r="SR72" s="292"/>
      <c r="SS72" s="292"/>
      <c r="ST72" s="292"/>
      <c r="SU72" s="292"/>
    </row>
    <row r="73" spans="1:515" s="538" customFormat="1" ht="15" customHeight="1" x14ac:dyDescent="0.25">
      <c r="A73" s="986"/>
      <c r="B73" s="984"/>
      <c r="C73" s="984"/>
      <c r="D73" s="957"/>
      <c r="E73" s="981"/>
      <c r="F73" s="981"/>
      <c r="G73" s="981"/>
      <c r="H73" s="957"/>
      <c r="I73" s="981"/>
      <c r="J73" s="981"/>
      <c r="K73" s="981"/>
      <c r="L73" s="957"/>
      <c r="M73" s="981"/>
      <c r="N73" s="981"/>
      <c r="O73" s="981"/>
      <c r="P73" s="957"/>
      <c r="Q73" s="981"/>
      <c r="R73" s="981"/>
      <c r="S73" s="981"/>
      <c r="T73" s="957"/>
      <c r="U73" s="981"/>
      <c r="V73" s="981"/>
      <c r="W73" s="981"/>
      <c r="X73" s="957"/>
      <c r="Y73" s="981"/>
      <c r="Z73" s="981"/>
      <c r="AA73" s="981"/>
      <c r="AB73" s="976"/>
      <c r="AC73" s="1144"/>
      <c r="AD73" s="981"/>
      <c r="AE73" s="971"/>
      <c r="AF73" s="292"/>
      <c r="AG73" s="292"/>
      <c r="AH73" s="292"/>
      <c r="AI73" s="292"/>
      <c r="AJ73" s="292"/>
      <c r="AK73" s="292"/>
      <c r="AL73" s="292"/>
      <c r="AM73" s="292"/>
      <c r="AN73" s="292"/>
      <c r="AO73" s="292"/>
      <c r="AP73" s="292"/>
      <c r="AQ73" s="292"/>
      <c r="AR73" s="292"/>
      <c r="AS73" s="292"/>
      <c r="AT73" s="292"/>
      <c r="AU73" s="292"/>
      <c r="AV73" s="292"/>
      <c r="AW73" s="292"/>
      <c r="AX73" s="292"/>
      <c r="AY73" s="292"/>
      <c r="AZ73" s="292"/>
      <c r="BA73" s="292"/>
      <c r="BB73" s="292"/>
      <c r="BC73" s="292"/>
      <c r="BD73" s="292"/>
      <c r="BE73" s="292"/>
      <c r="BF73" s="292"/>
      <c r="BG73" s="292"/>
      <c r="BH73" s="292"/>
      <c r="BI73" s="292"/>
      <c r="BJ73" s="292"/>
      <c r="BK73" s="292"/>
      <c r="BL73" s="292"/>
      <c r="BM73" s="292"/>
      <c r="BN73" s="292"/>
      <c r="BO73" s="292"/>
      <c r="BP73" s="292"/>
      <c r="BQ73" s="292"/>
      <c r="BR73" s="292"/>
      <c r="BS73" s="292"/>
      <c r="BT73" s="292"/>
      <c r="BU73" s="292"/>
      <c r="BV73" s="292"/>
      <c r="BW73" s="292"/>
      <c r="BX73" s="292"/>
      <c r="BY73" s="292"/>
      <c r="BZ73" s="292"/>
      <c r="CA73" s="292"/>
      <c r="CB73" s="292"/>
      <c r="CC73" s="292"/>
      <c r="CD73" s="292"/>
      <c r="CE73" s="292"/>
      <c r="CF73" s="292"/>
      <c r="CG73" s="292"/>
      <c r="CH73" s="292"/>
      <c r="CI73" s="292"/>
      <c r="CJ73" s="292"/>
      <c r="CK73" s="292"/>
      <c r="CL73" s="292"/>
      <c r="CM73" s="292"/>
      <c r="CN73" s="292"/>
      <c r="CO73" s="292"/>
      <c r="CP73" s="292"/>
      <c r="CQ73" s="292"/>
      <c r="CR73" s="292"/>
      <c r="CS73" s="292"/>
      <c r="CT73" s="292"/>
      <c r="CU73" s="292"/>
      <c r="CV73" s="292"/>
      <c r="CW73" s="292"/>
      <c r="CX73" s="292"/>
      <c r="CY73" s="292"/>
      <c r="CZ73" s="292"/>
      <c r="DA73" s="292"/>
      <c r="DB73" s="292"/>
      <c r="DC73" s="292"/>
      <c r="DD73" s="292"/>
      <c r="DE73" s="292"/>
      <c r="DF73" s="292"/>
      <c r="DG73" s="292"/>
      <c r="DH73" s="292"/>
      <c r="DI73" s="292"/>
      <c r="DJ73" s="292"/>
      <c r="DK73" s="292"/>
      <c r="DL73" s="292"/>
      <c r="DM73" s="292"/>
      <c r="DN73" s="292"/>
      <c r="DO73" s="292"/>
      <c r="DP73" s="292"/>
      <c r="DQ73" s="292"/>
      <c r="DR73" s="292"/>
      <c r="DS73" s="292"/>
      <c r="DT73" s="292"/>
      <c r="DU73" s="292"/>
      <c r="DV73" s="292"/>
      <c r="DW73" s="292"/>
      <c r="DX73" s="292"/>
      <c r="DY73" s="292"/>
      <c r="DZ73" s="292"/>
      <c r="EA73" s="292"/>
      <c r="EB73" s="292"/>
      <c r="EC73" s="292"/>
      <c r="ED73" s="292"/>
      <c r="EE73" s="292"/>
      <c r="EF73" s="292"/>
      <c r="EG73" s="292"/>
      <c r="EH73" s="292"/>
      <c r="EI73" s="292"/>
      <c r="EJ73" s="292"/>
      <c r="EK73" s="292"/>
      <c r="EL73" s="292"/>
      <c r="EM73" s="292"/>
      <c r="EN73" s="292"/>
      <c r="EO73" s="292"/>
      <c r="EP73" s="292"/>
      <c r="EQ73" s="292"/>
      <c r="ER73" s="292"/>
      <c r="ES73" s="292"/>
      <c r="ET73" s="292"/>
      <c r="EU73" s="292"/>
      <c r="EV73" s="292"/>
      <c r="EW73" s="292"/>
      <c r="EX73" s="292"/>
      <c r="EY73" s="292"/>
      <c r="EZ73" s="292"/>
      <c r="FA73" s="292"/>
      <c r="FB73" s="292"/>
      <c r="FC73" s="292"/>
      <c r="FD73" s="292"/>
      <c r="FE73" s="292"/>
      <c r="FF73" s="292"/>
      <c r="FG73" s="292"/>
      <c r="FH73" s="292"/>
      <c r="FI73" s="292"/>
      <c r="FJ73" s="292"/>
      <c r="FK73" s="292"/>
      <c r="FL73" s="292"/>
      <c r="FM73" s="292"/>
      <c r="FN73" s="292"/>
      <c r="FO73" s="292"/>
      <c r="FP73" s="292"/>
      <c r="FQ73" s="292"/>
      <c r="FR73" s="292"/>
      <c r="FS73" s="292"/>
      <c r="FT73" s="292"/>
      <c r="FU73" s="292"/>
      <c r="FV73" s="292"/>
      <c r="FW73" s="292"/>
      <c r="FX73" s="292"/>
      <c r="FY73" s="292"/>
      <c r="FZ73" s="292"/>
      <c r="GA73" s="292"/>
      <c r="GB73" s="292"/>
      <c r="GC73" s="292"/>
      <c r="GD73" s="292"/>
      <c r="GE73" s="292"/>
      <c r="GF73" s="292"/>
      <c r="GG73" s="292"/>
      <c r="GH73" s="292"/>
      <c r="GI73" s="292"/>
      <c r="GJ73" s="292"/>
      <c r="GK73" s="292"/>
      <c r="GL73" s="292"/>
      <c r="GM73" s="292"/>
      <c r="GN73" s="292"/>
      <c r="GO73" s="292"/>
      <c r="GP73" s="292"/>
      <c r="GQ73" s="292"/>
      <c r="GR73" s="292"/>
      <c r="GS73" s="292"/>
      <c r="GT73" s="292"/>
      <c r="GU73" s="292"/>
      <c r="GV73" s="292"/>
      <c r="GW73" s="292"/>
      <c r="GX73" s="292"/>
      <c r="GY73" s="292"/>
      <c r="GZ73" s="292"/>
      <c r="HA73" s="292"/>
      <c r="HB73" s="292"/>
      <c r="HC73" s="292"/>
      <c r="HD73" s="292"/>
      <c r="HE73" s="292"/>
      <c r="HF73" s="292"/>
      <c r="HG73" s="292"/>
      <c r="HH73" s="292"/>
      <c r="HI73" s="292"/>
      <c r="HJ73" s="292"/>
      <c r="HK73" s="292"/>
      <c r="HL73" s="292"/>
      <c r="HM73" s="292"/>
      <c r="HN73" s="292"/>
      <c r="HO73" s="292"/>
      <c r="HP73" s="292"/>
      <c r="HQ73" s="292"/>
      <c r="HR73" s="292"/>
      <c r="HS73" s="292"/>
      <c r="HT73" s="292"/>
      <c r="HU73" s="292"/>
      <c r="HV73" s="292"/>
      <c r="HW73" s="292"/>
      <c r="HX73" s="292"/>
      <c r="HY73" s="292"/>
      <c r="HZ73" s="292"/>
      <c r="IA73" s="292"/>
      <c r="IB73" s="292"/>
      <c r="IC73" s="292"/>
      <c r="ID73" s="292"/>
      <c r="IE73" s="292"/>
      <c r="IF73" s="292"/>
      <c r="IG73" s="292"/>
      <c r="IH73" s="292"/>
      <c r="II73" s="292"/>
      <c r="IJ73" s="292"/>
      <c r="IK73" s="292"/>
      <c r="IL73" s="292"/>
      <c r="IM73" s="292"/>
      <c r="IN73" s="292"/>
      <c r="IO73" s="292"/>
      <c r="IP73" s="292"/>
      <c r="IQ73" s="292"/>
      <c r="IR73" s="292"/>
      <c r="IS73" s="292"/>
      <c r="IT73" s="292"/>
      <c r="IU73" s="292"/>
      <c r="IV73" s="292"/>
      <c r="IW73" s="292"/>
      <c r="IX73" s="292"/>
      <c r="IY73" s="292"/>
      <c r="IZ73" s="292"/>
      <c r="JA73" s="292"/>
      <c r="JB73" s="292"/>
      <c r="JC73" s="292"/>
      <c r="JD73" s="292"/>
      <c r="JE73" s="292"/>
      <c r="JF73" s="292"/>
      <c r="JG73" s="292"/>
      <c r="JH73" s="292"/>
      <c r="JI73" s="292"/>
      <c r="JJ73" s="292"/>
      <c r="JK73" s="292"/>
      <c r="JL73" s="292"/>
      <c r="JM73" s="292"/>
      <c r="JN73" s="292"/>
      <c r="JO73" s="292"/>
      <c r="JP73" s="292"/>
      <c r="JQ73" s="292"/>
      <c r="JR73" s="292"/>
      <c r="JS73" s="292"/>
      <c r="JT73" s="292"/>
      <c r="JU73" s="292"/>
      <c r="JV73" s="292"/>
      <c r="JW73" s="292"/>
      <c r="JX73" s="292"/>
      <c r="JY73" s="292"/>
      <c r="JZ73" s="292"/>
      <c r="KA73" s="292"/>
      <c r="KB73" s="292"/>
      <c r="KC73" s="292"/>
      <c r="KD73" s="292"/>
      <c r="KE73" s="292"/>
      <c r="KF73" s="292"/>
      <c r="KG73" s="292"/>
      <c r="KH73" s="292"/>
      <c r="KI73" s="292"/>
      <c r="KJ73" s="292"/>
      <c r="KK73" s="292"/>
      <c r="KL73" s="292"/>
      <c r="KM73" s="292"/>
      <c r="KN73" s="292"/>
      <c r="KO73" s="292"/>
      <c r="KP73" s="292"/>
      <c r="KQ73" s="292"/>
      <c r="KR73" s="292"/>
      <c r="KS73" s="292"/>
      <c r="KT73" s="292"/>
      <c r="KU73" s="292"/>
      <c r="KV73" s="292"/>
      <c r="KW73" s="292"/>
      <c r="KX73" s="292"/>
      <c r="KY73" s="292"/>
      <c r="KZ73" s="292"/>
      <c r="LA73" s="292"/>
      <c r="LB73" s="292"/>
      <c r="LC73" s="292"/>
      <c r="LD73" s="292"/>
      <c r="LE73" s="292"/>
      <c r="LF73" s="292"/>
      <c r="LG73" s="292"/>
      <c r="LH73" s="292"/>
      <c r="LI73" s="292"/>
      <c r="LJ73" s="292"/>
      <c r="LK73" s="292"/>
      <c r="LL73" s="292"/>
      <c r="LM73" s="292"/>
      <c r="LN73" s="292"/>
      <c r="LO73" s="292"/>
      <c r="LP73" s="292"/>
      <c r="LQ73" s="292"/>
      <c r="LR73" s="292"/>
      <c r="LS73" s="292"/>
      <c r="LT73" s="292"/>
      <c r="LU73" s="292"/>
      <c r="LV73" s="292"/>
      <c r="LW73" s="292"/>
      <c r="LX73" s="292"/>
      <c r="LY73" s="292"/>
      <c r="LZ73" s="292"/>
      <c r="MA73" s="292"/>
      <c r="MB73" s="292"/>
      <c r="MC73" s="292"/>
      <c r="MD73" s="292"/>
      <c r="ME73" s="292"/>
      <c r="MF73" s="292"/>
      <c r="MG73" s="292"/>
      <c r="MH73" s="292"/>
      <c r="MI73" s="292"/>
      <c r="MJ73" s="292"/>
      <c r="MK73" s="292"/>
      <c r="ML73" s="292"/>
      <c r="MM73" s="292"/>
      <c r="MN73" s="292"/>
      <c r="MO73" s="292"/>
      <c r="MP73" s="292"/>
      <c r="MQ73" s="292"/>
      <c r="MR73" s="292"/>
      <c r="MS73" s="292"/>
      <c r="MT73" s="292"/>
      <c r="MU73" s="292"/>
      <c r="MV73" s="292"/>
      <c r="MW73" s="292"/>
      <c r="MX73" s="292"/>
      <c r="MY73" s="292"/>
      <c r="MZ73" s="292"/>
      <c r="NA73" s="292"/>
      <c r="NB73" s="292"/>
      <c r="NC73" s="292"/>
      <c r="ND73" s="292"/>
      <c r="NE73" s="292"/>
      <c r="NF73" s="292"/>
      <c r="NG73" s="292"/>
      <c r="NH73" s="292"/>
      <c r="NI73" s="292"/>
      <c r="NJ73" s="292"/>
      <c r="NK73" s="292"/>
      <c r="NL73" s="292"/>
      <c r="NM73" s="292"/>
      <c r="NN73" s="292"/>
      <c r="NO73" s="292"/>
      <c r="NP73" s="292"/>
      <c r="NQ73" s="292"/>
      <c r="NR73" s="292"/>
      <c r="NS73" s="292"/>
      <c r="NT73" s="292"/>
      <c r="NU73" s="292"/>
      <c r="NV73" s="292"/>
      <c r="NW73" s="292"/>
      <c r="NX73" s="292"/>
      <c r="NY73" s="292"/>
      <c r="NZ73" s="292"/>
      <c r="OA73" s="292"/>
      <c r="OB73" s="292"/>
      <c r="OC73" s="292"/>
      <c r="OD73" s="292"/>
      <c r="OE73" s="292"/>
      <c r="OF73" s="292"/>
      <c r="OG73" s="292"/>
      <c r="OH73" s="292"/>
      <c r="OI73" s="292"/>
      <c r="OJ73" s="292"/>
      <c r="OK73" s="292"/>
      <c r="OL73" s="292"/>
      <c r="OM73" s="292"/>
      <c r="ON73" s="292"/>
      <c r="OO73" s="292"/>
      <c r="OP73" s="292"/>
      <c r="OQ73" s="292"/>
      <c r="OR73" s="292"/>
      <c r="OS73" s="292"/>
      <c r="OT73" s="292"/>
      <c r="OU73" s="292"/>
      <c r="OV73" s="292"/>
      <c r="OW73" s="292"/>
      <c r="OX73" s="292"/>
      <c r="OY73" s="292"/>
      <c r="OZ73" s="292"/>
      <c r="PA73" s="292"/>
      <c r="PB73" s="292"/>
      <c r="PC73" s="292"/>
      <c r="PD73" s="292"/>
      <c r="PE73" s="292"/>
      <c r="PF73" s="292"/>
      <c r="PG73" s="292"/>
      <c r="PH73" s="292"/>
      <c r="PI73" s="292"/>
      <c r="PJ73" s="292"/>
      <c r="PK73" s="292"/>
      <c r="PL73" s="292"/>
      <c r="PM73" s="292"/>
      <c r="PN73" s="292"/>
      <c r="PO73" s="292"/>
      <c r="PP73" s="292"/>
      <c r="PQ73" s="292"/>
      <c r="PR73" s="292"/>
      <c r="PS73" s="292"/>
      <c r="PT73" s="292"/>
      <c r="PU73" s="292"/>
      <c r="PV73" s="292"/>
      <c r="PW73" s="292"/>
      <c r="PX73" s="292"/>
      <c r="PY73" s="292"/>
      <c r="PZ73" s="292"/>
      <c r="QA73" s="292"/>
      <c r="QB73" s="292"/>
      <c r="QC73" s="292"/>
      <c r="QD73" s="292"/>
      <c r="QE73" s="292"/>
      <c r="QF73" s="292"/>
      <c r="QG73" s="292"/>
      <c r="QH73" s="292"/>
      <c r="QI73" s="292"/>
      <c r="QJ73" s="292"/>
      <c r="QK73" s="292"/>
      <c r="QL73" s="292"/>
      <c r="QM73" s="292"/>
      <c r="QN73" s="292"/>
      <c r="QO73" s="292"/>
      <c r="QP73" s="292"/>
      <c r="QQ73" s="292"/>
      <c r="QR73" s="292"/>
      <c r="QS73" s="292"/>
      <c r="QT73" s="292"/>
      <c r="QU73" s="292"/>
      <c r="QV73" s="292"/>
      <c r="QW73" s="292"/>
      <c r="QX73" s="292"/>
      <c r="QY73" s="292"/>
      <c r="QZ73" s="292"/>
      <c r="RA73" s="292"/>
      <c r="RB73" s="292"/>
      <c r="RC73" s="292"/>
      <c r="RD73" s="292"/>
      <c r="RE73" s="292"/>
      <c r="RF73" s="292"/>
      <c r="RG73" s="292"/>
      <c r="RH73" s="292"/>
      <c r="RI73" s="292"/>
      <c r="RJ73" s="292"/>
      <c r="RK73" s="292"/>
      <c r="RL73" s="292"/>
      <c r="RM73" s="292"/>
      <c r="RN73" s="292"/>
      <c r="RO73" s="292"/>
      <c r="RP73" s="292"/>
      <c r="RQ73" s="292"/>
      <c r="RR73" s="292"/>
      <c r="RS73" s="292"/>
      <c r="RT73" s="292"/>
      <c r="RU73" s="292"/>
      <c r="RV73" s="292"/>
      <c r="RW73" s="292"/>
      <c r="RX73" s="292"/>
      <c r="RY73" s="292"/>
      <c r="RZ73" s="292"/>
      <c r="SA73" s="292"/>
      <c r="SB73" s="292"/>
      <c r="SC73" s="292"/>
      <c r="SD73" s="292"/>
      <c r="SE73" s="292"/>
      <c r="SF73" s="292"/>
      <c r="SG73" s="292"/>
      <c r="SH73" s="292"/>
      <c r="SI73" s="292"/>
      <c r="SJ73" s="292"/>
      <c r="SK73" s="292"/>
      <c r="SL73" s="292"/>
      <c r="SM73" s="292"/>
      <c r="SN73" s="292"/>
      <c r="SO73" s="292"/>
      <c r="SP73" s="292"/>
      <c r="SQ73" s="292"/>
      <c r="SR73" s="292"/>
      <c r="SS73" s="292"/>
      <c r="ST73" s="292"/>
      <c r="SU73" s="292"/>
    </row>
    <row r="74" spans="1:515" s="627" customFormat="1" ht="23.15" customHeight="1" x14ac:dyDescent="0.25">
      <c r="A74" s="1353" t="s">
        <v>376</v>
      </c>
      <c r="B74" s="1354"/>
      <c r="C74" s="1354"/>
      <c r="D74" s="957"/>
      <c r="E74" s="1174" t="s">
        <v>15</v>
      </c>
      <c r="F74" s="1174" t="s">
        <v>363</v>
      </c>
      <c r="G74" s="1174" t="s">
        <v>377</v>
      </c>
      <c r="H74" s="957"/>
      <c r="I74" s="1174" t="s">
        <v>15</v>
      </c>
      <c r="J74" s="1174" t="s">
        <v>363</v>
      </c>
      <c r="K74" s="1174" t="s">
        <v>377</v>
      </c>
      <c r="L74" s="957"/>
      <c r="M74" s="1174" t="s">
        <v>15</v>
      </c>
      <c r="N74" s="1174" t="s">
        <v>363</v>
      </c>
      <c r="O74" s="1174" t="s">
        <v>377</v>
      </c>
      <c r="P74" s="957"/>
      <c r="Q74" s="1174" t="s">
        <v>15</v>
      </c>
      <c r="R74" s="1174" t="s">
        <v>363</v>
      </c>
      <c r="S74" s="1174" t="s">
        <v>377</v>
      </c>
      <c r="T74" s="957"/>
      <c r="U74" s="1174" t="s">
        <v>15</v>
      </c>
      <c r="V74" s="1174" t="s">
        <v>363</v>
      </c>
      <c r="W74" s="1174" t="s">
        <v>377</v>
      </c>
      <c r="X74" s="960"/>
      <c r="Y74" s="1174" t="s">
        <v>15</v>
      </c>
      <c r="Z74" s="1174" t="s">
        <v>363</v>
      </c>
      <c r="AA74" s="1174" t="s">
        <v>377</v>
      </c>
      <c r="AB74" s="957"/>
      <c r="AC74" s="957"/>
      <c r="AD74" s="1174" t="s">
        <v>377</v>
      </c>
      <c r="AE74" s="971"/>
      <c r="AF74" s="292"/>
      <c r="AG74" s="292"/>
      <c r="AH74" s="292"/>
      <c r="AI74" s="292"/>
      <c r="AJ74" s="292"/>
      <c r="AK74" s="292"/>
      <c r="AL74" s="292"/>
      <c r="AM74" s="292"/>
      <c r="AN74" s="292"/>
      <c r="AO74" s="292"/>
      <c r="AP74" s="292"/>
      <c r="AQ74" s="292"/>
      <c r="AR74" s="292"/>
      <c r="AS74" s="292"/>
      <c r="AT74" s="292"/>
      <c r="AU74" s="292"/>
      <c r="AV74" s="292"/>
      <c r="AW74" s="292"/>
      <c r="AX74" s="292"/>
      <c r="AY74" s="292"/>
      <c r="AZ74" s="292"/>
      <c r="BA74" s="292"/>
      <c r="BB74" s="292"/>
      <c r="BC74" s="292"/>
      <c r="BD74" s="292"/>
      <c r="BE74" s="292"/>
      <c r="BF74" s="292"/>
      <c r="BG74" s="292"/>
      <c r="BH74" s="292"/>
      <c r="BI74" s="292"/>
      <c r="BJ74" s="292"/>
      <c r="BK74" s="292"/>
      <c r="BL74" s="292"/>
      <c r="BM74" s="292"/>
      <c r="BN74" s="292"/>
      <c r="BO74" s="292"/>
      <c r="BP74" s="292"/>
      <c r="BQ74" s="292"/>
      <c r="BR74" s="292"/>
      <c r="BS74" s="292"/>
      <c r="BT74" s="292"/>
      <c r="BU74" s="292"/>
      <c r="BV74" s="292"/>
      <c r="BW74" s="292"/>
      <c r="BX74" s="292"/>
      <c r="BY74" s="292"/>
      <c r="BZ74" s="292"/>
      <c r="CA74" s="292"/>
      <c r="CB74" s="292"/>
      <c r="CC74" s="292"/>
      <c r="CD74" s="292"/>
      <c r="CE74" s="292"/>
      <c r="CF74" s="292"/>
      <c r="CG74" s="292"/>
      <c r="CH74" s="292"/>
      <c r="CI74" s="292"/>
      <c r="CJ74" s="292"/>
      <c r="CK74" s="292"/>
      <c r="CL74" s="292"/>
      <c r="CM74" s="292"/>
      <c r="CN74" s="292"/>
      <c r="CO74" s="292"/>
      <c r="CP74" s="292"/>
      <c r="CQ74" s="292"/>
      <c r="CR74" s="292"/>
      <c r="CS74" s="292"/>
      <c r="CT74" s="292"/>
      <c r="CU74" s="292"/>
      <c r="CV74" s="292"/>
      <c r="CW74" s="292"/>
      <c r="CX74" s="292"/>
      <c r="CY74" s="292"/>
      <c r="CZ74" s="292"/>
      <c r="DA74" s="292"/>
      <c r="DB74" s="292"/>
      <c r="DC74" s="292"/>
      <c r="DD74" s="292"/>
      <c r="DE74" s="292"/>
      <c r="DF74" s="292"/>
      <c r="DG74" s="292"/>
      <c r="DH74" s="292"/>
      <c r="DI74" s="292"/>
      <c r="DJ74" s="292"/>
      <c r="DK74" s="292"/>
      <c r="DL74" s="292"/>
      <c r="DM74" s="292"/>
      <c r="DN74" s="292"/>
      <c r="DO74" s="292"/>
      <c r="DP74" s="292"/>
      <c r="DQ74" s="292"/>
      <c r="DR74" s="292"/>
      <c r="DS74" s="292"/>
      <c r="DT74" s="292"/>
      <c r="DU74" s="292"/>
      <c r="DV74" s="292"/>
      <c r="DW74" s="292"/>
      <c r="DX74" s="292"/>
      <c r="DY74" s="292"/>
      <c r="DZ74" s="292"/>
      <c r="EA74" s="292"/>
      <c r="EB74" s="292"/>
      <c r="EC74" s="292"/>
      <c r="ED74" s="292"/>
      <c r="EE74" s="292"/>
      <c r="EF74" s="292"/>
      <c r="EG74" s="292"/>
      <c r="EH74" s="292"/>
      <c r="EI74" s="292"/>
      <c r="EJ74" s="292"/>
      <c r="EK74" s="292"/>
      <c r="EL74" s="292"/>
      <c r="EM74" s="292"/>
      <c r="EN74" s="292"/>
      <c r="EO74" s="292"/>
      <c r="EP74" s="292"/>
      <c r="EQ74" s="292"/>
      <c r="ER74" s="292"/>
      <c r="ES74" s="292"/>
      <c r="ET74" s="292"/>
      <c r="EU74" s="292"/>
      <c r="EV74" s="292"/>
      <c r="EW74" s="292"/>
      <c r="EX74" s="292"/>
      <c r="EY74" s="292"/>
      <c r="EZ74" s="292"/>
      <c r="FA74" s="292"/>
      <c r="FB74" s="292"/>
      <c r="FC74" s="292"/>
      <c r="FD74" s="292"/>
      <c r="FE74" s="292"/>
      <c r="FF74" s="292"/>
      <c r="FG74" s="292"/>
      <c r="FH74" s="292"/>
      <c r="FI74" s="292"/>
      <c r="FJ74" s="292"/>
      <c r="FK74" s="292"/>
      <c r="FL74" s="292"/>
      <c r="FM74" s="292"/>
      <c r="FN74" s="292"/>
      <c r="FO74" s="292"/>
      <c r="FP74" s="292"/>
      <c r="FQ74" s="292"/>
      <c r="FR74" s="292"/>
      <c r="FS74" s="292"/>
      <c r="FT74" s="292"/>
      <c r="FU74" s="292"/>
      <c r="FV74" s="292"/>
      <c r="FW74" s="292"/>
      <c r="FX74" s="292"/>
      <c r="FY74" s="292"/>
      <c r="FZ74" s="292"/>
      <c r="GA74" s="292"/>
      <c r="GB74" s="292"/>
      <c r="GC74" s="292"/>
      <c r="GD74" s="292"/>
      <c r="GE74" s="292"/>
      <c r="GF74" s="292"/>
      <c r="GG74" s="292"/>
      <c r="GH74" s="292"/>
      <c r="GI74" s="292"/>
      <c r="GJ74" s="292"/>
      <c r="GK74" s="292"/>
      <c r="GL74" s="292"/>
      <c r="GM74" s="292"/>
      <c r="GN74" s="292"/>
      <c r="GO74" s="292"/>
      <c r="GP74" s="292"/>
      <c r="GQ74" s="292"/>
      <c r="GR74" s="292"/>
      <c r="GS74" s="292"/>
      <c r="GT74" s="292"/>
      <c r="GU74" s="292"/>
      <c r="GV74" s="292"/>
      <c r="GW74" s="292"/>
      <c r="GX74" s="292"/>
      <c r="GY74" s="292"/>
      <c r="GZ74" s="292"/>
      <c r="HA74" s="292"/>
      <c r="HB74" s="292"/>
      <c r="HC74" s="292"/>
      <c r="HD74" s="292"/>
      <c r="HE74" s="292"/>
      <c r="HF74" s="292"/>
      <c r="HG74" s="292"/>
      <c r="HH74" s="292"/>
      <c r="HI74" s="292"/>
      <c r="HJ74" s="292"/>
      <c r="HK74" s="292"/>
      <c r="HL74" s="292"/>
      <c r="HM74" s="292"/>
      <c r="HN74" s="292"/>
      <c r="HO74" s="292"/>
      <c r="HP74" s="292"/>
      <c r="HQ74" s="292"/>
      <c r="HR74" s="292"/>
      <c r="HS74" s="292"/>
      <c r="HT74" s="292"/>
      <c r="HU74" s="292"/>
      <c r="HV74" s="292"/>
      <c r="HW74" s="292"/>
      <c r="HX74" s="292"/>
      <c r="HY74" s="292"/>
      <c r="HZ74" s="292"/>
      <c r="IA74" s="292"/>
      <c r="IB74" s="292"/>
      <c r="IC74" s="292"/>
      <c r="ID74" s="292"/>
      <c r="IE74" s="292"/>
      <c r="IF74" s="292"/>
      <c r="IG74" s="292"/>
      <c r="IH74" s="292"/>
      <c r="II74" s="292"/>
      <c r="IJ74" s="292"/>
      <c r="IK74" s="292"/>
      <c r="IL74" s="292"/>
      <c r="IM74" s="292"/>
      <c r="IN74" s="292"/>
      <c r="IO74" s="292"/>
      <c r="IP74" s="292"/>
      <c r="IQ74" s="292"/>
      <c r="IR74" s="292"/>
      <c r="IS74" s="292"/>
      <c r="IT74" s="292"/>
      <c r="IU74" s="292"/>
      <c r="IV74" s="292"/>
      <c r="IW74" s="292"/>
      <c r="IX74" s="292"/>
      <c r="IY74" s="292"/>
      <c r="IZ74" s="292"/>
      <c r="JA74" s="292"/>
      <c r="JB74" s="292"/>
      <c r="JC74" s="292"/>
      <c r="JD74" s="292"/>
      <c r="JE74" s="292"/>
      <c r="JF74" s="292"/>
      <c r="JG74" s="292"/>
      <c r="JH74" s="292"/>
      <c r="JI74" s="292"/>
      <c r="JJ74" s="292"/>
      <c r="JK74" s="292"/>
      <c r="JL74" s="292"/>
      <c r="JM74" s="292"/>
      <c r="JN74" s="292"/>
      <c r="JO74" s="292"/>
      <c r="JP74" s="292"/>
      <c r="JQ74" s="292"/>
      <c r="JR74" s="292"/>
      <c r="JS74" s="292"/>
      <c r="JT74" s="292"/>
      <c r="JU74" s="292"/>
      <c r="JV74" s="292"/>
      <c r="JW74" s="292"/>
      <c r="JX74" s="292"/>
      <c r="JY74" s="292"/>
      <c r="JZ74" s="292"/>
      <c r="KA74" s="292"/>
      <c r="KB74" s="292"/>
      <c r="KC74" s="292"/>
      <c r="KD74" s="292"/>
      <c r="KE74" s="292"/>
      <c r="KF74" s="292"/>
      <c r="KG74" s="292"/>
      <c r="KH74" s="292"/>
      <c r="KI74" s="292"/>
      <c r="KJ74" s="292"/>
      <c r="KK74" s="292"/>
      <c r="KL74" s="292"/>
      <c r="KM74" s="292"/>
      <c r="KN74" s="292"/>
      <c r="KO74" s="292"/>
      <c r="KP74" s="292"/>
      <c r="KQ74" s="292"/>
      <c r="KR74" s="292"/>
      <c r="KS74" s="292"/>
      <c r="KT74" s="292"/>
      <c r="KU74" s="292"/>
      <c r="KV74" s="292"/>
      <c r="KW74" s="292"/>
      <c r="KX74" s="292"/>
      <c r="KY74" s="292"/>
      <c r="KZ74" s="292"/>
      <c r="LA74" s="292"/>
      <c r="LB74" s="292"/>
      <c r="LC74" s="292"/>
      <c r="LD74" s="292"/>
      <c r="LE74" s="292"/>
      <c r="LF74" s="292"/>
      <c r="LG74" s="292"/>
      <c r="LH74" s="292"/>
      <c r="LI74" s="292"/>
      <c r="LJ74" s="292"/>
      <c r="LK74" s="292"/>
      <c r="LL74" s="292"/>
      <c r="LM74" s="292"/>
      <c r="LN74" s="292"/>
      <c r="LO74" s="292"/>
      <c r="LP74" s="292"/>
      <c r="LQ74" s="292"/>
      <c r="LR74" s="292"/>
      <c r="LS74" s="292"/>
      <c r="LT74" s="292"/>
      <c r="LU74" s="292"/>
      <c r="LV74" s="292"/>
      <c r="LW74" s="292"/>
      <c r="LX74" s="292"/>
      <c r="LY74" s="292"/>
      <c r="LZ74" s="292"/>
      <c r="MA74" s="292"/>
      <c r="MB74" s="292"/>
      <c r="MC74" s="292"/>
      <c r="MD74" s="292"/>
      <c r="ME74" s="292"/>
      <c r="MF74" s="292"/>
      <c r="MG74" s="292"/>
      <c r="MH74" s="292"/>
      <c r="MI74" s="292"/>
      <c r="MJ74" s="292"/>
      <c r="MK74" s="292"/>
      <c r="ML74" s="292"/>
      <c r="MM74" s="292"/>
      <c r="MN74" s="292"/>
      <c r="MO74" s="292"/>
      <c r="MP74" s="292"/>
      <c r="MQ74" s="292"/>
      <c r="MR74" s="292"/>
      <c r="MS74" s="292"/>
      <c r="MT74" s="292"/>
      <c r="MU74" s="292"/>
      <c r="MV74" s="292"/>
      <c r="MW74" s="292"/>
      <c r="MX74" s="292"/>
      <c r="MY74" s="292"/>
      <c r="MZ74" s="292"/>
      <c r="NA74" s="292"/>
      <c r="NB74" s="292"/>
      <c r="NC74" s="292"/>
      <c r="ND74" s="292"/>
      <c r="NE74" s="292"/>
      <c r="NF74" s="292"/>
      <c r="NG74" s="292"/>
      <c r="NH74" s="292"/>
      <c r="NI74" s="292"/>
      <c r="NJ74" s="292"/>
      <c r="NK74" s="292"/>
      <c r="NL74" s="292"/>
      <c r="NM74" s="292"/>
      <c r="NN74" s="292"/>
      <c r="NO74" s="292"/>
      <c r="NP74" s="292"/>
      <c r="NQ74" s="292"/>
      <c r="NR74" s="292"/>
      <c r="NS74" s="292"/>
      <c r="NT74" s="292"/>
      <c r="NU74" s="292"/>
      <c r="NV74" s="292"/>
      <c r="NW74" s="292"/>
      <c r="NX74" s="292"/>
      <c r="NY74" s="292"/>
      <c r="NZ74" s="292"/>
      <c r="OA74" s="292"/>
      <c r="OB74" s="292"/>
      <c r="OC74" s="292"/>
      <c r="OD74" s="292"/>
      <c r="OE74" s="292"/>
      <c r="OF74" s="292"/>
      <c r="OG74" s="292"/>
      <c r="OH74" s="292"/>
      <c r="OI74" s="292"/>
      <c r="OJ74" s="292"/>
      <c r="OK74" s="292"/>
      <c r="OL74" s="292"/>
      <c r="OM74" s="292"/>
      <c r="ON74" s="292"/>
      <c r="OO74" s="292"/>
      <c r="OP74" s="292"/>
      <c r="OQ74" s="292"/>
      <c r="OR74" s="292"/>
      <c r="OS74" s="292"/>
      <c r="OT74" s="292"/>
      <c r="OU74" s="292"/>
      <c r="OV74" s="292"/>
      <c r="OW74" s="292"/>
      <c r="OX74" s="292"/>
      <c r="OY74" s="292"/>
      <c r="OZ74" s="292"/>
      <c r="PA74" s="292"/>
      <c r="PB74" s="292"/>
      <c r="PC74" s="292"/>
      <c r="PD74" s="292"/>
      <c r="PE74" s="292"/>
      <c r="PF74" s="292"/>
      <c r="PG74" s="292"/>
      <c r="PH74" s="292"/>
      <c r="PI74" s="292"/>
      <c r="PJ74" s="292"/>
      <c r="PK74" s="292"/>
      <c r="PL74" s="292"/>
      <c r="PM74" s="292"/>
      <c r="PN74" s="292"/>
      <c r="PO74" s="292"/>
      <c r="PP74" s="292"/>
      <c r="PQ74" s="292"/>
      <c r="PR74" s="292"/>
      <c r="PS74" s="292"/>
      <c r="PT74" s="292"/>
      <c r="PU74" s="292"/>
      <c r="PV74" s="292"/>
      <c r="PW74" s="292"/>
      <c r="PX74" s="292"/>
      <c r="PY74" s="292"/>
      <c r="PZ74" s="292"/>
      <c r="QA74" s="292"/>
      <c r="QB74" s="292"/>
      <c r="QC74" s="292"/>
      <c r="QD74" s="292"/>
      <c r="QE74" s="292"/>
      <c r="QF74" s="292"/>
      <c r="QG74" s="292"/>
      <c r="QH74" s="292"/>
      <c r="QI74" s="292"/>
      <c r="QJ74" s="292"/>
      <c r="QK74" s="292"/>
      <c r="QL74" s="292"/>
      <c r="QM74" s="292"/>
      <c r="QN74" s="292"/>
      <c r="QO74" s="292"/>
      <c r="QP74" s="292"/>
      <c r="QQ74" s="292"/>
      <c r="QR74" s="292"/>
      <c r="QS74" s="292"/>
      <c r="QT74" s="292"/>
      <c r="QU74" s="292"/>
      <c r="QV74" s="292"/>
      <c r="QW74" s="292"/>
      <c r="QX74" s="292"/>
      <c r="QY74" s="292"/>
      <c r="QZ74" s="292"/>
      <c r="RA74" s="292"/>
      <c r="RB74" s="292"/>
      <c r="RC74" s="292"/>
      <c r="RD74" s="292"/>
      <c r="RE74" s="292"/>
      <c r="RF74" s="292"/>
      <c r="RG74" s="292"/>
      <c r="RH74" s="292"/>
      <c r="RI74" s="292"/>
      <c r="RJ74" s="292"/>
      <c r="RK74" s="292"/>
      <c r="RL74" s="292"/>
      <c r="RM74" s="292"/>
      <c r="RN74" s="292"/>
      <c r="RO74" s="292"/>
      <c r="RP74" s="292"/>
      <c r="RQ74" s="292"/>
      <c r="RR74" s="292"/>
      <c r="RS74" s="292"/>
      <c r="RT74" s="292"/>
      <c r="RU74" s="292"/>
      <c r="RV74" s="292"/>
      <c r="RW74" s="292"/>
      <c r="RX74" s="292"/>
      <c r="RY74" s="292"/>
      <c r="RZ74" s="292"/>
      <c r="SA74" s="292"/>
      <c r="SB74" s="292"/>
      <c r="SC74" s="292"/>
      <c r="SD74" s="292"/>
      <c r="SE74" s="292"/>
      <c r="SF74" s="292"/>
      <c r="SG74" s="292"/>
      <c r="SH74" s="292"/>
      <c r="SI74" s="292"/>
      <c r="SJ74" s="292"/>
      <c r="SK74" s="292"/>
      <c r="SL74" s="292"/>
      <c r="SM74" s="292"/>
      <c r="SN74" s="292"/>
      <c r="SO74" s="292"/>
      <c r="SP74" s="292"/>
      <c r="SQ74" s="292"/>
      <c r="SR74" s="292"/>
      <c r="SS74" s="292"/>
      <c r="ST74" s="292"/>
      <c r="SU74" s="292"/>
    </row>
    <row r="75" spans="1:515" ht="15" customHeight="1" x14ac:dyDescent="0.25">
      <c r="A75" s="1349" t="s">
        <v>378</v>
      </c>
      <c r="B75" s="1350"/>
      <c r="C75" s="1350"/>
      <c r="D75" s="957"/>
      <c r="E75" s="622">
        <v>0</v>
      </c>
      <c r="F75" s="626">
        <v>0</v>
      </c>
      <c r="G75" s="1003">
        <f>E75*F75</f>
        <v>0</v>
      </c>
      <c r="H75" s="957"/>
      <c r="I75" s="622">
        <v>0</v>
      </c>
      <c r="J75" s="626">
        <v>0</v>
      </c>
      <c r="K75" s="1003">
        <f>I75*J75</f>
        <v>0</v>
      </c>
      <c r="L75" s="957"/>
      <c r="M75" s="622">
        <v>0</v>
      </c>
      <c r="N75" s="626">
        <v>0</v>
      </c>
      <c r="O75" s="1003">
        <f>M75*N75</f>
        <v>0</v>
      </c>
      <c r="P75" s="957"/>
      <c r="Q75" s="622">
        <v>0</v>
      </c>
      <c r="R75" s="626">
        <v>0.01</v>
      </c>
      <c r="S75" s="1003">
        <f>Q75*R75</f>
        <v>0</v>
      </c>
      <c r="T75" s="957"/>
      <c r="U75" s="622">
        <v>0</v>
      </c>
      <c r="V75" s="626">
        <v>0</v>
      </c>
      <c r="W75" s="1003">
        <f>U75*V75</f>
        <v>0</v>
      </c>
      <c r="X75" s="960"/>
      <c r="Y75" s="622">
        <v>0</v>
      </c>
      <c r="Z75" s="626">
        <v>0</v>
      </c>
      <c r="AA75" s="1003">
        <f>Y75*Z75</f>
        <v>0</v>
      </c>
      <c r="AB75" s="975"/>
      <c r="AC75" s="957"/>
      <c r="AD75" s="1003">
        <f>G75+K75+O75+S75+W75+AA75</f>
        <v>0</v>
      </c>
      <c r="AE75" s="971"/>
    </row>
    <row r="76" spans="1:515" ht="15" customHeight="1" x14ac:dyDescent="0.25">
      <c r="A76" s="1351" t="s">
        <v>379</v>
      </c>
      <c r="B76" s="1352"/>
      <c r="C76" s="1352"/>
      <c r="D76" s="957"/>
      <c r="E76" s="622">
        <v>0</v>
      </c>
      <c r="F76" s="626">
        <v>0</v>
      </c>
      <c r="G76" s="1003">
        <f>E76*F76</f>
        <v>0</v>
      </c>
      <c r="H76" s="957"/>
      <c r="I76" s="622">
        <v>0</v>
      </c>
      <c r="J76" s="626">
        <v>0</v>
      </c>
      <c r="K76" s="1003">
        <f>I76*J76</f>
        <v>0</v>
      </c>
      <c r="L76" s="957"/>
      <c r="M76" s="622">
        <v>0</v>
      </c>
      <c r="N76" s="626">
        <v>0</v>
      </c>
      <c r="O76" s="1003">
        <f>M76*N76</f>
        <v>0</v>
      </c>
      <c r="P76" s="957"/>
      <c r="Q76" s="622">
        <v>0</v>
      </c>
      <c r="R76" s="626">
        <v>0.01</v>
      </c>
      <c r="S76" s="1003">
        <f>Q76*R76</f>
        <v>0</v>
      </c>
      <c r="T76" s="957"/>
      <c r="U76" s="622">
        <v>0</v>
      </c>
      <c r="V76" s="626">
        <v>0</v>
      </c>
      <c r="W76" s="1003">
        <f>U76*V76</f>
        <v>0</v>
      </c>
      <c r="X76" s="960"/>
      <c r="Y76" s="622">
        <v>0</v>
      </c>
      <c r="Z76" s="626">
        <v>0</v>
      </c>
      <c r="AA76" s="1003">
        <f>Y76*Z76</f>
        <v>0</v>
      </c>
      <c r="AB76" s="975"/>
      <c r="AC76" s="957"/>
      <c r="AD76" s="1003">
        <f>G76+K76+O76+S76+W76+AA76</f>
        <v>0</v>
      </c>
      <c r="AE76" s="971"/>
    </row>
    <row r="77" spans="1:515" s="627" customFormat="1" ht="23.15" customHeight="1" x14ac:dyDescent="0.25">
      <c r="A77" s="1325" t="s">
        <v>380</v>
      </c>
      <c r="B77" s="1326"/>
      <c r="C77" s="1326"/>
      <c r="D77" s="957"/>
      <c r="E77" s="957"/>
      <c r="F77" s="992"/>
      <c r="G77" s="793">
        <f>SUM(G74:G76)</f>
        <v>0</v>
      </c>
      <c r="H77" s="957"/>
      <c r="I77" s="990"/>
      <c r="J77" s="991"/>
      <c r="K77" s="793">
        <f>SUM(K75:K76)</f>
        <v>0</v>
      </c>
      <c r="L77" s="957"/>
      <c r="M77" s="960"/>
      <c r="N77" s="993"/>
      <c r="O77" s="793">
        <f>SUM(O75:O76)</f>
        <v>0</v>
      </c>
      <c r="P77" s="957"/>
      <c r="Q77" s="957"/>
      <c r="R77" s="957"/>
      <c r="S77" s="793">
        <f>SUM(S75:S76)</f>
        <v>0</v>
      </c>
      <c r="T77" s="957"/>
      <c r="U77" s="1295"/>
      <c r="V77" s="1295"/>
      <c r="W77" s="793">
        <f>SUM(W75:W76)</f>
        <v>0</v>
      </c>
      <c r="X77" s="960"/>
      <c r="Y77" s="1304"/>
      <c r="Z77" s="1304"/>
      <c r="AA77" s="793">
        <f>SUM(AA75:AA76)</f>
        <v>0</v>
      </c>
      <c r="AB77" s="976"/>
      <c r="AC77" s="957"/>
      <c r="AD77" s="793">
        <f>G77+K77+O77+S77+W77+AA77</f>
        <v>0</v>
      </c>
      <c r="AE77" s="971"/>
      <c r="AF77" s="292"/>
      <c r="AG77" s="292"/>
      <c r="AH77" s="292"/>
      <c r="AI77" s="292"/>
      <c r="AJ77" s="292"/>
      <c r="AK77" s="292"/>
      <c r="AL77" s="292"/>
      <c r="AM77" s="292"/>
      <c r="AN77" s="292"/>
      <c r="AO77" s="292"/>
      <c r="AP77" s="292"/>
      <c r="AQ77" s="292"/>
      <c r="AR77" s="292"/>
      <c r="AS77" s="292"/>
      <c r="AT77" s="292"/>
      <c r="AU77" s="292"/>
      <c r="AV77" s="292"/>
      <c r="AW77" s="292"/>
      <c r="AX77" s="292"/>
      <c r="AY77" s="292"/>
      <c r="AZ77" s="292"/>
      <c r="BA77" s="292"/>
      <c r="BB77" s="292"/>
      <c r="BC77" s="292"/>
      <c r="BD77" s="292"/>
      <c r="BE77" s="292"/>
      <c r="BF77" s="292"/>
      <c r="BG77" s="292"/>
      <c r="BH77" s="292"/>
      <c r="BI77" s="292"/>
      <c r="BJ77" s="292"/>
      <c r="BK77" s="292"/>
      <c r="BL77" s="292"/>
      <c r="BM77" s="292"/>
      <c r="BN77" s="292"/>
      <c r="BO77" s="292"/>
      <c r="BP77" s="292"/>
      <c r="BQ77" s="292"/>
      <c r="BR77" s="292"/>
      <c r="BS77" s="292"/>
      <c r="BT77" s="292"/>
      <c r="BU77" s="292"/>
      <c r="BV77" s="292"/>
      <c r="BW77" s="292"/>
      <c r="BX77" s="292"/>
      <c r="BY77" s="292"/>
      <c r="BZ77" s="292"/>
      <c r="CA77" s="292"/>
      <c r="CB77" s="292"/>
      <c r="CC77" s="292"/>
      <c r="CD77" s="292"/>
      <c r="CE77" s="292"/>
      <c r="CF77" s="292"/>
      <c r="CG77" s="292"/>
      <c r="CH77" s="292"/>
      <c r="CI77" s="292"/>
      <c r="CJ77" s="292"/>
      <c r="CK77" s="292"/>
      <c r="CL77" s="292"/>
      <c r="CM77" s="292"/>
      <c r="CN77" s="292"/>
      <c r="CO77" s="292"/>
      <c r="CP77" s="292"/>
      <c r="CQ77" s="292"/>
      <c r="CR77" s="292"/>
      <c r="CS77" s="292"/>
      <c r="CT77" s="292"/>
      <c r="CU77" s="292"/>
      <c r="CV77" s="292"/>
      <c r="CW77" s="292"/>
      <c r="CX77" s="292"/>
      <c r="CY77" s="292"/>
      <c r="CZ77" s="292"/>
      <c r="DA77" s="292"/>
      <c r="DB77" s="292"/>
      <c r="DC77" s="292"/>
      <c r="DD77" s="292"/>
      <c r="DE77" s="292"/>
      <c r="DF77" s="292"/>
      <c r="DG77" s="292"/>
      <c r="DH77" s="292"/>
      <c r="DI77" s="292"/>
      <c r="DJ77" s="292"/>
      <c r="DK77" s="292"/>
      <c r="DL77" s="292"/>
      <c r="DM77" s="292"/>
      <c r="DN77" s="292"/>
      <c r="DO77" s="292"/>
      <c r="DP77" s="292"/>
      <c r="DQ77" s="292"/>
      <c r="DR77" s="292"/>
      <c r="DS77" s="292"/>
      <c r="DT77" s="292"/>
      <c r="DU77" s="292"/>
      <c r="DV77" s="292"/>
      <c r="DW77" s="292"/>
      <c r="DX77" s="292"/>
      <c r="DY77" s="292"/>
      <c r="DZ77" s="292"/>
      <c r="EA77" s="292"/>
      <c r="EB77" s="292"/>
      <c r="EC77" s="292"/>
      <c r="ED77" s="292"/>
      <c r="EE77" s="292"/>
      <c r="EF77" s="292"/>
      <c r="EG77" s="292"/>
      <c r="EH77" s="292"/>
      <c r="EI77" s="292"/>
      <c r="EJ77" s="292"/>
      <c r="EK77" s="292"/>
      <c r="EL77" s="292"/>
      <c r="EM77" s="292"/>
      <c r="EN77" s="292"/>
      <c r="EO77" s="292"/>
      <c r="EP77" s="292"/>
      <c r="EQ77" s="292"/>
      <c r="ER77" s="292"/>
      <c r="ES77" s="292"/>
      <c r="ET77" s="292"/>
      <c r="EU77" s="292"/>
      <c r="EV77" s="292"/>
      <c r="EW77" s="292"/>
      <c r="EX77" s="292"/>
      <c r="EY77" s="292"/>
      <c r="EZ77" s="292"/>
      <c r="FA77" s="292"/>
      <c r="FB77" s="292"/>
      <c r="FC77" s="292"/>
      <c r="FD77" s="292"/>
      <c r="FE77" s="292"/>
      <c r="FF77" s="292"/>
      <c r="FG77" s="292"/>
      <c r="FH77" s="292"/>
      <c r="FI77" s="292"/>
      <c r="FJ77" s="292"/>
      <c r="FK77" s="292"/>
      <c r="FL77" s="292"/>
      <c r="FM77" s="292"/>
      <c r="FN77" s="292"/>
      <c r="FO77" s="292"/>
      <c r="FP77" s="292"/>
      <c r="FQ77" s="292"/>
      <c r="FR77" s="292"/>
      <c r="FS77" s="292"/>
      <c r="FT77" s="292"/>
      <c r="FU77" s="292"/>
      <c r="FV77" s="292"/>
      <c r="FW77" s="292"/>
      <c r="FX77" s="292"/>
      <c r="FY77" s="292"/>
      <c r="FZ77" s="292"/>
      <c r="GA77" s="292"/>
      <c r="GB77" s="292"/>
      <c r="GC77" s="292"/>
      <c r="GD77" s="292"/>
      <c r="GE77" s="292"/>
      <c r="GF77" s="292"/>
      <c r="GG77" s="292"/>
      <c r="GH77" s="292"/>
      <c r="GI77" s="292"/>
      <c r="GJ77" s="292"/>
      <c r="GK77" s="292"/>
      <c r="GL77" s="292"/>
      <c r="GM77" s="292"/>
      <c r="GN77" s="292"/>
      <c r="GO77" s="292"/>
      <c r="GP77" s="292"/>
      <c r="GQ77" s="292"/>
      <c r="GR77" s="292"/>
      <c r="GS77" s="292"/>
      <c r="GT77" s="292"/>
      <c r="GU77" s="292"/>
      <c r="GV77" s="292"/>
      <c r="GW77" s="292"/>
      <c r="GX77" s="292"/>
      <c r="GY77" s="292"/>
      <c r="GZ77" s="292"/>
      <c r="HA77" s="292"/>
      <c r="HB77" s="292"/>
      <c r="HC77" s="292"/>
      <c r="HD77" s="292"/>
      <c r="HE77" s="292"/>
      <c r="HF77" s="292"/>
      <c r="HG77" s="292"/>
      <c r="HH77" s="292"/>
      <c r="HI77" s="292"/>
      <c r="HJ77" s="292"/>
      <c r="HK77" s="292"/>
      <c r="HL77" s="292"/>
      <c r="HM77" s="292"/>
      <c r="HN77" s="292"/>
      <c r="HO77" s="292"/>
      <c r="HP77" s="292"/>
      <c r="HQ77" s="292"/>
      <c r="HR77" s="292"/>
      <c r="HS77" s="292"/>
      <c r="HT77" s="292"/>
      <c r="HU77" s="292"/>
      <c r="HV77" s="292"/>
      <c r="HW77" s="292"/>
      <c r="HX77" s="292"/>
      <c r="HY77" s="292"/>
      <c r="HZ77" s="292"/>
      <c r="IA77" s="292"/>
      <c r="IB77" s="292"/>
      <c r="IC77" s="292"/>
      <c r="ID77" s="292"/>
      <c r="IE77" s="292"/>
      <c r="IF77" s="292"/>
      <c r="IG77" s="292"/>
      <c r="IH77" s="292"/>
      <c r="II77" s="292"/>
      <c r="IJ77" s="292"/>
      <c r="IK77" s="292"/>
      <c r="IL77" s="292"/>
      <c r="IM77" s="292"/>
      <c r="IN77" s="292"/>
      <c r="IO77" s="292"/>
      <c r="IP77" s="292"/>
      <c r="IQ77" s="292"/>
      <c r="IR77" s="292"/>
      <c r="IS77" s="292"/>
      <c r="IT77" s="292"/>
      <c r="IU77" s="292"/>
      <c r="IV77" s="292"/>
      <c r="IW77" s="292"/>
      <c r="IX77" s="292"/>
      <c r="IY77" s="292"/>
      <c r="IZ77" s="292"/>
      <c r="JA77" s="292"/>
      <c r="JB77" s="292"/>
      <c r="JC77" s="292"/>
      <c r="JD77" s="292"/>
      <c r="JE77" s="292"/>
      <c r="JF77" s="292"/>
      <c r="JG77" s="292"/>
      <c r="JH77" s="292"/>
      <c r="JI77" s="292"/>
      <c r="JJ77" s="292"/>
      <c r="JK77" s="292"/>
      <c r="JL77" s="292"/>
      <c r="JM77" s="292"/>
      <c r="JN77" s="292"/>
      <c r="JO77" s="292"/>
      <c r="JP77" s="292"/>
      <c r="JQ77" s="292"/>
      <c r="JR77" s="292"/>
      <c r="JS77" s="292"/>
      <c r="JT77" s="292"/>
      <c r="JU77" s="292"/>
      <c r="JV77" s="292"/>
      <c r="JW77" s="292"/>
      <c r="JX77" s="292"/>
      <c r="JY77" s="292"/>
      <c r="JZ77" s="292"/>
      <c r="KA77" s="292"/>
      <c r="KB77" s="292"/>
      <c r="KC77" s="292"/>
      <c r="KD77" s="292"/>
      <c r="KE77" s="292"/>
      <c r="KF77" s="292"/>
      <c r="KG77" s="292"/>
      <c r="KH77" s="292"/>
      <c r="KI77" s="292"/>
      <c r="KJ77" s="292"/>
      <c r="KK77" s="292"/>
      <c r="KL77" s="292"/>
      <c r="KM77" s="292"/>
      <c r="KN77" s="292"/>
      <c r="KO77" s="292"/>
      <c r="KP77" s="292"/>
      <c r="KQ77" s="292"/>
      <c r="KR77" s="292"/>
      <c r="KS77" s="292"/>
      <c r="KT77" s="292"/>
      <c r="KU77" s="292"/>
      <c r="KV77" s="292"/>
      <c r="KW77" s="292"/>
      <c r="KX77" s="292"/>
      <c r="KY77" s="292"/>
      <c r="KZ77" s="292"/>
      <c r="LA77" s="292"/>
      <c r="LB77" s="292"/>
      <c r="LC77" s="292"/>
      <c r="LD77" s="292"/>
      <c r="LE77" s="292"/>
      <c r="LF77" s="292"/>
      <c r="LG77" s="292"/>
      <c r="LH77" s="292"/>
      <c r="LI77" s="292"/>
      <c r="LJ77" s="292"/>
      <c r="LK77" s="292"/>
      <c r="LL77" s="292"/>
      <c r="LM77" s="292"/>
      <c r="LN77" s="292"/>
      <c r="LO77" s="292"/>
      <c r="LP77" s="292"/>
      <c r="LQ77" s="292"/>
      <c r="LR77" s="292"/>
      <c r="LS77" s="292"/>
      <c r="LT77" s="292"/>
      <c r="LU77" s="292"/>
      <c r="LV77" s="292"/>
      <c r="LW77" s="292"/>
      <c r="LX77" s="292"/>
      <c r="LY77" s="292"/>
      <c r="LZ77" s="292"/>
      <c r="MA77" s="292"/>
      <c r="MB77" s="292"/>
      <c r="MC77" s="292"/>
      <c r="MD77" s="292"/>
      <c r="ME77" s="292"/>
      <c r="MF77" s="292"/>
      <c r="MG77" s="292"/>
      <c r="MH77" s="292"/>
      <c r="MI77" s="292"/>
      <c r="MJ77" s="292"/>
      <c r="MK77" s="292"/>
      <c r="ML77" s="292"/>
      <c r="MM77" s="292"/>
      <c r="MN77" s="292"/>
      <c r="MO77" s="292"/>
      <c r="MP77" s="292"/>
      <c r="MQ77" s="292"/>
      <c r="MR77" s="292"/>
      <c r="MS77" s="292"/>
      <c r="MT77" s="292"/>
      <c r="MU77" s="292"/>
      <c r="MV77" s="292"/>
      <c r="MW77" s="292"/>
      <c r="MX77" s="292"/>
      <c r="MY77" s="292"/>
      <c r="MZ77" s="292"/>
      <c r="NA77" s="292"/>
      <c r="NB77" s="292"/>
      <c r="NC77" s="292"/>
      <c r="ND77" s="292"/>
      <c r="NE77" s="292"/>
      <c r="NF77" s="292"/>
      <c r="NG77" s="292"/>
      <c r="NH77" s="292"/>
      <c r="NI77" s="292"/>
      <c r="NJ77" s="292"/>
      <c r="NK77" s="292"/>
      <c r="NL77" s="292"/>
      <c r="NM77" s="292"/>
      <c r="NN77" s="292"/>
      <c r="NO77" s="292"/>
      <c r="NP77" s="292"/>
      <c r="NQ77" s="292"/>
      <c r="NR77" s="292"/>
      <c r="NS77" s="292"/>
      <c r="NT77" s="292"/>
      <c r="NU77" s="292"/>
      <c r="NV77" s="292"/>
      <c r="NW77" s="292"/>
      <c r="NX77" s="292"/>
      <c r="NY77" s="292"/>
      <c r="NZ77" s="292"/>
      <c r="OA77" s="292"/>
      <c r="OB77" s="292"/>
      <c r="OC77" s="292"/>
      <c r="OD77" s="292"/>
      <c r="OE77" s="292"/>
      <c r="OF77" s="292"/>
      <c r="OG77" s="292"/>
      <c r="OH77" s="292"/>
      <c r="OI77" s="292"/>
      <c r="OJ77" s="292"/>
      <c r="OK77" s="292"/>
      <c r="OL77" s="292"/>
      <c r="OM77" s="292"/>
      <c r="ON77" s="292"/>
      <c r="OO77" s="292"/>
      <c r="OP77" s="292"/>
      <c r="OQ77" s="292"/>
      <c r="OR77" s="292"/>
      <c r="OS77" s="292"/>
      <c r="OT77" s="292"/>
      <c r="OU77" s="292"/>
      <c r="OV77" s="292"/>
      <c r="OW77" s="292"/>
      <c r="OX77" s="292"/>
      <c r="OY77" s="292"/>
      <c r="OZ77" s="292"/>
      <c r="PA77" s="292"/>
      <c r="PB77" s="292"/>
      <c r="PC77" s="292"/>
      <c r="PD77" s="292"/>
      <c r="PE77" s="292"/>
      <c r="PF77" s="292"/>
      <c r="PG77" s="292"/>
      <c r="PH77" s="292"/>
      <c r="PI77" s="292"/>
      <c r="PJ77" s="292"/>
      <c r="PK77" s="292"/>
      <c r="PL77" s="292"/>
      <c r="PM77" s="292"/>
      <c r="PN77" s="292"/>
      <c r="PO77" s="292"/>
      <c r="PP77" s="292"/>
      <c r="PQ77" s="292"/>
      <c r="PR77" s="292"/>
      <c r="PS77" s="292"/>
      <c r="PT77" s="292"/>
      <c r="PU77" s="292"/>
      <c r="PV77" s="292"/>
      <c r="PW77" s="292"/>
      <c r="PX77" s="292"/>
      <c r="PY77" s="292"/>
      <c r="PZ77" s="292"/>
      <c r="QA77" s="292"/>
      <c r="QB77" s="292"/>
      <c r="QC77" s="292"/>
      <c r="QD77" s="292"/>
      <c r="QE77" s="292"/>
      <c r="QF77" s="292"/>
      <c r="QG77" s="292"/>
      <c r="QH77" s="292"/>
      <c r="QI77" s="292"/>
      <c r="QJ77" s="292"/>
      <c r="QK77" s="292"/>
      <c r="QL77" s="292"/>
      <c r="QM77" s="292"/>
      <c r="QN77" s="292"/>
      <c r="QO77" s="292"/>
      <c r="QP77" s="292"/>
      <c r="QQ77" s="292"/>
      <c r="QR77" s="292"/>
      <c r="QS77" s="292"/>
      <c r="QT77" s="292"/>
      <c r="QU77" s="292"/>
      <c r="QV77" s="292"/>
      <c r="QW77" s="292"/>
      <c r="QX77" s="292"/>
      <c r="QY77" s="292"/>
      <c r="QZ77" s="292"/>
      <c r="RA77" s="292"/>
      <c r="RB77" s="292"/>
      <c r="RC77" s="292"/>
      <c r="RD77" s="292"/>
      <c r="RE77" s="292"/>
      <c r="RF77" s="292"/>
      <c r="RG77" s="292"/>
      <c r="RH77" s="292"/>
      <c r="RI77" s="292"/>
      <c r="RJ77" s="292"/>
      <c r="RK77" s="292"/>
      <c r="RL77" s="292"/>
      <c r="RM77" s="292"/>
      <c r="RN77" s="292"/>
      <c r="RO77" s="292"/>
      <c r="RP77" s="292"/>
      <c r="RQ77" s="292"/>
      <c r="RR77" s="292"/>
      <c r="RS77" s="292"/>
      <c r="RT77" s="292"/>
      <c r="RU77" s="292"/>
      <c r="RV77" s="292"/>
      <c r="RW77" s="292"/>
      <c r="RX77" s="292"/>
      <c r="RY77" s="292"/>
      <c r="RZ77" s="292"/>
      <c r="SA77" s="292"/>
      <c r="SB77" s="292"/>
      <c r="SC77" s="292"/>
      <c r="SD77" s="292"/>
      <c r="SE77" s="292"/>
      <c r="SF77" s="292"/>
      <c r="SG77" s="292"/>
      <c r="SH77" s="292"/>
      <c r="SI77" s="292"/>
      <c r="SJ77" s="292"/>
      <c r="SK77" s="292"/>
      <c r="SL77" s="292"/>
      <c r="SM77" s="292"/>
      <c r="SN77" s="292"/>
      <c r="SO77" s="292"/>
      <c r="SP77" s="292"/>
      <c r="SQ77" s="292"/>
      <c r="SR77" s="292"/>
      <c r="SS77" s="292"/>
      <c r="ST77" s="292"/>
      <c r="SU77" s="292"/>
    </row>
    <row r="78" spans="1:515" s="960" customFormat="1" ht="23.15" customHeight="1" x14ac:dyDescent="0.25">
      <c r="A78" s="986"/>
      <c r="B78" s="984"/>
      <c r="C78" s="984"/>
      <c r="D78" s="957"/>
      <c r="E78" s="981"/>
      <c r="F78" s="981"/>
      <c r="G78" s="981"/>
      <c r="H78" s="957"/>
      <c r="I78" s="981"/>
      <c r="J78" s="981"/>
      <c r="K78" s="981"/>
      <c r="L78" s="957"/>
      <c r="M78" s="981"/>
      <c r="N78" s="981"/>
      <c r="O78" s="981"/>
      <c r="P78" s="957"/>
      <c r="Q78" s="981"/>
      <c r="R78" s="981"/>
      <c r="S78" s="981"/>
      <c r="T78" s="957"/>
      <c r="U78" s="981"/>
      <c r="V78" s="981"/>
      <c r="W78" s="981"/>
      <c r="X78" s="957"/>
      <c r="Y78" s="981"/>
      <c r="Z78" s="981"/>
      <c r="AA78" s="981"/>
      <c r="AB78" s="976"/>
      <c r="AC78" s="1144"/>
      <c r="AD78" s="981"/>
      <c r="AE78" s="971"/>
    </row>
    <row r="79" spans="1:515" s="628" customFormat="1" ht="22.5" customHeight="1" x14ac:dyDescent="0.25">
      <c r="A79" s="1339" t="s">
        <v>381</v>
      </c>
      <c r="B79" s="1340"/>
      <c r="C79" s="1340"/>
      <c r="D79" s="964"/>
      <c r="E79" s="1306" t="s">
        <v>382</v>
      </c>
      <c r="F79" s="1306"/>
      <c r="G79" s="1306"/>
      <c r="H79" s="964"/>
      <c r="I79" s="1306" t="s">
        <v>383</v>
      </c>
      <c r="J79" s="1306"/>
      <c r="K79" s="1306"/>
      <c r="L79" s="964"/>
      <c r="M79" s="1306" t="s">
        <v>384</v>
      </c>
      <c r="N79" s="1306"/>
      <c r="O79" s="1306"/>
      <c r="P79" s="964"/>
      <c r="Q79" s="1306" t="s">
        <v>385</v>
      </c>
      <c r="R79" s="1306"/>
      <c r="S79" s="1306"/>
      <c r="T79" s="964"/>
      <c r="U79" s="1306" t="s">
        <v>386</v>
      </c>
      <c r="V79" s="1306"/>
      <c r="W79" s="1306"/>
      <c r="X79" s="978"/>
      <c r="Y79" s="1306" t="s">
        <v>387</v>
      </c>
      <c r="Z79" s="1306"/>
      <c r="AA79" s="1306"/>
      <c r="AB79" s="976"/>
      <c r="AC79" s="1145" t="s">
        <v>388</v>
      </c>
      <c r="AD79" s="1145" t="s">
        <v>389</v>
      </c>
      <c r="AE79" s="971"/>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292"/>
      <c r="BI79" s="292"/>
      <c r="BJ79" s="292"/>
      <c r="BK79" s="292"/>
      <c r="BL79" s="292"/>
      <c r="BM79" s="292"/>
      <c r="BN79" s="292"/>
      <c r="BO79" s="292"/>
      <c r="BP79" s="292"/>
      <c r="BQ79" s="292"/>
      <c r="BR79" s="292"/>
      <c r="BS79" s="292"/>
      <c r="BT79" s="292"/>
      <c r="BU79" s="292"/>
      <c r="BV79" s="292"/>
      <c r="BW79" s="292"/>
      <c r="BX79" s="292"/>
      <c r="BY79" s="292"/>
      <c r="BZ79" s="292"/>
      <c r="CA79" s="292"/>
      <c r="CB79" s="292"/>
      <c r="CC79" s="292"/>
      <c r="CD79" s="292"/>
      <c r="CE79" s="292"/>
      <c r="CF79" s="292"/>
      <c r="CG79" s="292"/>
      <c r="CH79" s="292"/>
      <c r="CI79" s="292"/>
      <c r="CJ79" s="292"/>
      <c r="CK79" s="292"/>
      <c r="CL79" s="292"/>
      <c r="CM79" s="292"/>
      <c r="CN79" s="292"/>
      <c r="CO79" s="292"/>
      <c r="CP79" s="292"/>
      <c r="CQ79" s="292"/>
      <c r="CR79" s="292"/>
      <c r="CS79" s="292"/>
      <c r="CT79" s="292"/>
      <c r="CU79" s="292"/>
      <c r="CV79" s="292"/>
      <c r="CW79" s="292"/>
      <c r="CX79" s="292"/>
      <c r="CY79" s="292"/>
      <c r="CZ79" s="292"/>
      <c r="DA79" s="292"/>
      <c r="DB79" s="292"/>
      <c r="DC79" s="292"/>
      <c r="DD79" s="292"/>
      <c r="DE79" s="292"/>
      <c r="DF79" s="292"/>
      <c r="DG79" s="292"/>
      <c r="DH79" s="292"/>
      <c r="DI79" s="292"/>
      <c r="DJ79" s="292"/>
      <c r="DK79" s="292"/>
      <c r="DL79" s="292"/>
      <c r="DM79" s="292"/>
      <c r="DN79" s="292"/>
      <c r="DO79" s="292"/>
      <c r="DP79" s="292"/>
      <c r="DQ79" s="292"/>
      <c r="DR79" s="292"/>
      <c r="DS79" s="292"/>
      <c r="DT79" s="292"/>
      <c r="DU79" s="292"/>
      <c r="DV79" s="292"/>
      <c r="DW79" s="292"/>
      <c r="DX79" s="292"/>
      <c r="DY79" s="292"/>
      <c r="DZ79" s="292"/>
      <c r="EA79" s="292"/>
      <c r="EB79" s="292"/>
      <c r="EC79" s="292"/>
      <c r="ED79" s="292"/>
      <c r="EE79" s="292"/>
      <c r="EF79" s="292"/>
      <c r="EG79" s="292"/>
      <c r="EH79" s="292"/>
      <c r="EI79" s="292"/>
      <c r="EJ79" s="292"/>
      <c r="EK79" s="292"/>
      <c r="EL79" s="292"/>
      <c r="EM79" s="292"/>
      <c r="EN79" s="292"/>
      <c r="EO79" s="292"/>
      <c r="EP79" s="292"/>
      <c r="EQ79" s="292"/>
      <c r="ER79" s="292"/>
      <c r="ES79" s="292"/>
      <c r="ET79" s="292"/>
      <c r="EU79" s="292"/>
      <c r="EV79" s="292"/>
      <c r="EW79" s="292"/>
      <c r="EX79" s="292"/>
      <c r="EY79" s="292"/>
      <c r="EZ79" s="292"/>
      <c r="FA79" s="292"/>
      <c r="FB79" s="292"/>
      <c r="FC79" s="292"/>
      <c r="FD79" s="292"/>
      <c r="FE79" s="292"/>
      <c r="FF79" s="292"/>
      <c r="FG79" s="292"/>
      <c r="FH79" s="292"/>
      <c r="FI79" s="292"/>
      <c r="FJ79" s="292"/>
      <c r="FK79" s="292"/>
      <c r="FL79" s="292"/>
      <c r="FM79" s="292"/>
      <c r="FN79" s="292"/>
      <c r="FO79" s="292"/>
      <c r="FP79" s="292"/>
      <c r="FQ79" s="292"/>
      <c r="FR79" s="292"/>
      <c r="FS79" s="292"/>
      <c r="FT79" s="292"/>
      <c r="FU79" s="292"/>
      <c r="FV79" s="292"/>
      <c r="FW79" s="292"/>
      <c r="FX79" s="292"/>
      <c r="FY79" s="292"/>
      <c r="FZ79" s="292"/>
      <c r="GA79" s="292"/>
      <c r="GB79" s="292"/>
      <c r="GC79" s="292"/>
      <c r="GD79" s="292"/>
      <c r="GE79" s="292"/>
      <c r="GF79" s="292"/>
      <c r="GG79" s="292"/>
      <c r="GH79" s="292"/>
      <c r="GI79" s="292"/>
      <c r="GJ79" s="292"/>
      <c r="GK79" s="292"/>
      <c r="GL79" s="292"/>
      <c r="GM79" s="292"/>
      <c r="GN79" s="292"/>
      <c r="GO79" s="292"/>
      <c r="GP79" s="292"/>
      <c r="GQ79" s="292"/>
      <c r="GR79" s="292"/>
      <c r="GS79" s="292"/>
      <c r="GT79" s="292"/>
      <c r="GU79" s="292"/>
      <c r="GV79" s="292"/>
      <c r="GW79" s="292"/>
      <c r="GX79" s="292"/>
      <c r="GY79" s="292"/>
      <c r="GZ79" s="292"/>
      <c r="HA79" s="292"/>
      <c r="HB79" s="292"/>
      <c r="HC79" s="292"/>
      <c r="HD79" s="292"/>
      <c r="HE79" s="292"/>
      <c r="HF79" s="292"/>
      <c r="HG79" s="292"/>
      <c r="HH79" s="292"/>
      <c r="HI79" s="292"/>
      <c r="HJ79" s="292"/>
      <c r="HK79" s="292"/>
      <c r="HL79" s="292"/>
      <c r="HM79" s="292"/>
      <c r="HN79" s="292"/>
      <c r="HO79" s="292"/>
      <c r="HP79" s="292"/>
      <c r="HQ79" s="292"/>
      <c r="HR79" s="292"/>
      <c r="HS79" s="292"/>
      <c r="HT79" s="292"/>
      <c r="HU79" s="292"/>
      <c r="HV79" s="292"/>
      <c r="HW79" s="292"/>
      <c r="HX79" s="292"/>
      <c r="HY79" s="292"/>
      <c r="HZ79" s="292"/>
      <c r="IA79" s="292"/>
      <c r="IB79" s="292"/>
      <c r="IC79" s="292"/>
      <c r="ID79" s="292"/>
      <c r="IE79" s="292"/>
      <c r="IF79" s="292"/>
      <c r="IG79" s="292"/>
      <c r="IH79" s="292"/>
      <c r="II79" s="292"/>
      <c r="IJ79" s="292"/>
      <c r="IK79" s="292"/>
      <c r="IL79" s="292"/>
      <c r="IM79" s="292"/>
      <c r="IN79" s="292"/>
      <c r="IO79" s="292"/>
      <c r="IP79" s="292"/>
      <c r="IQ79" s="292"/>
      <c r="IR79" s="292"/>
      <c r="IS79" s="292"/>
      <c r="IT79" s="292"/>
      <c r="IU79" s="292"/>
      <c r="IV79" s="292"/>
      <c r="IW79" s="292"/>
      <c r="IX79" s="292"/>
      <c r="IY79" s="292"/>
      <c r="IZ79" s="292"/>
      <c r="JA79" s="292"/>
      <c r="JB79" s="292"/>
      <c r="JC79" s="292"/>
      <c r="JD79" s="292"/>
      <c r="JE79" s="292"/>
      <c r="JF79" s="292"/>
      <c r="JG79" s="292"/>
      <c r="JH79" s="292"/>
      <c r="JI79" s="292"/>
      <c r="JJ79" s="292"/>
      <c r="JK79" s="292"/>
      <c r="JL79" s="292"/>
      <c r="JM79" s="292"/>
      <c r="JN79" s="292"/>
      <c r="JO79" s="292"/>
      <c r="JP79" s="292"/>
      <c r="JQ79" s="292"/>
      <c r="JR79" s="292"/>
      <c r="JS79" s="292"/>
      <c r="JT79" s="292"/>
      <c r="JU79" s="292"/>
      <c r="JV79" s="292"/>
      <c r="JW79" s="292"/>
      <c r="JX79" s="292"/>
      <c r="JY79" s="292"/>
      <c r="JZ79" s="292"/>
      <c r="KA79" s="292"/>
      <c r="KB79" s="292"/>
      <c r="KC79" s="292"/>
      <c r="KD79" s="292"/>
      <c r="KE79" s="292"/>
      <c r="KF79" s="292"/>
      <c r="KG79" s="292"/>
      <c r="KH79" s="292"/>
      <c r="KI79" s="292"/>
      <c r="KJ79" s="292"/>
      <c r="KK79" s="292"/>
      <c r="KL79" s="292"/>
      <c r="KM79" s="292"/>
      <c r="KN79" s="292"/>
      <c r="KO79" s="292"/>
      <c r="KP79" s="292"/>
      <c r="KQ79" s="292"/>
      <c r="KR79" s="292"/>
      <c r="KS79" s="292"/>
      <c r="KT79" s="292"/>
      <c r="KU79" s="292"/>
      <c r="KV79" s="292"/>
      <c r="KW79" s="292"/>
      <c r="KX79" s="292"/>
      <c r="KY79" s="292"/>
      <c r="KZ79" s="292"/>
      <c r="LA79" s="292"/>
      <c r="LB79" s="292"/>
      <c r="LC79" s="292"/>
      <c r="LD79" s="292"/>
      <c r="LE79" s="292"/>
      <c r="LF79" s="292"/>
      <c r="LG79" s="292"/>
      <c r="LH79" s="292"/>
      <c r="LI79" s="292"/>
      <c r="LJ79" s="292"/>
      <c r="LK79" s="292"/>
      <c r="LL79" s="292"/>
      <c r="LM79" s="292"/>
      <c r="LN79" s="292"/>
      <c r="LO79" s="292"/>
      <c r="LP79" s="292"/>
      <c r="LQ79" s="292"/>
      <c r="LR79" s="292"/>
      <c r="LS79" s="292"/>
      <c r="LT79" s="292"/>
      <c r="LU79" s="292"/>
      <c r="LV79" s="292"/>
      <c r="LW79" s="292"/>
      <c r="LX79" s="292"/>
      <c r="LY79" s="292"/>
      <c r="LZ79" s="292"/>
      <c r="MA79" s="292"/>
      <c r="MB79" s="292"/>
      <c r="MC79" s="292"/>
      <c r="MD79" s="292"/>
      <c r="ME79" s="292"/>
      <c r="MF79" s="292"/>
      <c r="MG79" s="292"/>
      <c r="MH79" s="292"/>
      <c r="MI79" s="292"/>
      <c r="MJ79" s="292"/>
      <c r="MK79" s="292"/>
      <c r="ML79" s="292"/>
      <c r="MM79" s="292"/>
      <c r="MN79" s="292"/>
      <c r="MO79" s="292"/>
      <c r="MP79" s="292"/>
      <c r="MQ79" s="292"/>
      <c r="MR79" s="292"/>
      <c r="MS79" s="292"/>
      <c r="MT79" s="292"/>
      <c r="MU79" s="292"/>
      <c r="MV79" s="292"/>
      <c r="MW79" s="292"/>
      <c r="MX79" s="292"/>
      <c r="MY79" s="292"/>
      <c r="MZ79" s="292"/>
      <c r="NA79" s="292"/>
      <c r="NB79" s="292"/>
      <c r="NC79" s="292"/>
      <c r="ND79" s="292"/>
      <c r="NE79" s="292"/>
      <c r="NF79" s="292"/>
      <c r="NG79" s="292"/>
      <c r="NH79" s="292"/>
      <c r="NI79" s="292"/>
      <c r="NJ79" s="292"/>
      <c r="NK79" s="292"/>
      <c r="NL79" s="292"/>
      <c r="NM79" s="292"/>
      <c r="NN79" s="292"/>
      <c r="NO79" s="292"/>
      <c r="NP79" s="292"/>
      <c r="NQ79" s="292"/>
      <c r="NR79" s="292"/>
      <c r="NS79" s="292"/>
      <c r="NT79" s="292"/>
      <c r="NU79" s="292"/>
      <c r="NV79" s="292"/>
      <c r="NW79" s="292"/>
      <c r="NX79" s="292"/>
      <c r="NY79" s="292"/>
      <c r="NZ79" s="292"/>
      <c r="OA79" s="292"/>
      <c r="OB79" s="292"/>
      <c r="OC79" s="292"/>
      <c r="OD79" s="292"/>
      <c r="OE79" s="292"/>
      <c r="OF79" s="292"/>
      <c r="OG79" s="292"/>
      <c r="OH79" s="292"/>
      <c r="OI79" s="292"/>
      <c r="OJ79" s="292"/>
      <c r="OK79" s="292"/>
      <c r="OL79" s="292"/>
      <c r="OM79" s="292"/>
      <c r="ON79" s="292"/>
      <c r="OO79" s="292"/>
      <c r="OP79" s="292"/>
      <c r="OQ79" s="292"/>
      <c r="OR79" s="292"/>
      <c r="OS79" s="292"/>
      <c r="OT79" s="292"/>
      <c r="OU79" s="292"/>
      <c r="OV79" s="292"/>
      <c r="OW79" s="292"/>
      <c r="OX79" s="292"/>
      <c r="OY79" s="292"/>
      <c r="OZ79" s="292"/>
      <c r="PA79" s="292"/>
      <c r="PB79" s="292"/>
      <c r="PC79" s="292"/>
      <c r="PD79" s="292"/>
      <c r="PE79" s="292"/>
      <c r="PF79" s="292"/>
      <c r="PG79" s="292"/>
      <c r="PH79" s="292"/>
      <c r="PI79" s="292"/>
      <c r="PJ79" s="292"/>
      <c r="PK79" s="292"/>
      <c r="PL79" s="292"/>
      <c r="PM79" s="292"/>
      <c r="PN79" s="292"/>
      <c r="PO79" s="292"/>
      <c r="PP79" s="292"/>
      <c r="PQ79" s="292"/>
      <c r="PR79" s="292"/>
      <c r="PS79" s="292"/>
      <c r="PT79" s="292"/>
      <c r="PU79" s="292"/>
      <c r="PV79" s="292"/>
      <c r="PW79" s="292"/>
      <c r="PX79" s="292"/>
      <c r="PY79" s="292"/>
      <c r="PZ79" s="292"/>
      <c r="QA79" s="292"/>
      <c r="QB79" s="292"/>
      <c r="QC79" s="292"/>
      <c r="QD79" s="292"/>
      <c r="QE79" s="292"/>
      <c r="QF79" s="292"/>
      <c r="QG79" s="292"/>
      <c r="QH79" s="292"/>
      <c r="QI79" s="292"/>
      <c r="QJ79" s="292"/>
      <c r="QK79" s="292"/>
      <c r="QL79" s="292"/>
      <c r="QM79" s="292"/>
      <c r="QN79" s="292"/>
      <c r="QO79" s="292"/>
      <c r="QP79" s="292"/>
      <c r="QQ79" s="292"/>
      <c r="QR79" s="292"/>
      <c r="QS79" s="292"/>
      <c r="QT79" s="292"/>
      <c r="QU79" s="292"/>
      <c r="QV79" s="292"/>
      <c r="QW79" s="292"/>
      <c r="QX79" s="292"/>
      <c r="QY79" s="292"/>
      <c r="QZ79" s="292"/>
      <c r="RA79" s="292"/>
      <c r="RB79" s="292"/>
      <c r="RC79" s="292"/>
      <c r="RD79" s="292"/>
      <c r="RE79" s="292"/>
      <c r="RF79" s="292"/>
      <c r="RG79" s="292"/>
      <c r="RH79" s="292"/>
      <c r="RI79" s="292"/>
      <c r="RJ79" s="292"/>
      <c r="RK79" s="292"/>
      <c r="RL79" s="292"/>
      <c r="RM79" s="292"/>
      <c r="RN79" s="292"/>
      <c r="RO79" s="292"/>
      <c r="RP79" s="292"/>
      <c r="RQ79" s="292"/>
      <c r="RR79" s="292"/>
      <c r="RS79" s="292"/>
      <c r="RT79" s="292"/>
      <c r="RU79" s="292"/>
      <c r="RV79" s="292"/>
      <c r="RW79" s="292"/>
      <c r="RX79" s="292"/>
      <c r="RY79" s="292"/>
      <c r="RZ79" s="292"/>
      <c r="SA79" s="292"/>
      <c r="SB79" s="292"/>
      <c r="SC79" s="292"/>
      <c r="SD79" s="292"/>
      <c r="SE79" s="292"/>
      <c r="SF79" s="292"/>
      <c r="SG79" s="292"/>
      <c r="SH79" s="292"/>
      <c r="SI79" s="292"/>
      <c r="SJ79" s="292"/>
      <c r="SK79" s="292"/>
      <c r="SL79" s="292"/>
      <c r="SM79" s="292"/>
      <c r="SN79" s="292"/>
      <c r="SO79" s="292"/>
      <c r="SP79" s="292"/>
      <c r="SQ79" s="292"/>
      <c r="SR79" s="292"/>
      <c r="SS79" s="292"/>
      <c r="ST79" s="292"/>
      <c r="SU79" s="292"/>
    </row>
    <row r="80" spans="1:515" s="629" customFormat="1" ht="23.15" customHeight="1" x14ac:dyDescent="0.25">
      <c r="A80" s="1341"/>
      <c r="B80" s="1342"/>
      <c r="C80" s="1342"/>
      <c r="D80" s="962"/>
      <c r="E80" s="1305">
        <f>E72+G77</f>
        <v>0</v>
      </c>
      <c r="F80" s="1305"/>
      <c r="G80" s="1305"/>
      <c r="H80" s="962"/>
      <c r="I80" s="1305">
        <f>I72+K77</f>
        <v>0</v>
      </c>
      <c r="J80" s="1305"/>
      <c r="K80" s="1305"/>
      <c r="L80" s="962"/>
      <c r="M80" s="1305">
        <f>M72+O77</f>
        <v>0</v>
      </c>
      <c r="N80" s="1305"/>
      <c r="O80" s="1305"/>
      <c r="P80" s="962"/>
      <c r="Q80" s="1305">
        <f>Q72+S77</f>
        <v>0</v>
      </c>
      <c r="R80" s="1305"/>
      <c r="S80" s="1305"/>
      <c r="T80" s="962"/>
      <c r="U80" s="1305">
        <f>U72+W77</f>
        <v>0</v>
      </c>
      <c r="V80" s="1305"/>
      <c r="W80" s="1305"/>
      <c r="X80" s="962"/>
      <c r="Y80" s="1305">
        <f>Y72+AA77</f>
        <v>0</v>
      </c>
      <c r="Z80" s="1305"/>
      <c r="AA80" s="1305"/>
      <c r="AB80" s="976"/>
      <c r="AC80" s="799">
        <f>AC47+AC33</f>
        <v>0</v>
      </c>
      <c r="AD80" s="790">
        <f>E80+I80+M80+Q80+U80+Y80</f>
        <v>0</v>
      </c>
      <c r="AE80" s="971"/>
      <c r="AF80" s="292"/>
      <c r="AG80" s="292"/>
      <c r="AH80" s="292"/>
      <c r="AI80" s="292"/>
      <c r="AJ80" s="292"/>
      <c r="AK80" s="292"/>
      <c r="AL80" s="292"/>
      <c r="AM80" s="292"/>
      <c r="AN80" s="292"/>
      <c r="AO80" s="292"/>
      <c r="AP80" s="292"/>
      <c r="AQ80" s="292"/>
      <c r="AR80" s="292"/>
      <c r="AS80" s="292"/>
      <c r="AT80" s="292"/>
      <c r="AU80" s="292"/>
      <c r="AV80" s="292"/>
      <c r="AW80" s="292"/>
      <c r="AX80" s="292"/>
      <c r="AY80" s="292"/>
      <c r="AZ80" s="292"/>
      <c r="BA80" s="292"/>
      <c r="BB80" s="292"/>
      <c r="BC80" s="292"/>
      <c r="BD80" s="292"/>
      <c r="BE80" s="292"/>
      <c r="BF80" s="292"/>
      <c r="BG80" s="292"/>
      <c r="BH80" s="292"/>
      <c r="BI80" s="292"/>
      <c r="BJ80" s="292"/>
      <c r="BK80" s="292"/>
      <c r="BL80" s="292"/>
      <c r="BM80" s="292"/>
      <c r="BN80" s="292"/>
      <c r="BO80" s="292"/>
      <c r="BP80" s="292"/>
      <c r="BQ80" s="292"/>
      <c r="BR80" s="292"/>
      <c r="BS80" s="292"/>
      <c r="BT80" s="292"/>
      <c r="BU80" s="292"/>
      <c r="BV80" s="292"/>
      <c r="BW80" s="292"/>
      <c r="BX80" s="292"/>
      <c r="BY80" s="292"/>
      <c r="BZ80" s="292"/>
      <c r="CA80" s="292"/>
      <c r="CB80" s="292"/>
      <c r="CC80" s="292"/>
      <c r="CD80" s="292"/>
      <c r="CE80" s="292"/>
      <c r="CF80" s="292"/>
      <c r="CG80" s="292"/>
      <c r="CH80" s="292"/>
      <c r="CI80" s="292"/>
      <c r="CJ80" s="292"/>
      <c r="CK80" s="292"/>
      <c r="CL80" s="292"/>
      <c r="CM80" s="292"/>
      <c r="CN80" s="292"/>
      <c r="CO80" s="292"/>
      <c r="CP80" s="292"/>
      <c r="CQ80" s="292"/>
      <c r="CR80" s="292"/>
      <c r="CS80" s="292"/>
      <c r="CT80" s="292"/>
      <c r="CU80" s="292"/>
      <c r="CV80" s="292"/>
      <c r="CW80" s="292"/>
      <c r="CX80" s="292"/>
      <c r="CY80" s="292"/>
      <c r="CZ80" s="292"/>
      <c r="DA80" s="292"/>
      <c r="DB80" s="292"/>
      <c r="DC80" s="292"/>
      <c r="DD80" s="292"/>
      <c r="DE80" s="292"/>
      <c r="DF80" s="292"/>
      <c r="DG80" s="292"/>
      <c r="DH80" s="292"/>
      <c r="DI80" s="292"/>
      <c r="DJ80" s="292"/>
      <c r="DK80" s="292"/>
      <c r="DL80" s="292"/>
      <c r="DM80" s="292"/>
      <c r="DN80" s="292"/>
      <c r="DO80" s="292"/>
      <c r="DP80" s="292"/>
      <c r="DQ80" s="292"/>
      <c r="DR80" s="292"/>
      <c r="DS80" s="292"/>
      <c r="DT80" s="292"/>
      <c r="DU80" s="292"/>
      <c r="DV80" s="292"/>
      <c r="DW80" s="292"/>
      <c r="DX80" s="292"/>
      <c r="DY80" s="292"/>
      <c r="DZ80" s="292"/>
      <c r="EA80" s="292"/>
      <c r="EB80" s="292"/>
      <c r="EC80" s="292"/>
      <c r="ED80" s="292"/>
      <c r="EE80" s="292"/>
      <c r="EF80" s="292"/>
      <c r="EG80" s="292"/>
      <c r="EH80" s="292"/>
      <c r="EI80" s="292"/>
      <c r="EJ80" s="292"/>
      <c r="EK80" s="292"/>
      <c r="EL80" s="292"/>
      <c r="EM80" s="292"/>
      <c r="EN80" s="292"/>
      <c r="EO80" s="292"/>
      <c r="EP80" s="292"/>
      <c r="EQ80" s="292"/>
      <c r="ER80" s="292"/>
      <c r="ES80" s="292"/>
      <c r="ET80" s="292"/>
      <c r="EU80" s="292"/>
      <c r="EV80" s="292"/>
      <c r="EW80" s="292"/>
      <c r="EX80" s="292"/>
      <c r="EY80" s="292"/>
      <c r="EZ80" s="292"/>
      <c r="FA80" s="292"/>
      <c r="FB80" s="292"/>
      <c r="FC80" s="292"/>
      <c r="FD80" s="292"/>
      <c r="FE80" s="292"/>
      <c r="FF80" s="292"/>
      <c r="FG80" s="292"/>
      <c r="FH80" s="292"/>
      <c r="FI80" s="292"/>
      <c r="FJ80" s="292"/>
      <c r="FK80" s="292"/>
      <c r="FL80" s="292"/>
      <c r="FM80" s="292"/>
      <c r="FN80" s="292"/>
      <c r="FO80" s="292"/>
      <c r="FP80" s="292"/>
      <c r="FQ80" s="292"/>
      <c r="FR80" s="292"/>
      <c r="FS80" s="292"/>
      <c r="FT80" s="292"/>
      <c r="FU80" s="292"/>
      <c r="FV80" s="292"/>
      <c r="FW80" s="292"/>
      <c r="FX80" s="292"/>
      <c r="FY80" s="292"/>
      <c r="FZ80" s="292"/>
      <c r="GA80" s="292"/>
      <c r="GB80" s="292"/>
      <c r="GC80" s="292"/>
      <c r="GD80" s="292"/>
      <c r="GE80" s="292"/>
      <c r="GF80" s="292"/>
      <c r="GG80" s="292"/>
      <c r="GH80" s="292"/>
      <c r="GI80" s="292"/>
      <c r="GJ80" s="292"/>
      <c r="GK80" s="292"/>
      <c r="GL80" s="292"/>
      <c r="GM80" s="292"/>
      <c r="GN80" s="292"/>
      <c r="GO80" s="292"/>
      <c r="GP80" s="292"/>
      <c r="GQ80" s="292"/>
      <c r="GR80" s="292"/>
      <c r="GS80" s="292"/>
      <c r="GT80" s="292"/>
      <c r="GU80" s="292"/>
      <c r="GV80" s="292"/>
      <c r="GW80" s="292"/>
      <c r="GX80" s="292"/>
      <c r="GY80" s="292"/>
      <c r="GZ80" s="292"/>
      <c r="HA80" s="292"/>
      <c r="HB80" s="292"/>
      <c r="HC80" s="292"/>
      <c r="HD80" s="292"/>
      <c r="HE80" s="292"/>
      <c r="HF80" s="292"/>
      <c r="HG80" s="292"/>
      <c r="HH80" s="292"/>
      <c r="HI80" s="292"/>
      <c r="HJ80" s="292"/>
      <c r="HK80" s="292"/>
      <c r="HL80" s="292"/>
      <c r="HM80" s="292"/>
      <c r="HN80" s="292"/>
      <c r="HO80" s="292"/>
      <c r="HP80" s="292"/>
      <c r="HQ80" s="292"/>
      <c r="HR80" s="292"/>
      <c r="HS80" s="292"/>
      <c r="HT80" s="292"/>
      <c r="HU80" s="292"/>
      <c r="HV80" s="292"/>
      <c r="HW80" s="292"/>
      <c r="HX80" s="292"/>
      <c r="HY80" s="292"/>
      <c r="HZ80" s="292"/>
      <c r="IA80" s="292"/>
      <c r="IB80" s="292"/>
      <c r="IC80" s="292"/>
      <c r="ID80" s="292"/>
      <c r="IE80" s="292"/>
      <c r="IF80" s="292"/>
      <c r="IG80" s="292"/>
      <c r="IH80" s="292"/>
      <c r="II80" s="292"/>
      <c r="IJ80" s="292"/>
      <c r="IK80" s="292"/>
      <c r="IL80" s="292"/>
      <c r="IM80" s="292"/>
      <c r="IN80" s="292"/>
      <c r="IO80" s="292"/>
      <c r="IP80" s="292"/>
      <c r="IQ80" s="292"/>
      <c r="IR80" s="292"/>
      <c r="IS80" s="292"/>
      <c r="IT80" s="292"/>
      <c r="IU80" s="292"/>
      <c r="IV80" s="292"/>
      <c r="IW80" s="292"/>
      <c r="IX80" s="292"/>
      <c r="IY80" s="292"/>
      <c r="IZ80" s="292"/>
      <c r="JA80" s="292"/>
      <c r="JB80" s="292"/>
      <c r="JC80" s="292"/>
      <c r="JD80" s="292"/>
      <c r="JE80" s="292"/>
      <c r="JF80" s="292"/>
      <c r="JG80" s="292"/>
      <c r="JH80" s="292"/>
      <c r="JI80" s="292"/>
      <c r="JJ80" s="292"/>
      <c r="JK80" s="292"/>
      <c r="JL80" s="292"/>
      <c r="JM80" s="292"/>
      <c r="JN80" s="292"/>
      <c r="JO80" s="292"/>
      <c r="JP80" s="292"/>
      <c r="JQ80" s="292"/>
      <c r="JR80" s="292"/>
      <c r="JS80" s="292"/>
      <c r="JT80" s="292"/>
      <c r="JU80" s="292"/>
      <c r="JV80" s="292"/>
      <c r="JW80" s="292"/>
      <c r="JX80" s="292"/>
      <c r="JY80" s="292"/>
      <c r="JZ80" s="292"/>
      <c r="KA80" s="292"/>
      <c r="KB80" s="292"/>
      <c r="KC80" s="292"/>
      <c r="KD80" s="292"/>
      <c r="KE80" s="292"/>
      <c r="KF80" s="292"/>
      <c r="KG80" s="292"/>
      <c r="KH80" s="292"/>
      <c r="KI80" s="292"/>
      <c r="KJ80" s="292"/>
      <c r="KK80" s="292"/>
      <c r="KL80" s="292"/>
      <c r="KM80" s="292"/>
      <c r="KN80" s="292"/>
      <c r="KO80" s="292"/>
      <c r="KP80" s="292"/>
      <c r="KQ80" s="292"/>
      <c r="KR80" s="292"/>
      <c r="KS80" s="292"/>
      <c r="KT80" s="292"/>
      <c r="KU80" s="292"/>
      <c r="KV80" s="292"/>
      <c r="KW80" s="292"/>
      <c r="KX80" s="292"/>
      <c r="KY80" s="292"/>
      <c r="KZ80" s="292"/>
      <c r="LA80" s="292"/>
      <c r="LB80" s="292"/>
      <c r="LC80" s="292"/>
      <c r="LD80" s="292"/>
      <c r="LE80" s="292"/>
      <c r="LF80" s="292"/>
      <c r="LG80" s="292"/>
      <c r="LH80" s="292"/>
      <c r="LI80" s="292"/>
      <c r="LJ80" s="292"/>
      <c r="LK80" s="292"/>
      <c r="LL80" s="292"/>
      <c r="LM80" s="292"/>
      <c r="LN80" s="292"/>
      <c r="LO80" s="292"/>
      <c r="LP80" s="292"/>
      <c r="LQ80" s="292"/>
      <c r="LR80" s="292"/>
      <c r="LS80" s="292"/>
      <c r="LT80" s="292"/>
      <c r="LU80" s="292"/>
      <c r="LV80" s="292"/>
      <c r="LW80" s="292"/>
      <c r="LX80" s="292"/>
      <c r="LY80" s="292"/>
      <c r="LZ80" s="292"/>
      <c r="MA80" s="292"/>
      <c r="MB80" s="292"/>
      <c r="MC80" s="292"/>
      <c r="MD80" s="292"/>
      <c r="ME80" s="292"/>
      <c r="MF80" s="292"/>
      <c r="MG80" s="292"/>
      <c r="MH80" s="292"/>
      <c r="MI80" s="292"/>
      <c r="MJ80" s="292"/>
      <c r="MK80" s="292"/>
      <c r="ML80" s="292"/>
      <c r="MM80" s="292"/>
      <c r="MN80" s="292"/>
      <c r="MO80" s="292"/>
      <c r="MP80" s="292"/>
      <c r="MQ80" s="292"/>
      <c r="MR80" s="292"/>
      <c r="MS80" s="292"/>
      <c r="MT80" s="292"/>
      <c r="MU80" s="292"/>
      <c r="MV80" s="292"/>
      <c r="MW80" s="292"/>
      <c r="MX80" s="292"/>
      <c r="MY80" s="292"/>
      <c r="MZ80" s="292"/>
      <c r="NA80" s="292"/>
      <c r="NB80" s="292"/>
      <c r="NC80" s="292"/>
      <c r="ND80" s="292"/>
      <c r="NE80" s="292"/>
      <c r="NF80" s="292"/>
      <c r="NG80" s="292"/>
      <c r="NH80" s="292"/>
      <c r="NI80" s="292"/>
      <c r="NJ80" s="292"/>
      <c r="NK80" s="292"/>
      <c r="NL80" s="292"/>
      <c r="NM80" s="292"/>
      <c r="NN80" s="292"/>
      <c r="NO80" s="292"/>
      <c r="NP80" s="292"/>
      <c r="NQ80" s="292"/>
      <c r="NR80" s="292"/>
      <c r="NS80" s="292"/>
      <c r="NT80" s="292"/>
      <c r="NU80" s="292"/>
      <c r="NV80" s="292"/>
      <c r="NW80" s="292"/>
      <c r="NX80" s="292"/>
      <c r="NY80" s="292"/>
      <c r="NZ80" s="292"/>
      <c r="OA80" s="292"/>
      <c r="OB80" s="292"/>
      <c r="OC80" s="292"/>
      <c r="OD80" s="292"/>
      <c r="OE80" s="292"/>
      <c r="OF80" s="292"/>
      <c r="OG80" s="292"/>
      <c r="OH80" s="292"/>
      <c r="OI80" s="292"/>
      <c r="OJ80" s="292"/>
      <c r="OK80" s="292"/>
      <c r="OL80" s="292"/>
      <c r="OM80" s="292"/>
      <c r="ON80" s="292"/>
      <c r="OO80" s="292"/>
      <c r="OP80" s="292"/>
      <c r="OQ80" s="292"/>
      <c r="OR80" s="292"/>
      <c r="OS80" s="292"/>
      <c r="OT80" s="292"/>
      <c r="OU80" s="292"/>
      <c r="OV80" s="292"/>
      <c r="OW80" s="292"/>
      <c r="OX80" s="292"/>
      <c r="OY80" s="292"/>
      <c r="OZ80" s="292"/>
      <c r="PA80" s="292"/>
      <c r="PB80" s="292"/>
      <c r="PC80" s="292"/>
      <c r="PD80" s="292"/>
      <c r="PE80" s="292"/>
      <c r="PF80" s="292"/>
      <c r="PG80" s="292"/>
      <c r="PH80" s="292"/>
      <c r="PI80" s="292"/>
      <c r="PJ80" s="292"/>
      <c r="PK80" s="292"/>
      <c r="PL80" s="292"/>
      <c r="PM80" s="292"/>
      <c r="PN80" s="292"/>
      <c r="PO80" s="292"/>
      <c r="PP80" s="292"/>
      <c r="PQ80" s="292"/>
      <c r="PR80" s="292"/>
      <c r="PS80" s="292"/>
      <c r="PT80" s="292"/>
      <c r="PU80" s="292"/>
      <c r="PV80" s="292"/>
      <c r="PW80" s="292"/>
      <c r="PX80" s="292"/>
      <c r="PY80" s="292"/>
      <c r="PZ80" s="292"/>
      <c r="QA80" s="292"/>
      <c r="QB80" s="292"/>
      <c r="QC80" s="292"/>
      <c r="QD80" s="292"/>
      <c r="QE80" s="292"/>
      <c r="QF80" s="292"/>
      <c r="QG80" s="292"/>
      <c r="QH80" s="292"/>
      <c r="QI80" s="292"/>
      <c r="QJ80" s="292"/>
      <c r="QK80" s="292"/>
      <c r="QL80" s="292"/>
      <c r="QM80" s="292"/>
      <c r="QN80" s="292"/>
      <c r="QO80" s="292"/>
      <c r="QP80" s="292"/>
      <c r="QQ80" s="292"/>
      <c r="QR80" s="292"/>
      <c r="QS80" s="292"/>
      <c r="QT80" s="292"/>
      <c r="QU80" s="292"/>
      <c r="QV80" s="292"/>
      <c r="QW80" s="292"/>
      <c r="QX80" s="292"/>
      <c r="QY80" s="292"/>
      <c r="QZ80" s="292"/>
      <c r="RA80" s="292"/>
      <c r="RB80" s="292"/>
      <c r="RC80" s="292"/>
      <c r="RD80" s="292"/>
      <c r="RE80" s="292"/>
      <c r="RF80" s="292"/>
      <c r="RG80" s="292"/>
      <c r="RH80" s="292"/>
      <c r="RI80" s="292"/>
      <c r="RJ80" s="292"/>
      <c r="RK80" s="292"/>
      <c r="RL80" s="292"/>
      <c r="RM80" s="292"/>
      <c r="RN80" s="292"/>
      <c r="RO80" s="292"/>
      <c r="RP80" s="292"/>
      <c r="RQ80" s="292"/>
      <c r="RR80" s="292"/>
      <c r="RS80" s="292"/>
      <c r="RT80" s="292"/>
      <c r="RU80" s="292"/>
      <c r="RV80" s="292"/>
      <c r="RW80" s="292"/>
      <c r="RX80" s="292"/>
      <c r="RY80" s="292"/>
      <c r="RZ80" s="292"/>
      <c r="SA80" s="292"/>
      <c r="SB80" s="292"/>
      <c r="SC80" s="292"/>
      <c r="SD80" s="292"/>
      <c r="SE80" s="292"/>
      <c r="SF80" s="292"/>
      <c r="SG80" s="292"/>
      <c r="SH80" s="292"/>
      <c r="SI80" s="292"/>
      <c r="SJ80" s="292"/>
      <c r="SK80" s="292"/>
      <c r="SL80" s="292"/>
      <c r="SM80" s="292"/>
      <c r="SN80" s="292"/>
      <c r="SO80" s="292"/>
      <c r="SP80" s="292"/>
      <c r="SQ80" s="292"/>
      <c r="SR80" s="292"/>
      <c r="SS80" s="292"/>
      <c r="ST80" s="292"/>
      <c r="SU80" s="292"/>
    </row>
    <row r="81" spans="1:31" ht="15" customHeight="1" x14ac:dyDescent="0.25">
      <c r="A81" s="959"/>
      <c r="B81" s="960"/>
      <c r="C81" s="960"/>
      <c r="D81" s="960"/>
      <c r="E81" s="960"/>
      <c r="F81" s="960"/>
      <c r="G81" s="960"/>
      <c r="H81" s="960"/>
      <c r="I81" s="960"/>
      <c r="J81" s="960"/>
      <c r="K81" s="960"/>
      <c r="L81" s="960"/>
      <c r="M81" s="960"/>
      <c r="N81" s="960"/>
      <c r="O81" s="960"/>
      <c r="P81" s="960"/>
      <c r="Q81" s="960"/>
      <c r="R81" s="960"/>
      <c r="S81" s="960"/>
      <c r="T81" s="960"/>
      <c r="U81" s="960"/>
      <c r="V81" s="960"/>
      <c r="W81" s="960"/>
      <c r="X81" s="960"/>
      <c r="Y81" s="960"/>
      <c r="Z81" s="960"/>
      <c r="AA81" s="960"/>
      <c r="AB81" s="960"/>
      <c r="AC81" s="960"/>
      <c r="AD81" s="960"/>
      <c r="AE81" s="967"/>
    </row>
    <row r="82" spans="1:31" ht="15" customHeight="1" x14ac:dyDescent="0.25">
      <c r="A82" s="960"/>
      <c r="B82" s="960"/>
      <c r="C82" s="960"/>
      <c r="D82" s="960"/>
      <c r="E82" s="960"/>
      <c r="F82" s="960"/>
      <c r="G82" s="960"/>
      <c r="H82" s="960"/>
      <c r="I82" s="960"/>
      <c r="J82" s="960"/>
      <c r="K82" s="960"/>
      <c r="L82" s="960"/>
      <c r="M82" s="960"/>
      <c r="N82" s="960"/>
      <c r="O82" s="960"/>
      <c r="P82" s="960"/>
      <c r="Q82" s="960"/>
      <c r="R82" s="960"/>
      <c r="S82" s="960"/>
      <c r="T82" s="960"/>
      <c r="U82" s="960"/>
      <c r="V82" s="960"/>
      <c r="W82" s="960"/>
      <c r="X82" s="960"/>
      <c r="Y82" s="960"/>
      <c r="Z82" s="960"/>
      <c r="AA82" s="960"/>
      <c r="AB82" s="960"/>
      <c r="AC82" s="960"/>
      <c r="AD82" s="960"/>
      <c r="AE82" s="967"/>
    </row>
    <row r="83" spans="1:31" ht="15" customHeight="1" x14ac:dyDescent="0.25">
      <c r="A83" s="960"/>
      <c r="B83" s="960"/>
      <c r="C83" s="960"/>
      <c r="D83" s="960"/>
      <c r="E83" s="1192" t="s">
        <v>15</v>
      </c>
      <c r="F83" s="1192" t="s">
        <v>390</v>
      </c>
      <c r="G83" s="1192" t="s">
        <v>345</v>
      </c>
      <c r="H83" s="960"/>
      <c r="I83" s="1192" t="s">
        <v>15</v>
      </c>
      <c r="J83" s="1192" t="s">
        <v>390</v>
      </c>
      <c r="K83" s="1192" t="s">
        <v>345</v>
      </c>
      <c r="L83" s="960"/>
      <c r="M83" s="1192" t="s">
        <v>15</v>
      </c>
      <c r="N83" s="1192" t="s">
        <v>390</v>
      </c>
      <c r="O83" s="1192" t="s">
        <v>345</v>
      </c>
      <c r="P83" s="960"/>
      <c r="Q83" s="1192" t="s">
        <v>15</v>
      </c>
      <c r="R83" s="1192" t="s">
        <v>390</v>
      </c>
      <c r="S83" s="1192" t="s">
        <v>345</v>
      </c>
      <c r="T83" s="960"/>
      <c r="U83" s="1192" t="s">
        <v>15</v>
      </c>
      <c r="V83" s="1192" t="s">
        <v>390</v>
      </c>
      <c r="W83" s="1192" t="s">
        <v>345</v>
      </c>
      <c r="X83" s="960"/>
      <c r="Y83" s="1192" t="s">
        <v>15</v>
      </c>
      <c r="Z83" s="1192" t="s">
        <v>390</v>
      </c>
      <c r="AA83" s="1192" t="s">
        <v>345</v>
      </c>
      <c r="AB83" s="960"/>
      <c r="AC83" s="1192" t="s">
        <v>390</v>
      </c>
      <c r="AD83" s="1192" t="s">
        <v>391</v>
      </c>
      <c r="AE83" s="967"/>
    </row>
    <row r="84" spans="1:31" ht="23.5" customHeight="1" x14ac:dyDescent="0.25">
      <c r="A84" s="1368" t="s">
        <v>392</v>
      </c>
      <c r="B84" s="1369"/>
      <c r="C84" s="1178" t="s">
        <v>393</v>
      </c>
      <c r="D84" s="960"/>
      <c r="E84" s="1302">
        <f>E80</f>
        <v>0</v>
      </c>
      <c r="F84" s="1161">
        <v>0</v>
      </c>
      <c r="G84" s="1160">
        <f>E84*F84</f>
        <v>0</v>
      </c>
      <c r="H84" s="960"/>
      <c r="I84" s="1302">
        <f>I80</f>
        <v>0</v>
      </c>
      <c r="J84" s="1161">
        <v>0</v>
      </c>
      <c r="K84" s="1160">
        <f>I84*J84</f>
        <v>0</v>
      </c>
      <c r="L84" s="960"/>
      <c r="M84" s="1302">
        <f>M80</f>
        <v>0</v>
      </c>
      <c r="N84" s="1161">
        <v>0</v>
      </c>
      <c r="O84" s="1160">
        <f>M84*N84</f>
        <v>0</v>
      </c>
      <c r="P84" s="960"/>
      <c r="Q84" s="1302">
        <f>Q80</f>
        <v>0</v>
      </c>
      <c r="R84" s="1161">
        <v>0</v>
      </c>
      <c r="S84" s="1160">
        <f>Q84*R84</f>
        <v>0</v>
      </c>
      <c r="T84" s="960"/>
      <c r="U84" s="1302">
        <f>U80</f>
        <v>0</v>
      </c>
      <c r="V84" s="1161">
        <v>0</v>
      </c>
      <c r="W84" s="1160">
        <f>U84*V84</f>
        <v>0</v>
      </c>
      <c r="X84" s="960"/>
      <c r="Y84" s="1302">
        <f>Y80</f>
        <v>0</v>
      </c>
      <c r="Z84" s="1161">
        <v>0</v>
      </c>
      <c r="AA84" s="1160">
        <f>Y84*Z84</f>
        <v>0</v>
      </c>
      <c r="AB84" s="960"/>
      <c r="AC84" s="1162">
        <f>AVERAGE(Z84,V84,R84,N84,J84,F84)</f>
        <v>0</v>
      </c>
      <c r="AD84" s="1200">
        <f>AA84+W84+S84+O84+K84+G84</f>
        <v>0</v>
      </c>
      <c r="AE84" s="967"/>
    </row>
    <row r="85" spans="1:31" ht="25.5" customHeight="1" x14ac:dyDescent="0.25">
      <c r="A85" s="1370"/>
      <c r="B85" s="1371"/>
      <c r="C85" s="1178" t="s">
        <v>394</v>
      </c>
      <c r="D85" s="960"/>
      <c r="E85" s="1303"/>
      <c r="F85" s="1161">
        <v>0</v>
      </c>
      <c r="G85" s="1160">
        <f>E85*F85</f>
        <v>0</v>
      </c>
      <c r="H85" s="960"/>
      <c r="I85" s="1303"/>
      <c r="J85" s="1161">
        <v>0</v>
      </c>
      <c r="K85" s="1160">
        <f>I85*J85</f>
        <v>0</v>
      </c>
      <c r="L85" s="960"/>
      <c r="M85" s="1303"/>
      <c r="N85" s="1161">
        <v>0</v>
      </c>
      <c r="O85" s="1160">
        <f>M85*N85</f>
        <v>0</v>
      </c>
      <c r="P85" s="960"/>
      <c r="Q85" s="1303"/>
      <c r="R85" s="1161">
        <v>0</v>
      </c>
      <c r="S85" s="1160">
        <f>Q85*R85</f>
        <v>0</v>
      </c>
      <c r="T85" s="960"/>
      <c r="U85" s="1303"/>
      <c r="V85" s="1161">
        <v>0</v>
      </c>
      <c r="W85" s="1160">
        <f>U85*V85</f>
        <v>0</v>
      </c>
      <c r="X85" s="960"/>
      <c r="Y85" s="1303"/>
      <c r="Z85" s="1161">
        <v>0</v>
      </c>
      <c r="AA85" s="1160">
        <f>Y85*Z85</f>
        <v>0</v>
      </c>
      <c r="AB85" s="960"/>
      <c r="AC85" s="1162">
        <f>AVERAGE(Z85,V85,R85,N85,J85,F85)</f>
        <v>0</v>
      </c>
      <c r="AD85" s="1200">
        <f>AA85+W85+S85+O85+K85+G85</f>
        <v>0</v>
      </c>
      <c r="AE85" s="967"/>
    </row>
    <row r="86" spans="1:31" ht="15" customHeight="1" x14ac:dyDescent="0.25">
      <c r="A86" s="960"/>
      <c r="B86" s="960"/>
      <c r="C86" s="960"/>
      <c r="D86" s="960"/>
      <c r="E86" s="960"/>
      <c r="F86" s="960"/>
      <c r="G86" s="960"/>
      <c r="H86" s="960"/>
      <c r="I86" s="960"/>
      <c r="J86" s="960"/>
      <c r="K86" s="960"/>
      <c r="L86" s="960"/>
      <c r="M86" s="960"/>
      <c r="N86" s="960"/>
      <c r="O86" s="960"/>
      <c r="P86" s="960"/>
      <c r="Q86" s="960"/>
      <c r="R86" s="960"/>
      <c r="S86" s="960"/>
      <c r="T86" s="960"/>
      <c r="U86" s="960"/>
      <c r="V86" s="960"/>
      <c r="W86" s="960"/>
      <c r="X86" s="960"/>
      <c r="Y86" s="960"/>
      <c r="Z86" s="960"/>
      <c r="AA86" s="960"/>
      <c r="AB86" s="960"/>
      <c r="AC86" s="960"/>
      <c r="AD86" s="960"/>
      <c r="AE86" s="967"/>
    </row>
    <row r="87" spans="1:31" ht="15" customHeight="1" thickBot="1" x14ac:dyDescent="0.3">
      <c r="A87" s="959"/>
      <c r="B87" s="960"/>
      <c r="C87" s="960"/>
      <c r="D87" s="960"/>
      <c r="E87" s="960"/>
      <c r="F87" s="960"/>
      <c r="G87" s="960"/>
      <c r="H87" s="960"/>
      <c r="I87" s="960"/>
      <c r="J87" s="960"/>
      <c r="K87" s="960"/>
      <c r="L87" s="960"/>
      <c r="M87" s="960"/>
      <c r="N87" s="960"/>
      <c r="O87" s="960"/>
      <c r="P87" s="960"/>
      <c r="Q87" s="960"/>
      <c r="R87" s="960"/>
      <c r="S87" s="960"/>
      <c r="T87" s="960"/>
      <c r="U87" s="960"/>
      <c r="V87" s="960"/>
      <c r="W87" s="960"/>
      <c r="X87" s="960"/>
      <c r="Y87" s="960"/>
      <c r="Z87" s="960"/>
      <c r="AA87" s="960"/>
      <c r="AB87" s="960"/>
      <c r="AC87" s="960"/>
      <c r="AD87" s="960"/>
      <c r="AE87" s="967"/>
    </row>
    <row r="88" spans="1:31" ht="25.5" customHeight="1" thickBot="1" x14ac:dyDescent="0.3">
      <c r="A88" s="1355" t="s">
        <v>395</v>
      </c>
      <c r="B88" s="1356"/>
      <c r="C88" s="1357"/>
      <c r="D88" s="960"/>
      <c r="E88" s="960"/>
      <c r="F88" s="960"/>
      <c r="G88" s="960"/>
      <c r="H88" s="960"/>
      <c r="I88" s="960"/>
      <c r="J88" s="960"/>
      <c r="K88" s="960"/>
      <c r="L88" s="960"/>
      <c r="M88" s="960"/>
      <c r="N88" s="960"/>
      <c r="O88" s="960"/>
      <c r="P88" s="960"/>
      <c r="Q88" s="960"/>
      <c r="R88" s="960"/>
      <c r="S88" s="960"/>
      <c r="T88" s="960"/>
      <c r="U88" s="960"/>
      <c r="V88" s="960"/>
      <c r="W88" s="960"/>
      <c r="X88" s="960"/>
      <c r="Y88" s="960"/>
      <c r="Z88" s="960"/>
      <c r="AA88" s="960"/>
      <c r="AB88" s="960"/>
      <c r="AC88" s="960"/>
      <c r="AD88" s="960"/>
      <c r="AE88" s="967"/>
    </row>
    <row r="89" spans="1:31" ht="38.5" customHeight="1" x14ac:dyDescent="0.25">
      <c r="A89" s="1372" t="s">
        <v>396</v>
      </c>
      <c r="B89" s="1373"/>
      <c r="C89" s="1374"/>
      <c r="D89" s="960"/>
      <c r="E89" s="960"/>
      <c r="F89" s="960"/>
      <c r="G89" s="960"/>
      <c r="H89" s="960"/>
      <c r="I89" s="960"/>
      <c r="J89" s="960"/>
      <c r="K89" s="960"/>
      <c r="L89" s="960"/>
      <c r="M89" s="960"/>
      <c r="N89" s="960"/>
      <c r="O89" s="960"/>
      <c r="P89" s="960"/>
      <c r="Q89" s="960"/>
      <c r="R89" s="960"/>
      <c r="S89" s="960"/>
      <c r="T89" s="960"/>
      <c r="U89" s="960"/>
      <c r="V89" s="960"/>
      <c r="W89" s="960"/>
      <c r="X89" s="960"/>
      <c r="Y89" s="960"/>
      <c r="Z89" s="960"/>
      <c r="AA89" s="960"/>
      <c r="AB89" s="960"/>
      <c r="AC89" s="960"/>
      <c r="AD89" s="960"/>
      <c r="AE89" s="967"/>
    </row>
    <row r="90" spans="1:31" ht="30" customHeight="1" x14ac:dyDescent="0.25">
      <c r="A90" s="1299" t="s">
        <v>397</v>
      </c>
      <c r="B90" s="1300"/>
      <c r="C90" s="1301"/>
      <c r="D90" s="965"/>
      <c r="E90" s="965"/>
      <c r="F90" s="965"/>
      <c r="G90" s="965"/>
      <c r="H90" s="965"/>
      <c r="I90" s="965"/>
      <c r="J90" s="965"/>
      <c r="K90" s="965"/>
      <c r="L90" s="960"/>
      <c r="M90" s="960"/>
      <c r="N90" s="960"/>
      <c r="O90" s="960"/>
      <c r="P90" s="960"/>
      <c r="Q90" s="960"/>
      <c r="R90" s="960"/>
      <c r="S90" s="960"/>
      <c r="T90" s="960"/>
      <c r="U90" s="960"/>
      <c r="V90" s="960"/>
      <c r="W90" s="960"/>
      <c r="X90" s="960"/>
      <c r="Y90" s="960"/>
      <c r="Z90" s="960"/>
      <c r="AA90" s="960"/>
      <c r="AB90" s="960"/>
      <c r="AC90" s="960"/>
      <c r="AD90" s="960"/>
      <c r="AE90" s="967"/>
    </row>
    <row r="91" spans="1:31" ht="63" customHeight="1" x14ac:dyDescent="0.25">
      <c r="A91" s="1343" t="s">
        <v>398</v>
      </c>
      <c r="B91" s="1343"/>
      <c r="C91" s="1343"/>
      <c r="D91" s="960"/>
      <c r="E91" s="960"/>
      <c r="F91" s="960"/>
      <c r="G91" s="960"/>
      <c r="H91" s="960"/>
      <c r="I91" s="960"/>
      <c r="J91" s="960"/>
      <c r="K91" s="960"/>
      <c r="L91" s="960"/>
      <c r="M91" s="960"/>
      <c r="N91" s="960"/>
      <c r="O91" s="960"/>
      <c r="P91" s="960"/>
      <c r="Q91" s="960"/>
      <c r="R91" s="960"/>
      <c r="S91" s="960"/>
      <c r="T91" s="960"/>
      <c r="U91" s="960"/>
      <c r="V91" s="960"/>
      <c r="W91" s="960"/>
      <c r="X91" s="960"/>
      <c r="Y91" s="960"/>
      <c r="Z91" s="960"/>
      <c r="AA91" s="960"/>
      <c r="AB91" s="960"/>
      <c r="AC91" s="960"/>
      <c r="AD91" s="960"/>
      <c r="AE91" s="967"/>
    </row>
    <row r="92" spans="1:31" ht="29.5" customHeight="1" x14ac:dyDescent="0.25">
      <c r="A92" s="1299" t="s">
        <v>399</v>
      </c>
      <c r="B92" s="1300"/>
      <c r="C92" s="1301"/>
      <c r="D92" s="960"/>
      <c r="E92" s="960"/>
      <c r="F92" s="960"/>
      <c r="G92" s="960"/>
      <c r="H92" s="960"/>
      <c r="I92" s="960"/>
      <c r="J92" s="960"/>
      <c r="K92" s="960"/>
      <c r="L92" s="960"/>
      <c r="M92" s="960"/>
      <c r="N92" s="960"/>
      <c r="O92" s="960"/>
      <c r="P92" s="960"/>
      <c r="Q92" s="960"/>
      <c r="R92" s="960"/>
      <c r="S92" s="960"/>
      <c r="T92" s="960"/>
      <c r="U92" s="960"/>
      <c r="V92" s="960"/>
      <c r="W92" s="960"/>
      <c r="X92" s="960"/>
      <c r="Y92" s="960"/>
      <c r="Z92" s="960"/>
      <c r="AA92" s="960"/>
      <c r="AB92" s="960"/>
      <c r="AC92" s="960"/>
      <c r="AD92" s="960"/>
      <c r="AE92" s="967"/>
    </row>
    <row r="93" spans="1:31" ht="13" customHeight="1" thickBot="1" x14ac:dyDescent="0.3">
      <c r="A93" s="968"/>
      <c r="B93" s="969"/>
      <c r="C93" s="969"/>
      <c r="D93" s="966"/>
      <c r="E93" s="966"/>
      <c r="F93" s="966"/>
      <c r="G93" s="966"/>
      <c r="H93" s="966"/>
      <c r="I93" s="966"/>
      <c r="J93" s="966"/>
      <c r="K93" s="966"/>
      <c r="L93" s="966"/>
      <c r="M93" s="966"/>
      <c r="N93" s="966"/>
      <c r="O93" s="966"/>
      <c r="P93" s="966"/>
      <c r="Q93" s="966"/>
      <c r="R93" s="966"/>
      <c r="S93" s="966"/>
      <c r="T93" s="966"/>
      <c r="U93" s="966"/>
      <c r="V93" s="966"/>
      <c r="W93" s="966"/>
      <c r="X93" s="966"/>
      <c r="Y93" s="966"/>
      <c r="Z93" s="966"/>
      <c r="AA93" s="966"/>
      <c r="AB93" s="966"/>
      <c r="AC93" s="966"/>
      <c r="AD93" s="966"/>
      <c r="AE93" s="970"/>
    </row>
    <row r="94" spans="1:31" x14ac:dyDescent="0.25">
      <c r="A94" s="796"/>
      <c r="B94" s="796"/>
      <c r="C94" s="796"/>
    </row>
    <row r="95" spans="1:31" x14ac:dyDescent="0.25">
      <c r="A95" s="796"/>
      <c r="B95" s="796"/>
      <c r="C95" s="796"/>
    </row>
    <row r="96" spans="1:31" x14ac:dyDescent="0.25">
      <c r="A96" s="796"/>
      <c r="B96" s="796"/>
      <c r="C96" s="796"/>
    </row>
    <row r="97" spans="1:3" x14ac:dyDescent="0.25">
      <c r="A97" s="796"/>
      <c r="B97" s="796"/>
      <c r="C97" s="796"/>
    </row>
    <row r="98" spans="1:3" x14ac:dyDescent="0.25">
      <c r="A98" s="796"/>
      <c r="B98" s="796"/>
      <c r="C98" s="796"/>
    </row>
    <row r="99" spans="1:3" ht="13" customHeight="1" x14ac:dyDescent="0.25">
      <c r="B99" s="577"/>
      <c r="C99" s="577"/>
    </row>
    <row r="100" spans="1:3" x14ac:dyDescent="0.25">
      <c r="A100" s="577"/>
      <c r="B100" s="577"/>
      <c r="C100" s="577"/>
    </row>
    <row r="101" spans="1:3" x14ac:dyDescent="0.25">
      <c r="A101" s="577"/>
      <c r="B101" s="577"/>
      <c r="C101" s="577"/>
    </row>
    <row r="102" spans="1:3" x14ac:dyDescent="0.25">
      <c r="A102" s="577"/>
      <c r="B102" s="577"/>
      <c r="C102" s="577"/>
    </row>
  </sheetData>
  <mergeCells count="140">
    <mergeCell ref="Y84:Y85"/>
    <mergeCell ref="A88:C88"/>
    <mergeCell ref="A89:C89"/>
    <mergeCell ref="A90:C90"/>
    <mergeCell ref="A91:C91"/>
    <mergeCell ref="A92:C92"/>
    <mergeCell ref="Y79:AA79"/>
    <mergeCell ref="A72:C72"/>
    <mergeCell ref="A75:C75"/>
    <mergeCell ref="A74:C74"/>
    <mergeCell ref="A76:C76"/>
    <mergeCell ref="U77:V77"/>
    <mergeCell ref="Y77:Z77"/>
    <mergeCell ref="A77:C77"/>
    <mergeCell ref="E79:G79"/>
    <mergeCell ref="I79:K79"/>
    <mergeCell ref="A79:C80"/>
    <mergeCell ref="A58:C58"/>
    <mergeCell ref="U54:V54"/>
    <mergeCell ref="A59:C59"/>
    <mergeCell ref="A66:B66"/>
    <mergeCell ref="M79:O79"/>
    <mergeCell ref="Q79:S79"/>
    <mergeCell ref="U79:W79"/>
    <mergeCell ref="A84:B85"/>
    <mergeCell ref="E84:E85"/>
    <mergeCell ref="I84:I85"/>
    <mergeCell ref="M84:M85"/>
    <mergeCell ref="Q84:Q85"/>
    <mergeCell ref="U84:U85"/>
    <mergeCell ref="U68:V68"/>
    <mergeCell ref="U71:W71"/>
    <mergeCell ref="Y68:Z68"/>
    <mergeCell ref="A56:C56"/>
    <mergeCell ref="A57:C57"/>
    <mergeCell ref="M62:O62"/>
    <mergeCell ref="Q62:S62"/>
    <mergeCell ref="U62:W62"/>
    <mergeCell ref="Y6:AA6"/>
    <mergeCell ref="AC6:AD6"/>
    <mergeCell ref="A20:B20"/>
    <mergeCell ref="A21:B21"/>
    <mergeCell ref="A22:B22"/>
    <mergeCell ref="A23:B23"/>
    <mergeCell ref="A24:B24"/>
    <mergeCell ref="A68:C68"/>
    <mergeCell ref="A65:C65"/>
    <mergeCell ref="E62:G62"/>
    <mergeCell ref="C66:C67"/>
    <mergeCell ref="A67:B67"/>
    <mergeCell ref="A45:B45"/>
    <mergeCell ref="A46:B46"/>
    <mergeCell ref="A47:C47"/>
    <mergeCell ref="A49:C49"/>
    <mergeCell ref="A50:B50"/>
    <mergeCell ref="A51:B51"/>
    <mergeCell ref="A52:B52"/>
    <mergeCell ref="A53:B53"/>
    <mergeCell ref="A37:B37"/>
    <mergeCell ref="A38:B38"/>
    <mergeCell ref="A39:B39"/>
    <mergeCell ref="A40:C40"/>
    <mergeCell ref="A2:B2"/>
    <mergeCell ref="B4:C4"/>
    <mergeCell ref="E4:G4"/>
    <mergeCell ref="I4:K4"/>
    <mergeCell ref="M4:O4"/>
    <mergeCell ref="Q4:S4"/>
    <mergeCell ref="U4:W4"/>
    <mergeCell ref="B5:C5"/>
    <mergeCell ref="E6:G6"/>
    <mergeCell ref="I6:K6"/>
    <mergeCell ref="M6:O6"/>
    <mergeCell ref="Q6:S6"/>
    <mergeCell ref="U6:W6"/>
    <mergeCell ref="BG5:BI5"/>
    <mergeCell ref="Y7:AA7"/>
    <mergeCell ref="AC7:AD7"/>
    <mergeCell ref="A54:C54"/>
    <mergeCell ref="A12:B12"/>
    <mergeCell ref="A10:B10"/>
    <mergeCell ref="A11:B11"/>
    <mergeCell ref="A13:B13"/>
    <mergeCell ref="A14:B14"/>
    <mergeCell ref="A15:B15"/>
    <mergeCell ref="A16:B16"/>
    <mergeCell ref="A17:B17"/>
    <mergeCell ref="A18:B18"/>
    <mergeCell ref="A19:B19"/>
    <mergeCell ref="U40:V40"/>
    <mergeCell ref="Y40:Z40"/>
    <mergeCell ref="I7:K7"/>
    <mergeCell ref="M7:O7"/>
    <mergeCell ref="Q7:S7"/>
    <mergeCell ref="U7:W7"/>
    <mergeCell ref="A8:B8"/>
    <mergeCell ref="A9:B9"/>
    <mergeCell ref="Y54:Z54"/>
    <mergeCell ref="A7:C7"/>
    <mergeCell ref="Y4:AA4"/>
    <mergeCell ref="A63:C63"/>
    <mergeCell ref="A25:B25"/>
    <mergeCell ref="A26:B26"/>
    <mergeCell ref="A27:B27"/>
    <mergeCell ref="A28:B28"/>
    <mergeCell ref="A29:B29"/>
    <mergeCell ref="A30:B30"/>
    <mergeCell ref="A31:B31"/>
    <mergeCell ref="A32:B32"/>
    <mergeCell ref="A35:C35"/>
    <mergeCell ref="A36:B36"/>
    <mergeCell ref="E63:G63"/>
    <mergeCell ref="I63:K63"/>
    <mergeCell ref="M63:O63"/>
    <mergeCell ref="Q63:S63"/>
    <mergeCell ref="U63:W63"/>
    <mergeCell ref="Y63:AA63"/>
    <mergeCell ref="A42:C42"/>
    <mergeCell ref="A43:B43"/>
    <mergeCell ref="A44:B44"/>
    <mergeCell ref="E7:G7"/>
    <mergeCell ref="Y62:AA62"/>
    <mergeCell ref="I62:K62"/>
    <mergeCell ref="Y71:AA71"/>
    <mergeCell ref="E72:G72"/>
    <mergeCell ref="I72:K72"/>
    <mergeCell ref="M72:O72"/>
    <mergeCell ref="Q72:S72"/>
    <mergeCell ref="U72:W72"/>
    <mergeCell ref="Y72:AA72"/>
    <mergeCell ref="Q80:S80"/>
    <mergeCell ref="U80:W80"/>
    <mergeCell ref="Y80:AA80"/>
    <mergeCell ref="E80:G80"/>
    <mergeCell ref="I80:K80"/>
    <mergeCell ref="M80:O80"/>
    <mergeCell ref="E71:G71"/>
    <mergeCell ref="I71:K71"/>
    <mergeCell ref="M71:O71"/>
    <mergeCell ref="Q71:S71"/>
  </mergeCells>
  <phoneticPr fontId="20" type="noConversion"/>
  <pageMargins left="0.25" right="0.25" top="0.75" bottom="0.75" header="0.3" footer="0.3"/>
  <pageSetup scale="33" fitToHeight="3" orientation="landscape"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C012C-2C56-4847-A917-6F7D07FC8D49}">
  <sheetPr codeName="Sheet24"/>
  <dimension ref="A1:O84"/>
  <sheetViews>
    <sheetView workbookViewId="0">
      <pane xSplit="7" ySplit="7" topLeftCell="H8" activePane="bottomRight" state="frozen"/>
      <selection pane="topRight" activeCell="H1" sqref="H1"/>
      <selection pane="bottomLeft" activeCell="A9" sqref="A9"/>
      <selection pane="bottomRight" activeCell="I2" sqref="I2:M4"/>
    </sheetView>
  </sheetViews>
  <sheetFormatPr defaultColWidth="8.7265625" defaultRowHeight="13" x14ac:dyDescent="0.25"/>
  <cols>
    <col min="1" max="1" width="5.1796875" style="857" customWidth="1"/>
    <col min="2" max="2" width="13.26953125" style="857" customWidth="1"/>
    <col min="3" max="3" width="25.453125" style="857" customWidth="1"/>
    <col min="4" max="4" width="8.7265625" style="857"/>
    <col min="5" max="5" width="10.453125" style="857" customWidth="1"/>
    <col min="6" max="6" width="8.1796875" style="857" customWidth="1"/>
    <col min="7" max="7" width="11.1796875" style="857" customWidth="1"/>
    <col min="8" max="8" width="15.54296875" style="857" customWidth="1"/>
    <col min="9" max="9" width="16.453125" style="857" customWidth="1"/>
    <col min="10" max="11" width="14.7265625" style="857" customWidth="1"/>
    <col min="12" max="12" width="16.81640625" style="857" customWidth="1"/>
    <col min="13" max="13" width="14.54296875" style="857" customWidth="1"/>
    <col min="14" max="14" width="11.453125" style="857" customWidth="1"/>
    <col min="15" max="15" width="20.81640625" style="857" customWidth="1"/>
    <col min="16" max="16384" width="8.7265625" style="857"/>
  </cols>
  <sheetData>
    <row r="1" spans="1:15" ht="13.5" thickBot="1" x14ac:dyDescent="0.3">
      <c r="A1" s="1008"/>
      <c r="B1" s="1018"/>
      <c r="C1" s="1018"/>
      <c r="D1" s="1018"/>
      <c r="E1" s="1018"/>
      <c r="F1" s="1018"/>
      <c r="G1" s="1018"/>
      <c r="H1" s="1018"/>
      <c r="I1" s="1018"/>
      <c r="J1" s="1018"/>
      <c r="K1" s="1018"/>
      <c r="L1" s="1018"/>
      <c r="M1" s="1018"/>
      <c r="N1" s="1018"/>
      <c r="O1" s="1017"/>
    </row>
    <row r="2" spans="1:15" ht="36" customHeight="1" thickBot="1" x14ac:dyDescent="0.3">
      <c r="A2" s="1009"/>
      <c r="B2" s="1380" t="s">
        <v>471</v>
      </c>
      <c r="C2" s="1381"/>
      <c r="D2" s="1013"/>
      <c r="E2" s="1013"/>
      <c r="F2" s="1013"/>
      <c r="G2" s="1013"/>
      <c r="H2" s="1027" t="s">
        <v>292</v>
      </c>
      <c r="I2" s="1384" t="s">
        <v>401</v>
      </c>
      <c r="J2" s="1385"/>
      <c r="K2" s="1385"/>
      <c r="L2" s="1385"/>
      <c r="M2" s="1386"/>
      <c r="N2" s="1013"/>
      <c r="O2" s="1016"/>
    </row>
    <row r="3" spans="1:15" ht="32.15" customHeight="1" x14ac:dyDescent="0.25">
      <c r="A3" s="1009"/>
      <c r="B3" s="1013"/>
      <c r="C3" s="1019"/>
      <c r="D3" s="1013"/>
      <c r="E3" s="1013"/>
      <c r="F3" s="1013"/>
      <c r="G3" s="1020"/>
      <c r="H3" s="1020"/>
      <c r="I3" s="1387"/>
      <c r="J3" s="1388"/>
      <c r="K3" s="1388"/>
      <c r="L3" s="1388"/>
      <c r="M3" s="1389"/>
      <c r="N3" s="1013"/>
      <c r="O3" s="1016"/>
    </row>
    <row r="4" spans="1:15" x14ac:dyDescent="0.25">
      <c r="A4" s="1009"/>
      <c r="B4" s="1013"/>
      <c r="C4" s="1013"/>
      <c r="D4" s="1013"/>
      <c r="E4" s="1020"/>
      <c r="F4" s="1020"/>
      <c r="G4" s="1020"/>
      <c r="H4" s="1020"/>
      <c r="I4" s="1390"/>
      <c r="J4" s="1391"/>
      <c r="K4" s="1391"/>
      <c r="L4" s="1391"/>
      <c r="M4" s="1392"/>
      <c r="N4" s="1013"/>
      <c r="O4" s="1016"/>
    </row>
    <row r="5" spans="1:15" ht="13.5" thickBot="1" x14ac:dyDescent="0.3">
      <c r="A5" s="1009"/>
      <c r="B5" s="1013"/>
      <c r="C5" s="1013"/>
      <c r="D5" s="1013"/>
      <c r="E5" s="1013"/>
      <c r="F5" s="1013"/>
      <c r="G5" s="1013"/>
      <c r="H5" s="1013"/>
      <c r="I5" s="1013"/>
      <c r="J5" s="1013"/>
      <c r="K5" s="1013"/>
      <c r="L5" s="1022"/>
      <c r="M5" s="1022"/>
      <c r="N5" s="1013"/>
      <c r="O5" s="1016"/>
    </row>
    <row r="6" spans="1:15" ht="31" customHeight="1" thickBot="1" x14ac:dyDescent="0.3">
      <c r="A6" s="1009"/>
      <c r="B6" s="1382" t="str">
        <f>General!D4</f>
        <v>Name</v>
      </c>
      <c r="C6" s="1383"/>
      <c r="D6" s="1021"/>
      <c r="E6" s="1021"/>
      <c r="F6" s="1013"/>
      <c r="G6" s="1013"/>
      <c r="H6" s="1379"/>
      <c r="I6" s="1379"/>
      <c r="J6" s="1379"/>
      <c r="K6" s="1379"/>
      <c r="L6" s="1013"/>
      <c r="M6" s="1013"/>
      <c r="N6" s="1013"/>
      <c r="O6" s="1016"/>
    </row>
    <row r="7" spans="1:15" ht="39.5" thickBot="1" x14ac:dyDescent="0.3">
      <c r="A7" s="1009"/>
      <c r="B7" s="882" t="s">
        <v>402</v>
      </c>
      <c r="C7" s="883" t="s">
        <v>403</v>
      </c>
      <c r="D7" s="884" t="s">
        <v>404</v>
      </c>
      <c r="E7" s="884" t="s">
        <v>405</v>
      </c>
      <c r="F7" s="884" t="s">
        <v>406</v>
      </c>
      <c r="G7" s="884" t="s">
        <v>405</v>
      </c>
      <c r="H7" s="885" t="s">
        <v>407</v>
      </c>
      <c r="I7" s="885" t="s">
        <v>408</v>
      </c>
      <c r="J7" s="885" t="s">
        <v>409</v>
      </c>
      <c r="K7" s="885" t="s">
        <v>410</v>
      </c>
      <c r="L7" s="886" t="s">
        <v>411</v>
      </c>
      <c r="M7" s="887" t="s">
        <v>412</v>
      </c>
      <c r="N7" s="1013"/>
      <c r="O7" s="1016"/>
    </row>
    <row r="8" spans="1:15" x14ac:dyDescent="0.25">
      <c r="A8" s="1009"/>
      <c r="B8" s="888" t="s">
        <v>472</v>
      </c>
      <c r="C8" s="889"/>
      <c r="D8" s="889"/>
      <c r="E8" s="889"/>
      <c r="F8" s="889"/>
      <c r="G8" s="889"/>
      <c r="H8" s="890">
        <v>0</v>
      </c>
      <c r="I8" s="890">
        <v>0</v>
      </c>
      <c r="J8" s="890">
        <v>0</v>
      </c>
      <c r="K8" s="890">
        <v>0</v>
      </c>
      <c r="L8" s="891">
        <f t="shared" ref="L8:L14" si="0">SUM(H8:K8)</f>
        <v>0</v>
      </c>
      <c r="M8" s="1378"/>
      <c r="N8" s="1013"/>
      <c r="O8" s="1016"/>
    </row>
    <row r="9" spans="1:15" x14ac:dyDescent="0.25">
      <c r="A9" s="1009"/>
      <c r="B9" s="888" t="s">
        <v>472</v>
      </c>
      <c r="C9" s="1169"/>
      <c r="D9" s="1169"/>
      <c r="E9" s="1169"/>
      <c r="F9" s="1169"/>
      <c r="G9" s="1169"/>
      <c r="H9" s="892">
        <v>0</v>
      </c>
      <c r="I9" s="892">
        <v>0</v>
      </c>
      <c r="J9" s="892">
        <v>0</v>
      </c>
      <c r="K9" s="892">
        <v>0</v>
      </c>
      <c r="L9" s="893">
        <f t="shared" si="0"/>
        <v>0</v>
      </c>
      <c r="M9" s="1378"/>
      <c r="N9" s="1013"/>
      <c r="O9" s="1016"/>
    </row>
    <row r="10" spans="1:15" x14ac:dyDescent="0.25">
      <c r="A10" s="1009"/>
      <c r="B10" s="888" t="s">
        <v>472</v>
      </c>
      <c r="C10" s="1169"/>
      <c r="D10" s="1169"/>
      <c r="E10" s="1169"/>
      <c r="F10" s="1169"/>
      <c r="G10" s="1169"/>
      <c r="H10" s="892">
        <v>0</v>
      </c>
      <c r="I10" s="892">
        <v>0</v>
      </c>
      <c r="J10" s="892">
        <v>0</v>
      </c>
      <c r="K10" s="892">
        <v>0</v>
      </c>
      <c r="L10" s="893">
        <f t="shared" si="0"/>
        <v>0</v>
      </c>
      <c r="M10" s="1378"/>
      <c r="N10" s="1013"/>
      <c r="O10" s="1016"/>
    </row>
    <row r="11" spans="1:15" x14ac:dyDescent="0.25">
      <c r="A11" s="1009"/>
      <c r="B11" s="888" t="s">
        <v>472</v>
      </c>
      <c r="C11" s="1169"/>
      <c r="D11" s="1169"/>
      <c r="E11" s="1169"/>
      <c r="F11" s="1169"/>
      <c r="G11" s="1169"/>
      <c r="H11" s="892">
        <v>0</v>
      </c>
      <c r="I11" s="892">
        <v>0</v>
      </c>
      <c r="J11" s="892">
        <v>0</v>
      </c>
      <c r="K11" s="892">
        <v>0</v>
      </c>
      <c r="L11" s="893">
        <f t="shared" si="0"/>
        <v>0</v>
      </c>
      <c r="M11" s="1378"/>
      <c r="N11" s="1013"/>
      <c r="O11" s="1016"/>
    </row>
    <row r="12" spans="1:15" x14ac:dyDescent="0.25">
      <c r="A12" s="1009"/>
      <c r="B12" s="888" t="s">
        <v>472</v>
      </c>
      <c r="C12" s="1169"/>
      <c r="D12" s="1169"/>
      <c r="E12" s="1169"/>
      <c r="F12" s="1169"/>
      <c r="G12" s="1169"/>
      <c r="H12" s="892">
        <v>0</v>
      </c>
      <c r="I12" s="892">
        <v>0</v>
      </c>
      <c r="J12" s="892">
        <v>0</v>
      </c>
      <c r="K12" s="892">
        <v>0</v>
      </c>
      <c r="L12" s="893">
        <f t="shared" si="0"/>
        <v>0</v>
      </c>
      <c r="M12" s="1378"/>
      <c r="N12" s="1013"/>
      <c r="O12" s="1016"/>
    </row>
    <row r="13" spans="1:15" x14ac:dyDescent="0.25">
      <c r="A13" s="1009"/>
      <c r="B13" s="888" t="s">
        <v>472</v>
      </c>
      <c r="C13" s="1169"/>
      <c r="D13" s="1169"/>
      <c r="E13" s="1169"/>
      <c r="F13" s="1169"/>
      <c r="G13" s="1169"/>
      <c r="H13" s="892">
        <v>0</v>
      </c>
      <c r="I13" s="892">
        <v>0</v>
      </c>
      <c r="J13" s="892">
        <v>0</v>
      </c>
      <c r="K13" s="892">
        <v>0</v>
      </c>
      <c r="L13" s="893">
        <f t="shared" si="0"/>
        <v>0</v>
      </c>
      <c r="M13" s="1378"/>
      <c r="N13" s="1013"/>
      <c r="O13" s="1016"/>
    </row>
    <row r="14" spans="1:15" ht="13.5" thickBot="1" x14ac:dyDescent="0.3">
      <c r="A14" s="1009"/>
      <c r="B14" s="888" t="s">
        <v>472</v>
      </c>
      <c r="C14" s="894"/>
      <c r="D14" s="894"/>
      <c r="E14" s="894"/>
      <c r="F14" s="894"/>
      <c r="G14" s="894"/>
      <c r="H14" s="895">
        <v>0</v>
      </c>
      <c r="I14" s="895">
        <v>0</v>
      </c>
      <c r="J14" s="895">
        <v>0</v>
      </c>
      <c r="K14" s="895">
        <v>0</v>
      </c>
      <c r="L14" s="896">
        <f t="shared" si="0"/>
        <v>0</v>
      </c>
      <c r="M14" s="1378"/>
      <c r="N14" s="1013"/>
      <c r="O14" s="1016"/>
    </row>
    <row r="15" spans="1:15" ht="19" customHeight="1" thickBot="1" x14ac:dyDescent="0.3">
      <c r="A15" s="1009"/>
      <c r="B15" s="1375" t="s">
        <v>473</v>
      </c>
      <c r="C15" s="1376"/>
      <c r="D15" s="1376"/>
      <c r="E15" s="1376"/>
      <c r="F15" s="1376"/>
      <c r="G15" s="1376"/>
      <c r="H15" s="1028">
        <f>SUM(H8:H14)</f>
        <v>0</v>
      </c>
      <c r="I15" s="1028">
        <f>SUM(I8:I14)</f>
        <v>0</v>
      </c>
      <c r="J15" s="1028">
        <f>SUM(J8:J14)</f>
        <v>0</v>
      </c>
      <c r="K15" s="1028">
        <f>SUM(K8:K14)</f>
        <v>0</v>
      </c>
      <c r="L15" s="1013"/>
      <c r="M15" s="898">
        <f>SUM(H15:K15)</f>
        <v>0</v>
      </c>
      <c r="N15" s="1013"/>
      <c r="O15" s="1016"/>
    </row>
    <row r="16" spans="1:15" x14ac:dyDescent="0.25">
      <c r="A16" s="1009"/>
      <c r="B16" s="1378"/>
      <c r="C16" s="1378"/>
      <c r="D16" s="1378"/>
      <c r="E16" s="1378"/>
      <c r="F16" s="1378"/>
      <c r="G16" s="1378"/>
      <c r="H16" s="1378"/>
      <c r="I16" s="1378"/>
      <c r="J16" s="1378"/>
      <c r="K16" s="1378"/>
      <c r="L16" s="1378"/>
      <c r="M16" s="1378"/>
      <c r="N16" s="1013"/>
      <c r="O16" s="1016"/>
    </row>
    <row r="17" spans="1:15" ht="13.5" thickBot="1" x14ac:dyDescent="0.3">
      <c r="A17" s="1009"/>
      <c r="B17" s="1378"/>
      <c r="C17" s="1378"/>
      <c r="D17" s="1378"/>
      <c r="E17" s="1378"/>
      <c r="F17" s="1378"/>
      <c r="G17" s="1378"/>
      <c r="H17" s="1378"/>
      <c r="I17" s="1378"/>
      <c r="J17" s="1378"/>
      <c r="K17" s="1378"/>
      <c r="L17" s="1378"/>
      <c r="M17" s="1378"/>
      <c r="N17" s="1013"/>
      <c r="O17" s="1016"/>
    </row>
    <row r="18" spans="1:15" x14ac:dyDescent="0.25">
      <c r="A18" s="1009"/>
      <c r="B18" s="899" t="s">
        <v>474</v>
      </c>
      <c r="C18" s="900"/>
      <c r="D18" s="900"/>
      <c r="E18" s="900"/>
      <c r="F18" s="900"/>
      <c r="G18" s="900"/>
      <c r="H18" s="901">
        <v>0</v>
      </c>
      <c r="I18" s="901">
        <v>0</v>
      </c>
      <c r="J18" s="901">
        <v>0</v>
      </c>
      <c r="K18" s="902">
        <v>0</v>
      </c>
      <c r="L18" s="903">
        <f t="shared" ref="L18:L24" si="1">SUM(H18:K18)</f>
        <v>0</v>
      </c>
      <c r="M18" s="1378"/>
      <c r="N18" s="1013"/>
      <c r="O18" s="1016"/>
    </row>
    <row r="19" spans="1:15" x14ac:dyDescent="0.25">
      <c r="A19" s="1009"/>
      <c r="B19" s="904" t="s">
        <v>474</v>
      </c>
      <c r="C19" s="1169"/>
      <c r="D19" s="1169"/>
      <c r="E19" s="1169"/>
      <c r="F19" s="1169"/>
      <c r="G19" s="1169"/>
      <c r="H19" s="892">
        <v>0</v>
      </c>
      <c r="I19" s="892">
        <v>0</v>
      </c>
      <c r="J19" s="892">
        <v>0</v>
      </c>
      <c r="K19" s="905">
        <v>0</v>
      </c>
      <c r="L19" s="906">
        <f t="shared" si="1"/>
        <v>0</v>
      </c>
      <c r="M19" s="1378"/>
      <c r="N19" s="1013"/>
      <c r="O19" s="1016"/>
    </row>
    <row r="20" spans="1:15" x14ac:dyDescent="0.25">
      <c r="A20" s="1009"/>
      <c r="B20" s="904" t="s">
        <v>474</v>
      </c>
      <c r="C20" s="1169"/>
      <c r="D20" s="1169"/>
      <c r="E20" s="1169"/>
      <c r="F20" s="1169"/>
      <c r="G20" s="1169"/>
      <c r="H20" s="892">
        <v>0</v>
      </c>
      <c r="I20" s="892">
        <v>0</v>
      </c>
      <c r="J20" s="892">
        <v>0</v>
      </c>
      <c r="K20" s="905">
        <v>0</v>
      </c>
      <c r="L20" s="906">
        <f t="shared" si="1"/>
        <v>0</v>
      </c>
      <c r="M20" s="1378"/>
      <c r="N20" s="1013"/>
      <c r="O20" s="1016"/>
    </row>
    <row r="21" spans="1:15" x14ac:dyDescent="0.25">
      <c r="A21" s="1009"/>
      <c r="B21" s="904" t="s">
        <v>474</v>
      </c>
      <c r="C21" s="1169"/>
      <c r="D21" s="1169"/>
      <c r="E21" s="1169"/>
      <c r="F21" s="1169"/>
      <c r="G21" s="1169"/>
      <c r="H21" s="892">
        <v>0</v>
      </c>
      <c r="I21" s="892">
        <v>0</v>
      </c>
      <c r="J21" s="892">
        <v>0</v>
      </c>
      <c r="K21" s="905">
        <v>0</v>
      </c>
      <c r="L21" s="906">
        <f t="shared" si="1"/>
        <v>0</v>
      </c>
      <c r="M21" s="1378"/>
      <c r="N21" s="1013"/>
      <c r="O21" s="1016"/>
    </row>
    <row r="22" spans="1:15" x14ac:dyDescent="0.25">
      <c r="A22" s="1009"/>
      <c r="B22" s="904" t="s">
        <v>474</v>
      </c>
      <c r="C22" s="1169"/>
      <c r="D22" s="1169"/>
      <c r="E22" s="1169"/>
      <c r="F22" s="1169"/>
      <c r="G22" s="1169"/>
      <c r="H22" s="892">
        <v>0</v>
      </c>
      <c r="I22" s="892">
        <v>0</v>
      </c>
      <c r="J22" s="892">
        <v>0</v>
      </c>
      <c r="K22" s="905">
        <v>0</v>
      </c>
      <c r="L22" s="906">
        <f t="shared" si="1"/>
        <v>0</v>
      </c>
      <c r="M22" s="1378"/>
      <c r="N22" s="1013"/>
      <c r="O22" s="1016"/>
    </row>
    <row r="23" spans="1:15" x14ac:dyDescent="0.25">
      <c r="A23" s="1009"/>
      <c r="B23" s="904" t="s">
        <v>474</v>
      </c>
      <c r="C23" s="1169"/>
      <c r="D23" s="1169"/>
      <c r="E23" s="1169"/>
      <c r="F23" s="1169"/>
      <c r="G23" s="1169"/>
      <c r="H23" s="892">
        <v>0</v>
      </c>
      <c r="I23" s="892">
        <v>0</v>
      </c>
      <c r="J23" s="892">
        <v>0</v>
      </c>
      <c r="K23" s="905">
        <v>0</v>
      </c>
      <c r="L23" s="906">
        <f t="shared" si="1"/>
        <v>0</v>
      </c>
      <c r="M23" s="1378"/>
      <c r="N23" s="1013"/>
      <c r="O23" s="1016"/>
    </row>
    <row r="24" spans="1:15" ht="13.5" thickBot="1" x14ac:dyDescent="0.3">
      <c r="A24" s="1009"/>
      <c r="B24" s="904" t="s">
        <v>474</v>
      </c>
      <c r="C24" s="907"/>
      <c r="D24" s="907"/>
      <c r="E24" s="907"/>
      <c r="F24" s="907"/>
      <c r="G24" s="907"/>
      <c r="H24" s="895">
        <v>0</v>
      </c>
      <c r="I24" s="895">
        <v>0</v>
      </c>
      <c r="J24" s="895">
        <v>0</v>
      </c>
      <c r="K24" s="908">
        <v>0</v>
      </c>
      <c r="L24" s="909">
        <f t="shared" si="1"/>
        <v>0</v>
      </c>
      <c r="M24" s="1378"/>
      <c r="N24" s="1013"/>
      <c r="O24" s="1016"/>
    </row>
    <row r="25" spans="1:15" ht="17.5" customHeight="1" thickBot="1" x14ac:dyDescent="0.3">
      <c r="A25" s="1009"/>
      <c r="B25" s="1375" t="s">
        <v>475</v>
      </c>
      <c r="C25" s="1376"/>
      <c r="D25" s="1376"/>
      <c r="E25" s="1376"/>
      <c r="F25" s="1376"/>
      <c r="G25" s="1376"/>
      <c r="H25" s="1028">
        <f>SUM(H18:H24)</f>
        <v>0</v>
      </c>
      <c r="I25" s="1028">
        <f>SUM(I18:I24)</f>
        <v>0</v>
      </c>
      <c r="J25" s="1028">
        <f>SUM(J18:J24)</f>
        <v>0</v>
      </c>
      <c r="K25" s="1028">
        <f>SUM(K18:K24)</f>
        <v>0</v>
      </c>
      <c r="L25" s="1013"/>
      <c r="M25" s="898">
        <f>SUM(H25:K25)</f>
        <v>0</v>
      </c>
      <c r="N25" s="1013"/>
      <c r="O25" s="1016"/>
    </row>
    <row r="26" spans="1:15" x14ac:dyDescent="0.25">
      <c r="A26" s="1009"/>
      <c r="B26" s="1378"/>
      <c r="C26" s="1378"/>
      <c r="D26" s="1378"/>
      <c r="E26" s="1378"/>
      <c r="F26" s="1378"/>
      <c r="G26" s="1378"/>
      <c r="H26" s="1378"/>
      <c r="I26" s="1378"/>
      <c r="J26" s="1378"/>
      <c r="K26" s="1378"/>
      <c r="L26" s="1378"/>
      <c r="M26" s="1378"/>
      <c r="N26" s="1013"/>
      <c r="O26" s="1016"/>
    </row>
    <row r="27" spans="1:15" ht="13.5" thickBot="1" x14ac:dyDescent="0.3">
      <c r="A27" s="1009"/>
      <c r="B27" s="1378"/>
      <c r="C27" s="1378"/>
      <c r="D27" s="1378"/>
      <c r="E27" s="1378"/>
      <c r="F27" s="1378"/>
      <c r="G27" s="1378"/>
      <c r="H27" s="1378"/>
      <c r="I27" s="1378"/>
      <c r="J27" s="1378"/>
      <c r="K27" s="1378"/>
      <c r="L27" s="1378"/>
      <c r="M27" s="1378"/>
      <c r="N27" s="1013"/>
      <c r="O27" s="1016"/>
    </row>
    <row r="28" spans="1:15" x14ac:dyDescent="0.25">
      <c r="A28" s="1009"/>
      <c r="B28" s="899" t="s">
        <v>476</v>
      </c>
      <c r="C28" s="900"/>
      <c r="D28" s="900"/>
      <c r="E28" s="900"/>
      <c r="F28" s="900"/>
      <c r="G28" s="900"/>
      <c r="H28" s="902">
        <v>0</v>
      </c>
      <c r="I28" s="902">
        <v>0</v>
      </c>
      <c r="J28" s="902">
        <v>0</v>
      </c>
      <c r="K28" s="902">
        <v>0</v>
      </c>
      <c r="L28" s="903">
        <f t="shared" ref="L28:L34" si="2">SUM(H28:K28)</f>
        <v>0</v>
      </c>
      <c r="M28" s="1378"/>
      <c r="N28" s="1013"/>
      <c r="O28" s="1016"/>
    </row>
    <row r="29" spans="1:15" x14ac:dyDescent="0.25">
      <c r="A29" s="1009"/>
      <c r="B29" s="904" t="s">
        <v>476</v>
      </c>
      <c r="C29" s="1169"/>
      <c r="D29" s="1169"/>
      <c r="E29" s="1169"/>
      <c r="F29" s="1169"/>
      <c r="G29" s="1169"/>
      <c r="H29" s="913">
        <v>0</v>
      </c>
      <c r="I29" s="913">
        <v>0</v>
      </c>
      <c r="J29" s="913">
        <v>0</v>
      </c>
      <c r="K29" s="913">
        <v>0</v>
      </c>
      <c r="L29" s="906">
        <f t="shared" si="2"/>
        <v>0</v>
      </c>
      <c r="M29" s="1378"/>
      <c r="N29" s="1013"/>
      <c r="O29" s="1016"/>
    </row>
    <row r="30" spans="1:15" x14ac:dyDescent="0.25">
      <c r="A30" s="1009"/>
      <c r="B30" s="904" t="s">
        <v>476</v>
      </c>
      <c r="C30" s="1169"/>
      <c r="D30" s="1169"/>
      <c r="E30" s="1169"/>
      <c r="F30" s="1169"/>
      <c r="G30" s="1169"/>
      <c r="H30" s="913">
        <v>0</v>
      </c>
      <c r="I30" s="913">
        <v>0</v>
      </c>
      <c r="J30" s="913">
        <v>0</v>
      </c>
      <c r="K30" s="913">
        <v>0</v>
      </c>
      <c r="L30" s="906">
        <f t="shared" si="2"/>
        <v>0</v>
      </c>
      <c r="M30" s="1378"/>
      <c r="N30" s="1013"/>
      <c r="O30" s="1016"/>
    </row>
    <row r="31" spans="1:15" x14ac:dyDescent="0.25">
      <c r="A31" s="1009"/>
      <c r="B31" s="904" t="s">
        <v>476</v>
      </c>
      <c r="C31" s="1169"/>
      <c r="D31" s="1169"/>
      <c r="E31" s="1169"/>
      <c r="F31" s="1169"/>
      <c r="G31" s="1169"/>
      <c r="H31" s="913">
        <v>0</v>
      </c>
      <c r="I31" s="913">
        <v>0</v>
      </c>
      <c r="J31" s="913">
        <v>0</v>
      </c>
      <c r="K31" s="913">
        <v>0</v>
      </c>
      <c r="L31" s="906">
        <f t="shared" si="2"/>
        <v>0</v>
      </c>
      <c r="M31" s="1378"/>
      <c r="N31" s="1013"/>
      <c r="O31" s="1016"/>
    </row>
    <row r="32" spans="1:15" x14ac:dyDescent="0.25">
      <c r="A32" s="1009"/>
      <c r="B32" s="904" t="s">
        <v>476</v>
      </c>
      <c r="C32" s="1169"/>
      <c r="D32" s="1169"/>
      <c r="E32" s="1169"/>
      <c r="F32" s="1169"/>
      <c r="G32" s="1169"/>
      <c r="H32" s="913">
        <v>0</v>
      </c>
      <c r="I32" s="913">
        <v>0</v>
      </c>
      <c r="J32" s="913">
        <v>0</v>
      </c>
      <c r="K32" s="913">
        <v>0</v>
      </c>
      <c r="L32" s="906">
        <f t="shared" si="2"/>
        <v>0</v>
      </c>
      <c r="M32" s="1378"/>
      <c r="N32" s="1013"/>
      <c r="O32" s="1016"/>
    </row>
    <row r="33" spans="1:15" x14ac:dyDescent="0.25">
      <c r="A33" s="1009"/>
      <c r="B33" s="904" t="s">
        <v>476</v>
      </c>
      <c r="C33" s="1169"/>
      <c r="D33" s="1169"/>
      <c r="E33" s="1169"/>
      <c r="F33" s="1169"/>
      <c r="G33" s="1169"/>
      <c r="H33" s="913">
        <v>0</v>
      </c>
      <c r="I33" s="913">
        <v>0</v>
      </c>
      <c r="J33" s="913">
        <v>0</v>
      </c>
      <c r="K33" s="913">
        <v>0</v>
      </c>
      <c r="L33" s="906">
        <f t="shared" si="2"/>
        <v>0</v>
      </c>
      <c r="M33" s="1378"/>
      <c r="N33" s="1013"/>
      <c r="O33" s="1016"/>
    </row>
    <row r="34" spans="1:15" ht="13.5" thickBot="1" x14ac:dyDescent="0.3">
      <c r="A34" s="1009"/>
      <c r="B34" s="904" t="s">
        <v>476</v>
      </c>
      <c r="C34" s="894"/>
      <c r="D34" s="894"/>
      <c r="E34" s="894"/>
      <c r="F34" s="894"/>
      <c r="G34" s="894"/>
      <c r="H34" s="895">
        <v>0</v>
      </c>
      <c r="I34" s="1029">
        <v>0</v>
      </c>
      <c r="J34" s="1029">
        <v>0</v>
      </c>
      <c r="K34" s="1030">
        <v>0</v>
      </c>
      <c r="L34" s="909">
        <f t="shared" si="2"/>
        <v>0</v>
      </c>
      <c r="M34" s="1378"/>
      <c r="N34" s="1013"/>
      <c r="O34" s="1016"/>
    </row>
    <row r="35" spans="1:15" ht="18" customHeight="1" thickBot="1" x14ac:dyDescent="0.3">
      <c r="A35" s="1009"/>
      <c r="B35" s="1375" t="s">
        <v>477</v>
      </c>
      <c r="C35" s="1376"/>
      <c r="D35" s="1376"/>
      <c r="E35" s="1376"/>
      <c r="F35" s="1376"/>
      <c r="G35" s="1376"/>
      <c r="H35" s="1028">
        <f>SUM(H28:H34)</f>
        <v>0</v>
      </c>
      <c r="I35" s="1028">
        <f>SUM(I28:I34)</f>
        <v>0</v>
      </c>
      <c r="J35" s="1028">
        <f>SUM(J28:J34)</f>
        <v>0</v>
      </c>
      <c r="K35" s="1028">
        <f>SUM(K28:K34)</f>
        <v>0</v>
      </c>
      <c r="L35" s="1013"/>
      <c r="M35" s="898">
        <f>SUM(H35:K35)</f>
        <v>0</v>
      </c>
      <c r="N35" s="1013"/>
      <c r="O35" s="1016"/>
    </row>
    <row r="36" spans="1:15" x14ac:dyDescent="0.25">
      <c r="A36" s="1009"/>
      <c r="B36" s="1378"/>
      <c r="C36" s="1378"/>
      <c r="D36" s="1378"/>
      <c r="E36" s="1378"/>
      <c r="F36" s="1378"/>
      <c r="G36" s="1378"/>
      <c r="H36" s="1378"/>
      <c r="I36" s="1378"/>
      <c r="J36" s="1378"/>
      <c r="K36" s="1378"/>
      <c r="L36" s="1378"/>
      <c r="M36" s="1378"/>
      <c r="N36" s="1013"/>
      <c r="O36" s="1016"/>
    </row>
    <row r="37" spans="1:15" ht="13.5" thickBot="1" x14ac:dyDescent="0.3">
      <c r="A37" s="1009"/>
      <c r="B37" s="1378"/>
      <c r="C37" s="1378"/>
      <c r="D37" s="1378"/>
      <c r="E37" s="1378"/>
      <c r="F37" s="1378"/>
      <c r="G37" s="1378"/>
      <c r="H37" s="1378"/>
      <c r="I37" s="1378"/>
      <c r="J37" s="1378"/>
      <c r="K37" s="1378"/>
      <c r="L37" s="1378"/>
      <c r="M37" s="1378"/>
      <c r="N37" s="1013"/>
      <c r="O37" s="1016"/>
    </row>
    <row r="38" spans="1:15" x14ac:dyDescent="0.25">
      <c r="A38" s="1009"/>
      <c r="B38" s="899" t="s">
        <v>478</v>
      </c>
      <c r="C38" s="900"/>
      <c r="D38" s="900"/>
      <c r="E38" s="900"/>
      <c r="F38" s="900"/>
      <c r="G38" s="900"/>
      <c r="H38" s="902">
        <v>0</v>
      </c>
      <c r="I38" s="902">
        <v>0</v>
      </c>
      <c r="J38" s="902">
        <v>0</v>
      </c>
      <c r="K38" s="902">
        <v>0</v>
      </c>
      <c r="L38" s="903">
        <f t="shared" ref="L38:L43" si="3">SUM(H38:K38)</f>
        <v>0</v>
      </c>
      <c r="M38" s="1378"/>
      <c r="N38" s="1013"/>
      <c r="O38" s="1016"/>
    </row>
    <row r="39" spans="1:15" x14ac:dyDescent="0.25">
      <c r="A39" s="1009"/>
      <c r="B39" s="904" t="s">
        <v>478</v>
      </c>
      <c r="C39" s="1169"/>
      <c r="D39" s="1169"/>
      <c r="E39" s="1169"/>
      <c r="F39" s="1169"/>
      <c r="G39" s="1169"/>
      <c r="H39" s="913">
        <v>0</v>
      </c>
      <c r="I39" s="913">
        <v>0</v>
      </c>
      <c r="J39" s="913">
        <v>0</v>
      </c>
      <c r="K39" s="913">
        <v>0</v>
      </c>
      <c r="L39" s="906">
        <f t="shared" si="3"/>
        <v>0</v>
      </c>
      <c r="M39" s="1378"/>
      <c r="N39" s="1013"/>
      <c r="O39" s="1016"/>
    </row>
    <row r="40" spans="1:15" x14ac:dyDescent="0.25">
      <c r="A40" s="1009"/>
      <c r="B40" s="904" t="s">
        <v>478</v>
      </c>
      <c r="C40" s="1169"/>
      <c r="D40" s="1169"/>
      <c r="E40" s="1169"/>
      <c r="F40" s="1169"/>
      <c r="G40" s="1169"/>
      <c r="H40" s="913">
        <v>0</v>
      </c>
      <c r="I40" s="913">
        <v>0</v>
      </c>
      <c r="J40" s="913">
        <v>0</v>
      </c>
      <c r="K40" s="913">
        <v>0</v>
      </c>
      <c r="L40" s="906">
        <f t="shared" si="3"/>
        <v>0</v>
      </c>
      <c r="M40" s="1378"/>
      <c r="N40" s="1013"/>
      <c r="O40" s="1016"/>
    </row>
    <row r="41" spans="1:15" x14ac:dyDescent="0.25">
      <c r="A41" s="1009"/>
      <c r="B41" s="904" t="s">
        <v>478</v>
      </c>
      <c r="C41" s="1169"/>
      <c r="D41" s="1169"/>
      <c r="E41" s="1169"/>
      <c r="F41" s="1169"/>
      <c r="G41" s="1169"/>
      <c r="H41" s="913">
        <v>0</v>
      </c>
      <c r="I41" s="913">
        <v>0</v>
      </c>
      <c r="J41" s="913">
        <v>0</v>
      </c>
      <c r="K41" s="913">
        <v>0</v>
      </c>
      <c r="L41" s="906">
        <f t="shared" si="3"/>
        <v>0</v>
      </c>
      <c r="M41" s="1378"/>
      <c r="N41" s="1013"/>
      <c r="O41" s="1016"/>
    </row>
    <row r="42" spans="1:15" x14ac:dyDescent="0.25">
      <c r="A42" s="1009"/>
      <c r="B42" s="904" t="s">
        <v>478</v>
      </c>
      <c r="C42" s="1169"/>
      <c r="D42" s="1169"/>
      <c r="E42" s="1169"/>
      <c r="F42" s="1169"/>
      <c r="G42" s="1169"/>
      <c r="H42" s="913">
        <v>0</v>
      </c>
      <c r="I42" s="913">
        <v>0</v>
      </c>
      <c r="J42" s="913">
        <v>0</v>
      </c>
      <c r="K42" s="913">
        <v>0</v>
      </c>
      <c r="L42" s="906">
        <f t="shared" si="3"/>
        <v>0</v>
      </c>
      <c r="M42" s="1378"/>
      <c r="N42" s="1013"/>
      <c r="O42" s="1016"/>
    </row>
    <row r="43" spans="1:15" ht="13.5" thickBot="1" x14ac:dyDescent="0.3">
      <c r="A43" s="1009"/>
      <c r="B43" s="904" t="s">
        <v>478</v>
      </c>
      <c r="C43" s="894"/>
      <c r="D43" s="894"/>
      <c r="E43" s="894"/>
      <c r="F43" s="894"/>
      <c r="G43" s="894"/>
      <c r="H43" s="1030">
        <v>0</v>
      </c>
      <c r="I43" s="1030">
        <v>0</v>
      </c>
      <c r="J43" s="1030">
        <v>0</v>
      </c>
      <c r="K43" s="1030">
        <v>0</v>
      </c>
      <c r="L43" s="909">
        <f t="shared" si="3"/>
        <v>0</v>
      </c>
      <c r="M43" s="1378"/>
      <c r="N43" s="1013"/>
      <c r="O43" s="1016"/>
    </row>
    <row r="44" spans="1:15" ht="18" customHeight="1" thickBot="1" x14ac:dyDescent="0.3">
      <c r="A44" s="1009"/>
      <c r="B44" s="1375" t="s">
        <v>479</v>
      </c>
      <c r="C44" s="1376"/>
      <c r="D44" s="1376"/>
      <c r="E44" s="1376"/>
      <c r="F44" s="1376"/>
      <c r="G44" s="1376"/>
      <c r="H44" s="1028">
        <f>SUM(H38:H43)</f>
        <v>0</v>
      </c>
      <c r="I44" s="1028">
        <f>SUM(I38:I43)</f>
        <v>0</v>
      </c>
      <c r="J44" s="1028">
        <f>SUM(J38:J43)</f>
        <v>0</v>
      </c>
      <c r="K44" s="1028">
        <f>SUM(K38:K43)</f>
        <v>0</v>
      </c>
      <c r="L44" s="1013"/>
      <c r="M44" s="898">
        <f>SUM(H44:K44)</f>
        <v>0</v>
      </c>
      <c r="N44" s="1013"/>
      <c r="O44" s="1016"/>
    </row>
    <row r="45" spans="1:15" x14ac:dyDescent="0.25">
      <c r="A45" s="1009"/>
      <c r="B45" s="1378"/>
      <c r="C45" s="1378"/>
      <c r="D45" s="1378"/>
      <c r="E45" s="1378"/>
      <c r="F45" s="1378"/>
      <c r="G45" s="1378"/>
      <c r="H45" s="1378"/>
      <c r="I45" s="1378"/>
      <c r="J45" s="1378"/>
      <c r="K45" s="1378"/>
      <c r="L45" s="1378"/>
      <c r="M45" s="1378"/>
      <c r="N45" s="1013"/>
      <c r="O45" s="1016"/>
    </row>
    <row r="46" spans="1:15" ht="13.5" thickBot="1" x14ac:dyDescent="0.3">
      <c r="A46" s="1009"/>
      <c r="B46" s="1378"/>
      <c r="C46" s="1378"/>
      <c r="D46" s="1378"/>
      <c r="E46" s="1378"/>
      <c r="F46" s="1378"/>
      <c r="G46" s="1378"/>
      <c r="H46" s="1378"/>
      <c r="I46" s="1378"/>
      <c r="J46" s="1378"/>
      <c r="K46" s="1378"/>
      <c r="L46" s="1378"/>
      <c r="M46" s="1378"/>
      <c r="N46" s="1013"/>
      <c r="O46" s="1016"/>
    </row>
    <row r="47" spans="1:15" x14ac:dyDescent="0.25">
      <c r="A47" s="1009"/>
      <c r="B47" s="899" t="s">
        <v>480</v>
      </c>
      <c r="C47" s="900"/>
      <c r="D47" s="900"/>
      <c r="E47" s="900"/>
      <c r="F47" s="900"/>
      <c r="G47" s="900"/>
      <c r="H47" s="902">
        <v>0</v>
      </c>
      <c r="I47" s="902">
        <v>0</v>
      </c>
      <c r="J47" s="902">
        <v>0</v>
      </c>
      <c r="K47" s="902">
        <v>0</v>
      </c>
      <c r="L47" s="903">
        <f t="shared" ref="L47:L55" si="4">SUM(H47:K47)</f>
        <v>0</v>
      </c>
      <c r="M47" s="1378"/>
      <c r="N47" s="1013"/>
      <c r="O47" s="1016"/>
    </row>
    <row r="48" spans="1:15" x14ac:dyDescent="0.25">
      <c r="A48" s="1009"/>
      <c r="B48" s="904" t="s">
        <v>480</v>
      </c>
      <c r="C48" s="1169"/>
      <c r="D48" s="1169"/>
      <c r="E48" s="1169"/>
      <c r="F48" s="1169"/>
      <c r="G48" s="1169"/>
      <c r="H48" s="913">
        <v>0</v>
      </c>
      <c r="I48" s="913">
        <v>0</v>
      </c>
      <c r="J48" s="913">
        <v>0</v>
      </c>
      <c r="K48" s="913">
        <v>0</v>
      </c>
      <c r="L48" s="906">
        <f t="shared" si="4"/>
        <v>0</v>
      </c>
      <c r="M48" s="1378"/>
      <c r="N48" s="1013"/>
      <c r="O48" s="1016"/>
    </row>
    <row r="49" spans="1:15" x14ac:dyDescent="0.25">
      <c r="A49" s="1009"/>
      <c r="B49" s="904" t="s">
        <v>480</v>
      </c>
      <c r="C49" s="1169"/>
      <c r="D49" s="1169"/>
      <c r="E49" s="1169"/>
      <c r="F49" s="1169"/>
      <c r="G49" s="1169"/>
      <c r="H49" s="913">
        <v>0</v>
      </c>
      <c r="I49" s="913">
        <v>0</v>
      </c>
      <c r="J49" s="913">
        <v>0</v>
      </c>
      <c r="K49" s="913">
        <v>0</v>
      </c>
      <c r="L49" s="906">
        <f t="shared" si="4"/>
        <v>0</v>
      </c>
      <c r="M49" s="1378"/>
      <c r="N49" s="1013"/>
      <c r="O49" s="1016"/>
    </row>
    <row r="50" spans="1:15" x14ac:dyDescent="0.25">
      <c r="A50" s="1009"/>
      <c r="B50" s="904" t="s">
        <v>480</v>
      </c>
      <c r="C50" s="1169"/>
      <c r="D50" s="1169"/>
      <c r="E50" s="1169"/>
      <c r="F50" s="1169"/>
      <c r="G50" s="1169"/>
      <c r="H50" s="913">
        <v>0</v>
      </c>
      <c r="I50" s="913">
        <v>0</v>
      </c>
      <c r="J50" s="913">
        <v>0</v>
      </c>
      <c r="K50" s="913">
        <v>0</v>
      </c>
      <c r="L50" s="906">
        <f t="shared" si="4"/>
        <v>0</v>
      </c>
      <c r="M50" s="1378"/>
      <c r="N50" s="1013"/>
      <c r="O50" s="1016"/>
    </row>
    <row r="51" spans="1:15" x14ac:dyDescent="0.25">
      <c r="A51" s="1009"/>
      <c r="B51" s="904" t="s">
        <v>480</v>
      </c>
      <c r="C51" s="1169"/>
      <c r="D51" s="1169"/>
      <c r="E51" s="1169"/>
      <c r="F51" s="1169"/>
      <c r="G51" s="1169"/>
      <c r="H51" s="913">
        <v>0</v>
      </c>
      <c r="I51" s="913">
        <v>0</v>
      </c>
      <c r="J51" s="913">
        <v>0</v>
      </c>
      <c r="K51" s="913">
        <v>0</v>
      </c>
      <c r="L51" s="906">
        <f t="shared" si="4"/>
        <v>0</v>
      </c>
      <c r="M51" s="1378"/>
      <c r="N51" s="1013"/>
      <c r="O51" s="1016"/>
    </row>
    <row r="52" spans="1:15" x14ac:dyDescent="0.25">
      <c r="A52" s="1009"/>
      <c r="B52" s="904" t="s">
        <v>480</v>
      </c>
      <c r="C52" s="1169"/>
      <c r="D52" s="1169"/>
      <c r="E52" s="1169"/>
      <c r="F52" s="1169"/>
      <c r="G52" s="1169"/>
      <c r="H52" s="913">
        <v>0</v>
      </c>
      <c r="I52" s="913">
        <v>0</v>
      </c>
      <c r="J52" s="913">
        <v>0</v>
      </c>
      <c r="K52" s="913">
        <v>0</v>
      </c>
      <c r="L52" s="906">
        <f t="shared" si="4"/>
        <v>0</v>
      </c>
      <c r="M52" s="1378"/>
      <c r="N52" s="1013"/>
      <c r="O52" s="1016"/>
    </row>
    <row r="53" spans="1:15" x14ac:dyDescent="0.25">
      <c r="A53" s="1009"/>
      <c r="B53" s="904" t="s">
        <v>480</v>
      </c>
      <c r="C53" s="1169"/>
      <c r="D53" s="1169"/>
      <c r="E53" s="1169"/>
      <c r="F53" s="1169"/>
      <c r="G53" s="1169"/>
      <c r="H53" s="895">
        <v>0</v>
      </c>
      <c r="I53" s="890">
        <v>0</v>
      </c>
      <c r="J53" s="890">
        <v>0</v>
      </c>
      <c r="K53" s="913">
        <v>0</v>
      </c>
      <c r="L53" s="906">
        <f t="shared" si="4"/>
        <v>0</v>
      </c>
      <c r="M53" s="1378"/>
      <c r="N53" s="1013"/>
      <c r="O53" s="1016"/>
    </row>
    <row r="54" spans="1:15" x14ac:dyDescent="0.25">
      <c r="A54" s="1009"/>
      <c r="B54" s="904" t="s">
        <v>480</v>
      </c>
      <c r="C54" s="1169"/>
      <c r="D54" s="1169"/>
      <c r="E54" s="1169"/>
      <c r="F54" s="1169"/>
      <c r="G54" s="1169"/>
      <c r="H54" s="892">
        <v>0</v>
      </c>
      <c r="I54" s="892">
        <v>0</v>
      </c>
      <c r="J54" s="892">
        <v>0</v>
      </c>
      <c r="K54" s="905">
        <v>0</v>
      </c>
      <c r="L54" s="906">
        <f t="shared" si="4"/>
        <v>0</v>
      </c>
      <c r="M54" s="1378"/>
      <c r="N54" s="1013"/>
      <c r="O54" s="1016"/>
    </row>
    <row r="55" spans="1:15" ht="13.5" thickBot="1" x14ac:dyDescent="0.3">
      <c r="A55" s="1009"/>
      <c r="B55" s="916" t="s">
        <v>480</v>
      </c>
      <c r="C55" s="907"/>
      <c r="D55" s="907"/>
      <c r="E55" s="907"/>
      <c r="F55" s="907"/>
      <c r="G55" s="907"/>
      <c r="H55" s="895">
        <v>0</v>
      </c>
      <c r="I55" s="895">
        <v>0</v>
      </c>
      <c r="J55" s="895">
        <v>0</v>
      </c>
      <c r="K55" s="908">
        <v>0</v>
      </c>
      <c r="L55" s="909">
        <f t="shared" si="4"/>
        <v>0</v>
      </c>
      <c r="M55" s="1378"/>
      <c r="N55" s="1013"/>
      <c r="O55" s="1016"/>
    </row>
    <row r="56" spans="1:15" ht="20.5" customHeight="1" thickBot="1" x14ac:dyDescent="0.3">
      <c r="A56" s="1009"/>
      <c r="B56" s="1375" t="s">
        <v>481</v>
      </c>
      <c r="C56" s="1376"/>
      <c r="D56" s="1376"/>
      <c r="E56" s="1376"/>
      <c r="F56" s="1376"/>
      <c r="G56" s="1376"/>
      <c r="H56" s="1028">
        <f>SUM(H47:H55)</f>
        <v>0</v>
      </c>
      <c r="I56" s="1028">
        <f>SUM(I47:I55)</f>
        <v>0</v>
      </c>
      <c r="J56" s="1028">
        <f>SUM(J47:J55)</f>
        <v>0</v>
      </c>
      <c r="K56" s="1028">
        <f>SUM(K47:K55)</f>
        <v>0</v>
      </c>
      <c r="L56" s="1378"/>
      <c r="M56" s="898">
        <f>SUM(H56:K56)</f>
        <v>0</v>
      </c>
      <c r="N56" s="1013"/>
      <c r="O56" s="1016"/>
    </row>
    <row r="57" spans="1:15" ht="20.5" customHeight="1" thickBot="1" x14ac:dyDescent="0.3">
      <c r="A57" s="1009"/>
      <c r="B57" s="1024"/>
      <c r="C57" s="1024"/>
      <c r="D57" s="1024"/>
      <c r="E57" s="1024"/>
      <c r="F57" s="1024"/>
      <c r="G57" s="1024"/>
      <c r="H57" s="1025"/>
      <c r="I57" s="1026"/>
      <c r="J57" s="1025"/>
      <c r="K57" s="1025"/>
      <c r="L57" s="1378"/>
      <c r="M57" s="1023"/>
      <c r="N57" s="1013"/>
      <c r="O57" s="1016"/>
    </row>
    <row r="58" spans="1:15" ht="20.5" customHeight="1" thickBot="1" x14ac:dyDescent="0.3">
      <c r="A58" s="1009"/>
      <c r="B58" s="1375" t="s">
        <v>482</v>
      </c>
      <c r="C58" s="1376"/>
      <c r="D58" s="1376"/>
      <c r="E58" s="1376"/>
      <c r="F58" s="1376"/>
      <c r="G58" s="1376"/>
      <c r="H58" s="914">
        <f>H56+H44+H35+H25+H15</f>
        <v>0</v>
      </c>
      <c r="I58" s="914">
        <f>I56+I44+I35+I25+I15</f>
        <v>0</v>
      </c>
      <c r="J58" s="914">
        <f>J56+J44+J35+J25+J15</f>
        <v>0</v>
      </c>
      <c r="K58" s="915">
        <f>K56+K44+K35+K25+K15</f>
        <v>0</v>
      </c>
      <c r="L58" s="1379"/>
      <c r="M58" s="1023"/>
      <c r="N58" s="922">
        <f>SUM(H58:K58)</f>
        <v>0</v>
      </c>
      <c r="O58" s="1016"/>
    </row>
    <row r="59" spans="1:15" s="923" customFormat="1" ht="23.5" customHeight="1" thickBot="1" x14ac:dyDescent="0.3">
      <c r="A59" s="1010"/>
      <c r="B59" s="1012"/>
      <c r="C59" s="1012"/>
      <c r="D59" s="1012"/>
      <c r="E59" s="1012"/>
      <c r="F59" s="1012"/>
      <c r="G59" s="1012"/>
      <c r="H59" s="1012"/>
      <c r="I59" s="1012"/>
      <c r="J59" s="1012"/>
      <c r="K59" s="1012"/>
      <c r="L59" s="922">
        <f>SUM(L8:L56)</f>
        <v>0</v>
      </c>
      <c r="M59" s="922">
        <f>SUM(M15:M56)</f>
        <v>0</v>
      </c>
      <c r="N59" s="1012"/>
      <c r="O59" s="1016"/>
    </row>
    <row r="60" spans="1:15" ht="26.5" thickBot="1" x14ac:dyDescent="0.3">
      <c r="A60" s="1009"/>
      <c r="B60" s="1013"/>
      <c r="C60" s="1013"/>
      <c r="D60" s="1013"/>
      <c r="E60" s="1013"/>
      <c r="F60" s="1013"/>
      <c r="G60" s="1013"/>
      <c r="H60" s="1013"/>
      <c r="I60" s="1013"/>
      <c r="J60" s="1013"/>
      <c r="K60" s="1013"/>
      <c r="L60" s="1013"/>
      <c r="M60" s="1013"/>
      <c r="N60" s="1013"/>
      <c r="O60" s="924" t="s">
        <v>483</v>
      </c>
    </row>
    <row r="61" spans="1:15" ht="25.5" customHeight="1" thickBot="1" x14ac:dyDescent="0.3">
      <c r="A61" s="1011"/>
      <c r="B61" s="1014"/>
      <c r="C61" s="1014"/>
      <c r="D61" s="1014"/>
      <c r="E61" s="1014"/>
      <c r="F61" s="1014"/>
      <c r="G61" s="1014"/>
      <c r="H61" s="1014"/>
      <c r="I61" s="1014"/>
      <c r="J61" s="1014"/>
      <c r="K61" s="1015"/>
      <c r="L61" s="1014"/>
      <c r="M61" s="1014"/>
      <c r="N61" s="1014"/>
      <c r="O61" s="925">
        <f>'Phase 2 Costs '!BA67</f>
        <v>0</v>
      </c>
    </row>
    <row r="62" spans="1:15" x14ac:dyDescent="0.25">
      <c r="K62" s="926"/>
    </row>
    <row r="63" spans="1:15" x14ac:dyDescent="0.25">
      <c r="K63" s="926"/>
    </row>
    <row r="64" spans="1:15" x14ac:dyDescent="0.25">
      <c r="K64" s="926"/>
    </row>
    <row r="65" spans="8:11" x14ac:dyDescent="0.25">
      <c r="K65" s="926"/>
    </row>
    <row r="66" spans="8:11" x14ac:dyDescent="0.25">
      <c r="K66" s="926"/>
    </row>
    <row r="67" spans="8:11" x14ac:dyDescent="0.25">
      <c r="H67" s="927"/>
      <c r="I67" s="927"/>
      <c r="J67" s="927"/>
      <c r="K67" s="926"/>
    </row>
    <row r="81" s="857" customFormat="1" x14ac:dyDescent="0.25"/>
    <row r="82" s="857" customFormat="1" x14ac:dyDescent="0.25"/>
    <row r="83" s="857" customFormat="1" x14ac:dyDescent="0.25"/>
    <row r="84" s="857" customFormat="1" x14ac:dyDescent="0.25"/>
  </sheetData>
  <mergeCells count="20">
    <mergeCell ref="B2:C2"/>
    <mergeCell ref="B6:C6"/>
    <mergeCell ref="B25:G25"/>
    <mergeCell ref="B44:G44"/>
    <mergeCell ref="I2:M4"/>
    <mergeCell ref="H6:K6"/>
    <mergeCell ref="M8:M14"/>
    <mergeCell ref="B16:M17"/>
    <mergeCell ref="B15:G15"/>
    <mergeCell ref="M18:M24"/>
    <mergeCell ref="B26:M27"/>
    <mergeCell ref="M28:M34"/>
    <mergeCell ref="B36:M37"/>
    <mergeCell ref="M38:M43"/>
    <mergeCell ref="B35:G35"/>
    <mergeCell ref="B56:G56"/>
    <mergeCell ref="B58:G58"/>
    <mergeCell ref="B45:M46"/>
    <mergeCell ref="M47:M55"/>
    <mergeCell ref="L56:L5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10CDE-8F54-4F68-959B-F3258282B810}">
  <sheetPr codeName="Sheet25">
    <tabColor rgb="FFFFE9A3"/>
    <pageSetUpPr fitToPage="1"/>
  </sheetPr>
  <dimension ref="A1:BB84"/>
  <sheetViews>
    <sheetView workbookViewId="0">
      <selection activeCell="AZ8" sqref="AZ8"/>
    </sheetView>
  </sheetViews>
  <sheetFormatPr defaultColWidth="8.453125" defaultRowHeight="12.5" x14ac:dyDescent="0.25"/>
  <cols>
    <col min="1" max="1" width="13.453125" customWidth="1"/>
    <col min="2" max="2" width="42.453125" customWidth="1"/>
    <col min="3" max="3" width="30.453125" bestFit="1" customWidth="1"/>
    <col min="4" max="4" width="11.453125" customWidth="1"/>
    <col min="5" max="5" width="14.453125" bestFit="1" customWidth="1"/>
    <col min="6" max="18" width="12.453125" customWidth="1"/>
    <col min="19" max="19" width="11.453125" customWidth="1"/>
    <col min="20" max="20" width="12" customWidth="1"/>
    <col min="21" max="26" width="12.453125" customWidth="1"/>
    <col min="27" max="28" width="11.453125" customWidth="1"/>
    <col min="29" max="34" width="12.453125" customWidth="1"/>
    <col min="35" max="35" width="11.453125" customWidth="1"/>
    <col min="36" max="36" width="11" customWidth="1"/>
    <col min="37" max="42" width="12.453125" customWidth="1"/>
    <col min="43" max="44" width="11.453125" customWidth="1"/>
    <col min="45" max="50" width="12.453125" customWidth="1"/>
    <col min="51" max="51" width="11.453125" customWidth="1"/>
    <col min="53" max="53" width="13" customWidth="1"/>
    <col min="54" max="54" width="12.453125" customWidth="1"/>
  </cols>
  <sheetData>
    <row r="1" spans="1:54" s="74" customFormat="1" ht="13" x14ac:dyDescent="0.3">
      <c r="A1" s="71" t="s">
        <v>484</v>
      </c>
      <c r="B1" s="72"/>
      <c r="C1" s="176" t="s">
        <v>426</v>
      </c>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3"/>
    </row>
    <row r="2" spans="1:54" s="74" customFormat="1" ht="13" x14ac:dyDescent="0.3">
      <c r="A2" s="75" t="s">
        <v>320</v>
      </c>
      <c r="B2" s="76" t="str">
        <f>General!D4</f>
        <v>Name</v>
      </c>
      <c r="C2" s="76"/>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c r="AK2" s="77"/>
      <c r="AL2" s="77"/>
      <c r="AM2" s="77"/>
      <c r="AN2" s="77"/>
      <c r="AO2" s="77"/>
      <c r="AP2" s="77"/>
      <c r="AQ2" s="77"/>
      <c r="AR2" s="77"/>
      <c r="AS2" s="77"/>
      <c r="AT2" s="77"/>
      <c r="AU2" s="77"/>
      <c r="AV2" s="77"/>
      <c r="AW2" s="77"/>
      <c r="AX2" s="77"/>
      <c r="AY2" s="77"/>
      <c r="AZ2" s="77"/>
      <c r="BA2" s="78"/>
    </row>
    <row r="3" spans="1:54" s="74" customFormat="1" ht="13" x14ac:dyDescent="0.3">
      <c r="A3" s="75" t="s">
        <v>485</v>
      </c>
      <c r="B3" s="76" t="str">
        <f>General!D5</f>
        <v>Name</v>
      </c>
      <c r="C3" s="76"/>
      <c r="D3" s="77"/>
      <c r="E3" s="77"/>
      <c r="F3" s="77"/>
      <c r="G3" s="77"/>
      <c r="H3" s="77"/>
      <c r="I3" s="77"/>
      <c r="J3" s="77"/>
      <c r="K3" s="77"/>
      <c r="L3" s="77"/>
      <c r="M3" s="77"/>
      <c r="N3" s="77"/>
      <c r="O3" s="77"/>
      <c r="P3" s="77"/>
      <c r="Q3" s="77"/>
      <c r="R3" s="77"/>
      <c r="S3" s="77"/>
      <c r="T3" s="77"/>
      <c r="U3" s="77"/>
      <c r="V3" s="77"/>
      <c r="W3" s="77"/>
      <c r="X3" s="77"/>
      <c r="Y3" s="77"/>
      <c r="Z3" s="77"/>
      <c r="AA3" s="77"/>
      <c r="AB3" s="77"/>
      <c r="AC3" s="77"/>
      <c r="AD3" s="77"/>
      <c r="AE3" s="77"/>
      <c r="AF3" s="77"/>
      <c r="AG3" s="77"/>
      <c r="AH3" s="77"/>
      <c r="AI3" s="77"/>
      <c r="AJ3" s="77"/>
      <c r="AK3" s="77"/>
      <c r="AL3" s="77"/>
      <c r="AM3" s="77"/>
      <c r="AN3" s="77"/>
      <c r="AO3" s="77"/>
      <c r="AP3" s="77"/>
      <c r="AQ3" s="77"/>
      <c r="AR3" s="77"/>
      <c r="AS3" s="77"/>
      <c r="AT3" s="77"/>
      <c r="AU3" s="77"/>
      <c r="AV3" s="77"/>
      <c r="AW3" s="77"/>
      <c r="AX3" s="77"/>
      <c r="AY3" s="77"/>
      <c r="AZ3" s="77"/>
      <c r="BA3" s="78"/>
    </row>
    <row r="4" spans="1:54" ht="13.5" thickBot="1" x14ac:dyDescent="0.35">
      <c r="A4" s="20"/>
      <c r="B4" s="1"/>
      <c r="C4" s="1"/>
      <c r="D4" s="13"/>
      <c r="E4" s="29"/>
      <c r="F4" s="29"/>
      <c r="G4" s="1642" t="s">
        <v>486</v>
      </c>
      <c r="H4" s="1643"/>
      <c r="I4" s="29"/>
      <c r="J4" s="29"/>
      <c r="K4" s="13"/>
      <c r="L4" s="13"/>
      <c r="M4" s="13"/>
      <c r="N4" s="29"/>
      <c r="O4" s="1642" t="s">
        <v>486</v>
      </c>
      <c r="P4" s="1643"/>
      <c r="Q4" s="29"/>
      <c r="R4" s="29"/>
      <c r="S4" s="13"/>
      <c r="T4" s="13"/>
      <c r="U4" s="29"/>
      <c r="V4" s="29"/>
      <c r="W4" s="29" t="s">
        <v>486</v>
      </c>
      <c r="X4" s="29"/>
      <c r="Y4" s="29"/>
      <c r="Z4" s="29"/>
      <c r="AA4" s="13"/>
      <c r="AB4" s="13"/>
      <c r="AC4" s="13"/>
      <c r="AD4" s="13"/>
      <c r="AE4" s="1642" t="s">
        <v>486</v>
      </c>
      <c r="AF4" s="1643"/>
      <c r="AG4" s="13"/>
      <c r="AH4" s="29"/>
      <c r="AI4" s="13"/>
      <c r="AJ4" s="13"/>
      <c r="AK4" s="13"/>
      <c r="AL4" s="13"/>
      <c r="AM4" s="1642" t="s">
        <v>486</v>
      </c>
      <c r="AN4" s="1643"/>
      <c r="AO4" s="13"/>
      <c r="AP4" s="29"/>
      <c r="AQ4" s="13"/>
      <c r="AR4" s="13"/>
      <c r="AS4" s="13"/>
      <c r="AT4" s="13"/>
      <c r="AU4" s="13"/>
      <c r="AV4" s="29" t="s">
        <v>486</v>
      </c>
      <c r="AW4" s="13"/>
      <c r="AX4" s="29"/>
      <c r="AY4" s="22"/>
      <c r="AZ4" s="31"/>
      <c r="BA4" s="21"/>
    </row>
    <row r="5" spans="1:54" x14ac:dyDescent="0.25">
      <c r="B5" s="2"/>
      <c r="C5" s="7"/>
      <c r="D5" s="149"/>
      <c r="E5" s="1190"/>
      <c r="F5" s="1190"/>
      <c r="G5" s="1644" t="str">
        <f>Period1_Label</f>
        <v>FY 1</v>
      </c>
      <c r="H5" s="1645"/>
      <c r="I5" s="1190"/>
      <c r="J5" s="1190"/>
      <c r="K5" s="129"/>
      <c r="L5" s="118"/>
      <c r="M5" s="106"/>
      <c r="N5" s="1191"/>
      <c r="O5" s="1646" t="str">
        <f>Period2_Label</f>
        <v>FY 2</v>
      </c>
      <c r="P5" s="1647"/>
      <c r="Q5" s="1191"/>
      <c r="R5" s="1191"/>
      <c r="S5" s="152"/>
      <c r="T5" s="124"/>
      <c r="U5" s="109"/>
      <c r="V5" s="1190"/>
      <c r="W5" s="109" t="str">
        <f>Period3_Label</f>
        <v>FY 3</v>
      </c>
      <c r="X5" s="1190"/>
      <c r="Y5" s="1190"/>
      <c r="Z5" s="1190"/>
      <c r="AA5" s="129"/>
      <c r="AB5" s="118"/>
      <c r="AC5" s="118"/>
      <c r="AD5" s="118"/>
      <c r="AE5" s="1646" t="str">
        <f>Period4_Label</f>
        <v>FY 4</v>
      </c>
      <c r="AF5" s="1647"/>
      <c r="AG5" s="118"/>
      <c r="AH5" s="1191"/>
      <c r="AI5" s="152"/>
      <c r="AJ5" s="124"/>
      <c r="AK5" s="124"/>
      <c r="AL5" s="124"/>
      <c r="AM5" s="1644" t="str">
        <f>Period5_Label</f>
        <v>FY 5</v>
      </c>
      <c r="AN5" s="1645"/>
      <c r="AO5" s="124"/>
      <c r="AP5" s="1190"/>
      <c r="AQ5" s="155"/>
      <c r="AR5" s="126"/>
      <c r="AS5" s="118"/>
      <c r="AT5" s="118"/>
      <c r="AU5" s="118"/>
      <c r="AV5" s="106" t="str">
        <f>Period6_Label</f>
        <v>FY 6</v>
      </c>
      <c r="AW5" s="118"/>
      <c r="AX5" s="1191"/>
      <c r="AY5" s="157"/>
      <c r="AZ5" s="288"/>
      <c r="BA5" s="215" t="s">
        <v>345</v>
      </c>
      <c r="BB5" s="214"/>
    </row>
    <row r="6" spans="1:54" x14ac:dyDescent="0.25">
      <c r="A6" s="17" t="s">
        <v>428</v>
      </c>
      <c r="B6" s="2"/>
      <c r="C6" s="7"/>
      <c r="D6" s="150"/>
      <c r="E6" s="1189"/>
      <c r="F6" s="1189"/>
      <c r="G6" s="1635" t="str">
        <f>CONCATENATE(TEXT('Proposer Constants'!C14,"MM/DD/YY")," to ",TEXT('Proposer Constants'!C15,"MM/DD/YY"))</f>
        <v>06/01/25 to 05/31/26</v>
      </c>
      <c r="H6" s="1636"/>
      <c r="I6" s="104"/>
      <c r="J6" s="105"/>
      <c r="K6" s="130"/>
      <c r="L6" s="119"/>
      <c r="M6" s="107"/>
      <c r="N6" s="108"/>
      <c r="O6" s="1637" t="str">
        <f>CONCATENATE(TEXT('Proposer Constants'!D14,"MM/DD/YY")," to ",TEXT('Proposer Constants'!D15,"MM/DD/YY"))</f>
        <v>06/01/26 to 05/31/27</v>
      </c>
      <c r="P6" s="1638"/>
      <c r="Q6" s="108"/>
      <c r="R6" s="108"/>
      <c r="S6" s="153"/>
      <c r="T6" s="125"/>
      <c r="U6" s="110"/>
      <c r="V6" s="105"/>
      <c r="W6" s="110" t="str">
        <f>CONCATENATE(TEXT('Proposer Constants'!E14,"MM/DD/YY")," to ",TEXT('Proposer Constants'!E15,"MM/DD/YY"))</f>
        <v>06/01/27 to 05/31/28</v>
      </c>
      <c r="X6" s="105"/>
      <c r="Y6" s="105"/>
      <c r="Z6" s="105"/>
      <c r="AA6" s="130"/>
      <c r="AB6" s="119"/>
      <c r="AC6" s="119"/>
      <c r="AD6" s="119"/>
      <c r="AE6" s="1637" t="str">
        <f>CONCATENATE(TEXT('Proposer Constants'!F14,"MM/DD/YY")," to ",TEXT('Proposer Constants'!F15,"MM/DD/YY"))</f>
        <v>06/01/28 to 05/31/29</v>
      </c>
      <c r="AF6" s="1638"/>
      <c r="AG6" s="119"/>
      <c r="AH6" s="108"/>
      <c r="AI6" s="153"/>
      <c r="AJ6" s="125"/>
      <c r="AK6" s="125"/>
      <c r="AL6" s="125"/>
      <c r="AM6" s="1635" t="str">
        <f>CONCATENATE(TEXT('Proposer Constants'!G14,"MM/DD/YY")," to ",TEXT('Proposer Constants'!G15,"MM/DD/YY"))</f>
        <v>06/01/29 to 05/31/30</v>
      </c>
      <c r="AN6" s="1636"/>
      <c r="AO6" s="125"/>
      <c r="AP6" s="105"/>
      <c r="AQ6" s="156"/>
      <c r="AR6" s="127"/>
      <c r="AS6" s="119"/>
      <c r="AT6" s="119"/>
      <c r="AU6" s="119"/>
      <c r="AV6" s="107" t="str">
        <f>CONCATENATE(TEXT('Proposer Constants'!H14,"MM/DD/YY")," to ",TEXT('Proposer Constants'!H15,"MM/DD/YY"))</f>
        <v>06/01/30 to 05/31/31</v>
      </c>
      <c r="AW6" s="119"/>
      <c r="AX6" s="108"/>
      <c r="AY6" s="158"/>
      <c r="AZ6" s="26" t="s">
        <v>487</v>
      </c>
      <c r="BA6" s="1639" t="s">
        <v>430</v>
      </c>
      <c r="BB6" s="1640"/>
    </row>
    <row r="7" spans="1:54" s="95" customFormat="1" ht="34.5" x14ac:dyDescent="0.25">
      <c r="A7" s="89"/>
      <c r="B7" s="90" t="s">
        <v>431</v>
      </c>
      <c r="C7" s="91" t="s">
        <v>432</v>
      </c>
      <c r="D7" s="151" t="s">
        <v>327</v>
      </c>
      <c r="E7" s="94" t="s">
        <v>328</v>
      </c>
      <c r="F7" s="93" t="s">
        <v>433</v>
      </c>
      <c r="G7" s="93" t="s">
        <v>434</v>
      </c>
      <c r="H7" s="93" t="s">
        <v>435</v>
      </c>
      <c r="I7" s="93" t="s">
        <v>436</v>
      </c>
      <c r="J7" s="93" t="s">
        <v>437</v>
      </c>
      <c r="K7" s="131" t="s">
        <v>329</v>
      </c>
      <c r="L7" s="111" t="s">
        <v>327</v>
      </c>
      <c r="M7" s="94" t="s">
        <v>328</v>
      </c>
      <c r="N7" s="93" t="s">
        <v>433</v>
      </c>
      <c r="O7" s="93" t="s">
        <v>434</v>
      </c>
      <c r="P7" s="93" t="s">
        <v>435</v>
      </c>
      <c r="Q7" s="93" t="s">
        <v>436</v>
      </c>
      <c r="R7" s="93" t="s">
        <v>437</v>
      </c>
      <c r="S7" s="131" t="s">
        <v>329</v>
      </c>
      <c r="T7" s="111" t="s">
        <v>327</v>
      </c>
      <c r="U7" s="94" t="s">
        <v>328</v>
      </c>
      <c r="V7" s="93" t="s">
        <v>433</v>
      </c>
      <c r="W7" s="93" t="s">
        <v>434</v>
      </c>
      <c r="X7" s="93" t="s">
        <v>435</v>
      </c>
      <c r="Y7" s="93" t="s">
        <v>436</v>
      </c>
      <c r="Z7" s="93" t="s">
        <v>437</v>
      </c>
      <c r="AA7" s="131" t="s">
        <v>329</v>
      </c>
      <c r="AB7" s="111" t="s">
        <v>327</v>
      </c>
      <c r="AC7" s="94" t="s">
        <v>328</v>
      </c>
      <c r="AD7" s="93" t="s">
        <v>433</v>
      </c>
      <c r="AE7" s="93" t="s">
        <v>434</v>
      </c>
      <c r="AF7" s="93" t="s">
        <v>435</v>
      </c>
      <c r="AG7" s="93" t="s">
        <v>436</v>
      </c>
      <c r="AH7" s="93" t="s">
        <v>437</v>
      </c>
      <c r="AI7" s="131" t="s">
        <v>329</v>
      </c>
      <c r="AJ7" s="111" t="s">
        <v>327</v>
      </c>
      <c r="AK7" s="94" t="s">
        <v>328</v>
      </c>
      <c r="AL7" s="93" t="s">
        <v>433</v>
      </c>
      <c r="AM7" s="93" t="s">
        <v>434</v>
      </c>
      <c r="AN7" s="93" t="s">
        <v>435</v>
      </c>
      <c r="AO7" s="93" t="s">
        <v>436</v>
      </c>
      <c r="AP7" s="93" t="s">
        <v>437</v>
      </c>
      <c r="AQ7" s="131" t="s">
        <v>329</v>
      </c>
      <c r="AR7" s="92" t="s">
        <v>327</v>
      </c>
      <c r="AS7" s="94" t="s">
        <v>328</v>
      </c>
      <c r="AT7" s="93" t="s">
        <v>433</v>
      </c>
      <c r="AU7" s="93" t="s">
        <v>434</v>
      </c>
      <c r="AV7" s="93" t="s">
        <v>435</v>
      </c>
      <c r="AW7" s="93" t="s">
        <v>436</v>
      </c>
      <c r="AX7" s="93" t="s">
        <v>437</v>
      </c>
      <c r="AY7" s="131" t="s">
        <v>329</v>
      </c>
      <c r="AZ7" s="166" t="s">
        <v>327</v>
      </c>
      <c r="BA7" s="131" t="s">
        <v>329</v>
      </c>
      <c r="BB7" s="167" t="s">
        <v>438</v>
      </c>
    </row>
    <row r="8" spans="1:54" x14ac:dyDescent="0.25">
      <c r="A8" s="9"/>
      <c r="B8" s="222" t="str">
        <f>IF(ISBLANK('Labor Rates'!D8),"",'Labor Rates'!D8)</f>
        <v/>
      </c>
      <c r="C8" s="223" t="str">
        <f>IF(ISBLANK('Labor Rates'!E8),"",'Labor Rates'!E8)</f>
        <v/>
      </c>
      <c r="D8" s="139"/>
      <c r="E8" s="98" t="e">
        <f>'Labor Rates'!#REF!</f>
        <v>#REF!</v>
      </c>
      <c r="F8" s="98" t="e">
        <f>D8*E8</f>
        <v>#REF!</v>
      </c>
      <c r="G8" s="96" t="e">
        <f>'Labor Rates'!#REF!</f>
        <v>#REF!</v>
      </c>
      <c r="H8" s="98" t="e">
        <f>F8*G8</f>
        <v>#REF!</v>
      </c>
      <c r="I8" s="96" t="e">
        <f>'Labor Rates'!#REF!</f>
        <v>#REF!</v>
      </c>
      <c r="J8" s="101" t="e">
        <f>(F8+H8)*I8</f>
        <v>#REF!</v>
      </c>
      <c r="K8" s="154" t="e">
        <f>F8+H8+J8</f>
        <v>#REF!</v>
      </c>
      <c r="L8" s="120"/>
      <c r="M8" s="86" t="e">
        <f>'Labor Rates'!#REF!</f>
        <v>#REF!</v>
      </c>
      <c r="N8" s="98" t="e">
        <f>L8*M8</f>
        <v>#REF!</v>
      </c>
      <c r="O8" s="96" t="e">
        <f>'Labor Rates'!#REF!</f>
        <v>#REF!</v>
      </c>
      <c r="P8" s="98" t="e">
        <f>N8*O8</f>
        <v>#REF!</v>
      </c>
      <c r="Q8" s="96" t="e">
        <f>'Labor Rates'!#REF!</f>
        <v>#REF!</v>
      </c>
      <c r="R8" s="101" t="e">
        <f>(N8+P8)*Q8</f>
        <v>#REF!</v>
      </c>
      <c r="S8" s="154" t="e">
        <f t="shared" ref="S8:S31" si="0">ROUND(L8*M8*(1+O8)*(1+Q8),0)</f>
        <v>#REF!</v>
      </c>
      <c r="T8" s="120"/>
      <c r="U8" s="86" t="e">
        <f>'Labor Rates'!#REF!</f>
        <v>#REF!</v>
      </c>
      <c r="V8" s="98" t="e">
        <f>T8*U8</f>
        <v>#REF!</v>
      </c>
      <c r="W8" s="96" t="e">
        <f>'Labor Rates'!#REF!</f>
        <v>#REF!</v>
      </c>
      <c r="X8" s="98" t="e">
        <f>V8*W8</f>
        <v>#REF!</v>
      </c>
      <c r="Y8" s="96" t="e">
        <f>'Labor Rates'!#REF!</f>
        <v>#REF!</v>
      </c>
      <c r="Z8" s="101" t="e">
        <f>(V8+X8)*Y8</f>
        <v>#REF!</v>
      </c>
      <c r="AA8" s="154" t="e">
        <f t="shared" ref="AA8:AA31" si="1">ROUND(T8*U8*(1+W8)*(1+Y8),0)</f>
        <v>#REF!</v>
      </c>
      <c r="AB8" s="120"/>
      <c r="AC8" s="86" t="e">
        <f>'Labor Rates'!#REF!</f>
        <v>#REF!</v>
      </c>
      <c r="AD8" s="98" t="e">
        <f>AB8*AC8</f>
        <v>#REF!</v>
      </c>
      <c r="AE8" s="96" t="e">
        <f>'Labor Rates'!#REF!</f>
        <v>#REF!</v>
      </c>
      <c r="AF8" s="98" t="e">
        <f>AD8*AE8</f>
        <v>#REF!</v>
      </c>
      <c r="AG8" s="96" t="e">
        <f>'Labor Rates'!#REF!</f>
        <v>#REF!</v>
      </c>
      <c r="AH8" s="101" t="e">
        <f>(AD8+AF8)*AG8</f>
        <v>#REF!</v>
      </c>
      <c r="AI8" s="154" t="e">
        <f t="shared" ref="AI8:AI31" si="2">ROUND(AB8*AC8*(1+AE8)*(1+AG8),0)</f>
        <v>#REF!</v>
      </c>
      <c r="AJ8" s="120"/>
      <c r="AK8" s="86" t="e">
        <f>'Labor Rates'!#REF!</f>
        <v>#REF!</v>
      </c>
      <c r="AL8" s="98" t="e">
        <f>AJ8*AK8</f>
        <v>#REF!</v>
      </c>
      <c r="AM8" s="96" t="e">
        <f>'Labor Rates'!#REF!</f>
        <v>#REF!</v>
      </c>
      <c r="AN8" s="98" t="e">
        <f>AL8*AM8</f>
        <v>#REF!</v>
      </c>
      <c r="AO8" s="96" t="e">
        <f>'Labor Rates'!#REF!</f>
        <v>#REF!</v>
      </c>
      <c r="AP8" s="101" t="e">
        <f>(AL8+AN8)*AO8</f>
        <v>#REF!</v>
      </c>
      <c r="AQ8" s="154" t="e">
        <f t="shared" ref="AQ8:AQ31" si="3">ROUND(AJ8*AK8*(1+AM8)*(1+AO8),0)</f>
        <v>#REF!</v>
      </c>
      <c r="AR8" s="103"/>
      <c r="AS8" s="86" t="e">
        <f>'Labor Rates'!#REF!</f>
        <v>#REF!</v>
      </c>
      <c r="AT8" s="98" t="e">
        <f>AR8*AS8</f>
        <v>#REF!</v>
      </c>
      <c r="AU8" s="96" t="e">
        <f>'Labor Rates'!#REF!</f>
        <v>#REF!</v>
      </c>
      <c r="AV8" s="98" t="e">
        <f>AT8*AU8</f>
        <v>#REF!</v>
      </c>
      <c r="AW8" s="96" t="e">
        <f>'Labor Rates'!#REF!</f>
        <v>#REF!</v>
      </c>
      <c r="AX8" s="101" t="e">
        <f>(AT8+AV8)*AW8</f>
        <v>#REF!</v>
      </c>
      <c r="AY8" s="154" t="e">
        <f t="shared" ref="AY8:AY31" si="4">ROUND(AR8*AS8*(1+AU8)*(1+AW8),0)</f>
        <v>#REF!</v>
      </c>
      <c r="AZ8" s="169">
        <f t="shared" ref="AZ8:AZ31" si="5">D8+L8+T8+AB8+AJ8+AR8</f>
        <v>0</v>
      </c>
      <c r="BA8" s="168" t="e">
        <f t="shared" ref="BA8:BA31" si="6">F8+N8+V8+AD8+AL8+AT8</f>
        <v>#REF!</v>
      </c>
      <c r="BB8" s="162" t="e">
        <f t="shared" ref="BB8:BB31" si="7">K8+S8+AA8+AI8+AQ8+AY8</f>
        <v>#REF!</v>
      </c>
    </row>
    <row r="9" spans="1:54" x14ac:dyDescent="0.25">
      <c r="A9" s="9"/>
      <c r="B9" s="222" t="str">
        <f>IF(ISBLANK('Labor Rates'!D9),"",'Labor Rates'!D9)</f>
        <v/>
      </c>
      <c r="C9" s="223" t="str">
        <f>IF(ISBLANK('Labor Rates'!E9),"",'Labor Rates'!E9)</f>
        <v/>
      </c>
      <c r="D9" s="139"/>
      <c r="E9" s="98" t="e">
        <f>'Labor Rates'!#REF!</f>
        <v>#REF!</v>
      </c>
      <c r="F9" s="98" t="e">
        <f t="shared" ref="F9:F31" si="8">D9*E9</f>
        <v>#REF!</v>
      </c>
      <c r="G9" s="96" t="e">
        <f>'Labor Rates'!#REF!</f>
        <v>#REF!</v>
      </c>
      <c r="H9" s="98" t="e">
        <f t="shared" ref="H9:H31" si="9">F9*G9</f>
        <v>#REF!</v>
      </c>
      <c r="I9" s="96" t="e">
        <f>'Labor Rates'!#REF!</f>
        <v>#REF!</v>
      </c>
      <c r="J9" s="101" t="e">
        <f t="shared" ref="J9:J31" si="10">(F9+H9)*I9</f>
        <v>#REF!</v>
      </c>
      <c r="K9" s="154" t="e">
        <f t="shared" ref="K9:K31" si="11">F9+H9+J9</f>
        <v>#REF!</v>
      </c>
      <c r="L9" s="120"/>
      <c r="M9" s="86" t="e">
        <f>'Labor Rates'!#REF!</f>
        <v>#REF!</v>
      </c>
      <c r="N9" s="98" t="e">
        <f t="shared" ref="N9:N31" si="12">L9*M9</f>
        <v>#REF!</v>
      </c>
      <c r="O9" s="96" t="e">
        <f>'Labor Rates'!#REF!</f>
        <v>#REF!</v>
      </c>
      <c r="P9" s="98" t="e">
        <f t="shared" ref="P9:P31" si="13">N9*O9</f>
        <v>#REF!</v>
      </c>
      <c r="Q9" s="96" t="e">
        <f>'Labor Rates'!#REF!</f>
        <v>#REF!</v>
      </c>
      <c r="R9" s="101" t="e">
        <f t="shared" ref="R9:R31" si="14">(N9+P9)*Q9</f>
        <v>#REF!</v>
      </c>
      <c r="S9" s="154" t="e">
        <f t="shared" si="0"/>
        <v>#REF!</v>
      </c>
      <c r="T9" s="120"/>
      <c r="U9" s="86" t="e">
        <f>'Labor Rates'!#REF!</f>
        <v>#REF!</v>
      </c>
      <c r="V9" s="98" t="e">
        <f t="shared" ref="V9:V31" si="15">T9*U9</f>
        <v>#REF!</v>
      </c>
      <c r="W9" s="96" t="e">
        <f>'Labor Rates'!#REF!</f>
        <v>#REF!</v>
      </c>
      <c r="X9" s="98" t="e">
        <f t="shared" ref="X9:X31" si="16">V9*W9</f>
        <v>#REF!</v>
      </c>
      <c r="Y9" s="96" t="e">
        <f>'Labor Rates'!#REF!</f>
        <v>#REF!</v>
      </c>
      <c r="Z9" s="101" t="e">
        <f t="shared" ref="Z9:Z31" si="17">(V9+X9)*Y9</f>
        <v>#REF!</v>
      </c>
      <c r="AA9" s="154" t="e">
        <f t="shared" si="1"/>
        <v>#REF!</v>
      </c>
      <c r="AB9" s="120"/>
      <c r="AC9" s="86" t="e">
        <f>'Labor Rates'!#REF!</f>
        <v>#REF!</v>
      </c>
      <c r="AD9" s="98" t="e">
        <f t="shared" ref="AD9:AD31" si="18">AB9*AC9</f>
        <v>#REF!</v>
      </c>
      <c r="AE9" s="96" t="e">
        <f>'Labor Rates'!#REF!</f>
        <v>#REF!</v>
      </c>
      <c r="AF9" s="98" t="e">
        <f t="shared" ref="AF9:AF31" si="19">AD9*AE9</f>
        <v>#REF!</v>
      </c>
      <c r="AG9" s="96" t="e">
        <f>'Labor Rates'!#REF!</f>
        <v>#REF!</v>
      </c>
      <c r="AH9" s="101" t="e">
        <f t="shared" ref="AH9:AH31" si="20">(AD9+AF9)*AG9</f>
        <v>#REF!</v>
      </c>
      <c r="AI9" s="154" t="e">
        <f t="shared" si="2"/>
        <v>#REF!</v>
      </c>
      <c r="AJ9" s="120"/>
      <c r="AK9" s="86" t="e">
        <f>'Labor Rates'!#REF!</f>
        <v>#REF!</v>
      </c>
      <c r="AL9" s="98" t="e">
        <f t="shared" ref="AL9:AL31" si="21">AJ9*AK9</f>
        <v>#REF!</v>
      </c>
      <c r="AM9" s="96" t="e">
        <f>'Labor Rates'!#REF!</f>
        <v>#REF!</v>
      </c>
      <c r="AN9" s="98" t="e">
        <f t="shared" ref="AN9:AN31" si="22">AL9*AM9</f>
        <v>#REF!</v>
      </c>
      <c r="AO9" s="96" t="e">
        <f>'Labor Rates'!#REF!</f>
        <v>#REF!</v>
      </c>
      <c r="AP9" s="101" t="e">
        <f t="shared" ref="AP9:AP31" si="23">(AL9+AN9)*AO9</f>
        <v>#REF!</v>
      </c>
      <c r="AQ9" s="154" t="e">
        <f t="shared" si="3"/>
        <v>#REF!</v>
      </c>
      <c r="AR9" s="103"/>
      <c r="AS9" s="86" t="e">
        <f>'Labor Rates'!#REF!</f>
        <v>#REF!</v>
      </c>
      <c r="AT9" s="98" t="e">
        <f t="shared" ref="AT9:AT31" si="24">AR9*AS9</f>
        <v>#REF!</v>
      </c>
      <c r="AU9" s="96" t="e">
        <f>'Labor Rates'!#REF!</f>
        <v>#REF!</v>
      </c>
      <c r="AV9" s="98" t="e">
        <f t="shared" ref="AV9:AV31" si="25">AT9*AU9</f>
        <v>#REF!</v>
      </c>
      <c r="AW9" s="96" t="e">
        <f>'Labor Rates'!#REF!</f>
        <v>#REF!</v>
      </c>
      <c r="AX9" s="101" t="e">
        <f t="shared" ref="AX9:AX31" si="26">(AT9+AV9)*AW9</f>
        <v>#REF!</v>
      </c>
      <c r="AY9" s="154" t="e">
        <f t="shared" si="4"/>
        <v>#REF!</v>
      </c>
      <c r="AZ9" s="169">
        <f t="shared" si="5"/>
        <v>0</v>
      </c>
      <c r="BA9" s="168" t="e">
        <f t="shared" si="6"/>
        <v>#REF!</v>
      </c>
      <c r="BB9" s="162" t="e">
        <f t="shared" si="7"/>
        <v>#REF!</v>
      </c>
    </row>
    <row r="10" spans="1:54" x14ac:dyDescent="0.25">
      <c r="A10" s="9"/>
      <c r="B10" s="222" t="str">
        <f>IF(ISBLANK('Labor Rates'!D10),"",'Labor Rates'!D10)</f>
        <v/>
      </c>
      <c r="C10" s="223" t="str">
        <f>IF(ISBLANK('Labor Rates'!E10),"",'Labor Rates'!E10)</f>
        <v/>
      </c>
      <c r="D10" s="139"/>
      <c r="E10" s="98" t="e">
        <f>'Labor Rates'!#REF!</f>
        <v>#REF!</v>
      </c>
      <c r="F10" s="98" t="e">
        <f t="shared" si="8"/>
        <v>#REF!</v>
      </c>
      <c r="G10" s="96" t="e">
        <f>'Labor Rates'!#REF!</f>
        <v>#REF!</v>
      </c>
      <c r="H10" s="98" t="e">
        <f t="shared" si="9"/>
        <v>#REF!</v>
      </c>
      <c r="I10" s="96" t="e">
        <f>'Labor Rates'!#REF!</f>
        <v>#REF!</v>
      </c>
      <c r="J10" s="101" t="e">
        <f t="shared" si="10"/>
        <v>#REF!</v>
      </c>
      <c r="K10" s="154" t="e">
        <f t="shared" si="11"/>
        <v>#REF!</v>
      </c>
      <c r="L10" s="120"/>
      <c r="M10" s="86" t="e">
        <f>'Labor Rates'!#REF!</f>
        <v>#REF!</v>
      </c>
      <c r="N10" s="98" t="e">
        <f t="shared" si="12"/>
        <v>#REF!</v>
      </c>
      <c r="O10" s="96" t="e">
        <f>'Labor Rates'!#REF!</f>
        <v>#REF!</v>
      </c>
      <c r="P10" s="98" t="e">
        <f t="shared" si="13"/>
        <v>#REF!</v>
      </c>
      <c r="Q10" s="96" t="e">
        <f>'Labor Rates'!#REF!</f>
        <v>#REF!</v>
      </c>
      <c r="R10" s="101" t="e">
        <f t="shared" si="14"/>
        <v>#REF!</v>
      </c>
      <c r="S10" s="154" t="e">
        <f t="shared" si="0"/>
        <v>#REF!</v>
      </c>
      <c r="T10" s="120"/>
      <c r="U10" s="86" t="e">
        <f>'Labor Rates'!#REF!</f>
        <v>#REF!</v>
      </c>
      <c r="V10" s="98" t="e">
        <f t="shared" si="15"/>
        <v>#REF!</v>
      </c>
      <c r="W10" s="96" t="e">
        <f>'Labor Rates'!#REF!</f>
        <v>#REF!</v>
      </c>
      <c r="X10" s="98" t="e">
        <f t="shared" si="16"/>
        <v>#REF!</v>
      </c>
      <c r="Y10" s="96" t="e">
        <f>'Labor Rates'!#REF!</f>
        <v>#REF!</v>
      </c>
      <c r="Z10" s="101" t="e">
        <f t="shared" si="17"/>
        <v>#REF!</v>
      </c>
      <c r="AA10" s="154" t="e">
        <f t="shared" si="1"/>
        <v>#REF!</v>
      </c>
      <c r="AB10" s="120"/>
      <c r="AC10" s="86" t="e">
        <f>'Labor Rates'!#REF!</f>
        <v>#REF!</v>
      </c>
      <c r="AD10" s="98" t="e">
        <f t="shared" si="18"/>
        <v>#REF!</v>
      </c>
      <c r="AE10" s="96" t="e">
        <f>'Labor Rates'!#REF!</f>
        <v>#REF!</v>
      </c>
      <c r="AF10" s="98" t="e">
        <f t="shared" si="19"/>
        <v>#REF!</v>
      </c>
      <c r="AG10" s="96" t="e">
        <f>'Labor Rates'!#REF!</f>
        <v>#REF!</v>
      </c>
      <c r="AH10" s="101" t="e">
        <f t="shared" si="20"/>
        <v>#REF!</v>
      </c>
      <c r="AI10" s="154" t="e">
        <f t="shared" si="2"/>
        <v>#REF!</v>
      </c>
      <c r="AJ10" s="120"/>
      <c r="AK10" s="86" t="e">
        <f>'Labor Rates'!#REF!</f>
        <v>#REF!</v>
      </c>
      <c r="AL10" s="98" t="e">
        <f t="shared" si="21"/>
        <v>#REF!</v>
      </c>
      <c r="AM10" s="96" t="e">
        <f>'Labor Rates'!#REF!</f>
        <v>#REF!</v>
      </c>
      <c r="AN10" s="98" t="e">
        <f t="shared" si="22"/>
        <v>#REF!</v>
      </c>
      <c r="AO10" s="96" t="e">
        <f>'Labor Rates'!#REF!</f>
        <v>#REF!</v>
      </c>
      <c r="AP10" s="101" t="e">
        <f t="shared" si="23"/>
        <v>#REF!</v>
      </c>
      <c r="AQ10" s="154" t="e">
        <f t="shared" si="3"/>
        <v>#REF!</v>
      </c>
      <c r="AR10" s="103"/>
      <c r="AS10" s="86" t="e">
        <f>'Labor Rates'!#REF!</f>
        <v>#REF!</v>
      </c>
      <c r="AT10" s="98" t="e">
        <f t="shared" si="24"/>
        <v>#REF!</v>
      </c>
      <c r="AU10" s="96" t="e">
        <f>'Labor Rates'!#REF!</f>
        <v>#REF!</v>
      </c>
      <c r="AV10" s="98" t="e">
        <f t="shared" si="25"/>
        <v>#REF!</v>
      </c>
      <c r="AW10" s="96" t="e">
        <f>'Labor Rates'!#REF!</f>
        <v>#REF!</v>
      </c>
      <c r="AX10" s="101" t="e">
        <f t="shared" si="26"/>
        <v>#REF!</v>
      </c>
      <c r="AY10" s="154" t="e">
        <f t="shared" si="4"/>
        <v>#REF!</v>
      </c>
      <c r="AZ10" s="169">
        <f t="shared" si="5"/>
        <v>0</v>
      </c>
      <c r="BA10" s="168" t="e">
        <f t="shared" si="6"/>
        <v>#REF!</v>
      </c>
      <c r="BB10" s="162" t="e">
        <f t="shared" si="7"/>
        <v>#REF!</v>
      </c>
    </row>
    <row r="11" spans="1:54" x14ac:dyDescent="0.25">
      <c r="A11" s="9"/>
      <c r="B11" s="222" t="str">
        <f>IF(ISBLANK('Labor Rates'!D11),"",'Labor Rates'!D11)</f>
        <v/>
      </c>
      <c r="C11" s="223" t="str">
        <f>IF(ISBLANK('Labor Rates'!E11),"",'Labor Rates'!E11)</f>
        <v/>
      </c>
      <c r="D11" s="139"/>
      <c r="E11" s="98" t="e">
        <f>'Labor Rates'!#REF!</f>
        <v>#REF!</v>
      </c>
      <c r="F11" s="98" t="e">
        <f t="shared" si="8"/>
        <v>#REF!</v>
      </c>
      <c r="G11" s="96" t="e">
        <f>'Labor Rates'!#REF!</f>
        <v>#REF!</v>
      </c>
      <c r="H11" s="98" t="e">
        <f t="shared" si="9"/>
        <v>#REF!</v>
      </c>
      <c r="I11" s="96" t="e">
        <f>'Labor Rates'!#REF!</f>
        <v>#REF!</v>
      </c>
      <c r="J11" s="101" t="e">
        <f t="shared" si="10"/>
        <v>#REF!</v>
      </c>
      <c r="K11" s="154" t="e">
        <f t="shared" si="11"/>
        <v>#REF!</v>
      </c>
      <c r="L11" s="120"/>
      <c r="M11" s="86" t="e">
        <f>'Labor Rates'!#REF!</f>
        <v>#REF!</v>
      </c>
      <c r="N11" s="98" t="e">
        <f t="shared" si="12"/>
        <v>#REF!</v>
      </c>
      <c r="O11" s="96" t="e">
        <f>'Labor Rates'!#REF!</f>
        <v>#REF!</v>
      </c>
      <c r="P11" s="98" t="e">
        <f t="shared" si="13"/>
        <v>#REF!</v>
      </c>
      <c r="Q11" s="96" t="e">
        <f>'Labor Rates'!#REF!</f>
        <v>#REF!</v>
      </c>
      <c r="R11" s="101" t="e">
        <f t="shared" si="14"/>
        <v>#REF!</v>
      </c>
      <c r="S11" s="154" t="e">
        <f t="shared" si="0"/>
        <v>#REF!</v>
      </c>
      <c r="T11" s="120"/>
      <c r="U11" s="86" t="e">
        <f>'Labor Rates'!#REF!</f>
        <v>#REF!</v>
      </c>
      <c r="V11" s="98" t="e">
        <f t="shared" si="15"/>
        <v>#REF!</v>
      </c>
      <c r="W11" s="96" t="e">
        <f>'Labor Rates'!#REF!</f>
        <v>#REF!</v>
      </c>
      <c r="X11" s="98" t="e">
        <f t="shared" si="16"/>
        <v>#REF!</v>
      </c>
      <c r="Y11" s="96" t="e">
        <f>'Labor Rates'!#REF!</f>
        <v>#REF!</v>
      </c>
      <c r="Z11" s="101" t="e">
        <f t="shared" si="17"/>
        <v>#REF!</v>
      </c>
      <c r="AA11" s="154" t="e">
        <f t="shared" si="1"/>
        <v>#REF!</v>
      </c>
      <c r="AB11" s="120"/>
      <c r="AC11" s="86" t="e">
        <f>'Labor Rates'!#REF!</f>
        <v>#REF!</v>
      </c>
      <c r="AD11" s="98" t="e">
        <f t="shared" si="18"/>
        <v>#REF!</v>
      </c>
      <c r="AE11" s="96" t="e">
        <f>'Labor Rates'!#REF!</f>
        <v>#REF!</v>
      </c>
      <c r="AF11" s="98" t="e">
        <f t="shared" si="19"/>
        <v>#REF!</v>
      </c>
      <c r="AG11" s="96" t="e">
        <f>'Labor Rates'!#REF!</f>
        <v>#REF!</v>
      </c>
      <c r="AH11" s="101" t="e">
        <f t="shared" si="20"/>
        <v>#REF!</v>
      </c>
      <c r="AI11" s="154" t="e">
        <f t="shared" si="2"/>
        <v>#REF!</v>
      </c>
      <c r="AJ11" s="120"/>
      <c r="AK11" s="86" t="e">
        <f>'Labor Rates'!#REF!</f>
        <v>#REF!</v>
      </c>
      <c r="AL11" s="98" t="e">
        <f t="shared" si="21"/>
        <v>#REF!</v>
      </c>
      <c r="AM11" s="96" t="e">
        <f>'Labor Rates'!#REF!</f>
        <v>#REF!</v>
      </c>
      <c r="AN11" s="98" t="e">
        <f t="shared" si="22"/>
        <v>#REF!</v>
      </c>
      <c r="AO11" s="96" t="e">
        <f>'Labor Rates'!#REF!</f>
        <v>#REF!</v>
      </c>
      <c r="AP11" s="101" t="e">
        <f t="shared" si="23"/>
        <v>#REF!</v>
      </c>
      <c r="AQ11" s="154" t="e">
        <f t="shared" si="3"/>
        <v>#REF!</v>
      </c>
      <c r="AR11" s="103"/>
      <c r="AS11" s="86" t="e">
        <f>'Labor Rates'!#REF!</f>
        <v>#REF!</v>
      </c>
      <c r="AT11" s="98" t="e">
        <f t="shared" si="24"/>
        <v>#REF!</v>
      </c>
      <c r="AU11" s="96" t="e">
        <f>'Labor Rates'!#REF!</f>
        <v>#REF!</v>
      </c>
      <c r="AV11" s="98" t="e">
        <f t="shared" si="25"/>
        <v>#REF!</v>
      </c>
      <c r="AW11" s="96" t="e">
        <f>'Labor Rates'!#REF!</f>
        <v>#REF!</v>
      </c>
      <c r="AX11" s="101" t="e">
        <f t="shared" si="26"/>
        <v>#REF!</v>
      </c>
      <c r="AY11" s="154" t="e">
        <f t="shared" si="4"/>
        <v>#REF!</v>
      </c>
      <c r="AZ11" s="169">
        <f t="shared" si="5"/>
        <v>0</v>
      </c>
      <c r="BA11" s="168" t="e">
        <f t="shared" si="6"/>
        <v>#REF!</v>
      </c>
      <c r="BB11" s="162" t="e">
        <f t="shared" si="7"/>
        <v>#REF!</v>
      </c>
    </row>
    <row r="12" spans="1:54" x14ac:dyDescent="0.25">
      <c r="A12" s="9"/>
      <c r="B12" s="222" t="str">
        <f>IF(ISBLANK('Labor Rates'!D12),"",'Labor Rates'!D12)</f>
        <v/>
      </c>
      <c r="C12" s="223" t="str">
        <f>IF(ISBLANK('Labor Rates'!E12),"",'Labor Rates'!E12)</f>
        <v/>
      </c>
      <c r="D12" s="139"/>
      <c r="E12" s="98" t="e">
        <f>'Labor Rates'!#REF!</f>
        <v>#REF!</v>
      </c>
      <c r="F12" s="98" t="e">
        <f t="shared" si="8"/>
        <v>#REF!</v>
      </c>
      <c r="G12" s="96" t="e">
        <f>'Labor Rates'!#REF!</f>
        <v>#REF!</v>
      </c>
      <c r="H12" s="98" t="e">
        <f t="shared" si="9"/>
        <v>#REF!</v>
      </c>
      <c r="I12" s="96" t="e">
        <f>'Labor Rates'!#REF!</f>
        <v>#REF!</v>
      </c>
      <c r="J12" s="101" t="e">
        <f t="shared" si="10"/>
        <v>#REF!</v>
      </c>
      <c r="K12" s="154" t="e">
        <f t="shared" si="11"/>
        <v>#REF!</v>
      </c>
      <c r="L12" s="120"/>
      <c r="M12" s="86" t="e">
        <f>'Labor Rates'!#REF!</f>
        <v>#REF!</v>
      </c>
      <c r="N12" s="98" t="e">
        <f t="shared" si="12"/>
        <v>#REF!</v>
      </c>
      <c r="O12" s="96" t="e">
        <f>'Labor Rates'!#REF!</f>
        <v>#REF!</v>
      </c>
      <c r="P12" s="98" t="e">
        <f t="shared" si="13"/>
        <v>#REF!</v>
      </c>
      <c r="Q12" s="96" t="e">
        <f>'Labor Rates'!#REF!</f>
        <v>#REF!</v>
      </c>
      <c r="R12" s="101" t="e">
        <f t="shared" si="14"/>
        <v>#REF!</v>
      </c>
      <c r="S12" s="154" t="e">
        <f t="shared" si="0"/>
        <v>#REF!</v>
      </c>
      <c r="T12" s="120"/>
      <c r="U12" s="86" t="e">
        <f>'Labor Rates'!#REF!</f>
        <v>#REF!</v>
      </c>
      <c r="V12" s="98" t="e">
        <f t="shared" si="15"/>
        <v>#REF!</v>
      </c>
      <c r="W12" s="96" t="e">
        <f>'Labor Rates'!#REF!</f>
        <v>#REF!</v>
      </c>
      <c r="X12" s="98" t="e">
        <f t="shared" si="16"/>
        <v>#REF!</v>
      </c>
      <c r="Y12" s="96" t="e">
        <f>'Labor Rates'!#REF!</f>
        <v>#REF!</v>
      </c>
      <c r="Z12" s="101" t="e">
        <f t="shared" si="17"/>
        <v>#REF!</v>
      </c>
      <c r="AA12" s="154" t="e">
        <f t="shared" si="1"/>
        <v>#REF!</v>
      </c>
      <c r="AB12" s="120"/>
      <c r="AC12" s="86" t="e">
        <f>'Labor Rates'!#REF!</f>
        <v>#REF!</v>
      </c>
      <c r="AD12" s="98" t="e">
        <f t="shared" si="18"/>
        <v>#REF!</v>
      </c>
      <c r="AE12" s="96" t="e">
        <f>'Labor Rates'!#REF!</f>
        <v>#REF!</v>
      </c>
      <c r="AF12" s="98" t="e">
        <f t="shared" si="19"/>
        <v>#REF!</v>
      </c>
      <c r="AG12" s="96" t="e">
        <f>'Labor Rates'!#REF!</f>
        <v>#REF!</v>
      </c>
      <c r="AH12" s="101" t="e">
        <f t="shared" si="20"/>
        <v>#REF!</v>
      </c>
      <c r="AI12" s="154" t="e">
        <f t="shared" si="2"/>
        <v>#REF!</v>
      </c>
      <c r="AJ12" s="120"/>
      <c r="AK12" s="86" t="e">
        <f>'Labor Rates'!#REF!</f>
        <v>#REF!</v>
      </c>
      <c r="AL12" s="98" t="e">
        <f t="shared" si="21"/>
        <v>#REF!</v>
      </c>
      <c r="AM12" s="96" t="e">
        <f>'Labor Rates'!#REF!</f>
        <v>#REF!</v>
      </c>
      <c r="AN12" s="98" t="e">
        <f t="shared" si="22"/>
        <v>#REF!</v>
      </c>
      <c r="AO12" s="96" t="e">
        <f>'Labor Rates'!#REF!</f>
        <v>#REF!</v>
      </c>
      <c r="AP12" s="101" t="e">
        <f t="shared" si="23"/>
        <v>#REF!</v>
      </c>
      <c r="AQ12" s="154" t="e">
        <f t="shared" si="3"/>
        <v>#REF!</v>
      </c>
      <c r="AR12" s="103"/>
      <c r="AS12" s="86" t="e">
        <f>'Labor Rates'!#REF!</f>
        <v>#REF!</v>
      </c>
      <c r="AT12" s="98" t="e">
        <f t="shared" si="24"/>
        <v>#REF!</v>
      </c>
      <c r="AU12" s="96" t="e">
        <f>'Labor Rates'!#REF!</f>
        <v>#REF!</v>
      </c>
      <c r="AV12" s="98" t="e">
        <f t="shared" si="25"/>
        <v>#REF!</v>
      </c>
      <c r="AW12" s="96" t="e">
        <f>'Labor Rates'!#REF!</f>
        <v>#REF!</v>
      </c>
      <c r="AX12" s="101" t="e">
        <f t="shared" si="26"/>
        <v>#REF!</v>
      </c>
      <c r="AY12" s="154" t="e">
        <f t="shared" si="4"/>
        <v>#REF!</v>
      </c>
      <c r="AZ12" s="169">
        <f t="shared" si="5"/>
        <v>0</v>
      </c>
      <c r="BA12" s="168" t="e">
        <f t="shared" si="6"/>
        <v>#REF!</v>
      </c>
      <c r="BB12" s="162" t="e">
        <f t="shared" si="7"/>
        <v>#REF!</v>
      </c>
    </row>
    <row r="13" spans="1:54" x14ac:dyDescent="0.25">
      <c r="A13" s="9"/>
      <c r="B13" s="222" t="str">
        <f>IF(ISBLANK('Labor Rates'!D13),"",'Labor Rates'!D13)</f>
        <v/>
      </c>
      <c r="C13" s="223" t="str">
        <f>IF(ISBLANK('Labor Rates'!E13),"",'Labor Rates'!E13)</f>
        <v/>
      </c>
      <c r="D13" s="139"/>
      <c r="E13" s="98" t="e">
        <f>'Labor Rates'!#REF!</f>
        <v>#REF!</v>
      </c>
      <c r="F13" s="98" t="e">
        <f t="shared" si="8"/>
        <v>#REF!</v>
      </c>
      <c r="G13" s="96" t="e">
        <f>'Labor Rates'!#REF!</f>
        <v>#REF!</v>
      </c>
      <c r="H13" s="98" t="e">
        <f t="shared" si="9"/>
        <v>#REF!</v>
      </c>
      <c r="I13" s="96" t="e">
        <f>'Labor Rates'!#REF!</f>
        <v>#REF!</v>
      </c>
      <c r="J13" s="101" t="e">
        <f t="shared" si="10"/>
        <v>#REF!</v>
      </c>
      <c r="K13" s="154" t="e">
        <f t="shared" si="11"/>
        <v>#REF!</v>
      </c>
      <c r="L13" s="120"/>
      <c r="M13" s="86" t="e">
        <f>'Labor Rates'!#REF!</f>
        <v>#REF!</v>
      </c>
      <c r="N13" s="98" t="e">
        <f t="shared" si="12"/>
        <v>#REF!</v>
      </c>
      <c r="O13" s="96" t="e">
        <f>'Labor Rates'!#REF!</f>
        <v>#REF!</v>
      </c>
      <c r="P13" s="98" t="e">
        <f t="shared" si="13"/>
        <v>#REF!</v>
      </c>
      <c r="Q13" s="96" t="e">
        <f>'Labor Rates'!#REF!</f>
        <v>#REF!</v>
      </c>
      <c r="R13" s="101" t="e">
        <f t="shared" si="14"/>
        <v>#REF!</v>
      </c>
      <c r="S13" s="154" t="e">
        <f t="shared" si="0"/>
        <v>#REF!</v>
      </c>
      <c r="T13" s="120"/>
      <c r="U13" s="86" t="e">
        <f>'Labor Rates'!#REF!</f>
        <v>#REF!</v>
      </c>
      <c r="V13" s="98" t="e">
        <f t="shared" si="15"/>
        <v>#REF!</v>
      </c>
      <c r="W13" s="96" t="e">
        <f>'Labor Rates'!#REF!</f>
        <v>#REF!</v>
      </c>
      <c r="X13" s="98" t="e">
        <f t="shared" si="16"/>
        <v>#REF!</v>
      </c>
      <c r="Y13" s="96" t="e">
        <f>'Labor Rates'!#REF!</f>
        <v>#REF!</v>
      </c>
      <c r="Z13" s="101" t="e">
        <f t="shared" si="17"/>
        <v>#REF!</v>
      </c>
      <c r="AA13" s="154" t="e">
        <f t="shared" si="1"/>
        <v>#REF!</v>
      </c>
      <c r="AB13" s="120"/>
      <c r="AC13" s="86" t="e">
        <f>'Labor Rates'!#REF!</f>
        <v>#REF!</v>
      </c>
      <c r="AD13" s="98" t="e">
        <f t="shared" si="18"/>
        <v>#REF!</v>
      </c>
      <c r="AE13" s="96" t="e">
        <f>'Labor Rates'!#REF!</f>
        <v>#REF!</v>
      </c>
      <c r="AF13" s="98" t="e">
        <f t="shared" si="19"/>
        <v>#REF!</v>
      </c>
      <c r="AG13" s="96" t="e">
        <f>'Labor Rates'!#REF!</f>
        <v>#REF!</v>
      </c>
      <c r="AH13" s="101" t="e">
        <f t="shared" si="20"/>
        <v>#REF!</v>
      </c>
      <c r="AI13" s="154" t="e">
        <f t="shared" si="2"/>
        <v>#REF!</v>
      </c>
      <c r="AJ13" s="120"/>
      <c r="AK13" s="86" t="e">
        <f>'Labor Rates'!#REF!</f>
        <v>#REF!</v>
      </c>
      <c r="AL13" s="98" t="e">
        <f t="shared" si="21"/>
        <v>#REF!</v>
      </c>
      <c r="AM13" s="96" t="e">
        <f>'Labor Rates'!#REF!</f>
        <v>#REF!</v>
      </c>
      <c r="AN13" s="98" t="e">
        <f t="shared" si="22"/>
        <v>#REF!</v>
      </c>
      <c r="AO13" s="96" t="e">
        <f>'Labor Rates'!#REF!</f>
        <v>#REF!</v>
      </c>
      <c r="AP13" s="101" t="e">
        <f t="shared" si="23"/>
        <v>#REF!</v>
      </c>
      <c r="AQ13" s="154" t="e">
        <f t="shared" si="3"/>
        <v>#REF!</v>
      </c>
      <c r="AR13" s="103"/>
      <c r="AS13" s="86" t="e">
        <f>'Labor Rates'!#REF!</f>
        <v>#REF!</v>
      </c>
      <c r="AT13" s="98" t="e">
        <f t="shared" si="24"/>
        <v>#REF!</v>
      </c>
      <c r="AU13" s="96" t="e">
        <f>'Labor Rates'!#REF!</f>
        <v>#REF!</v>
      </c>
      <c r="AV13" s="98" t="e">
        <f t="shared" si="25"/>
        <v>#REF!</v>
      </c>
      <c r="AW13" s="96" t="e">
        <f>'Labor Rates'!#REF!</f>
        <v>#REF!</v>
      </c>
      <c r="AX13" s="101" t="e">
        <f t="shared" si="26"/>
        <v>#REF!</v>
      </c>
      <c r="AY13" s="154" t="e">
        <f t="shared" si="4"/>
        <v>#REF!</v>
      </c>
      <c r="AZ13" s="169">
        <f t="shared" si="5"/>
        <v>0</v>
      </c>
      <c r="BA13" s="168" t="e">
        <f t="shared" si="6"/>
        <v>#REF!</v>
      </c>
      <c r="BB13" s="162" t="e">
        <f t="shared" si="7"/>
        <v>#REF!</v>
      </c>
    </row>
    <row r="14" spans="1:54" x14ac:dyDescent="0.25">
      <c r="A14" s="9"/>
      <c r="B14" s="222" t="str">
        <f>IF(ISBLANK('Labor Rates'!D14),"",'Labor Rates'!D14)</f>
        <v/>
      </c>
      <c r="C14" s="223" t="str">
        <f>IF(ISBLANK('Labor Rates'!E14),"",'Labor Rates'!E14)</f>
        <v/>
      </c>
      <c r="D14" s="139"/>
      <c r="E14" s="98" t="e">
        <f>'Labor Rates'!#REF!</f>
        <v>#REF!</v>
      </c>
      <c r="F14" s="98" t="e">
        <f t="shared" si="8"/>
        <v>#REF!</v>
      </c>
      <c r="G14" s="96" t="e">
        <f>'Labor Rates'!#REF!</f>
        <v>#REF!</v>
      </c>
      <c r="H14" s="98" t="e">
        <f t="shared" si="9"/>
        <v>#REF!</v>
      </c>
      <c r="I14" s="96" t="e">
        <f>'Labor Rates'!#REF!</f>
        <v>#REF!</v>
      </c>
      <c r="J14" s="101" t="e">
        <f t="shared" si="10"/>
        <v>#REF!</v>
      </c>
      <c r="K14" s="154" t="e">
        <f t="shared" si="11"/>
        <v>#REF!</v>
      </c>
      <c r="L14" s="120"/>
      <c r="M14" s="86" t="e">
        <f>'Labor Rates'!#REF!</f>
        <v>#REF!</v>
      </c>
      <c r="N14" s="98" t="e">
        <f t="shared" si="12"/>
        <v>#REF!</v>
      </c>
      <c r="O14" s="96" t="e">
        <f>'Labor Rates'!#REF!</f>
        <v>#REF!</v>
      </c>
      <c r="P14" s="98" t="e">
        <f t="shared" si="13"/>
        <v>#REF!</v>
      </c>
      <c r="Q14" s="96" t="e">
        <f>'Labor Rates'!#REF!</f>
        <v>#REF!</v>
      </c>
      <c r="R14" s="101" t="e">
        <f t="shared" si="14"/>
        <v>#REF!</v>
      </c>
      <c r="S14" s="154" t="e">
        <f t="shared" si="0"/>
        <v>#REF!</v>
      </c>
      <c r="T14" s="120"/>
      <c r="U14" s="86" t="e">
        <f>'Labor Rates'!#REF!</f>
        <v>#REF!</v>
      </c>
      <c r="V14" s="98" t="e">
        <f t="shared" si="15"/>
        <v>#REF!</v>
      </c>
      <c r="W14" s="96" t="e">
        <f>'Labor Rates'!#REF!</f>
        <v>#REF!</v>
      </c>
      <c r="X14" s="98" t="e">
        <f t="shared" si="16"/>
        <v>#REF!</v>
      </c>
      <c r="Y14" s="96" t="e">
        <f>'Labor Rates'!#REF!</f>
        <v>#REF!</v>
      </c>
      <c r="Z14" s="101" t="e">
        <f t="shared" si="17"/>
        <v>#REF!</v>
      </c>
      <c r="AA14" s="154" t="e">
        <f t="shared" si="1"/>
        <v>#REF!</v>
      </c>
      <c r="AB14" s="120"/>
      <c r="AC14" s="86" t="e">
        <f>'Labor Rates'!#REF!</f>
        <v>#REF!</v>
      </c>
      <c r="AD14" s="98" t="e">
        <f t="shared" si="18"/>
        <v>#REF!</v>
      </c>
      <c r="AE14" s="96" t="e">
        <f>'Labor Rates'!#REF!</f>
        <v>#REF!</v>
      </c>
      <c r="AF14" s="98" t="e">
        <f t="shared" si="19"/>
        <v>#REF!</v>
      </c>
      <c r="AG14" s="96" t="e">
        <f>'Labor Rates'!#REF!</f>
        <v>#REF!</v>
      </c>
      <c r="AH14" s="101" t="e">
        <f t="shared" si="20"/>
        <v>#REF!</v>
      </c>
      <c r="AI14" s="154" t="e">
        <f t="shared" si="2"/>
        <v>#REF!</v>
      </c>
      <c r="AJ14" s="120"/>
      <c r="AK14" s="86" t="e">
        <f>'Labor Rates'!#REF!</f>
        <v>#REF!</v>
      </c>
      <c r="AL14" s="98" t="e">
        <f t="shared" si="21"/>
        <v>#REF!</v>
      </c>
      <c r="AM14" s="96" t="e">
        <f>'Labor Rates'!#REF!</f>
        <v>#REF!</v>
      </c>
      <c r="AN14" s="98" t="e">
        <f t="shared" si="22"/>
        <v>#REF!</v>
      </c>
      <c r="AO14" s="96" t="e">
        <f>'Labor Rates'!#REF!</f>
        <v>#REF!</v>
      </c>
      <c r="AP14" s="101" t="e">
        <f t="shared" si="23"/>
        <v>#REF!</v>
      </c>
      <c r="AQ14" s="154" t="e">
        <f t="shared" si="3"/>
        <v>#REF!</v>
      </c>
      <c r="AR14" s="103"/>
      <c r="AS14" s="86" t="e">
        <f>'Labor Rates'!#REF!</f>
        <v>#REF!</v>
      </c>
      <c r="AT14" s="98" t="e">
        <f t="shared" si="24"/>
        <v>#REF!</v>
      </c>
      <c r="AU14" s="96" t="e">
        <f>'Labor Rates'!#REF!</f>
        <v>#REF!</v>
      </c>
      <c r="AV14" s="98" t="e">
        <f t="shared" si="25"/>
        <v>#REF!</v>
      </c>
      <c r="AW14" s="96" t="e">
        <f>'Labor Rates'!#REF!</f>
        <v>#REF!</v>
      </c>
      <c r="AX14" s="101" t="e">
        <f t="shared" si="26"/>
        <v>#REF!</v>
      </c>
      <c r="AY14" s="154" t="e">
        <f t="shared" si="4"/>
        <v>#REF!</v>
      </c>
      <c r="AZ14" s="169">
        <f t="shared" si="5"/>
        <v>0</v>
      </c>
      <c r="BA14" s="168" t="e">
        <f t="shared" si="6"/>
        <v>#REF!</v>
      </c>
      <c r="BB14" s="162" t="e">
        <f t="shared" si="7"/>
        <v>#REF!</v>
      </c>
    </row>
    <row r="15" spans="1:54" x14ac:dyDescent="0.25">
      <c r="A15" s="9"/>
      <c r="B15" s="222" t="str">
        <f>IF(ISBLANK('Labor Rates'!D15),"",'Labor Rates'!D15)</f>
        <v/>
      </c>
      <c r="C15" s="223" t="str">
        <f>IF(ISBLANK('Labor Rates'!E15),"",'Labor Rates'!E15)</f>
        <v/>
      </c>
      <c r="D15" s="139"/>
      <c r="E15" s="98" t="e">
        <f>'Labor Rates'!#REF!</f>
        <v>#REF!</v>
      </c>
      <c r="F15" s="98" t="e">
        <f t="shared" si="8"/>
        <v>#REF!</v>
      </c>
      <c r="G15" s="96" t="e">
        <f>'Labor Rates'!#REF!</f>
        <v>#REF!</v>
      </c>
      <c r="H15" s="98" t="e">
        <f t="shared" si="9"/>
        <v>#REF!</v>
      </c>
      <c r="I15" s="96" t="e">
        <f>'Labor Rates'!#REF!</f>
        <v>#REF!</v>
      </c>
      <c r="J15" s="101" t="e">
        <f t="shared" si="10"/>
        <v>#REF!</v>
      </c>
      <c r="K15" s="154" t="e">
        <f t="shared" si="11"/>
        <v>#REF!</v>
      </c>
      <c r="L15" s="120"/>
      <c r="M15" s="86" t="e">
        <f>'Labor Rates'!#REF!</f>
        <v>#REF!</v>
      </c>
      <c r="N15" s="98" t="e">
        <f t="shared" si="12"/>
        <v>#REF!</v>
      </c>
      <c r="O15" s="96" t="e">
        <f>'Labor Rates'!#REF!</f>
        <v>#REF!</v>
      </c>
      <c r="P15" s="98" t="e">
        <f t="shared" si="13"/>
        <v>#REF!</v>
      </c>
      <c r="Q15" s="96" t="e">
        <f>'Labor Rates'!#REF!</f>
        <v>#REF!</v>
      </c>
      <c r="R15" s="101" t="e">
        <f t="shared" si="14"/>
        <v>#REF!</v>
      </c>
      <c r="S15" s="154" t="e">
        <f t="shared" si="0"/>
        <v>#REF!</v>
      </c>
      <c r="T15" s="120"/>
      <c r="U15" s="86" t="e">
        <f>'Labor Rates'!#REF!</f>
        <v>#REF!</v>
      </c>
      <c r="V15" s="98" t="e">
        <f t="shared" si="15"/>
        <v>#REF!</v>
      </c>
      <c r="W15" s="96" t="e">
        <f>'Labor Rates'!#REF!</f>
        <v>#REF!</v>
      </c>
      <c r="X15" s="98" t="e">
        <f t="shared" si="16"/>
        <v>#REF!</v>
      </c>
      <c r="Y15" s="96" t="e">
        <f>'Labor Rates'!#REF!</f>
        <v>#REF!</v>
      </c>
      <c r="Z15" s="101" t="e">
        <f t="shared" si="17"/>
        <v>#REF!</v>
      </c>
      <c r="AA15" s="154" t="e">
        <f t="shared" si="1"/>
        <v>#REF!</v>
      </c>
      <c r="AB15" s="120"/>
      <c r="AC15" s="86" t="e">
        <f>'Labor Rates'!#REF!</f>
        <v>#REF!</v>
      </c>
      <c r="AD15" s="98" t="e">
        <f t="shared" si="18"/>
        <v>#REF!</v>
      </c>
      <c r="AE15" s="96" t="e">
        <f>'Labor Rates'!#REF!</f>
        <v>#REF!</v>
      </c>
      <c r="AF15" s="98" t="e">
        <f t="shared" si="19"/>
        <v>#REF!</v>
      </c>
      <c r="AG15" s="96" t="e">
        <f>'Labor Rates'!#REF!</f>
        <v>#REF!</v>
      </c>
      <c r="AH15" s="101" t="e">
        <f t="shared" si="20"/>
        <v>#REF!</v>
      </c>
      <c r="AI15" s="154" t="e">
        <f t="shared" si="2"/>
        <v>#REF!</v>
      </c>
      <c r="AJ15" s="120"/>
      <c r="AK15" s="86" t="e">
        <f>'Labor Rates'!#REF!</f>
        <v>#REF!</v>
      </c>
      <c r="AL15" s="98" t="e">
        <f t="shared" si="21"/>
        <v>#REF!</v>
      </c>
      <c r="AM15" s="96" t="e">
        <f>'Labor Rates'!#REF!</f>
        <v>#REF!</v>
      </c>
      <c r="AN15" s="98" t="e">
        <f t="shared" si="22"/>
        <v>#REF!</v>
      </c>
      <c r="AO15" s="96" t="e">
        <f>'Labor Rates'!#REF!</f>
        <v>#REF!</v>
      </c>
      <c r="AP15" s="101" t="e">
        <f t="shared" si="23"/>
        <v>#REF!</v>
      </c>
      <c r="AQ15" s="154" t="e">
        <f t="shared" si="3"/>
        <v>#REF!</v>
      </c>
      <c r="AR15" s="103"/>
      <c r="AS15" s="86" t="e">
        <f>'Labor Rates'!#REF!</f>
        <v>#REF!</v>
      </c>
      <c r="AT15" s="98" t="e">
        <f t="shared" si="24"/>
        <v>#REF!</v>
      </c>
      <c r="AU15" s="96" t="e">
        <f>'Labor Rates'!#REF!</f>
        <v>#REF!</v>
      </c>
      <c r="AV15" s="98" t="e">
        <f t="shared" si="25"/>
        <v>#REF!</v>
      </c>
      <c r="AW15" s="96" t="e">
        <f>'Labor Rates'!#REF!</f>
        <v>#REF!</v>
      </c>
      <c r="AX15" s="101" t="e">
        <f t="shared" si="26"/>
        <v>#REF!</v>
      </c>
      <c r="AY15" s="154" t="e">
        <f t="shared" si="4"/>
        <v>#REF!</v>
      </c>
      <c r="AZ15" s="169">
        <f t="shared" si="5"/>
        <v>0</v>
      </c>
      <c r="BA15" s="168" t="e">
        <f t="shared" si="6"/>
        <v>#REF!</v>
      </c>
      <c r="BB15" s="162" t="e">
        <f t="shared" si="7"/>
        <v>#REF!</v>
      </c>
    </row>
    <row r="16" spans="1:54" x14ac:dyDescent="0.25">
      <c r="A16" s="9"/>
      <c r="B16" s="222" t="str">
        <f>IF(ISBLANK('Labor Rates'!D16),"",'Labor Rates'!D16)</f>
        <v/>
      </c>
      <c r="C16" s="223" t="str">
        <f>IF(ISBLANK('Labor Rates'!E16),"",'Labor Rates'!E16)</f>
        <v/>
      </c>
      <c r="D16" s="139"/>
      <c r="E16" s="98" t="e">
        <f>'Labor Rates'!#REF!</f>
        <v>#REF!</v>
      </c>
      <c r="F16" s="98" t="e">
        <f t="shared" si="8"/>
        <v>#REF!</v>
      </c>
      <c r="G16" s="96" t="e">
        <f>'Labor Rates'!#REF!</f>
        <v>#REF!</v>
      </c>
      <c r="H16" s="98" t="e">
        <f t="shared" si="9"/>
        <v>#REF!</v>
      </c>
      <c r="I16" s="96" t="e">
        <f>'Labor Rates'!#REF!</f>
        <v>#REF!</v>
      </c>
      <c r="J16" s="101" t="e">
        <f t="shared" si="10"/>
        <v>#REF!</v>
      </c>
      <c r="K16" s="154" t="e">
        <f t="shared" si="11"/>
        <v>#REF!</v>
      </c>
      <c r="L16" s="120"/>
      <c r="M16" s="86" t="e">
        <f>'Labor Rates'!#REF!</f>
        <v>#REF!</v>
      </c>
      <c r="N16" s="98" t="e">
        <f t="shared" si="12"/>
        <v>#REF!</v>
      </c>
      <c r="O16" s="96" t="e">
        <f>'Labor Rates'!#REF!</f>
        <v>#REF!</v>
      </c>
      <c r="P16" s="98" t="e">
        <f t="shared" si="13"/>
        <v>#REF!</v>
      </c>
      <c r="Q16" s="96" t="e">
        <f>'Labor Rates'!#REF!</f>
        <v>#REF!</v>
      </c>
      <c r="R16" s="101" t="e">
        <f t="shared" si="14"/>
        <v>#REF!</v>
      </c>
      <c r="S16" s="154" t="e">
        <f t="shared" si="0"/>
        <v>#REF!</v>
      </c>
      <c r="T16" s="120"/>
      <c r="U16" s="86" t="e">
        <f>'Labor Rates'!#REF!</f>
        <v>#REF!</v>
      </c>
      <c r="V16" s="98" t="e">
        <f t="shared" si="15"/>
        <v>#REF!</v>
      </c>
      <c r="W16" s="96" t="e">
        <f>'Labor Rates'!#REF!</f>
        <v>#REF!</v>
      </c>
      <c r="X16" s="98" t="e">
        <f t="shared" si="16"/>
        <v>#REF!</v>
      </c>
      <c r="Y16" s="96" t="e">
        <f>'Labor Rates'!#REF!</f>
        <v>#REF!</v>
      </c>
      <c r="Z16" s="101" t="e">
        <f t="shared" si="17"/>
        <v>#REF!</v>
      </c>
      <c r="AA16" s="154" t="e">
        <f t="shared" si="1"/>
        <v>#REF!</v>
      </c>
      <c r="AB16" s="120"/>
      <c r="AC16" s="86" t="e">
        <f>'Labor Rates'!#REF!</f>
        <v>#REF!</v>
      </c>
      <c r="AD16" s="98" t="e">
        <f t="shared" si="18"/>
        <v>#REF!</v>
      </c>
      <c r="AE16" s="96" t="e">
        <f>'Labor Rates'!#REF!</f>
        <v>#REF!</v>
      </c>
      <c r="AF16" s="98" t="e">
        <f t="shared" si="19"/>
        <v>#REF!</v>
      </c>
      <c r="AG16" s="96" t="e">
        <f>'Labor Rates'!#REF!</f>
        <v>#REF!</v>
      </c>
      <c r="AH16" s="101" t="e">
        <f t="shared" si="20"/>
        <v>#REF!</v>
      </c>
      <c r="AI16" s="154" t="e">
        <f t="shared" si="2"/>
        <v>#REF!</v>
      </c>
      <c r="AJ16" s="120"/>
      <c r="AK16" s="86" t="e">
        <f>'Labor Rates'!#REF!</f>
        <v>#REF!</v>
      </c>
      <c r="AL16" s="98" t="e">
        <f t="shared" si="21"/>
        <v>#REF!</v>
      </c>
      <c r="AM16" s="96" t="e">
        <f>'Labor Rates'!#REF!</f>
        <v>#REF!</v>
      </c>
      <c r="AN16" s="98" t="e">
        <f t="shared" si="22"/>
        <v>#REF!</v>
      </c>
      <c r="AO16" s="96" t="e">
        <f>'Labor Rates'!#REF!</f>
        <v>#REF!</v>
      </c>
      <c r="AP16" s="101" t="e">
        <f t="shared" si="23"/>
        <v>#REF!</v>
      </c>
      <c r="AQ16" s="154" t="e">
        <f t="shared" si="3"/>
        <v>#REF!</v>
      </c>
      <c r="AR16" s="103"/>
      <c r="AS16" s="86" t="e">
        <f>'Labor Rates'!#REF!</f>
        <v>#REF!</v>
      </c>
      <c r="AT16" s="98" t="e">
        <f t="shared" si="24"/>
        <v>#REF!</v>
      </c>
      <c r="AU16" s="96" t="e">
        <f>'Labor Rates'!#REF!</f>
        <v>#REF!</v>
      </c>
      <c r="AV16" s="98" t="e">
        <f t="shared" si="25"/>
        <v>#REF!</v>
      </c>
      <c r="AW16" s="96" t="e">
        <f>'Labor Rates'!#REF!</f>
        <v>#REF!</v>
      </c>
      <c r="AX16" s="101" t="e">
        <f t="shared" si="26"/>
        <v>#REF!</v>
      </c>
      <c r="AY16" s="154" t="e">
        <f t="shared" si="4"/>
        <v>#REF!</v>
      </c>
      <c r="AZ16" s="169">
        <f t="shared" si="5"/>
        <v>0</v>
      </c>
      <c r="BA16" s="168" t="e">
        <f t="shared" si="6"/>
        <v>#REF!</v>
      </c>
      <c r="BB16" s="162" t="e">
        <f t="shared" si="7"/>
        <v>#REF!</v>
      </c>
    </row>
    <row r="17" spans="1:54" x14ac:dyDescent="0.25">
      <c r="A17" s="9"/>
      <c r="B17" s="222" t="str">
        <f>IF(ISBLANK('Labor Rates'!D17),"",'Labor Rates'!D17)</f>
        <v/>
      </c>
      <c r="C17" s="223" t="str">
        <f>IF(ISBLANK('Labor Rates'!E17),"",'Labor Rates'!E17)</f>
        <v/>
      </c>
      <c r="D17" s="139"/>
      <c r="E17" s="98" t="e">
        <f>'Labor Rates'!#REF!</f>
        <v>#REF!</v>
      </c>
      <c r="F17" s="98" t="e">
        <f t="shared" si="8"/>
        <v>#REF!</v>
      </c>
      <c r="G17" s="96" t="e">
        <f>'Labor Rates'!#REF!</f>
        <v>#REF!</v>
      </c>
      <c r="H17" s="98" t="e">
        <f t="shared" si="9"/>
        <v>#REF!</v>
      </c>
      <c r="I17" s="96" t="e">
        <f>'Labor Rates'!#REF!</f>
        <v>#REF!</v>
      </c>
      <c r="J17" s="101" t="e">
        <f t="shared" si="10"/>
        <v>#REF!</v>
      </c>
      <c r="K17" s="154" t="e">
        <f t="shared" si="11"/>
        <v>#REF!</v>
      </c>
      <c r="L17" s="120"/>
      <c r="M17" s="86" t="e">
        <f>'Labor Rates'!#REF!</f>
        <v>#REF!</v>
      </c>
      <c r="N17" s="98" t="e">
        <f t="shared" si="12"/>
        <v>#REF!</v>
      </c>
      <c r="O17" s="96" t="e">
        <f>'Labor Rates'!#REF!</f>
        <v>#REF!</v>
      </c>
      <c r="P17" s="98" t="e">
        <f t="shared" si="13"/>
        <v>#REF!</v>
      </c>
      <c r="Q17" s="96" t="e">
        <f>'Labor Rates'!#REF!</f>
        <v>#REF!</v>
      </c>
      <c r="R17" s="101" t="e">
        <f t="shared" si="14"/>
        <v>#REF!</v>
      </c>
      <c r="S17" s="154" t="e">
        <f t="shared" si="0"/>
        <v>#REF!</v>
      </c>
      <c r="T17" s="120"/>
      <c r="U17" s="86" t="e">
        <f>'Labor Rates'!#REF!</f>
        <v>#REF!</v>
      </c>
      <c r="V17" s="98" t="e">
        <f t="shared" si="15"/>
        <v>#REF!</v>
      </c>
      <c r="W17" s="96" t="e">
        <f>'Labor Rates'!#REF!</f>
        <v>#REF!</v>
      </c>
      <c r="X17" s="98" t="e">
        <f t="shared" si="16"/>
        <v>#REF!</v>
      </c>
      <c r="Y17" s="96" t="e">
        <f>'Labor Rates'!#REF!</f>
        <v>#REF!</v>
      </c>
      <c r="Z17" s="101" t="e">
        <f t="shared" si="17"/>
        <v>#REF!</v>
      </c>
      <c r="AA17" s="154" t="e">
        <f t="shared" si="1"/>
        <v>#REF!</v>
      </c>
      <c r="AB17" s="120"/>
      <c r="AC17" s="86" t="e">
        <f>'Labor Rates'!#REF!</f>
        <v>#REF!</v>
      </c>
      <c r="AD17" s="98" t="e">
        <f t="shared" si="18"/>
        <v>#REF!</v>
      </c>
      <c r="AE17" s="96" t="e">
        <f>'Labor Rates'!#REF!</f>
        <v>#REF!</v>
      </c>
      <c r="AF17" s="98" t="e">
        <f t="shared" si="19"/>
        <v>#REF!</v>
      </c>
      <c r="AG17" s="96" t="e">
        <f>'Labor Rates'!#REF!</f>
        <v>#REF!</v>
      </c>
      <c r="AH17" s="101" t="e">
        <f t="shared" si="20"/>
        <v>#REF!</v>
      </c>
      <c r="AI17" s="154" t="e">
        <f t="shared" si="2"/>
        <v>#REF!</v>
      </c>
      <c r="AJ17" s="120"/>
      <c r="AK17" s="86" t="e">
        <f>'Labor Rates'!#REF!</f>
        <v>#REF!</v>
      </c>
      <c r="AL17" s="98" t="e">
        <f t="shared" si="21"/>
        <v>#REF!</v>
      </c>
      <c r="AM17" s="96" t="e">
        <f>'Labor Rates'!#REF!</f>
        <v>#REF!</v>
      </c>
      <c r="AN17" s="98" t="e">
        <f t="shared" si="22"/>
        <v>#REF!</v>
      </c>
      <c r="AO17" s="96" t="e">
        <f>'Labor Rates'!#REF!</f>
        <v>#REF!</v>
      </c>
      <c r="AP17" s="101" t="e">
        <f t="shared" si="23"/>
        <v>#REF!</v>
      </c>
      <c r="AQ17" s="154" t="e">
        <f t="shared" si="3"/>
        <v>#REF!</v>
      </c>
      <c r="AR17" s="103"/>
      <c r="AS17" s="86" t="e">
        <f>'Labor Rates'!#REF!</f>
        <v>#REF!</v>
      </c>
      <c r="AT17" s="98" t="e">
        <f t="shared" si="24"/>
        <v>#REF!</v>
      </c>
      <c r="AU17" s="96" t="e">
        <f>'Labor Rates'!#REF!</f>
        <v>#REF!</v>
      </c>
      <c r="AV17" s="98" t="e">
        <f t="shared" si="25"/>
        <v>#REF!</v>
      </c>
      <c r="AW17" s="96" t="e">
        <f>'Labor Rates'!#REF!</f>
        <v>#REF!</v>
      </c>
      <c r="AX17" s="101" t="e">
        <f t="shared" si="26"/>
        <v>#REF!</v>
      </c>
      <c r="AY17" s="154" t="e">
        <f t="shared" si="4"/>
        <v>#REF!</v>
      </c>
      <c r="AZ17" s="169">
        <f t="shared" si="5"/>
        <v>0</v>
      </c>
      <c r="BA17" s="168" t="e">
        <f t="shared" si="6"/>
        <v>#REF!</v>
      </c>
      <c r="BB17" s="162" t="e">
        <f t="shared" si="7"/>
        <v>#REF!</v>
      </c>
    </row>
    <row r="18" spans="1:54" x14ac:dyDescent="0.25">
      <c r="A18" s="9"/>
      <c r="B18" s="222" t="str">
        <f>IF(ISBLANK('Labor Rates'!D18),"",'Labor Rates'!D18)</f>
        <v/>
      </c>
      <c r="C18" s="223" t="str">
        <f>IF(ISBLANK('Labor Rates'!E18),"",'Labor Rates'!E18)</f>
        <v/>
      </c>
      <c r="D18" s="139"/>
      <c r="E18" s="98" t="e">
        <f>'Labor Rates'!#REF!</f>
        <v>#REF!</v>
      </c>
      <c r="F18" s="98" t="e">
        <f t="shared" si="8"/>
        <v>#REF!</v>
      </c>
      <c r="G18" s="96" t="e">
        <f>'Labor Rates'!#REF!</f>
        <v>#REF!</v>
      </c>
      <c r="H18" s="98" t="e">
        <f t="shared" si="9"/>
        <v>#REF!</v>
      </c>
      <c r="I18" s="96" t="e">
        <f>'Labor Rates'!#REF!</f>
        <v>#REF!</v>
      </c>
      <c r="J18" s="101" t="e">
        <f t="shared" si="10"/>
        <v>#REF!</v>
      </c>
      <c r="K18" s="154" t="e">
        <f t="shared" si="11"/>
        <v>#REF!</v>
      </c>
      <c r="L18" s="120"/>
      <c r="M18" s="86" t="e">
        <f>'Labor Rates'!#REF!</f>
        <v>#REF!</v>
      </c>
      <c r="N18" s="98" t="e">
        <f t="shared" si="12"/>
        <v>#REF!</v>
      </c>
      <c r="O18" s="96" t="e">
        <f>'Labor Rates'!#REF!</f>
        <v>#REF!</v>
      </c>
      <c r="P18" s="98" t="e">
        <f t="shared" si="13"/>
        <v>#REF!</v>
      </c>
      <c r="Q18" s="96" t="e">
        <f>'Labor Rates'!#REF!</f>
        <v>#REF!</v>
      </c>
      <c r="R18" s="101" t="e">
        <f t="shared" si="14"/>
        <v>#REF!</v>
      </c>
      <c r="S18" s="154" t="e">
        <f t="shared" si="0"/>
        <v>#REF!</v>
      </c>
      <c r="T18" s="120"/>
      <c r="U18" s="86" t="e">
        <f>'Labor Rates'!#REF!</f>
        <v>#REF!</v>
      </c>
      <c r="V18" s="98" t="e">
        <f t="shared" si="15"/>
        <v>#REF!</v>
      </c>
      <c r="W18" s="96" t="e">
        <f>'Labor Rates'!#REF!</f>
        <v>#REF!</v>
      </c>
      <c r="X18" s="98" t="e">
        <f t="shared" si="16"/>
        <v>#REF!</v>
      </c>
      <c r="Y18" s="96" t="e">
        <f>'Labor Rates'!#REF!</f>
        <v>#REF!</v>
      </c>
      <c r="Z18" s="101" t="e">
        <f t="shared" si="17"/>
        <v>#REF!</v>
      </c>
      <c r="AA18" s="154" t="e">
        <f t="shared" si="1"/>
        <v>#REF!</v>
      </c>
      <c r="AB18" s="120"/>
      <c r="AC18" s="86" t="e">
        <f>'Labor Rates'!#REF!</f>
        <v>#REF!</v>
      </c>
      <c r="AD18" s="98" t="e">
        <f t="shared" si="18"/>
        <v>#REF!</v>
      </c>
      <c r="AE18" s="96" t="e">
        <f>'Labor Rates'!#REF!</f>
        <v>#REF!</v>
      </c>
      <c r="AF18" s="98" t="e">
        <f t="shared" si="19"/>
        <v>#REF!</v>
      </c>
      <c r="AG18" s="96" t="e">
        <f>'Labor Rates'!#REF!</f>
        <v>#REF!</v>
      </c>
      <c r="AH18" s="101" t="e">
        <f t="shared" si="20"/>
        <v>#REF!</v>
      </c>
      <c r="AI18" s="154" t="e">
        <f t="shared" si="2"/>
        <v>#REF!</v>
      </c>
      <c r="AJ18" s="120"/>
      <c r="AK18" s="86" t="e">
        <f>'Labor Rates'!#REF!</f>
        <v>#REF!</v>
      </c>
      <c r="AL18" s="98" t="e">
        <f t="shared" si="21"/>
        <v>#REF!</v>
      </c>
      <c r="AM18" s="96" t="e">
        <f>'Labor Rates'!#REF!</f>
        <v>#REF!</v>
      </c>
      <c r="AN18" s="98" t="e">
        <f t="shared" si="22"/>
        <v>#REF!</v>
      </c>
      <c r="AO18" s="96" t="e">
        <f>'Labor Rates'!#REF!</f>
        <v>#REF!</v>
      </c>
      <c r="AP18" s="101" t="e">
        <f t="shared" si="23"/>
        <v>#REF!</v>
      </c>
      <c r="AQ18" s="154" t="e">
        <f t="shared" si="3"/>
        <v>#REF!</v>
      </c>
      <c r="AR18" s="103"/>
      <c r="AS18" s="86" t="e">
        <f>'Labor Rates'!#REF!</f>
        <v>#REF!</v>
      </c>
      <c r="AT18" s="98" t="e">
        <f t="shared" si="24"/>
        <v>#REF!</v>
      </c>
      <c r="AU18" s="96" t="e">
        <f>'Labor Rates'!#REF!</f>
        <v>#REF!</v>
      </c>
      <c r="AV18" s="98" t="e">
        <f t="shared" si="25"/>
        <v>#REF!</v>
      </c>
      <c r="AW18" s="96" t="e">
        <f>'Labor Rates'!#REF!</f>
        <v>#REF!</v>
      </c>
      <c r="AX18" s="101" t="e">
        <f t="shared" si="26"/>
        <v>#REF!</v>
      </c>
      <c r="AY18" s="154" t="e">
        <f t="shared" si="4"/>
        <v>#REF!</v>
      </c>
      <c r="AZ18" s="169">
        <f t="shared" si="5"/>
        <v>0</v>
      </c>
      <c r="BA18" s="168" t="e">
        <f t="shared" si="6"/>
        <v>#REF!</v>
      </c>
      <c r="BB18" s="162" t="e">
        <f t="shared" si="7"/>
        <v>#REF!</v>
      </c>
    </row>
    <row r="19" spans="1:54" x14ac:dyDescent="0.25">
      <c r="A19" s="9"/>
      <c r="B19" s="222" t="str">
        <f>IF(ISBLANK('Labor Rates'!D19),"",'Labor Rates'!D19)</f>
        <v/>
      </c>
      <c r="C19" s="223" t="str">
        <f>IF(ISBLANK('Labor Rates'!E19),"",'Labor Rates'!E19)</f>
        <v/>
      </c>
      <c r="D19" s="139"/>
      <c r="E19" s="98" t="e">
        <f>'Labor Rates'!#REF!</f>
        <v>#REF!</v>
      </c>
      <c r="F19" s="98" t="e">
        <f t="shared" si="8"/>
        <v>#REF!</v>
      </c>
      <c r="G19" s="96" t="e">
        <f>'Labor Rates'!#REF!</f>
        <v>#REF!</v>
      </c>
      <c r="H19" s="98" t="e">
        <f t="shared" si="9"/>
        <v>#REF!</v>
      </c>
      <c r="I19" s="96" t="e">
        <f>'Labor Rates'!#REF!</f>
        <v>#REF!</v>
      </c>
      <c r="J19" s="101" t="e">
        <f t="shared" si="10"/>
        <v>#REF!</v>
      </c>
      <c r="K19" s="154" t="e">
        <f t="shared" si="11"/>
        <v>#REF!</v>
      </c>
      <c r="L19" s="120"/>
      <c r="M19" s="86" t="e">
        <f>'Labor Rates'!#REF!</f>
        <v>#REF!</v>
      </c>
      <c r="N19" s="98" t="e">
        <f t="shared" si="12"/>
        <v>#REF!</v>
      </c>
      <c r="O19" s="96" t="e">
        <f>'Labor Rates'!#REF!</f>
        <v>#REF!</v>
      </c>
      <c r="P19" s="98" t="e">
        <f t="shared" si="13"/>
        <v>#REF!</v>
      </c>
      <c r="Q19" s="96" t="e">
        <f>'Labor Rates'!#REF!</f>
        <v>#REF!</v>
      </c>
      <c r="R19" s="101" t="e">
        <f t="shared" si="14"/>
        <v>#REF!</v>
      </c>
      <c r="S19" s="154" t="e">
        <f t="shared" si="0"/>
        <v>#REF!</v>
      </c>
      <c r="T19" s="120"/>
      <c r="U19" s="86" t="e">
        <f>'Labor Rates'!#REF!</f>
        <v>#REF!</v>
      </c>
      <c r="V19" s="98" t="e">
        <f t="shared" si="15"/>
        <v>#REF!</v>
      </c>
      <c r="W19" s="96" t="e">
        <f>'Labor Rates'!#REF!</f>
        <v>#REF!</v>
      </c>
      <c r="X19" s="98" t="e">
        <f t="shared" si="16"/>
        <v>#REF!</v>
      </c>
      <c r="Y19" s="96" t="e">
        <f>'Labor Rates'!#REF!</f>
        <v>#REF!</v>
      </c>
      <c r="Z19" s="101" t="e">
        <f t="shared" si="17"/>
        <v>#REF!</v>
      </c>
      <c r="AA19" s="154" t="e">
        <f t="shared" si="1"/>
        <v>#REF!</v>
      </c>
      <c r="AB19" s="120"/>
      <c r="AC19" s="86" t="e">
        <f>'Labor Rates'!#REF!</f>
        <v>#REF!</v>
      </c>
      <c r="AD19" s="98" t="e">
        <f t="shared" si="18"/>
        <v>#REF!</v>
      </c>
      <c r="AE19" s="96" t="e">
        <f>'Labor Rates'!#REF!</f>
        <v>#REF!</v>
      </c>
      <c r="AF19" s="98" t="e">
        <f t="shared" si="19"/>
        <v>#REF!</v>
      </c>
      <c r="AG19" s="96" t="e">
        <f>'Labor Rates'!#REF!</f>
        <v>#REF!</v>
      </c>
      <c r="AH19" s="101" t="e">
        <f t="shared" si="20"/>
        <v>#REF!</v>
      </c>
      <c r="AI19" s="154" t="e">
        <f t="shared" si="2"/>
        <v>#REF!</v>
      </c>
      <c r="AJ19" s="120"/>
      <c r="AK19" s="86" t="e">
        <f>'Labor Rates'!#REF!</f>
        <v>#REF!</v>
      </c>
      <c r="AL19" s="98" t="e">
        <f t="shared" si="21"/>
        <v>#REF!</v>
      </c>
      <c r="AM19" s="96" t="e">
        <f>'Labor Rates'!#REF!</f>
        <v>#REF!</v>
      </c>
      <c r="AN19" s="98" t="e">
        <f t="shared" si="22"/>
        <v>#REF!</v>
      </c>
      <c r="AO19" s="96" t="e">
        <f>'Labor Rates'!#REF!</f>
        <v>#REF!</v>
      </c>
      <c r="AP19" s="101" t="e">
        <f t="shared" si="23"/>
        <v>#REF!</v>
      </c>
      <c r="AQ19" s="154" t="e">
        <f t="shared" si="3"/>
        <v>#REF!</v>
      </c>
      <c r="AR19" s="103"/>
      <c r="AS19" s="86" t="e">
        <f>'Labor Rates'!#REF!</f>
        <v>#REF!</v>
      </c>
      <c r="AT19" s="98" t="e">
        <f t="shared" si="24"/>
        <v>#REF!</v>
      </c>
      <c r="AU19" s="96" t="e">
        <f>'Labor Rates'!#REF!</f>
        <v>#REF!</v>
      </c>
      <c r="AV19" s="98" t="e">
        <f t="shared" si="25"/>
        <v>#REF!</v>
      </c>
      <c r="AW19" s="96" t="e">
        <f>'Labor Rates'!#REF!</f>
        <v>#REF!</v>
      </c>
      <c r="AX19" s="101" t="e">
        <f t="shared" si="26"/>
        <v>#REF!</v>
      </c>
      <c r="AY19" s="154" t="e">
        <f t="shared" si="4"/>
        <v>#REF!</v>
      </c>
      <c r="AZ19" s="169">
        <f t="shared" si="5"/>
        <v>0</v>
      </c>
      <c r="BA19" s="168" t="e">
        <f t="shared" si="6"/>
        <v>#REF!</v>
      </c>
      <c r="BB19" s="162" t="e">
        <f t="shared" si="7"/>
        <v>#REF!</v>
      </c>
    </row>
    <row r="20" spans="1:54" x14ac:dyDescent="0.25">
      <c r="A20" s="9"/>
      <c r="B20" s="222" t="str">
        <f>IF(ISBLANK('Labor Rates'!D20),"",'Labor Rates'!D20)</f>
        <v/>
      </c>
      <c r="C20" s="223" t="str">
        <f>IF(ISBLANK('Labor Rates'!E20),"",'Labor Rates'!E20)</f>
        <v/>
      </c>
      <c r="D20" s="139"/>
      <c r="E20" s="98" t="e">
        <f>'Labor Rates'!#REF!</f>
        <v>#REF!</v>
      </c>
      <c r="F20" s="98" t="e">
        <f t="shared" si="8"/>
        <v>#REF!</v>
      </c>
      <c r="G20" s="96" t="e">
        <f>'Labor Rates'!#REF!</f>
        <v>#REF!</v>
      </c>
      <c r="H20" s="98" t="e">
        <f t="shared" si="9"/>
        <v>#REF!</v>
      </c>
      <c r="I20" s="96" t="e">
        <f>'Labor Rates'!#REF!</f>
        <v>#REF!</v>
      </c>
      <c r="J20" s="101" t="e">
        <f t="shared" si="10"/>
        <v>#REF!</v>
      </c>
      <c r="K20" s="154" t="e">
        <f t="shared" si="11"/>
        <v>#REF!</v>
      </c>
      <c r="L20" s="120"/>
      <c r="M20" s="86" t="e">
        <f>'Labor Rates'!#REF!</f>
        <v>#REF!</v>
      </c>
      <c r="N20" s="98" t="e">
        <f t="shared" si="12"/>
        <v>#REF!</v>
      </c>
      <c r="O20" s="96" t="e">
        <f>'Labor Rates'!#REF!</f>
        <v>#REF!</v>
      </c>
      <c r="P20" s="98" t="e">
        <f t="shared" si="13"/>
        <v>#REF!</v>
      </c>
      <c r="Q20" s="96" t="e">
        <f>'Labor Rates'!#REF!</f>
        <v>#REF!</v>
      </c>
      <c r="R20" s="101" t="e">
        <f t="shared" si="14"/>
        <v>#REF!</v>
      </c>
      <c r="S20" s="154" t="e">
        <f t="shared" si="0"/>
        <v>#REF!</v>
      </c>
      <c r="T20" s="120"/>
      <c r="U20" s="86" t="e">
        <f>'Labor Rates'!#REF!</f>
        <v>#REF!</v>
      </c>
      <c r="V20" s="98" t="e">
        <f t="shared" si="15"/>
        <v>#REF!</v>
      </c>
      <c r="W20" s="96" t="e">
        <f>'Labor Rates'!#REF!</f>
        <v>#REF!</v>
      </c>
      <c r="X20" s="98" t="e">
        <f t="shared" si="16"/>
        <v>#REF!</v>
      </c>
      <c r="Y20" s="96" t="e">
        <f>'Labor Rates'!#REF!</f>
        <v>#REF!</v>
      </c>
      <c r="Z20" s="101" t="e">
        <f t="shared" si="17"/>
        <v>#REF!</v>
      </c>
      <c r="AA20" s="154" t="e">
        <f t="shared" si="1"/>
        <v>#REF!</v>
      </c>
      <c r="AB20" s="120"/>
      <c r="AC20" s="86" t="e">
        <f>'Labor Rates'!#REF!</f>
        <v>#REF!</v>
      </c>
      <c r="AD20" s="98" t="e">
        <f t="shared" si="18"/>
        <v>#REF!</v>
      </c>
      <c r="AE20" s="96" t="e">
        <f>'Labor Rates'!#REF!</f>
        <v>#REF!</v>
      </c>
      <c r="AF20" s="98" t="e">
        <f t="shared" si="19"/>
        <v>#REF!</v>
      </c>
      <c r="AG20" s="96" t="e">
        <f>'Labor Rates'!#REF!</f>
        <v>#REF!</v>
      </c>
      <c r="AH20" s="101" t="e">
        <f t="shared" si="20"/>
        <v>#REF!</v>
      </c>
      <c r="AI20" s="154" t="e">
        <f t="shared" si="2"/>
        <v>#REF!</v>
      </c>
      <c r="AJ20" s="120"/>
      <c r="AK20" s="86" t="e">
        <f>'Labor Rates'!#REF!</f>
        <v>#REF!</v>
      </c>
      <c r="AL20" s="98" t="e">
        <f t="shared" si="21"/>
        <v>#REF!</v>
      </c>
      <c r="AM20" s="96" t="e">
        <f>'Labor Rates'!#REF!</f>
        <v>#REF!</v>
      </c>
      <c r="AN20" s="98" t="e">
        <f t="shared" si="22"/>
        <v>#REF!</v>
      </c>
      <c r="AO20" s="96" t="e">
        <f>'Labor Rates'!#REF!</f>
        <v>#REF!</v>
      </c>
      <c r="AP20" s="101" t="e">
        <f t="shared" si="23"/>
        <v>#REF!</v>
      </c>
      <c r="AQ20" s="154" t="e">
        <f t="shared" si="3"/>
        <v>#REF!</v>
      </c>
      <c r="AR20" s="103"/>
      <c r="AS20" s="86" t="e">
        <f>'Labor Rates'!#REF!</f>
        <v>#REF!</v>
      </c>
      <c r="AT20" s="98" t="e">
        <f t="shared" si="24"/>
        <v>#REF!</v>
      </c>
      <c r="AU20" s="96" t="e">
        <f>'Labor Rates'!#REF!</f>
        <v>#REF!</v>
      </c>
      <c r="AV20" s="98" t="e">
        <f t="shared" si="25"/>
        <v>#REF!</v>
      </c>
      <c r="AW20" s="96" t="e">
        <f>'Labor Rates'!#REF!</f>
        <v>#REF!</v>
      </c>
      <c r="AX20" s="101" t="e">
        <f t="shared" si="26"/>
        <v>#REF!</v>
      </c>
      <c r="AY20" s="154" t="e">
        <f t="shared" si="4"/>
        <v>#REF!</v>
      </c>
      <c r="AZ20" s="169">
        <f t="shared" si="5"/>
        <v>0</v>
      </c>
      <c r="BA20" s="168" t="e">
        <f t="shared" si="6"/>
        <v>#REF!</v>
      </c>
      <c r="BB20" s="162" t="e">
        <f t="shared" si="7"/>
        <v>#REF!</v>
      </c>
    </row>
    <row r="21" spans="1:54" x14ac:dyDescent="0.25">
      <c r="A21" s="9"/>
      <c r="B21" s="222" t="str">
        <f>IF(ISBLANK('Labor Rates'!D21),"",'Labor Rates'!D21)</f>
        <v/>
      </c>
      <c r="C21" s="223" t="str">
        <f>IF(ISBLANK('Labor Rates'!E21),"",'Labor Rates'!E21)</f>
        <v/>
      </c>
      <c r="D21" s="139"/>
      <c r="E21" s="98" t="e">
        <f>'Labor Rates'!#REF!</f>
        <v>#REF!</v>
      </c>
      <c r="F21" s="98" t="e">
        <f t="shared" si="8"/>
        <v>#REF!</v>
      </c>
      <c r="G21" s="96" t="e">
        <f>'Labor Rates'!#REF!</f>
        <v>#REF!</v>
      </c>
      <c r="H21" s="98" t="e">
        <f t="shared" si="9"/>
        <v>#REF!</v>
      </c>
      <c r="I21" s="96" t="e">
        <f>'Labor Rates'!#REF!</f>
        <v>#REF!</v>
      </c>
      <c r="J21" s="101" t="e">
        <f t="shared" si="10"/>
        <v>#REF!</v>
      </c>
      <c r="K21" s="154" t="e">
        <f t="shared" si="11"/>
        <v>#REF!</v>
      </c>
      <c r="L21" s="120"/>
      <c r="M21" s="86" t="e">
        <f>'Labor Rates'!#REF!</f>
        <v>#REF!</v>
      </c>
      <c r="N21" s="98" t="e">
        <f t="shared" si="12"/>
        <v>#REF!</v>
      </c>
      <c r="O21" s="96" t="e">
        <f>'Labor Rates'!#REF!</f>
        <v>#REF!</v>
      </c>
      <c r="P21" s="98" t="e">
        <f t="shared" si="13"/>
        <v>#REF!</v>
      </c>
      <c r="Q21" s="96" t="e">
        <f>'Labor Rates'!#REF!</f>
        <v>#REF!</v>
      </c>
      <c r="R21" s="101" t="e">
        <f t="shared" si="14"/>
        <v>#REF!</v>
      </c>
      <c r="S21" s="154" t="e">
        <f t="shared" si="0"/>
        <v>#REF!</v>
      </c>
      <c r="T21" s="120"/>
      <c r="U21" s="86" t="e">
        <f>'Labor Rates'!#REF!</f>
        <v>#REF!</v>
      </c>
      <c r="V21" s="98" t="e">
        <f t="shared" si="15"/>
        <v>#REF!</v>
      </c>
      <c r="W21" s="96" t="e">
        <f>'Labor Rates'!#REF!</f>
        <v>#REF!</v>
      </c>
      <c r="X21" s="98" t="e">
        <f t="shared" si="16"/>
        <v>#REF!</v>
      </c>
      <c r="Y21" s="96" t="e">
        <f>'Labor Rates'!#REF!</f>
        <v>#REF!</v>
      </c>
      <c r="Z21" s="101" t="e">
        <f t="shared" si="17"/>
        <v>#REF!</v>
      </c>
      <c r="AA21" s="154" t="e">
        <f t="shared" si="1"/>
        <v>#REF!</v>
      </c>
      <c r="AB21" s="120"/>
      <c r="AC21" s="86" t="e">
        <f>'Labor Rates'!#REF!</f>
        <v>#REF!</v>
      </c>
      <c r="AD21" s="98" t="e">
        <f t="shared" si="18"/>
        <v>#REF!</v>
      </c>
      <c r="AE21" s="96" t="e">
        <f>'Labor Rates'!#REF!</f>
        <v>#REF!</v>
      </c>
      <c r="AF21" s="98" t="e">
        <f t="shared" si="19"/>
        <v>#REF!</v>
      </c>
      <c r="AG21" s="96" t="e">
        <f>'Labor Rates'!#REF!</f>
        <v>#REF!</v>
      </c>
      <c r="AH21" s="101" t="e">
        <f t="shared" si="20"/>
        <v>#REF!</v>
      </c>
      <c r="AI21" s="154" t="e">
        <f t="shared" si="2"/>
        <v>#REF!</v>
      </c>
      <c r="AJ21" s="120"/>
      <c r="AK21" s="86" t="e">
        <f>'Labor Rates'!#REF!</f>
        <v>#REF!</v>
      </c>
      <c r="AL21" s="98" t="e">
        <f t="shared" si="21"/>
        <v>#REF!</v>
      </c>
      <c r="AM21" s="96" t="e">
        <f>'Labor Rates'!#REF!</f>
        <v>#REF!</v>
      </c>
      <c r="AN21" s="98" t="e">
        <f t="shared" si="22"/>
        <v>#REF!</v>
      </c>
      <c r="AO21" s="96" t="e">
        <f>'Labor Rates'!#REF!</f>
        <v>#REF!</v>
      </c>
      <c r="AP21" s="101" t="e">
        <f t="shared" si="23"/>
        <v>#REF!</v>
      </c>
      <c r="AQ21" s="154" t="e">
        <f t="shared" si="3"/>
        <v>#REF!</v>
      </c>
      <c r="AR21" s="103"/>
      <c r="AS21" s="86" t="e">
        <f>'Labor Rates'!#REF!</f>
        <v>#REF!</v>
      </c>
      <c r="AT21" s="98" t="e">
        <f t="shared" si="24"/>
        <v>#REF!</v>
      </c>
      <c r="AU21" s="96" t="e">
        <f>'Labor Rates'!#REF!</f>
        <v>#REF!</v>
      </c>
      <c r="AV21" s="98" t="e">
        <f t="shared" si="25"/>
        <v>#REF!</v>
      </c>
      <c r="AW21" s="96" t="e">
        <f>'Labor Rates'!#REF!</f>
        <v>#REF!</v>
      </c>
      <c r="AX21" s="101" t="e">
        <f t="shared" si="26"/>
        <v>#REF!</v>
      </c>
      <c r="AY21" s="154" t="e">
        <f t="shared" si="4"/>
        <v>#REF!</v>
      </c>
      <c r="AZ21" s="169">
        <f t="shared" si="5"/>
        <v>0</v>
      </c>
      <c r="BA21" s="168" t="e">
        <f t="shared" si="6"/>
        <v>#REF!</v>
      </c>
      <c r="BB21" s="162" t="e">
        <f t="shared" si="7"/>
        <v>#REF!</v>
      </c>
    </row>
    <row r="22" spans="1:54" x14ac:dyDescent="0.25">
      <c r="A22" s="9"/>
      <c r="B22" s="222" t="str">
        <f>IF(ISBLANK('Labor Rates'!D22),"",'Labor Rates'!D22)</f>
        <v/>
      </c>
      <c r="C22" s="223" t="str">
        <f>IF(ISBLANK('Labor Rates'!E22),"",'Labor Rates'!E22)</f>
        <v/>
      </c>
      <c r="D22" s="139"/>
      <c r="E22" s="98" t="e">
        <f>'Labor Rates'!#REF!</f>
        <v>#REF!</v>
      </c>
      <c r="F22" s="98" t="e">
        <f t="shared" si="8"/>
        <v>#REF!</v>
      </c>
      <c r="G22" s="96" t="e">
        <f>'Labor Rates'!#REF!</f>
        <v>#REF!</v>
      </c>
      <c r="H22" s="98" t="e">
        <f t="shared" si="9"/>
        <v>#REF!</v>
      </c>
      <c r="I22" s="96" t="e">
        <f>'Labor Rates'!#REF!</f>
        <v>#REF!</v>
      </c>
      <c r="J22" s="101" t="e">
        <f t="shared" si="10"/>
        <v>#REF!</v>
      </c>
      <c r="K22" s="154" t="e">
        <f t="shared" si="11"/>
        <v>#REF!</v>
      </c>
      <c r="L22" s="120"/>
      <c r="M22" s="86" t="e">
        <f>'Labor Rates'!#REF!</f>
        <v>#REF!</v>
      </c>
      <c r="N22" s="98" t="e">
        <f t="shared" si="12"/>
        <v>#REF!</v>
      </c>
      <c r="O22" s="96" t="e">
        <f>'Labor Rates'!#REF!</f>
        <v>#REF!</v>
      </c>
      <c r="P22" s="98" t="e">
        <f t="shared" si="13"/>
        <v>#REF!</v>
      </c>
      <c r="Q22" s="96" t="e">
        <f>'Labor Rates'!#REF!</f>
        <v>#REF!</v>
      </c>
      <c r="R22" s="101" t="e">
        <f t="shared" si="14"/>
        <v>#REF!</v>
      </c>
      <c r="S22" s="154" t="e">
        <f t="shared" si="0"/>
        <v>#REF!</v>
      </c>
      <c r="T22" s="120"/>
      <c r="U22" s="86" t="e">
        <f>'Labor Rates'!#REF!</f>
        <v>#REF!</v>
      </c>
      <c r="V22" s="98" t="e">
        <f t="shared" si="15"/>
        <v>#REF!</v>
      </c>
      <c r="W22" s="96" t="e">
        <f>'Labor Rates'!#REF!</f>
        <v>#REF!</v>
      </c>
      <c r="X22" s="98" t="e">
        <f t="shared" si="16"/>
        <v>#REF!</v>
      </c>
      <c r="Y22" s="96" t="e">
        <f>'Labor Rates'!#REF!</f>
        <v>#REF!</v>
      </c>
      <c r="Z22" s="101" t="e">
        <f t="shared" si="17"/>
        <v>#REF!</v>
      </c>
      <c r="AA22" s="154" t="e">
        <f t="shared" si="1"/>
        <v>#REF!</v>
      </c>
      <c r="AB22" s="120"/>
      <c r="AC22" s="86" t="e">
        <f>'Labor Rates'!#REF!</f>
        <v>#REF!</v>
      </c>
      <c r="AD22" s="98" t="e">
        <f t="shared" si="18"/>
        <v>#REF!</v>
      </c>
      <c r="AE22" s="96" t="e">
        <f>'Labor Rates'!#REF!</f>
        <v>#REF!</v>
      </c>
      <c r="AF22" s="98" t="e">
        <f t="shared" si="19"/>
        <v>#REF!</v>
      </c>
      <c r="AG22" s="96" t="e">
        <f>'Labor Rates'!#REF!</f>
        <v>#REF!</v>
      </c>
      <c r="AH22" s="101" t="e">
        <f t="shared" si="20"/>
        <v>#REF!</v>
      </c>
      <c r="AI22" s="154" t="e">
        <f t="shared" si="2"/>
        <v>#REF!</v>
      </c>
      <c r="AJ22" s="120"/>
      <c r="AK22" s="86" t="e">
        <f>'Labor Rates'!#REF!</f>
        <v>#REF!</v>
      </c>
      <c r="AL22" s="98" t="e">
        <f t="shared" si="21"/>
        <v>#REF!</v>
      </c>
      <c r="AM22" s="96" t="e">
        <f>'Labor Rates'!#REF!</f>
        <v>#REF!</v>
      </c>
      <c r="AN22" s="98" t="e">
        <f t="shared" si="22"/>
        <v>#REF!</v>
      </c>
      <c r="AO22" s="96" t="e">
        <f>'Labor Rates'!#REF!</f>
        <v>#REF!</v>
      </c>
      <c r="AP22" s="101" t="e">
        <f t="shared" si="23"/>
        <v>#REF!</v>
      </c>
      <c r="AQ22" s="154" t="e">
        <f t="shared" si="3"/>
        <v>#REF!</v>
      </c>
      <c r="AR22" s="103"/>
      <c r="AS22" s="86" t="e">
        <f>'Labor Rates'!#REF!</f>
        <v>#REF!</v>
      </c>
      <c r="AT22" s="98" t="e">
        <f t="shared" si="24"/>
        <v>#REF!</v>
      </c>
      <c r="AU22" s="96" t="e">
        <f>'Labor Rates'!#REF!</f>
        <v>#REF!</v>
      </c>
      <c r="AV22" s="98" t="e">
        <f t="shared" si="25"/>
        <v>#REF!</v>
      </c>
      <c r="AW22" s="96" t="e">
        <f>'Labor Rates'!#REF!</f>
        <v>#REF!</v>
      </c>
      <c r="AX22" s="101" t="e">
        <f t="shared" si="26"/>
        <v>#REF!</v>
      </c>
      <c r="AY22" s="154" t="e">
        <f t="shared" si="4"/>
        <v>#REF!</v>
      </c>
      <c r="AZ22" s="169">
        <f t="shared" si="5"/>
        <v>0</v>
      </c>
      <c r="BA22" s="168" t="e">
        <f t="shared" si="6"/>
        <v>#REF!</v>
      </c>
      <c r="BB22" s="162" t="e">
        <f t="shared" si="7"/>
        <v>#REF!</v>
      </c>
    </row>
    <row r="23" spans="1:54" x14ac:dyDescent="0.25">
      <c r="A23" s="9"/>
      <c r="B23" s="222" t="str">
        <f>IF(ISBLANK('Labor Rates'!D23),"",'Labor Rates'!D23)</f>
        <v/>
      </c>
      <c r="C23" s="223" t="str">
        <f>IF(ISBLANK('Labor Rates'!E23),"",'Labor Rates'!E23)</f>
        <v/>
      </c>
      <c r="D23" s="139"/>
      <c r="E23" s="98" t="e">
        <f>'Labor Rates'!#REF!</f>
        <v>#REF!</v>
      </c>
      <c r="F23" s="98" t="e">
        <f t="shared" si="8"/>
        <v>#REF!</v>
      </c>
      <c r="G23" s="96" t="e">
        <f>'Labor Rates'!#REF!</f>
        <v>#REF!</v>
      </c>
      <c r="H23" s="98" t="e">
        <f t="shared" si="9"/>
        <v>#REF!</v>
      </c>
      <c r="I23" s="96" t="e">
        <f>'Labor Rates'!#REF!</f>
        <v>#REF!</v>
      </c>
      <c r="J23" s="101" t="e">
        <f t="shared" si="10"/>
        <v>#REF!</v>
      </c>
      <c r="K23" s="154" t="e">
        <f t="shared" si="11"/>
        <v>#REF!</v>
      </c>
      <c r="L23" s="120"/>
      <c r="M23" s="86" t="e">
        <f>'Labor Rates'!#REF!</f>
        <v>#REF!</v>
      </c>
      <c r="N23" s="98" t="e">
        <f t="shared" si="12"/>
        <v>#REF!</v>
      </c>
      <c r="O23" s="96" t="e">
        <f>'Labor Rates'!#REF!</f>
        <v>#REF!</v>
      </c>
      <c r="P23" s="98" t="e">
        <f t="shared" si="13"/>
        <v>#REF!</v>
      </c>
      <c r="Q23" s="96" t="e">
        <f>'Labor Rates'!#REF!</f>
        <v>#REF!</v>
      </c>
      <c r="R23" s="101" t="e">
        <f t="shared" si="14"/>
        <v>#REF!</v>
      </c>
      <c r="S23" s="154" t="e">
        <f t="shared" si="0"/>
        <v>#REF!</v>
      </c>
      <c r="T23" s="120"/>
      <c r="U23" s="86" t="e">
        <f>'Labor Rates'!#REF!</f>
        <v>#REF!</v>
      </c>
      <c r="V23" s="98" t="e">
        <f t="shared" si="15"/>
        <v>#REF!</v>
      </c>
      <c r="W23" s="96" t="e">
        <f>'Labor Rates'!#REF!</f>
        <v>#REF!</v>
      </c>
      <c r="X23" s="98" t="e">
        <f t="shared" si="16"/>
        <v>#REF!</v>
      </c>
      <c r="Y23" s="96" t="e">
        <f>'Labor Rates'!#REF!</f>
        <v>#REF!</v>
      </c>
      <c r="Z23" s="101" t="e">
        <f t="shared" si="17"/>
        <v>#REF!</v>
      </c>
      <c r="AA23" s="154" t="e">
        <f t="shared" si="1"/>
        <v>#REF!</v>
      </c>
      <c r="AB23" s="120"/>
      <c r="AC23" s="86" t="e">
        <f>'Labor Rates'!#REF!</f>
        <v>#REF!</v>
      </c>
      <c r="AD23" s="98" t="e">
        <f t="shared" si="18"/>
        <v>#REF!</v>
      </c>
      <c r="AE23" s="96" t="e">
        <f>'Labor Rates'!#REF!</f>
        <v>#REF!</v>
      </c>
      <c r="AF23" s="98" t="e">
        <f t="shared" si="19"/>
        <v>#REF!</v>
      </c>
      <c r="AG23" s="96" t="e">
        <f>'Labor Rates'!#REF!</f>
        <v>#REF!</v>
      </c>
      <c r="AH23" s="101" t="e">
        <f t="shared" si="20"/>
        <v>#REF!</v>
      </c>
      <c r="AI23" s="154" t="e">
        <f t="shared" si="2"/>
        <v>#REF!</v>
      </c>
      <c r="AJ23" s="120"/>
      <c r="AK23" s="86" t="e">
        <f>'Labor Rates'!#REF!</f>
        <v>#REF!</v>
      </c>
      <c r="AL23" s="98" t="e">
        <f t="shared" si="21"/>
        <v>#REF!</v>
      </c>
      <c r="AM23" s="96" t="e">
        <f>'Labor Rates'!#REF!</f>
        <v>#REF!</v>
      </c>
      <c r="AN23" s="98" t="e">
        <f t="shared" si="22"/>
        <v>#REF!</v>
      </c>
      <c r="AO23" s="96" t="e">
        <f>'Labor Rates'!#REF!</f>
        <v>#REF!</v>
      </c>
      <c r="AP23" s="101" t="e">
        <f t="shared" si="23"/>
        <v>#REF!</v>
      </c>
      <c r="AQ23" s="154" t="e">
        <f t="shared" si="3"/>
        <v>#REF!</v>
      </c>
      <c r="AR23" s="103"/>
      <c r="AS23" s="86" t="e">
        <f>'Labor Rates'!#REF!</f>
        <v>#REF!</v>
      </c>
      <c r="AT23" s="98" t="e">
        <f t="shared" si="24"/>
        <v>#REF!</v>
      </c>
      <c r="AU23" s="96" t="e">
        <f>'Labor Rates'!#REF!</f>
        <v>#REF!</v>
      </c>
      <c r="AV23" s="98" t="e">
        <f t="shared" si="25"/>
        <v>#REF!</v>
      </c>
      <c r="AW23" s="96" t="e">
        <f>'Labor Rates'!#REF!</f>
        <v>#REF!</v>
      </c>
      <c r="AX23" s="101" t="e">
        <f t="shared" si="26"/>
        <v>#REF!</v>
      </c>
      <c r="AY23" s="154" t="e">
        <f t="shared" si="4"/>
        <v>#REF!</v>
      </c>
      <c r="AZ23" s="169">
        <f t="shared" si="5"/>
        <v>0</v>
      </c>
      <c r="BA23" s="168" t="e">
        <f t="shared" si="6"/>
        <v>#REF!</v>
      </c>
      <c r="BB23" s="162" t="e">
        <f t="shared" si="7"/>
        <v>#REF!</v>
      </c>
    </row>
    <row r="24" spans="1:54" x14ac:dyDescent="0.25">
      <c r="A24" s="9"/>
      <c r="B24" s="222" t="str">
        <f>IF(ISBLANK('Labor Rates'!D24),"",'Labor Rates'!D24)</f>
        <v/>
      </c>
      <c r="C24" s="223" t="str">
        <f>IF(ISBLANK('Labor Rates'!E24),"",'Labor Rates'!E24)</f>
        <v/>
      </c>
      <c r="D24" s="139"/>
      <c r="E24" s="98" t="e">
        <f>'Labor Rates'!#REF!</f>
        <v>#REF!</v>
      </c>
      <c r="F24" s="98" t="e">
        <f t="shared" si="8"/>
        <v>#REF!</v>
      </c>
      <c r="G24" s="96" t="e">
        <f>'Labor Rates'!#REF!</f>
        <v>#REF!</v>
      </c>
      <c r="H24" s="98" t="e">
        <f t="shared" si="9"/>
        <v>#REF!</v>
      </c>
      <c r="I24" s="96" t="e">
        <f>'Labor Rates'!#REF!</f>
        <v>#REF!</v>
      </c>
      <c r="J24" s="101" t="e">
        <f t="shared" si="10"/>
        <v>#REF!</v>
      </c>
      <c r="K24" s="154" t="e">
        <f t="shared" si="11"/>
        <v>#REF!</v>
      </c>
      <c r="L24" s="120"/>
      <c r="M24" s="86" t="e">
        <f>'Labor Rates'!#REF!</f>
        <v>#REF!</v>
      </c>
      <c r="N24" s="98" t="e">
        <f t="shared" si="12"/>
        <v>#REF!</v>
      </c>
      <c r="O24" s="96" t="e">
        <f>'Labor Rates'!#REF!</f>
        <v>#REF!</v>
      </c>
      <c r="P24" s="98" t="e">
        <f t="shared" si="13"/>
        <v>#REF!</v>
      </c>
      <c r="Q24" s="96" t="e">
        <f>'Labor Rates'!#REF!</f>
        <v>#REF!</v>
      </c>
      <c r="R24" s="101" t="e">
        <f t="shared" si="14"/>
        <v>#REF!</v>
      </c>
      <c r="S24" s="154" t="e">
        <f t="shared" si="0"/>
        <v>#REF!</v>
      </c>
      <c r="T24" s="120"/>
      <c r="U24" s="86" t="e">
        <f>'Labor Rates'!#REF!</f>
        <v>#REF!</v>
      </c>
      <c r="V24" s="98" t="e">
        <f t="shared" si="15"/>
        <v>#REF!</v>
      </c>
      <c r="W24" s="96" t="e">
        <f>'Labor Rates'!#REF!</f>
        <v>#REF!</v>
      </c>
      <c r="X24" s="98" t="e">
        <f t="shared" si="16"/>
        <v>#REF!</v>
      </c>
      <c r="Y24" s="96" t="e">
        <f>'Labor Rates'!#REF!</f>
        <v>#REF!</v>
      </c>
      <c r="Z24" s="101" t="e">
        <f t="shared" si="17"/>
        <v>#REF!</v>
      </c>
      <c r="AA24" s="154" t="e">
        <f t="shared" si="1"/>
        <v>#REF!</v>
      </c>
      <c r="AB24" s="120"/>
      <c r="AC24" s="86" t="e">
        <f>'Labor Rates'!#REF!</f>
        <v>#REF!</v>
      </c>
      <c r="AD24" s="98" t="e">
        <f t="shared" si="18"/>
        <v>#REF!</v>
      </c>
      <c r="AE24" s="96" t="e">
        <f>'Labor Rates'!#REF!</f>
        <v>#REF!</v>
      </c>
      <c r="AF24" s="98" t="e">
        <f t="shared" si="19"/>
        <v>#REF!</v>
      </c>
      <c r="AG24" s="96" t="e">
        <f>'Labor Rates'!#REF!</f>
        <v>#REF!</v>
      </c>
      <c r="AH24" s="101" t="e">
        <f t="shared" si="20"/>
        <v>#REF!</v>
      </c>
      <c r="AI24" s="154" t="e">
        <f t="shared" si="2"/>
        <v>#REF!</v>
      </c>
      <c r="AJ24" s="120"/>
      <c r="AK24" s="86" t="e">
        <f>'Labor Rates'!#REF!</f>
        <v>#REF!</v>
      </c>
      <c r="AL24" s="98" t="e">
        <f t="shared" si="21"/>
        <v>#REF!</v>
      </c>
      <c r="AM24" s="96" t="e">
        <f>'Labor Rates'!#REF!</f>
        <v>#REF!</v>
      </c>
      <c r="AN24" s="98" t="e">
        <f t="shared" si="22"/>
        <v>#REF!</v>
      </c>
      <c r="AO24" s="96" t="e">
        <f>'Labor Rates'!#REF!</f>
        <v>#REF!</v>
      </c>
      <c r="AP24" s="101" t="e">
        <f t="shared" si="23"/>
        <v>#REF!</v>
      </c>
      <c r="AQ24" s="154" t="e">
        <f t="shared" si="3"/>
        <v>#REF!</v>
      </c>
      <c r="AR24" s="103"/>
      <c r="AS24" s="86" t="e">
        <f>'Labor Rates'!#REF!</f>
        <v>#REF!</v>
      </c>
      <c r="AT24" s="98" t="e">
        <f t="shared" si="24"/>
        <v>#REF!</v>
      </c>
      <c r="AU24" s="96" t="e">
        <f>'Labor Rates'!#REF!</f>
        <v>#REF!</v>
      </c>
      <c r="AV24" s="98" t="e">
        <f t="shared" si="25"/>
        <v>#REF!</v>
      </c>
      <c r="AW24" s="96" t="e">
        <f>'Labor Rates'!#REF!</f>
        <v>#REF!</v>
      </c>
      <c r="AX24" s="101" t="e">
        <f t="shared" si="26"/>
        <v>#REF!</v>
      </c>
      <c r="AY24" s="154" t="e">
        <f t="shared" si="4"/>
        <v>#REF!</v>
      </c>
      <c r="AZ24" s="169">
        <f t="shared" si="5"/>
        <v>0</v>
      </c>
      <c r="BA24" s="168" t="e">
        <f t="shared" si="6"/>
        <v>#REF!</v>
      </c>
      <c r="BB24" s="162" t="e">
        <f t="shared" si="7"/>
        <v>#REF!</v>
      </c>
    </row>
    <row r="25" spans="1:54" x14ac:dyDescent="0.25">
      <c r="A25" s="9"/>
      <c r="B25" s="222" t="str">
        <f>IF(ISBLANK('Labor Rates'!D25),"",'Labor Rates'!D25)</f>
        <v/>
      </c>
      <c r="C25" s="223" t="str">
        <f>IF(ISBLANK('Labor Rates'!E25),"",'Labor Rates'!E25)</f>
        <v/>
      </c>
      <c r="D25" s="139"/>
      <c r="E25" s="98" t="e">
        <f>'Labor Rates'!#REF!</f>
        <v>#REF!</v>
      </c>
      <c r="F25" s="98" t="e">
        <f t="shared" si="8"/>
        <v>#REF!</v>
      </c>
      <c r="G25" s="96" t="e">
        <f>'Labor Rates'!#REF!</f>
        <v>#REF!</v>
      </c>
      <c r="H25" s="98" t="e">
        <f t="shared" si="9"/>
        <v>#REF!</v>
      </c>
      <c r="I25" s="96" t="e">
        <f>'Labor Rates'!#REF!</f>
        <v>#REF!</v>
      </c>
      <c r="J25" s="101" t="e">
        <f t="shared" si="10"/>
        <v>#REF!</v>
      </c>
      <c r="K25" s="154" t="e">
        <f t="shared" si="11"/>
        <v>#REF!</v>
      </c>
      <c r="L25" s="120"/>
      <c r="M25" s="86" t="e">
        <f>'Labor Rates'!#REF!</f>
        <v>#REF!</v>
      </c>
      <c r="N25" s="98" t="e">
        <f t="shared" si="12"/>
        <v>#REF!</v>
      </c>
      <c r="O25" s="96" t="e">
        <f>'Labor Rates'!#REF!</f>
        <v>#REF!</v>
      </c>
      <c r="P25" s="98" t="e">
        <f t="shared" si="13"/>
        <v>#REF!</v>
      </c>
      <c r="Q25" s="96" t="e">
        <f>'Labor Rates'!#REF!</f>
        <v>#REF!</v>
      </c>
      <c r="R25" s="101" t="e">
        <f t="shared" si="14"/>
        <v>#REF!</v>
      </c>
      <c r="S25" s="154" t="e">
        <f t="shared" si="0"/>
        <v>#REF!</v>
      </c>
      <c r="T25" s="120"/>
      <c r="U25" s="86" t="e">
        <f>'Labor Rates'!#REF!</f>
        <v>#REF!</v>
      </c>
      <c r="V25" s="98" t="e">
        <f t="shared" si="15"/>
        <v>#REF!</v>
      </c>
      <c r="W25" s="96" t="e">
        <f>'Labor Rates'!#REF!</f>
        <v>#REF!</v>
      </c>
      <c r="X25" s="98" t="e">
        <f t="shared" si="16"/>
        <v>#REF!</v>
      </c>
      <c r="Y25" s="96" t="e">
        <f>'Labor Rates'!#REF!</f>
        <v>#REF!</v>
      </c>
      <c r="Z25" s="101" t="e">
        <f t="shared" si="17"/>
        <v>#REF!</v>
      </c>
      <c r="AA25" s="154" t="e">
        <f t="shared" si="1"/>
        <v>#REF!</v>
      </c>
      <c r="AB25" s="120"/>
      <c r="AC25" s="86" t="e">
        <f>'Labor Rates'!#REF!</f>
        <v>#REF!</v>
      </c>
      <c r="AD25" s="98" t="e">
        <f t="shared" si="18"/>
        <v>#REF!</v>
      </c>
      <c r="AE25" s="96" t="e">
        <f>'Labor Rates'!#REF!</f>
        <v>#REF!</v>
      </c>
      <c r="AF25" s="98" t="e">
        <f t="shared" si="19"/>
        <v>#REF!</v>
      </c>
      <c r="AG25" s="96" t="e">
        <f>'Labor Rates'!#REF!</f>
        <v>#REF!</v>
      </c>
      <c r="AH25" s="101" t="e">
        <f t="shared" si="20"/>
        <v>#REF!</v>
      </c>
      <c r="AI25" s="154" t="e">
        <f t="shared" si="2"/>
        <v>#REF!</v>
      </c>
      <c r="AJ25" s="120"/>
      <c r="AK25" s="86" t="e">
        <f>'Labor Rates'!#REF!</f>
        <v>#REF!</v>
      </c>
      <c r="AL25" s="98" t="e">
        <f t="shared" si="21"/>
        <v>#REF!</v>
      </c>
      <c r="AM25" s="96" t="e">
        <f>'Labor Rates'!#REF!</f>
        <v>#REF!</v>
      </c>
      <c r="AN25" s="98" t="e">
        <f t="shared" si="22"/>
        <v>#REF!</v>
      </c>
      <c r="AO25" s="96" t="e">
        <f>'Labor Rates'!#REF!</f>
        <v>#REF!</v>
      </c>
      <c r="AP25" s="101" t="e">
        <f t="shared" si="23"/>
        <v>#REF!</v>
      </c>
      <c r="AQ25" s="154" t="e">
        <f t="shared" si="3"/>
        <v>#REF!</v>
      </c>
      <c r="AR25" s="103"/>
      <c r="AS25" s="86" t="e">
        <f>'Labor Rates'!#REF!</f>
        <v>#REF!</v>
      </c>
      <c r="AT25" s="98" t="e">
        <f t="shared" si="24"/>
        <v>#REF!</v>
      </c>
      <c r="AU25" s="96" t="e">
        <f>'Labor Rates'!#REF!</f>
        <v>#REF!</v>
      </c>
      <c r="AV25" s="98" t="e">
        <f t="shared" si="25"/>
        <v>#REF!</v>
      </c>
      <c r="AW25" s="96" t="e">
        <f>'Labor Rates'!#REF!</f>
        <v>#REF!</v>
      </c>
      <c r="AX25" s="101" t="e">
        <f t="shared" si="26"/>
        <v>#REF!</v>
      </c>
      <c r="AY25" s="154" t="e">
        <f t="shared" si="4"/>
        <v>#REF!</v>
      </c>
      <c r="AZ25" s="169">
        <f t="shared" si="5"/>
        <v>0</v>
      </c>
      <c r="BA25" s="168" t="e">
        <f t="shared" si="6"/>
        <v>#REF!</v>
      </c>
      <c r="BB25" s="162" t="e">
        <f t="shared" si="7"/>
        <v>#REF!</v>
      </c>
    </row>
    <row r="26" spans="1:54" x14ac:dyDescent="0.25">
      <c r="A26" s="9"/>
      <c r="B26" s="222" t="str">
        <f>IF(ISBLANK('Labor Rates'!D26),"",'Labor Rates'!D26)</f>
        <v/>
      </c>
      <c r="C26" s="223" t="str">
        <f>IF(ISBLANK('Labor Rates'!E26),"",'Labor Rates'!E26)</f>
        <v/>
      </c>
      <c r="D26" s="139"/>
      <c r="E26" s="98" t="e">
        <f>'Labor Rates'!#REF!</f>
        <v>#REF!</v>
      </c>
      <c r="F26" s="98" t="e">
        <f t="shared" si="8"/>
        <v>#REF!</v>
      </c>
      <c r="G26" s="96" t="e">
        <f>'Labor Rates'!#REF!</f>
        <v>#REF!</v>
      </c>
      <c r="H26" s="98" t="e">
        <f t="shared" si="9"/>
        <v>#REF!</v>
      </c>
      <c r="I26" s="96" t="e">
        <f>'Labor Rates'!#REF!</f>
        <v>#REF!</v>
      </c>
      <c r="J26" s="101" t="e">
        <f t="shared" si="10"/>
        <v>#REF!</v>
      </c>
      <c r="K26" s="154" t="e">
        <f t="shared" si="11"/>
        <v>#REF!</v>
      </c>
      <c r="L26" s="120"/>
      <c r="M26" s="86" t="e">
        <f>'Labor Rates'!#REF!</f>
        <v>#REF!</v>
      </c>
      <c r="N26" s="98" t="e">
        <f t="shared" si="12"/>
        <v>#REF!</v>
      </c>
      <c r="O26" s="96" t="e">
        <f>'Labor Rates'!#REF!</f>
        <v>#REF!</v>
      </c>
      <c r="P26" s="98" t="e">
        <f t="shared" si="13"/>
        <v>#REF!</v>
      </c>
      <c r="Q26" s="96" t="e">
        <f>'Labor Rates'!#REF!</f>
        <v>#REF!</v>
      </c>
      <c r="R26" s="101" t="e">
        <f t="shared" si="14"/>
        <v>#REF!</v>
      </c>
      <c r="S26" s="154" t="e">
        <f t="shared" si="0"/>
        <v>#REF!</v>
      </c>
      <c r="T26" s="120"/>
      <c r="U26" s="86" t="e">
        <f>'Labor Rates'!#REF!</f>
        <v>#REF!</v>
      </c>
      <c r="V26" s="98" t="e">
        <f t="shared" si="15"/>
        <v>#REF!</v>
      </c>
      <c r="W26" s="96" t="e">
        <f>'Labor Rates'!#REF!</f>
        <v>#REF!</v>
      </c>
      <c r="X26" s="98" t="e">
        <f t="shared" si="16"/>
        <v>#REF!</v>
      </c>
      <c r="Y26" s="96" t="e">
        <f>'Labor Rates'!#REF!</f>
        <v>#REF!</v>
      </c>
      <c r="Z26" s="101" t="e">
        <f t="shared" si="17"/>
        <v>#REF!</v>
      </c>
      <c r="AA26" s="154" t="e">
        <f t="shared" si="1"/>
        <v>#REF!</v>
      </c>
      <c r="AB26" s="120"/>
      <c r="AC26" s="86" t="e">
        <f>'Labor Rates'!#REF!</f>
        <v>#REF!</v>
      </c>
      <c r="AD26" s="98" t="e">
        <f t="shared" si="18"/>
        <v>#REF!</v>
      </c>
      <c r="AE26" s="96" t="e">
        <f>'Labor Rates'!#REF!</f>
        <v>#REF!</v>
      </c>
      <c r="AF26" s="98" t="e">
        <f t="shared" si="19"/>
        <v>#REF!</v>
      </c>
      <c r="AG26" s="96" t="e">
        <f>'Labor Rates'!#REF!</f>
        <v>#REF!</v>
      </c>
      <c r="AH26" s="101" t="e">
        <f t="shared" si="20"/>
        <v>#REF!</v>
      </c>
      <c r="AI26" s="154" t="e">
        <f t="shared" si="2"/>
        <v>#REF!</v>
      </c>
      <c r="AJ26" s="120"/>
      <c r="AK26" s="86" t="e">
        <f>'Labor Rates'!#REF!</f>
        <v>#REF!</v>
      </c>
      <c r="AL26" s="98" t="e">
        <f t="shared" si="21"/>
        <v>#REF!</v>
      </c>
      <c r="AM26" s="96" t="e">
        <f>'Labor Rates'!#REF!</f>
        <v>#REF!</v>
      </c>
      <c r="AN26" s="98" t="e">
        <f t="shared" si="22"/>
        <v>#REF!</v>
      </c>
      <c r="AO26" s="96" t="e">
        <f>'Labor Rates'!#REF!</f>
        <v>#REF!</v>
      </c>
      <c r="AP26" s="101" t="e">
        <f t="shared" si="23"/>
        <v>#REF!</v>
      </c>
      <c r="AQ26" s="154" t="e">
        <f t="shared" si="3"/>
        <v>#REF!</v>
      </c>
      <c r="AR26" s="103"/>
      <c r="AS26" s="86" t="e">
        <f>'Labor Rates'!#REF!</f>
        <v>#REF!</v>
      </c>
      <c r="AT26" s="98" t="e">
        <f t="shared" si="24"/>
        <v>#REF!</v>
      </c>
      <c r="AU26" s="96" t="e">
        <f>'Labor Rates'!#REF!</f>
        <v>#REF!</v>
      </c>
      <c r="AV26" s="98" t="e">
        <f t="shared" si="25"/>
        <v>#REF!</v>
      </c>
      <c r="AW26" s="96" t="e">
        <f>'Labor Rates'!#REF!</f>
        <v>#REF!</v>
      </c>
      <c r="AX26" s="101" t="e">
        <f t="shared" si="26"/>
        <v>#REF!</v>
      </c>
      <c r="AY26" s="154" t="e">
        <f t="shared" si="4"/>
        <v>#REF!</v>
      </c>
      <c r="AZ26" s="169">
        <f t="shared" si="5"/>
        <v>0</v>
      </c>
      <c r="BA26" s="168" t="e">
        <f t="shared" si="6"/>
        <v>#REF!</v>
      </c>
      <c r="BB26" s="162" t="e">
        <f t="shared" si="7"/>
        <v>#REF!</v>
      </c>
    </row>
    <row r="27" spans="1:54" x14ac:dyDescent="0.25">
      <c r="A27" s="9"/>
      <c r="B27" s="222" t="str">
        <f>IF(ISBLANK('Labor Rates'!D27),"",'Labor Rates'!D27)</f>
        <v/>
      </c>
      <c r="C27" s="223" t="str">
        <f>IF(ISBLANK('Labor Rates'!E27),"",'Labor Rates'!E27)</f>
        <v/>
      </c>
      <c r="D27" s="139"/>
      <c r="E27" s="98" t="e">
        <f>'Labor Rates'!#REF!</f>
        <v>#REF!</v>
      </c>
      <c r="F27" s="98" t="e">
        <f t="shared" si="8"/>
        <v>#REF!</v>
      </c>
      <c r="G27" s="96" t="e">
        <f>'Labor Rates'!#REF!</f>
        <v>#REF!</v>
      </c>
      <c r="H27" s="98" t="e">
        <f t="shared" si="9"/>
        <v>#REF!</v>
      </c>
      <c r="I27" s="96" t="e">
        <f>'Labor Rates'!#REF!</f>
        <v>#REF!</v>
      </c>
      <c r="J27" s="101" t="e">
        <f t="shared" si="10"/>
        <v>#REF!</v>
      </c>
      <c r="K27" s="154" t="e">
        <f t="shared" si="11"/>
        <v>#REF!</v>
      </c>
      <c r="L27" s="120"/>
      <c r="M27" s="86" t="e">
        <f>'Labor Rates'!#REF!</f>
        <v>#REF!</v>
      </c>
      <c r="N27" s="98" t="e">
        <f t="shared" si="12"/>
        <v>#REF!</v>
      </c>
      <c r="O27" s="96" t="e">
        <f>'Labor Rates'!#REF!</f>
        <v>#REF!</v>
      </c>
      <c r="P27" s="98" t="e">
        <f t="shared" si="13"/>
        <v>#REF!</v>
      </c>
      <c r="Q27" s="96" t="e">
        <f>'Labor Rates'!#REF!</f>
        <v>#REF!</v>
      </c>
      <c r="R27" s="101" t="e">
        <f t="shared" si="14"/>
        <v>#REF!</v>
      </c>
      <c r="S27" s="154" t="e">
        <f t="shared" si="0"/>
        <v>#REF!</v>
      </c>
      <c r="T27" s="120"/>
      <c r="U27" s="86" t="e">
        <f>'Labor Rates'!#REF!</f>
        <v>#REF!</v>
      </c>
      <c r="V27" s="98" t="e">
        <f t="shared" si="15"/>
        <v>#REF!</v>
      </c>
      <c r="W27" s="96" t="e">
        <f>'Labor Rates'!#REF!</f>
        <v>#REF!</v>
      </c>
      <c r="X27" s="98" t="e">
        <f t="shared" si="16"/>
        <v>#REF!</v>
      </c>
      <c r="Y27" s="96" t="e">
        <f>'Labor Rates'!#REF!</f>
        <v>#REF!</v>
      </c>
      <c r="Z27" s="101" t="e">
        <f t="shared" si="17"/>
        <v>#REF!</v>
      </c>
      <c r="AA27" s="154" t="e">
        <f t="shared" si="1"/>
        <v>#REF!</v>
      </c>
      <c r="AB27" s="120"/>
      <c r="AC27" s="86" t="e">
        <f>'Labor Rates'!#REF!</f>
        <v>#REF!</v>
      </c>
      <c r="AD27" s="98" t="e">
        <f t="shared" si="18"/>
        <v>#REF!</v>
      </c>
      <c r="AE27" s="96" t="e">
        <f>'Labor Rates'!#REF!</f>
        <v>#REF!</v>
      </c>
      <c r="AF27" s="98" t="e">
        <f t="shared" si="19"/>
        <v>#REF!</v>
      </c>
      <c r="AG27" s="96" t="e">
        <f>'Labor Rates'!#REF!</f>
        <v>#REF!</v>
      </c>
      <c r="AH27" s="101" t="e">
        <f t="shared" si="20"/>
        <v>#REF!</v>
      </c>
      <c r="AI27" s="154" t="e">
        <f t="shared" si="2"/>
        <v>#REF!</v>
      </c>
      <c r="AJ27" s="120"/>
      <c r="AK27" s="86" t="e">
        <f>'Labor Rates'!#REF!</f>
        <v>#REF!</v>
      </c>
      <c r="AL27" s="98" t="e">
        <f t="shared" si="21"/>
        <v>#REF!</v>
      </c>
      <c r="AM27" s="96" t="e">
        <f>'Labor Rates'!#REF!</f>
        <v>#REF!</v>
      </c>
      <c r="AN27" s="98" t="e">
        <f t="shared" si="22"/>
        <v>#REF!</v>
      </c>
      <c r="AO27" s="96" t="e">
        <f>'Labor Rates'!#REF!</f>
        <v>#REF!</v>
      </c>
      <c r="AP27" s="101" t="e">
        <f t="shared" si="23"/>
        <v>#REF!</v>
      </c>
      <c r="AQ27" s="154" t="e">
        <f t="shared" si="3"/>
        <v>#REF!</v>
      </c>
      <c r="AR27" s="103"/>
      <c r="AS27" s="86" t="e">
        <f>'Labor Rates'!#REF!</f>
        <v>#REF!</v>
      </c>
      <c r="AT27" s="98" t="e">
        <f t="shared" si="24"/>
        <v>#REF!</v>
      </c>
      <c r="AU27" s="96" t="e">
        <f>'Labor Rates'!#REF!</f>
        <v>#REF!</v>
      </c>
      <c r="AV27" s="98" t="e">
        <f t="shared" si="25"/>
        <v>#REF!</v>
      </c>
      <c r="AW27" s="96" t="e">
        <f>'Labor Rates'!#REF!</f>
        <v>#REF!</v>
      </c>
      <c r="AX27" s="101" t="e">
        <f t="shared" si="26"/>
        <v>#REF!</v>
      </c>
      <c r="AY27" s="154" t="e">
        <f t="shared" si="4"/>
        <v>#REF!</v>
      </c>
      <c r="AZ27" s="169">
        <f t="shared" si="5"/>
        <v>0</v>
      </c>
      <c r="BA27" s="168" t="e">
        <f t="shared" si="6"/>
        <v>#REF!</v>
      </c>
      <c r="BB27" s="162" t="e">
        <f t="shared" si="7"/>
        <v>#REF!</v>
      </c>
    </row>
    <row r="28" spans="1:54" x14ac:dyDescent="0.25">
      <c r="A28" s="9"/>
      <c r="B28" s="222" t="str">
        <f>IF(ISBLANK('Labor Rates'!D28),"",'Labor Rates'!D28)</f>
        <v/>
      </c>
      <c r="C28" s="223" t="str">
        <f>IF(ISBLANK('Labor Rates'!E28),"",'Labor Rates'!E28)</f>
        <v/>
      </c>
      <c r="D28" s="139"/>
      <c r="E28" s="98" t="e">
        <f>'Labor Rates'!#REF!</f>
        <v>#REF!</v>
      </c>
      <c r="F28" s="98" t="e">
        <f t="shared" si="8"/>
        <v>#REF!</v>
      </c>
      <c r="G28" s="96" t="e">
        <f>'Labor Rates'!#REF!</f>
        <v>#REF!</v>
      </c>
      <c r="H28" s="98" t="e">
        <f t="shared" si="9"/>
        <v>#REF!</v>
      </c>
      <c r="I28" s="96" t="e">
        <f>'Labor Rates'!#REF!</f>
        <v>#REF!</v>
      </c>
      <c r="J28" s="101" t="e">
        <f t="shared" si="10"/>
        <v>#REF!</v>
      </c>
      <c r="K28" s="154" t="e">
        <f t="shared" si="11"/>
        <v>#REF!</v>
      </c>
      <c r="L28" s="120"/>
      <c r="M28" s="86" t="e">
        <f>'Labor Rates'!#REF!</f>
        <v>#REF!</v>
      </c>
      <c r="N28" s="98" t="e">
        <f t="shared" si="12"/>
        <v>#REF!</v>
      </c>
      <c r="O28" s="96" t="e">
        <f>'Labor Rates'!#REF!</f>
        <v>#REF!</v>
      </c>
      <c r="P28" s="98" t="e">
        <f t="shared" si="13"/>
        <v>#REF!</v>
      </c>
      <c r="Q28" s="96" t="e">
        <f>'Labor Rates'!#REF!</f>
        <v>#REF!</v>
      </c>
      <c r="R28" s="101" t="e">
        <f t="shared" si="14"/>
        <v>#REF!</v>
      </c>
      <c r="S28" s="154" t="e">
        <f t="shared" si="0"/>
        <v>#REF!</v>
      </c>
      <c r="T28" s="120"/>
      <c r="U28" s="86" t="e">
        <f>'Labor Rates'!#REF!</f>
        <v>#REF!</v>
      </c>
      <c r="V28" s="98" t="e">
        <f t="shared" si="15"/>
        <v>#REF!</v>
      </c>
      <c r="W28" s="96" t="e">
        <f>'Labor Rates'!#REF!</f>
        <v>#REF!</v>
      </c>
      <c r="X28" s="98" t="e">
        <f t="shared" si="16"/>
        <v>#REF!</v>
      </c>
      <c r="Y28" s="96" t="e">
        <f>'Labor Rates'!#REF!</f>
        <v>#REF!</v>
      </c>
      <c r="Z28" s="101" t="e">
        <f t="shared" si="17"/>
        <v>#REF!</v>
      </c>
      <c r="AA28" s="154" t="e">
        <f t="shared" si="1"/>
        <v>#REF!</v>
      </c>
      <c r="AB28" s="120"/>
      <c r="AC28" s="86" t="e">
        <f>'Labor Rates'!#REF!</f>
        <v>#REF!</v>
      </c>
      <c r="AD28" s="98" t="e">
        <f t="shared" si="18"/>
        <v>#REF!</v>
      </c>
      <c r="AE28" s="96" t="e">
        <f>'Labor Rates'!#REF!</f>
        <v>#REF!</v>
      </c>
      <c r="AF28" s="98" t="e">
        <f t="shared" si="19"/>
        <v>#REF!</v>
      </c>
      <c r="AG28" s="96" t="e">
        <f>'Labor Rates'!#REF!</f>
        <v>#REF!</v>
      </c>
      <c r="AH28" s="101" t="e">
        <f t="shared" si="20"/>
        <v>#REF!</v>
      </c>
      <c r="AI28" s="154" t="e">
        <f t="shared" si="2"/>
        <v>#REF!</v>
      </c>
      <c r="AJ28" s="120"/>
      <c r="AK28" s="86" t="e">
        <f>'Labor Rates'!#REF!</f>
        <v>#REF!</v>
      </c>
      <c r="AL28" s="98" t="e">
        <f t="shared" si="21"/>
        <v>#REF!</v>
      </c>
      <c r="AM28" s="96" t="e">
        <f>'Labor Rates'!#REF!</f>
        <v>#REF!</v>
      </c>
      <c r="AN28" s="98" t="e">
        <f t="shared" si="22"/>
        <v>#REF!</v>
      </c>
      <c r="AO28" s="96" t="e">
        <f>'Labor Rates'!#REF!</f>
        <v>#REF!</v>
      </c>
      <c r="AP28" s="101" t="e">
        <f t="shared" si="23"/>
        <v>#REF!</v>
      </c>
      <c r="AQ28" s="154" t="e">
        <f t="shared" si="3"/>
        <v>#REF!</v>
      </c>
      <c r="AR28" s="103"/>
      <c r="AS28" s="86" t="e">
        <f>'Labor Rates'!#REF!</f>
        <v>#REF!</v>
      </c>
      <c r="AT28" s="98" t="e">
        <f t="shared" si="24"/>
        <v>#REF!</v>
      </c>
      <c r="AU28" s="96" t="e">
        <f>'Labor Rates'!#REF!</f>
        <v>#REF!</v>
      </c>
      <c r="AV28" s="98" t="e">
        <f t="shared" si="25"/>
        <v>#REF!</v>
      </c>
      <c r="AW28" s="96" t="e">
        <f>'Labor Rates'!#REF!</f>
        <v>#REF!</v>
      </c>
      <c r="AX28" s="101" t="e">
        <f t="shared" si="26"/>
        <v>#REF!</v>
      </c>
      <c r="AY28" s="154" t="e">
        <f t="shared" si="4"/>
        <v>#REF!</v>
      </c>
      <c r="AZ28" s="169">
        <f t="shared" si="5"/>
        <v>0</v>
      </c>
      <c r="BA28" s="168" t="e">
        <f t="shared" si="6"/>
        <v>#REF!</v>
      </c>
      <c r="BB28" s="162" t="e">
        <f t="shared" si="7"/>
        <v>#REF!</v>
      </c>
    </row>
    <row r="29" spans="1:54" x14ac:dyDescent="0.25">
      <c r="A29" s="9"/>
      <c r="B29" s="222" t="str">
        <f>IF(ISBLANK('Labor Rates'!D29),"",'Labor Rates'!D29)</f>
        <v/>
      </c>
      <c r="C29" s="223" t="str">
        <f>IF(ISBLANK('Labor Rates'!E29),"",'Labor Rates'!E29)</f>
        <v/>
      </c>
      <c r="D29" s="139"/>
      <c r="E29" s="98" t="e">
        <f>'Labor Rates'!#REF!</f>
        <v>#REF!</v>
      </c>
      <c r="F29" s="98" t="e">
        <f t="shared" si="8"/>
        <v>#REF!</v>
      </c>
      <c r="G29" s="96" t="e">
        <f>'Labor Rates'!#REF!</f>
        <v>#REF!</v>
      </c>
      <c r="H29" s="98" t="e">
        <f t="shared" si="9"/>
        <v>#REF!</v>
      </c>
      <c r="I29" s="96" t="e">
        <f>'Labor Rates'!#REF!</f>
        <v>#REF!</v>
      </c>
      <c r="J29" s="101" t="e">
        <f t="shared" si="10"/>
        <v>#REF!</v>
      </c>
      <c r="K29" s="154" t="e">
        <f t="shared" si="11"/>
        <v>#REF!</v>
      </c>
      <c r="L29" s="120"/>
      <c r="M29" s="86" t="e">
        <f>'Labor Rates'!#REF!</f>
        <v>#REF!</v>
      </c>
      <c r="N29" s="98" t="e">
        <f t="shared" si="12"/>
        <v>#REF!</v>
      </c>
      <c r="O29" s="96" t="e">
        <f>'Labor Rates'!#REF!</f>
        <v>#REF!</v>
      </c>
      <c r="P29" s="98" t="e">
        <f t="shared" si="13"/>
        <v>#REF!</v>
      </c>
      <c r="Q29" s="96" t="e">
        <f>'Labor Rates'!#REF!</f>
        <v>#REF!</v>
      </c>
      <c r="R29" s="101" t="e">
        <f t="shared" si="14"/>
        <v>#REF!</v>
      </c>
      <c r="S29" s="154" t="e">
        <f t="shared" si="0"/>
        <v>#REF!</v>
      </c>
      <c r="T29" s="120"/>
      <c r="U29" s="86" t="e">
        <f>'Labor Rates'!#REF!</f>
        <v>#REF!</v>
      </c>
      <c r="V29" s="98" t="e">
        <f t="shared" si="15"/>
        <v>#REF!</v>
      </c>
      <c r="W29" s="96" t="e">
        <f>'Labor Rates'!#REF!</f>
        <v>#REF!</v>
      </c>
      <c r="X29" s="98" t="e">
        <f t="shared" si="16"/>
        <v>#REF!</v>
      </c>
      <c r="Y29" s="96" t="e">
        <f>'Labor Rates'!#REF!</f>
        <v>#REF!</v>
      </c>
      <c r="Z29" s="101" t="e">
        <f t="shared" si="17"/>
        <v>#REF!</v>
      </c>
      <c r="AA29" s="154" t="e">
        <f t="shared" si="1"/>
        <v>#REF!</v>
      </c>
      <c r="AB29" s="120"/>
      <c r="AC29" s="86" t="e">
        <f>'Labor Rates'!#REF!</f>
        <v>#REF!</v>
      </c>
      <c r="AD29" s="98" t="e">
        <f t="shared" si="18"/>
        <v>#REF!</v>
      </c>
      <c r="AE29" s="96" t="e">
        <f>'Labor Rates'!#REF!</f>
        <v>#REF!</v>
      </c>
      <c r="AF29" s="98" t="e">
        <f t="shared" si="19"/>
        <v>#REF!</v>
      </c>
      <c r="AG29" s="96" t="e">
        <f>'Labor Rates'!#REF!</f>
        <v>#REF!</v>
      </c>
      <c r="AH29" s="101" t="e">
        <f t="shared" si="20"/>
        <v>#REF!</v>
      </c>
      <c r="AI29" s="154" t="e">
        <f t="shared" si="2"/>
        <v>#REF!</v>
      </c>
      <c r="AJ29" s="120"/>
      <c r="AK29" s="86" t="e">
        <f>'Labor Rates'!#REF!</f>
        <v>#REF!</v>
      </c>
      <c r="AL29" s="98" t="e">
        <f t="shared" si="21"/>
        <v>#REF!</v>
      </c>
      <c r="AM29" s="96" t="e">
        <f>'Labor Rates'!#REF!</f>
        <v>#REF!</v>
      </c>
      <c r="AN29" s="98" t="e">
        <f t="shared" si="22"/>
        <v>#REF!</v>
      </c>
      <c r="AO29" s="96" t="e">
        <f>'Labor Rates'!#REF!</f>
        <v>#REF!</v>
      </c>
      <c r="AP29" s="101" t="e">
        <f t="shared" si="23"/>
        <v>#REF!</v>
      </c>
      <c r="AQ29" s="154" t="e">
        <f t="shared" si="3"/>
        <v>#REF!</v>
      </c>
      <c r="AR29" s="103"/>
      <c r="AS29" s="86" t="e">
        <f>'Labor Rates'!#REF!</f>
        <v>#REF!</v>
      </c>
      <c r="AT29" s="98" t="e">
        <f t="shared" si="24"/>
        <v>#REF!</v>
      </c>
      <c r="AU29" s="96" t="e">
        <f>'Labor Rates'!#REF!</f>
        <v>#REF!</v>
      </c>
      <c r="AV29" s="98" t="e">
        <f t="shared" si="25"/>
        <v>#REF!</v>
      </c>
      <c r="AW29" s="96" t="e">
        <f>'Labor Rates'!#REF!</f>
        <v>#REF!</v>
      </c>
      <c r="AX29" s="101" t="e">
        <f t="shared" si="26"/>
        <v>#REF!</v>
      </c>
      <c r="AY29" s="154" t="e">
        <f t="shared" si="4"/>
        <v>#REF!</v>
      </c>
      <c r="AZ29" s="169">
        <f t="shared" si="5"/>
        <v>0</v>
      </c>
      <c r="BA29" s="168" t="e">
        <f t="shared" si="6"/>
        <v>#REF!</v>
      </c>
      <c r="BB29" s="162" t="e">
        <f t="shared" si="7"/>
        <v>#REF!</v>
      </c>
    </row>
    <row r="30" spans="1:54" x14ac:dyDescent="0.25">
      <c r="A30" s="9"/>
      <c r="B30" s="222" t="str">
        <f>IF(ISBLANK('Labor Rates'!D30),"",'Labor Rates'!D30)</f>
        <v/>
      </c>
      <c r="C30" s="223" t="str">
        <f>IF(ISBLANK('Labor Rates'!E30),"",'Labor Rates'!E30)</f>
        <v/>
      </c>
      <c r="D30" s="139"/>
      <c r="E30" s="98" t="e">
        <f>'Labor Rates'!#REF!</f>
        <v>#REF!</v>
      </c>
      <c r="F30" s="98" t="e">
        <f t="shared" si="8"/>
        <v>#REF!</v>
      </c>
      <c r="G30" s="96" t="e">
        <f>'Labor Rates'!#REF!</f>
        <v>#REF!</v>
      </c>
      <c r="H30" s="98" t="e">
        <f t="shared" si="9"/>
        <v>#REF!</v>
      </c>
      <c r="I30" s="96" t="e">
        <f>'Labor Rates'!#REF!</f>
        <v>#REF!</v>
      </c>
      <c r="J30" s="101" t="e">
        <f t="shared" si="10"/>
        <v>#REF!</v>
      </c>
      <c r="K30" s="154" t="e">
        <f t="shared" si="11"/>
        <v>#REF!</v>
      </c>
      <c r="L30" s="120"/>
      <c r="M30" s="86" t="e">
        <f>'Labor Rates'!#REF!</f>
        <v>#REF!</v>
      </c>
      <c r="N30" s="98" t="e">
        <f t="shared" si="12"/>
        <v>#REF!</v>
      </c>
      <c r="O30" s="96" t="e">
        <f>'Labor Rates'!#REF!</f>
        <v>#REF!</v>
      </c>
      <c r="P30" s="98" t="e">
        <f t="shared" si="13"/>
        <v>#REF!</v>
      </c>
      <c r="Q30" s="96" t="e">
        <f>'Labor Rates'!#REF!</f>
        <v>#REF!</v>
      </c>
      <c r="R30" s="101" t="e">
        <f t="shared" si="14"/>
        <v>#REF!</v>
      </c>
      <c r="S30" s="154" t="e">
        <f t="shared" si="0"/>
        <v>#REF!</v>
      </c>
      <c r="T30" s="120"/>
      <c r="U30" s="86" t="e">
        <f>'Labor Rates'!#REF!</f>
        <v>#REF!</v>
      </c>
      <c r="V30" s="98" t="e">
        <f t="shared" si="15"/>
        <v>#REF!</v>
      </c>
      <c r="W30" s="96" t="e">
        <f>'Labor Rates'!#REF!</f>
        <v>#REF!</v>
      </c>
      <c r="X30" s="98" t="e">
        <f t="shared" si="16"/>
        <v>#REF!</v>
      </c>
      <c r="Y30" s="96" t="e">
        <f>'Labor Rates'!#REF!</f>
        <v>#REF!</v>
      </c>
      <c r="Z30" s="101" t="e">
        <f t="shared" si="17"/>
        <v>#REF!</v>
      </c>
      <c r="AA30" s="154" t="e">
        <f t="shared" si="1"/>
        <v>#REF!</v>
      </c>
      <c r="AB30" s="120"/>
      <c r="AC30" s="86" t="e">
        <f>'Labor Rates'!#REF!</f>
        <v>#REF!</v>
      </c>
      <c r="AD30" s="98" t="e">
        <f t="shared" si="18"/>
        <v>#REF!</v>
      </c>
      <c r="AE30" s="96" t="e">
        <f>'Labor Rates'!#REF!</f>
        <v>#REF!</v>
      </c>
      <c r="AF30" s="98" t="e">
        <f t="shared" si="19"/>
        <v>#REF!</v>
      </c>
      <c r="AG30" s="96" t="e">
        <f>'Labor Rates'!#REF!</f>
        <v>#REF!</v>
      </c>
      <c r="AH30" s="101" t="e">
        <f t="shared" si="20"/>
        <v>#REF!</v>
      </c>
      <c r="AI30" s="154" t="e">
        <f t="shared" si="2"/>
        <v>#REF!</v>
      </c>
      <c r="AJ30" s="120"/>
      <c r="AK30" s="86" t="e">
        <f>'Labor Rates'!#REF!</f>
        <v>#REF!</v>
      </c>
      <c r="AL30" s="98" t="e">
        <f t="shared" si="21"/>
        <v>#REF!</v>
      </c>
      <c r="AM30" s="96" t="e">
        <f>'Labor Rates'!#REF!</f>
        <v>#REF!</v>
      </c>
      <c r="AN30" s="98" t="e">
        <f t="shared" si="22"/>
        <v>#REF!</v>
      </c>
      <c r="AO30" s="96" t="e">
        <f>'Labor Rates'!#REF!</f>
        <v>#REF!</v>
      </c>
      <c r="AP30" s="101" t="e">
        <f t="shared" si="23"/>
        <v>#REF!</v>
      </c>
      <c r="AQ30" s="154" t="e">
        <f t="shared" si="3"/>
        <v>#REF!</v>
      </c>
      <c r="AR30" s="103"/>
      <c r="AS30" s="86" t="e">
        <f>'Labor Rates'!#REF!</f>
        <v>#REF!</v>
      </c>
      <c r="AT30" s="98" t="e">
        <f t="shared" si="24"/>
        <v>#REF!</v>
      </c>
      <c r="AU30" s="96" t="e">
        <f>'Labor Rates'!#REF!</f>
        <v>#REF!</v>
      </c>
      <c r="AV30" s="98" t="e">
        <f t="shared" si="25"/>
        <v>#REF!</v>
      </c>
      <c r="AW30" s="96" t="e">
        <f>'Labor Rates'!#REF!</f>
        <v>#REF!</v>
      </c>
      <c r="AX30" s="101" t="e">
        <f t="shared" si="26"/>
        <v>#REF!</v>
      </c>
      <c r="AY30" s="154" t="e">
        <f t="shared" si="4"/>
        <v>#REF!</v>
      </c>
      <c r="AZ30" s="169">
        <f t="shared" si="5"/>
        <v>0</v>
      </c>
      <c r="BA30" s="168" t="e">
        <f t="shared" si="6"/>
        <v>#REF!</v>
      </c>
      <c r="BB30" s="162" t="e">
        <f t="shared" si="7"/>
        <v>#REF!</v>
      </c>
    </row>
    <row r="31" spans="1:54" x14ac:dyDescent="0.25">
      <c r="A31" s="9"/>
      <c r="B31" s="222" t="str">
        <f>IF(ISBLANK('Labor Rates'!D31),"",'Labor Rates'!D31)</f>
        <v/>
      </c>
      <c r="C31" s="223" t="str">
        <f>IF(ISBLANK('Labor Rates'!E31),"",'Labor Rates'!E31)</f>
        <v/>
      </c>
      <c r="D31" s="139"/>
      <c r="E31" s="98" t="e">
        <f>'Labor Rates'!#REF!</f>
        <v>#REF!</v>
      </c>
      <c r="F31" s="98" t="e">
        <f t="shared" si="8"/>
        <v>#REF!</v>
      </c>
      <c r="G31" s="96" t="e">
        <f>'Labor Rates'!#REF!</f>
        <v>#REF!</v>
      </c>
      <c r="H31" s="98" t="e">
        <f t="shared" si="9"/>
        <v>#REF!</v>
      </c>
      <c r="I31" s="96" t="e">
        <f>'Labor Rates'!#REF!</f>
        <v>#REF!</v>
      </c>
      <c r="J31" s="101" t="e">
        <f t="shared" si="10"/>
        <v>#REF!</v>
      </c>
      <c r="K31" s="154" t="e">
        <f t="shared" si="11"/>
        <v>#REF!</v>
      </c>
      <c r="L31" s="120"/>
      <c r="M31" s="86" t="e">
        <f>'Labor Rates'!#REF!</f>
        <v>#REF!</v>
      </c>
      <c r="N31" s="98" t="e">
        <f t="shared" si="12"/>
        <v>#REF!</v>
      </c>
      <c r="O31" s="96" t="e">
        <f>'Labor Rates'!#REF!</f>
        <v>#REF!</v>
      </c>
      <c r="P31" s="98" t="e">
        <f t="shared" si="13"/>
        <v>#REF!</v>
      </c>
      <c r="Q31" s="96" t="e">
        <f>'Labor Rates'!#REF!</f>
        <v>#REF!</v>
      </c>
      <c r="R31" s="101" t="e">
        <f t="shared" si="14"/>
        <v>#REF!</v>
      </c>
      <c r="S31" s="154" t="e">
        <f t="shared" si="0"/>
        <v>#REF!</v>
      </c>
      <c r="T31" s="120"/>
      <c r="U31" s="86" t="e">
        <f>'Labor Rates'!#REF!</f>
        <v>#REF!</v>
      </c>
      <c r="V31" s="98" t="e">
        <f t="shared" si="15"/>
        <v>#REF!</v>
      </c>
      <c r="W31" s="96" t="e">
        <f>'Labor Rates'!#REF!</f>
        <v>#REF!</v>
      </c>
      <c r="X31" s="98" t="e">
        <f t="shared" si="16"/>
        <v>#REF!</v>
      </c>
      <c r="Y31" s="96" t="e">
        <f>'Labor Rates'!#REF!</f>
        <v>#REF!</v>
      </c>
      <c r="Z31" s="101" t="e">
        <f t="shared" si="17"/>
        <v>#REF!</v>
      </c>
      <c r="AA31" s="154" t="e">
        <f t="shared" si="1"/>
        <v>#REF!</v>
      </c>
      <c r="AB31" s="120"/>
      <c r="AC31" s="86" t="e">
        <f>'Labor Rates'!#REF!</f>
        <v>#REF!</v>
      </c>
      <c r="AD31" s="98" t="e">
        <f t="shared" si="18"/>
        <v>#REF!</v>
      </c>
      <c r="AE31" s="96" t="e">
        <f>'Labor Rates'!#REF!</f>
        <v>#REF!</v>
      </c>
      <c r="AF31" s="98" t="e">
        <f t="shared" si="19"/>
        <v>#REF!</v>
      </c>
      <c r="AG31" s="96" t="e">
        <f>'Labor Rates'!#REF!</f>
        <v>#REF!</v>
      </c>
      <c r="AH31" s="101" t="e">
        <f t="shared" si="20"/>
        <v>#REF!</v>
      </c>
      <c r="AI31" s="154" t="e">
        <f t="shared" si="2"/>
        <v>#REF!</v>
      </c>
      <c r="AJ31" s="120"/>
      <c r="AK31" s="86" t="e">
        <f>'Labor Rates'!#REF!</f>
        <v>#REF!</v>
      </c>
      <c r="AL31" s="98" t="e">
        <f t="shared" si="21"/>
        <v>#REF!</v>
      </c>
      <c r="AM31" s="96" t="e">
        <f>'Labor Rates'!#REF!</f>
        <v>#REF!</v>
      </c>
      <c r="AN31" s="98" t="e">
        <f t="shared" si="22"/>
        <v>#REF!</v>
      </c>
      <c r="AO31" s="96" t="e">
        <f>'Labor Rates'!#REF!</f>
        <v>#REF!</v>
      </c>
      <c r="AP31" s="101" t="e">
        <f t="shared" si="23"/>
        <v>#REF!</v>
      </c>
      <c r="AQ31" s="154" t="e">
        <f t="shared" si="3"/>
        <v>#REF!</v>
      </c>
      <c r="AR31" s="103"/>
      <c r="AS31" s="86" t="e">
        <f>'Labor Rates'!#REF!</f>
        <v>#REF!</v>
      </c>
      <c r="AT31" s="98" t="e">
        <f t="shared" si="24"/>
        <v>#REF!</v>
      </c>
      <c r="AU31" s="96" t="e">
        <f>'Labor Rates'!#REF!</f>
        <v>#REF!</v>
      </c>
      <c r="AV31" s="98" t="e">
        <f t="shared" si="25"/>
        <v>#REF!</v>
      </c>
      <c r="AW31" s="96" t="e">
        <f>'Labor Rates'!#REF!</f>
        <v>#REF!</v>
      </c>
      <c r="AX31" s="101" t="e">
        <f t="shared" si="26"/>
        <v>#REF!</v>
      </c>
      <c r="AY31" s="154" t="e">
        <f t="shared" si="4"/>
        <v>#REF!</v>
      </c>
      <c r="AZ31" s="169">
        <f t="shared" si="5"/>
        <v>0</v>
      </c>
      <c r="BA31" s="168" t="e">
        <f t="shared" si="6"/>
        <v>#REF!</v>
      </c>
      <c r="BB31" s="162" t="e">
        <f t="shared" si="7"/>
        <v>#REF!</v>
      </c>
    </row>
    <row r="32" spans="1:54" x14ac:dyDescent="0.25">
      <c r="A32" s="9"/>
      <c r="B32" s="3" t="s">
        <v>442</v>
      </c>
      <c r="C32" s="8"/>
      <c r="D32" s="140">
        <f>SUM(D8:D31)</f>
        <v>0</v>
      </c>
      <c r="E32" s="97"/>
      <c r="F32" s="99" t="e">
        <f>SUM(F8:F31)</f>
        <v>#REF!</v>
      </c>
      <c r="G32" s="8"/>
      <c r="H32" s="99"/>
      <c r="I32" s="8"/>
      <c r="J32" s="8"/>
      <c r="K32" s="133"/>
      <c r="L32" s="112">
        <f>SUM(L8:L31)</f>
        <v>0</v>
      </c>
      <c r="M32" s="4"/>
      <c r="N32" s="99" t="e">
        <f>SUM(N8:N31)</f>
        <v>#REF!</v>
      </c>
      <c r="O32" s="8"/>
      <c r="P32" s="8"/>
      <c r="Q32" s="8"/>
      <c r="R32" s="8"/>
      <c r="S32" s="133"/>
      <c r="T32" s="112">
        <f>SUM(T8:T31)</f>
        <v>0</v>
      </c>
      <c r="U32" s="4"/>
      <c r="V32" s="99" t="e">
        <f>SUM(V8:V31)</f>
        <v>#REF!</v>
      </c>
      <c r="W32" s="8"/>
      <c r="X32" s="8"/>
      <c r="Y32" s="8"/>
      <c r="Z32" s="8"/>
      <c r="AA32" s="133"/>
      <c r="AB32" s="112">
        <f>SUM(AB8:AB31)</f>
        <v>0</v>
      </c>
      <c r="AC32" s="4"/>
      <c r="AD32" s="99" t="e">
        <f>SUM(AD8:AD31)</f>
        <v>#REF!</v>
      </c>
      <c r="AE32" s="8"/>
      <c r="AF32" s="8"/>
      <c r="AG32" s="8"/>
      <c r="AH32" s="8"/>
      <c r="AI32" s="133"/>
      <c r="AJ32" s="112">
        <f>SUM(AJ8:AJ31)</f>
        <v>0</v>
      </c>
      <c r="AK32" s="4"/>
      <c r="AL32" s="99" t="e">
        <f>SUM(AL8:AL31)</f>
        <v>#REF!</v>
      </c>
      <c r="AM32" s="8"/>
      <c r="AN32" s="8"/>
      <c r="AO32" s="8"/>
      <c r="AP32" s="8"/>
      <c r="AQ32" s="133"/>
      <c r="AR32" s="10">
        <f>SUM(AR8:AR31)</f>
        <v>0</v>
      </c>
      <c r="AS32" s="4"/>
      <c r="AT32" s="99" t="e">
        <f>SUM(AT8:AT31)</f>
        <v>#REF!</v>
      </c>
      <c r="AU32" s="8"/>
      <c r="AV32" s="8"/>
      <c r="AW32" s="8"/>
      <c r="AX32" s="8"/>
      <c r="AY32" s="133"/>
      <c r="AZ32" s="25">
        <f>SUM(AZ8:AZ31)</f>
        <v>0</v>
      </c>
      <c r="BA32" s="177" t="e">
        <f>F32+N32+V32+AD32+AL32+AT32</f>
        <v>#REF!</v>
      </c>
      <c r="BB32" s="168" t="e">
        <f>SUM(BB8:BB31)</f>
        <v>#REF!</v>
      </c>
    </row>
    <row r="33" spans="1:53" x14ac:dyDescent="0.25">
      <c r="A33" s="17"/>
      <c r="B33" s="221" t="s">
        <v>488</v>
      </c>
      <c r="C33" s="7"/>
      <c r="D33" s="142"/>
      <c r="E33" s="6"/>
      <c r="F33" s="87"/>
      <c r="G33" s="87"/>
      <c r="H33" s="100" t="e">
        <f>SUM(H8:H31)</f>
        <v>#REF!</v>
      </c>
      <c r="I33" s="87"/>
      <c r="J33" s="87"/>
      <c r="K33" s="154" t="e">
        <f>H33</f>
        <v>#REF!</v>
      </c>
      <c r="L33" s="114"/>
      <c r="M33" s="6"/>
      <c r="N33" s="87"/>
      <c r="O33" s="87"/>
      <c r="P33" s="100" t="e">
        <f>SUM(P8:P31)</f>
        <v>#REF!</v>
      </c>
      <c r="Q33" s="87"/>
      <c r="R33" s="87"/>
      <c r="S33" s="154" t="e">
        <f>P33</f>
        <v>#REF!</v>
      </c>
      <c r="T33" s="114"/>
      <c r="U33" s="6"/>
      <c r="V33" s="87"/>
      <c r="W33" s="87"/>
      <c r="X33" s="100" t="e">
        <f>SUM(X8:X31)</f>
        <v>#REF!</v>
      </c>
      <c r="Y33" s="87"/>
      <c r="Z33" s="87"/>
      <c r="AA33" s="154" t="e">
        <f>X33</f>
        <v>#REF!</v>
      </c>
      <c r="AB33" s="114"/>
      <c r="AC33" s="6"/>
      <c r="AD33" s="87"/>
      <c r="AE33" s="87"/>
      <c r="AF33" s="100" t="e">
        <f>SUM(AF8:AF31)</f>
        <v>#REF!</v>
      </c>
      <c r="AG33" s="87"/>
      <c r="AH33" s="87"/>
      <c r="AI33" s="154" t="e">
        <f>AF33</f>
        <v>#REF!</v>
      </c>
      <c r="AJ33" s="114"/>
      <c r="AK33" s="6"/>
      <c r="AL33" s="87"/>
      <c r="AM33" s="87"/>
      <c r="AN33" s="100" t="e">
        <f>SUM(AN8:AN31)</f>
        <v>#REF!</v>
      </c>
      <c r="AO33" s="87"/>
      <c r="AP33" s="87"/>
      <c r="AQ33" s="154" t="e">
        <f>AN33</f>
        <v>#REF!</v>
      </c>
      <c r="AR33" s="11"/>
      <c r="AS33" s="6"/>
      <c r="AT33" s="87"/>
      <c r="AU33" s="87"/>
      <c r="AV33" s="100" t="e">
        <f>SUM(AV8:AV31)</f>
        <v>#REF!</v>
      </c>
      <c r="AW33" s="87"/>
      <c r="AX33" s="87"/>
      <c r="AY33" s="154" t="e">
        <f>AV33</f>
        <v>#REF!</v>
      </c>
      <c r="AZ33" s="27"/>
      <c r="BA33" s="159" t="e">
        <f>K33+S33+AA33+AI33+AQ33+AY33</f>
        <v>#REF!</v>
      </c>
    </row>
    <row r="34" spans="1:53" hidden="1" x14ac:dyDescent="0.25">
      <c r="A34" s="17"/>
      <c r="B34" s="5" t="e">
        <f>'Phase 1 Costs'!#REF!</f>
        <v>#REF!</v>
      </c>
      <c r="C34" s="7"/>
      <c r="D34" s="143" t="e">
        <f>F32</f>
        <v>#REF!</v>
      </c>
      <c r="E34" s="102">
        <v>0</v>
      </c>
      <c r="F34" s="87"/>
      <c r="G34" s="87"/>
      <c r="H34" s="87"/>
      <c r="I34" s="87"/>
      <c r="J34" s="87"/>
      <c r="K34" s="134" t="e">
        <f>D34*E34</f>
        <v>#REF!</v>
      </c>
      <c r="L34" s="121" t="e">
        <f>N32</f>
        <v>#REF!</v>
      </c>
      <c r="M34" s="102"/>
      <c r="N34" s="87"/>
      <c r="O34" s="87"/>
      <c r="P34" s="87"/>
      <c r="Q34" s="87"/>
      <c r="R34" s="87"/>
      <c r="S34" s="134" t="e">
        <f>L34*M34</f>
        <v>#REF!</v>
      </c>
      <c r="T34" s="121" t="e">
        <f>V32</f>
        <v>#REF!</v>
      </c>
      <c r="U34" s="102"/>
      <c r="V34" s="87"/>
      <c r="W34" s="87"/>
      <c r="X34" s="87"/>
      <c r="Y34" s="87"/>
      <c r="Z34" s="87"/>
      <c r="AA34" s="134" t="e">
        <f>T34*U34</f>
        <v>#REF!</v>
      </c>
      <c r="AB34" s="121" t="e">
        <f>AD32</f>
        <v>#REF!</v>
      </c>
      <c r="AC34" s="102"/>
      <c r="AD34" s="87"/>
      <c r="AE34" s="87"/>
      <c r="AF34" s="87"/>
      <c r="AG34" s="87"/>
      <c r="AH34" s="87"/>
      <c r="AI34" s="134" t="e">
        <f>AB34*AC34</f>
        <v>#REF!</v>
      </c>
      <c r="AJ34" s="121" t="e">
        <f>AL32</f>
        <v>#REF!</v>
      </c>
      <c r="AK34" s="102"/>
      <c r="AL34" s="87"/>
      <c r="AM34" s="87"/>
      <c r="AN34" s="87"/>
      <c r="AO34" s="87"/>
      <c r="AP34" s="87"/>
      <c r="AQ34" s="134" t="e">
        <f>AJ34*AK34</f>
        <v>#REF!</v>
      </c>
      <c r="AR34" s="121" t="e">
        <f>AT32</f>
        <v>#REF!</v>
      </c>
      <c r="AS34" s="102"/>
      <c r="AT34" s="87"/>
      <c r="AU34" s="87"/>
      <c r="AV34" s="87"/>
      <c r="AW34" s="87"/>
      <c r="AX34" s="87"/>
      <c r="AY34" s="134" t="e">
        <f>AR34*AS34</f>
        <v>#REF!</v>
      </c>
      <c r="AZ34" s="27"/>
      <c r="BA34" s="159" t="e">
        <f>K34+S34+AA34+AI34+AQ34+AY34</f>
        <v>#REF!</v>
      </c>
    </row>
    <row r="35" spans="1:53" x14ac:dyDescent="0.25">
      <c r="A35" s="17"/>
      <c r="B35" s="4" t="s">
        <v>248</v>
      </c>
      <c r="C35" s="8"/>
      <c r="D35" s="144"/>
      <c r="E35" s="4"/>
      <c r="F35" s="8"/>
      <c r="G35" s="8"/>
      <c r="H35" s="8"/>
      <c r="I35" s="8"/>
      <c r="J35" s="8"/>
      <c r="K35" s="133" t="e">
        <f>SUM(K33:K34)</f>
        <v>#REF!</v>
      </c>
      <c r="L35" s="115"/>
      <c r="M35" s="4"/>
      <c r="N35" s="8"/>
      <c r="O35" s="8"/>
      <c r="P35" s="8"/>
      <c r="Q35" s="8"/>
      <c r="R35" s="8"/>
      <c r="S35" s="133" t="e">
        <f>SUM(S33:S34)</f>
        <v>#REF!</v>
      </c>
      <c r="T35" s="115"/>
      <c r="U35" s="4"/>
      <c r="V35" s="8"/>
      <c r="W35" s="8"/>
      <c r="X35" s="8"/>
      <c r="Y35" s="8"/>
      <c r="Z35" s="8"/>
      <c r="AA35" s="133" t="e">
        <f>SUM(AA33:AA34)</f>
        <v>#REF!</v>
      </c>
      <c r="AB35" s="115"/>
      <c r="AC35" s="4"/>
      <c r="AD35" s="8"/>
      <c r="AE35" s="8"/>
      <c r="AF35" s="8"/>
      <c r="AG35" s="8"/>
      <c r="AH35" s="8"/>
      <c r="AI35" s="133" t="e">
        <f>SUM(AI33:AI34)</f>
        <v>#REF!</v>
      </c>
      <c r="AJ35" s="115"/>
      <c r="AK35" s="4"/>
      <c r="AL35" s="8"/>
      <c r="AM35" s="8"/>
      <c r="AN35" s="8"/>
      <c r="AO35" s="8"/>
      <c r="AP35" s="8"/>
      <c r="AQ35" s="133" t="e">
        <f>SUM(AQ33:AQ34)</f>
        <v>#REF!</v>
      </c>
      <c r="AR35" s="12"/>
      <c r="AS35" s="4"/>
      <c r="AT35" s="8"/>
      <c r="AU35" s="8"/>
      <c r="AV35" s="8"/>
      <c r="AW35" s="8"/>
      <c r="AX35" s="8"/>
      <c r="AY35" s="133" t="e">
        <f>SUM(AY33:AY34)</f>
        <v>#REF!</v>
      </c>
      <c r="AZ35" s="28"/>
      <c r="BA35" s="160" t="e">
        <f>SUM(D35:AY35)</f>
        <v>#REF!</v>
      </c>
    </row>
    <row r="36" spans="1:53" x14ac:dyDescent="0.25">
      <c r="A36" s="17"/>
      <c r="B36" s="221" t="s">
        <v>445</v>
      </c>
      <c r="C36" s="7"/>
      <c r="D36" s="142"/>
      <c r="E36" s="6"/>
      <c r="F36" s="87"/>
      <c r="G36" s="87"/>
      <c r="H36" s="87"/>
      <c r="I36" s="87"/>
      <c r="J36" s="100" t="e">
        <f>SUM(J8:J31)</f>
        <v>#REF!</v>
      </c>
      <c r="K36" s="154" t="e">
        <f>J36</f>
        <v>#REF!</v>
      </c>
      <c r="L36" s="114"/>
      <c r="M36" s="6"/>
      <c r="N36" s="87"/>
      <c r="O36" s="87"/>
      <c r="P36" s="87"/>
      <c r="Q36" s="87"/>
      <c r="R36" s="100" t="e">
        <f>SUM(R8:R31)</f>
        <v>#REF!</v>
      </c>
      <c r="S36" s="154" t="e">
        <f>R36</f>
        <v>#REF!</v>
      </c>
      <c r="T36" s="114"/>
      <c r="U36" s="6"/>
      <c r="V36" s="87"/>
      <c r="W36" s="87"/>
      <c r="X36" s="87"/>
      <c r="Y36" s="87"/>
      <c r="Z36" s="100" t="e">
        <f>SUM(Z8:Z31)</f>
        <v>#REF!</v>
      </c>
      <c r="AA36" s="154" t="e">
        <f>Z36</f>
        <v>#REF!</v>
      </c>
      <c r="AB36" s="114"/>
      <c r="AC36" s="6"/>
      <c r="AD36" s="87"/>
      <c r="AE36" s="87"/>
      <c r="AF36" s="87"/>
      <c r="AG36" s="87"/>
      <c r="AH36" s="100" t="e">
        <f>SUM(AH8:AH31)</f>
        <v>#REF!</v>
      </c>
      <c r="AI36" s="154" t="e">
        <f>AH36</f>
        <v>#REF!</v>
      </c>
      <c r="AJ36" s="114"/>
      <c r="AK36" s="6"/>
      <c r="AL36" s="87"/>
      <c r="AM36" s="87"/>
      <c r="AN36" s="87"/>
      <c r="AO36" s="87"/>
      <c r="AP36" s="100" t="e">
        <f>SUM(AP8:AP31)</f>
        <v>#REF!</v>
      </c>
      <c r="AQ36" s="154" t="e">
        <f>AP36</f>
        <v>#REF!</v>
      </c>
      <c r="AR36" s="11"/>
      <c r="AS36" s="6"/>
      <c r="AT36" s="87"/>
      <c r="AU36" s="87"/>
      <c r="AV36" s="87"/>
      <c r="AW36" s="87"/>
      <c r="AX36" s="100" t="e">
        <f>SUM(AX8:AX31)</f>
        <v>#REF!</v>
      </c>
      <c r="AY36" s="154" t="e">
        <f>AX36</f>
        <v>#REF!</v>
      </c>
      <c r="AZ36" s="27"/>
      <c r="BA36" s="159" t="e">
        <f>K36+S36+AA36+AI36+AQ36+AY36</f>
        <v>#REF!</v>
      </c>
    </row>
    <row r="37" spans="1:53" hidden="1" x14ac:dyDescent="0.25">
      <c r="A37" s="17"/>
      <c r="B37" s="5" t="e">
        <f>'Phase 1 Costs'!#REF!</f>
        <v>#REF!</v>
      </c>
      <c r="C37" s="7"/>
      <c r="D37" s="143" t="e">
        <f>F32+K35</f>
        <v>#REF!</v>
      </c>
      <c r="E37" s="102">
        <v>0</v>
      </c>
      <c r="F37" s="87"/>
      <c r="G37" s="87"/>
      <c r="H37" s="87"/>
      <c r="I37" s="87"/>
      <c r="J37" s="87"/>
      <c r="K37" s="134" t="e">
        <f>D37*E37</f>
        <v>#REF!</v>
      </c>
      <c r="L37" s="121" t="e">
        <f>N32+S35</f>
        <v>#REF!</v>
      </c>
      <c r="M37" s="102"/>
      <c r="N37" s="87"/>
      <c r="O37" s="87"/>
      <c r="P37" s="87"/>
      <c r="Q37" s="87"/>
      <c r="R37" s="87"/>
      <c r="S37" s="134" t="e">
        <f>L37*M37</f>
        <v>#REF!</v>
      </c>
      <c r="T37" s="121" t="e">
        <f>V32+AA35</f>
        <v>#REF!</v>
      </c>
      <c r="U37" s="102"/>
      <c r="V37" s="87"/>
      <c r="W37" s="87"/>
      <c r="X37" s="87"/>
      <c r="Y37" s="87"/>
      <c r="Z37" s="87"/>
      <c r="AA37" s="134" t="e">
        <f>T37*U37</f>
        <v>#REF!</v>
      </c>
      <c r="AB37" s="121" t="e">
        <f>AD32+AI35</f>
        <v>#REF!</v>
      </c>
      <c r="AC37" s="102"/>
      <c r="AD37" s="87"/>
      <c r="AE37" s="87"/>
      <c r="AF37" s="87"/>
      <c r="AG37" s="87"/>
      <c r="AH37" s="87"/>
      <c r="AI37" s="134" t="e">
        <f>AB37*AC37</f>
        <v>#REF!</v>
      </c>
      <c r="AJ37" s="121" t="e">
        <f>AL32+AQ35</f>
        <v>#REF!</v>
      </c>
      <c r="AK37" s="102"/>
      <c r="AL37" s="87"/>
      <c r="AM37" s="87"/>
      <c r="AN37" s="87"/>
      <c r="AO37" s="87"/>
      <c r="AP37" s="87"/>
      <c r="AQ37" s="134" t="e">
        <f>AJ37*AK37</f>
        <v>#REF!</v>
      </c>
      <c r="AR37" s="121" t="e">
        <f>AT32+AY35</f>
        <v>#REF!</v>
      </c>
      <c r="AS37" s="102"/>
      <c r="AT37" s="87"/>
      <c r="AU37" s="87"/>
      <c r="AV37" s="87"/>
      <c r="AW37" s="87"/>
      <c r="AX37" s="87"/>
      <c r="AY37" s="134" t="e">
        <f>AR37*AS37</f>
        <v>#REF!</v>
      </c>
      <c r="AZ37" s="27"/>
      <c r="BA37" s="159" t="e">
        <f>K37+S37+AA37+AI37+AQ37+AY37</f>
        <v>#REF!</v>
      </c>
    </row>
    <row r="38" spans="1:53" x14ac:dyDescent="0.25">
      <c r="A38" s="17"/>
      <c r="B38" s="4" t="s">
        <v>250</v>
      </c>
      <c r="C38" s="8"/>
      <c r="D38" s="144"/>
      <c r="E38" s="4"/>
      <c r="F38" s="8"/>
      <c r="G38" s="8"/>
      <c r="H38" s="8"/>
      <c r="I38" s="8"/>
      <c r="J38" s="8"/>
      <c r="K38" s="133" t="e">
        <f>SUM(K36:K37)</f>
        <v>#REF!</v>
      </c>
      <c r="L38" s="115"/>
      <c r="M38" s="4"/>
      <c r="N38" s="8"/>
      <c r="O38" s="8"/>
      <c r="P38" s="8"/>
      <c r="Q38" s="8"/>
      <c r="R38" s="8"/>
      <c r="S38" s="133" t="e">
        <f>SUM(S36:S37)</f>
        <v>#REF!</v>
      </c>
      <c r="T38" s="115"/>
      <c r="U38" s="4"/>
      <c r="V38" s="8"/>
      <c r="W38" s="8"/>
      <c r="X38" s="8"/>
      <c r="Y38" s="8"/>
      <c r="Z38" s="8"/>
      <c r="AA38" s="133" t="e">
        <f>SUM(AA36:AA37)</f>
        <v>#REF!</v>
      </c>
      <c r="AB38" s="115"/>
      <c r="AC38" s="4"/>
      <c r="AD38" s="8"/>
      <c r="AE38" s="8"/>
      <c r="AF38" s="8"/>
      <c r="AG38" s="8"/>
      <c r="AH38" s="8"/>
      <c r="AI38" s="133" t="e">
        <f>SUM(AI36:AI37)</f>
        <v>#REF!</v>
      </c>
      <c r="AJ38" s="115"/>
      <c r="AK38" s="4"/>
      <c r="AL38" s="8"/>
      <c r="AM38" s="8"/>
      <c r="AN38" s="8"/>
      <c r="AO38" s="8"/>
      <c r="AP38" s="8"/>
      <c r="AQ38" s="133" t="e">
        <f>SUM(AQ36:AQ37)</f>
        <v>#REF!</v>
      </c>
      <c r="AR38" s="12"/>
      <c r="AS38" s="4"/>
      <c r="AT38" s="8"/>
      <c r="AU38" s="8"/>
      <c r="AV38" s="8"/>
      <c r="AW38" s="8"/>
      <c r="AX38" s="8"/>
      <c r="AY38" s="133" t="e">
        <f>SUM(AY36:AY37)</f>
        <v>#REF!</v>
      </c>
      <c r="AZ38" s="28"/>
      <c r="BA38" s="160" t="e">
        <f>K38+S38+AA38+AI38+AQ38+AY38</f>
        <v>#REF!</v>
      </c>
    </row>
    <row r="39" spans="1:53" x14ac:dyDescent="0.25">
      <c r="A39" s="17" t="s">
        <v>447</v>
      </c>
      <c r="B39" s="2"/>
      <c r="C39" s="23" t="s">
        <v>448</v>
      </c>
      <c r="D39" s="141"/>
      <c r="E39" s="2"/>
      <c r="F39" s="7"/>
      <c r="G39" s="7"/>
      <c r="H39" s="7"/>
      <c r="I39" s="7"/>
      <c r="J39" s="7"/>
      <c r="K39" s="134"/>
      <c r="L39" s="113"/>
      <c r="M39" s="2"/>
      <c r="N39" s="7"/>
      <c r="O39" s="7"/>
      <c r="P39" s="7"/>
      <c r="Q39" s="7"/>
      <c r="R39" s="7"/>
      <c r="S39" s="134"/>
      <c r="T39" s="113"/>
      <c r="U39" s="2"/>
      <c r="V39" s="7"/>
      <c r="W39" s="7"/>
      <c r="X39" s="7"/>
      <c r="Y39" s="7"/>
      <c r="Z39" s="7"/>
      <c r="AA39" s="134"/>
      <c r="AB39" s="113"/>
      <c r="AC39" s="113"/>
      <c r="AD39" s="113"/>
      <c r="AE39" s="113"/>
      <c r="AF39" s="113"/>
      <c r="AG39" s="113"/>
      <c r="AH39" s="7"/>
      <c r="AI39" s="134"/>
      <c r="AJ39" s="113"/>
      <c r="AK39" s="113"/>
      <c r="AL39" s="113"/>
      <c r="AM39" s="113"/>
      <c r="AN39" s="113"/>
      <c r="AO39" s="113"/>
      <c r="AP39" s="7"/>
      <c r="AQ39" s="165"/>
      <c r="AR39" s="9"/>
      <c r="AS39" s="113"/>
      <c r="AT39" s="113"/>
      <c r="AU39" s="113"/>
      <c r="AV39" s="113"/>
      <c r="AW39" s="113"/>
      <c r="AX39" s="7"/>
      <c r="AY39" s="134"/>
      <c r="AZ39" s="170"/>
      <c r="BA39" s="159"/>
    </row>
    <row r="40" spans="1:53" ht="13" x14ac:dyDescent="0.3">
      <c r="A40" s="9"/>
      <c r="B40" s="221" t="str">
        <f>'Phase 1 Costs'!A36</f>
        <v>Subproposer- #01</v>
      </c>
      <c r="C40" s="137" t="s">
        <v>338</v>
      </c>
      <c r="D40" s="183"/>
      <c r="E40" s="181"/>
      <c r="F40" s="182"/>
      <c r="G40" s="182"/>
      <c r="H40" s="182"/>
      <c r="I40" s="182"/>
      <c r="J40" s="182"/>
      <c r="K40" s="132">
        <v>0</v>
      </c>
      <c r="L40" s="180"/>
      <c r="M40" s="181"/>
      <c r="N40" s="182"/>
      <c r="O40" s="182"/>
      <c r="P40" s="182"/>
      <c r="Q40" s="182"/>
      <c r="R40" s="182"/>
      <c r="S40" s="132">
        <v>0</v>
      </c>
      <c r="T40" s="180"/>
      <c r="U40" s="181"/>
      <c r="V40" s="182"/>
      <c r="W40" s="182"/>
      <c r="X40" s="182"/>
      <c r="Y40" s="182"/>
      <c r="Z40" s="182"/>
      <c r="AA40" s="132">
        <v>0</v>
      </c>
      <c r="AB40" s="180"/>
      <c r="AC40" s="181"/>
      <c r="AD40" s="182"/>
      <c r="AE40" s="182"/>
      <c r="AF40" s="182"/>
      <c r="AG40" s="182"/>
      <c r="AH40" s="182"/>
      <c r="AI40" s="132">
        <v>0</v>
      </c>
      <c r="AJ40" s="180"/>
      <c r="AK40" s="181"/>
      <c r="AL40" s="182"/>
      <c r="AM40" s="182"/>
      <c r="AN40" s="182"/>
      <c r="AO40" s="182"/>
      <c r="AP40" s="182"/>
      <c r="AQ40" s="132">
        <v>0</v>
      </c>
      <c r="AR40" s="184"/>
      <c r="AS40" s="180"/>
      <c r="AT40" s="180"/>
      <c r="AU40" s="180"/>
      <c r="AV40" s="180"/>
      <c r="AW40" s="180"/>
      <c r="AX40" s="182"/>
      <c r="AY40" s="132">
        <v>0</v>
      </c>
      <c r="AZ40" s="171"/>
      <c r="BA40" s="159">
        <f>K40+S40+AA40+AI40+AQ40+AY40</f>
        <v>0</v>
      </c>
    </row>
    <row r="41" spans="1:53" ht="13" x14ac:dyDescent="0.3">
      <c r="A41" s="9"/>
      <c r="B41" s="221" t="str">
        <f>'Phase 1 Costs'!A37</f>
        <v>Subproposer- #02</v>
      </c>
      <c r="C41" s="137" t="s">
        <v>338</v>
      </c>
      <c r="D41" s="183"/>
      <c r="E41" s="181"/>
      <c r="F41" s="182"/>
      <c r="G41" s="182"/>
      <c r="H41" s="182"/>
      <c r="I41" s="182"/>
      <c r="J41" s="182"/>
      <c r="K41" s="132"/>
      <c r="L41" s="180"/>
      <c r="M41" s="181"/>
      <c r="N41" s="182"/>
      <c r="O41" s="182"/>
      <c r="P41" s="182"/>
      <c r="Q41" s="182"/>
      <c r="R41" s="182"/>
      <c r="S41" s="132">
        <v>0</v>
      </c>
      <c r="T41" s="180"/>
      <c r="U41" s="181"/>
      <c r="V41" s="182"/>
      <c r="W41" s="182"/>
      <c r="X41" s="182"/>
      <c r="Y41" s="182"/>
      <c r="Z41" s="182"/>
      <c r="AA41" s="132">
        <v>0</v>
      </c>
      <c r="AB41" s="180"/>
      <c r="AC41" s="181"/>
      <c r="AD41" s="182"/>
      <c r="AE41" s="182"/>
      <c r="AF41" s="182"/>
      <c r="AG41" s="182"/>
      <c r="AH41" s="182"/>
      <c r="AI41" s="132">
        <v>0</v>
      </c>
      <c r="AJ41" s="180"/>
      <c r="AK41" s="181"/>
      <c r="AL41" s="182"/>
      <c r="AM41" s="182"/>
      <c r="AN41" s="182"/>
      <c r="AO41" s="182"/>
      <c r="AP41" s="182"/>
      <c r="AQ41" s="132"/>
      <c r="AR41" s="184"/>
      <c r="AS41" s="180"/>
      <c r="AT41" s="180"/>
      <c r="AU41" s="180"/>
      <c r="AV41" s="180"/>
      <c r="AW41" s="180"/>
      <c r="AX41" s="182"/>
      <c r="AY41" s="132"/>
      <c r="AZ41" s="171"/>
      <c r="BA41" s="159">
        <f>K41+S41+AA41+AI41+AQ41+AY41</f>
        <v>0</v>
      </c>
    </row>
    <row r="42" spans="1:53" ht="13" x14ac:dyDescent="0.3">
      <c r="A42" s="9"/>
      <c r="B42" s="221" t="str">
        <f>'Phase 1 Costs'!A38</f>
        <v>Subproposer- #03</v>
      </c>
      <c r="C42" s="137" t="s">
        <v>338</v>
      </c>
      <c r="D42" s="183"/>
      <c r="E42" s="181"/>
      <c r="F42" s="182"/>
      <c r="G42" s="182"/>
      <c r="H42" s="182"/>
      <c r="I42" s="182"/>
      <c r="J42" s="182"/>
      <c r="K42" s="132"/>
      <c r="L42" s="180"/>
      <c r="M42" s="181"/>
      <c r="N42" s="182"/>
      <c r="O42" s="182"/>
      <c r="P42" s="182"/>
      <c r="Q42" s="182"/>
      <c r="R42" s="182"/>
      <c r="S42" s="132">
        <v>0</v>
      </c>
      <c r="T42" s="180"/>
      <c r="U42" s="181"/>
      <c r="V42" s="182"/>
      <c r="W42" s="182"/>
      <c r="X42" s="182"/>
      <c r="Y42" s="182"/>
      <c r="Z42" s="182"/>
      <c r="AA42" s="132">
        <v>0</v>
      </c>
      <c r="AB42" s="180"/>
      <c r="AC42" s="181"/>
      <c r="AD42" s="182"/>
      <c r="AE42" s="182"/>
      <c r="AF42" s="182"/>
      <c r="AG42" s="182"/>
      <c r="AH42" s="182"/>
      <c r="AI42" s="132">
        <v>0</v>
      </c>
      <c r="AJ42" s="180"/>
      <c r="AK42" s="181"/>
      <c r="AL42" s="182"/>
      <c r="AM42" s="182"/>
      <c r="AN42" s="182"/>
      <c r="AO42" s="182"/>
      <c r="AP42" s="182"/>
      <c r="AQ42" s="132"/>
      <c r="AR42" s="184"/>
      <c r="AS42" s="180"/>
      <c r="AT42" s="180"/>
      <c r="AU42" s="180"/>
      <c r="AV42" s="180"/>
      <c r="AW42" s="180"/>
      <c r="AX42" s="182"/>
      <c r="AY42" s="132"/>
      <c r="AZ42" s="171"/>
      <c r="BA42" s="159">
        <f>K42+S42+AA42+AI42+AQ42+AY42</f>
        <v>0</v>
      </c>
    </row>
    <row r="43" spans="1:53" ht="13" x14ac:dyDescent="0.3">
      <c r="A43" s="9"/>
      <c r="B43" s="221" t="str">
        <f>'Phase 1 Costs'!A39</f>
        <v>Insert line(s) for additional Subproposers</v>
      </c>
      <c r="C43" s="137" t="s">
        <v>338</v>
      </c>
      <c r="D43" s="183"/>
      <c r="E43" s="181"/>
      <c r="F43" s="182"/>
      <c r="G43" s="182"/>
      <c r="H43" s="182"/>
      <c r="I43" s="182"/>
      <c r="J43" s="182"/>
      <c r="K43" s="132"/>
      <c r="L43" s="180"/>
      <c r="M43" s="181"/>
      <c r="N43" s="182"/>
      <c r="O43" s="182"/>
      <c r="P43" s="182"/>
      <c r="Q43" s="182"/>
      <c r="R43" s="182"/>
      <c r="S43" s="132">
        <v>0</v>
      </c>
      <c r="T43" s="180"/>
      <c r="U43" s="181"/>
      <c r="V43" s="182"/>
      <c r="W43" s="182"/>
      <c r="X43" s="182"/>
      <c r="Y43" s="182"/>
      <c r="Z43" s="182"/>
      <c r="AA43" s="132">
        <v>0</v>
      </c>
      <c r="AB43" s="180"/>
      <c r="AC43" s="181"/>
      <c r="AD43" s="182"/>
      <c r="AE43" s="182"/>
      <c r="AF43" s="182"/>
      <c r="AG43" s="182"/>
      <c r="AH43" s="182"/>
      <c r="AI43" s="132">
        <v>0</v>
      </c>
      <c r="AJ43" s="180"/>
      <c r="AK43" s="181"/>
      <c r="AL43" s="182"/>
      <c r="AM43" s="182"/>
      <c r="AN43" s="182"/>
      <c r="AO43" s="182"/>
      <c r="AP43" s="182"/>
      <c r="AQ43" s="132"/>
      <c r="AR43" s="184"/>
      <c r="AS43" s="180"/>
      <c r="AT43" s="180"/>
      <c r="AU43" s="180"/>
      <c r="AV43" s="180"/>
      <c r="AW43" s="180"/>
      <c r="AX43" s="182"/>
      <c r="AY43" s="132"/>
      <c r="AZ43" s="171"/>
      <c r="BA43" s="159">
        <f>K43+S43+AA43+AI43+AQ43+AY43</f>
        <v>0</v>
      </c>
    </row>
    <row r="44" spans="1:53" x14ac:dyDescent="0.25">
      <c r="A44" s="9"/>
      <c r="B44" s="4" t="s">
        <v>252</v>
      </c>
      <c r="C44" s="57"/>
      <c r="D44" s="144"/>
      <c r="E44" s="4"/>
      <c r="F44" s="8"/>
      <c r="G44" s="8"/>
      <c r="H44" s="8"/>
      <c r="I44" s="8"/>
      <c r="J44" s="8"/>
      <c r="K44" s="133">
        <f>SUM(K39:K43)</f>
        <v>0</v>
      </c>
      <c r="L44" s="115"/>
      <c r="M44" s="4"/>
      <c r="N44" s="8"/>
      <c r="O44" s="8"/>
      <c r="P44" s="8"/>
      <c r="Q44" s="8"/>
      <c r="R44" s="8"/>
      <c r="S44" s="133">
        <f>SUM(S39:S43)</f>
        <v>0</v>
      </c>
      <c r="T44" s="115"/>
      <c r="U44" s="4"/>
      <c r="V44" s="8"/>
      <c r="W44" s="8"/>
      <c r="X44" s="8"/>
      <c r="Y44" s="8"/>
      <c r="Z44" s="8"/>
      <c r="AA44" s="133">
        <f>SUM(AA39:AA43)</f>
        <v>0</v>
      </c>
      <c r="AB44" s="115"/>
      <c r="AC44" s="4"/>
      <c r="AD44" s="8"/>
      <c r="AE44" s="8"/>
      <c r="AF44" s="8"/>
      <c r="AG44" s="8"/>
      <c r="AH44" s="8"/>
      <c r="AI44" s="133">
        <f>SUM(AI39:AI43)</f>
        <v>0</v>
      </c>
      <c r="AJ44" s="115"/>
      <c r="AK44" s="4"/>
      <c r="AL44" s="8"/>
      <c r="AM44" s="8"/>
      <c r="AN44" s="8"/>
      <c r="AO44" s="8"/>
      <c r="AP44" s="8"/>
      <c r="AQ44" s="133">
        <f>SUM(AQ39:AQ43)</f>
        <v>0</v>
      </c>
      <c r="AR44" s="12"/>
      <c r="AS44" s="115"/>
      <c r="AT44" s="115"/>
      <c r="AU44" s="115"/>
      <c r="AV44" s="115"/>
      <c r="AW44" s="115"/>
      <c r="AX44" s="8"/>
      <c r="AY44" s="133">
        <f>SUM(AY39:AY43)</f>
        <v>0</v>
      </c>
      <c r="AZ44" s="172"/>
      <c r="BA44" s="160">
        <f>K44+S44+AA44+AI44+AQ44+AY44</f>
        <v>0</v>
      </c>
    </row>
    <row r="45" spans="1:53" hidden="1" x14ac:dyDescent="0.25">
      <c r="A45" s="17" t="s">
        <v>342</v>
      </c>
      <c r="B45" s="2"/>
      <c r="C45" s="138"/>
      <c r="D45" s="219" t="s">
        <v>327</v>
      </c>
      <c r="E45" s="220" t="s">
        <v>343</v>
      </c>
      <c r="F45" s="7"/>
      <c r="G45" s="7"/>
      <c r="H45" s="7"/>
      <c r="I45" s="7"/>
      <c r="J45" s="7"/>
      <c r="K45" s="134"/>
      <c r="L45" s="219" t="s">
        <v>327</v>
      </c>
      <c r="M45" s="220" t="s">
        <v>343</v>
      </c>
      <c r="N45" s="7"/>
      <c r="O45" s="7"/>
      <c r="P45" s="7"/>
      <c r="Q45" s="7"/>
      <c r="R45" s="7"/>
      <c r="S45" s="134"/>
      <c r="T45" s="219" t="s">
        <v>327</v>
      </c>
      <c r="U45" s="220" t="s">
        <v>343</v>
      </c>
      <c r="V45" s="7"/>
      <c r="W45" s="7"/>
      <c r="X45" s="7"/>
      <c r="Y45" s="7"/>
      <c r="Z45" s="7"/>
      <c r="AA45" s="134"/>
      <c r="AB45" s="219" t="s">
        <v>327</v>
      </c>
      <c r="AC45" s="220" t="s">
        <v>343</v>
      </c>
      <c r="AD45" s="7"/>
      <c r="AE45" s="7"/>
      <c r="AF45" s="7"/>
      <c r="AG45" s="7"/>
      <c r="AH45" s="7"/>
      <c r="AI45" s="134"/>
      <c r="AJ45" s="219" t="s">
        <v>327</v>
      </c>
      <c r="AK45" s="220" t="s">
        <v>343</v>
      </c>
      <c r="AL45" s="7"/>
      <c r="AM45" s="7"/>
      <c r="AN45" s="7"/>
      <c r="AO45" s="7"/>
      <c r="AP45" s="7"/>
      <c r="AQ45" s="134"/>
      <c r="AR45" s="219" t="s">
        <v>327</v>
      </c>
      <c r="AS45" s="220" t="s">
        <v>343</v>
      </c>
      <c r="AT45" s="113"/>
      <c r="AU45" s="113"/>
      <c r="AV45" s="113"/>
      <c r="AW45" s="113"/>
      <c r="AX45" s="7"/>
      <c r="AY45" s="134"/>
      <c r="AZ45" s="229" t="s">
        <v>327</v>
      </c>
      <c r="BA45" s="159"/>
    </row>
    <row r="46" spans="1:53" ht="13" hidden="1" x14ac:dyDescent="0.3">
      <c r="A46" s="9"/>
      <c r="B46" s="221" t="str">
        <f>'Phase 1 Costs'!A43</f>
        <v>Consultant Name - #01</v>
      </c>
      <c r="C46" s="56" t="s">
        <v>348</v>
      </c>
      <c r="D46" s="139">
        <v>0</v>
      </c>
      <c r="E46" s="128">
        <v>0</v>
      </c>
      <c r="F46" s="179"/>
      <c r="G46" s="179"/>
      <c r="H46" s="179"/>
      <c r="I46" s="179"/>
      <c r="J46" s="179"/>
      <c r="K46" s="154">
        <f>D46*E46</f>
        <v>0</v>
      </c>
      <c r="L46" s="120">
        <v>0</v>
      </c>
      <c r="M46" s="128">
        <v>0</v>
      </c>
      <c r="N46" s="179"/>
      <c r="O46" s="179"/>
      <c r="P46" s="179"/>
      <c r="Q46" s="179"/>
      <c r="R46" s="179"/>
      <c r="S46" s="154">
        <f>L46*M46</f>
        <v>0</v>
      </c>
      <c r="T46" s="120">
        <v>0</v>
      </c>
      <c r="U46" s="128">
        <v>0</v>
      </c>
      <c r="V46" s="179"/>
      <c r="W46" s="179"/>
      <c r="X46" s="179"/>
      <c r="Y46" s="179"/>
      <c r="Z46" s="179"/>
      <c r="AA46" s="154">
        <f>T46*U46</f>
        <v>0</v>
      </c>
      <c r="AB46" s="120">
        <v>0</v>
      </c>
      <c r="AC46" s="128">
        <v>0</v>
      </c>
      <c r="AD46" s="179"/>
      <c r="AE46" s="179"/>
      <c r="AF46" s="179"/>
      <c r="AG46" s="179"/>
      <c r="AH46" s="179"/>
      <c r="AI46" s="154">
        <f>AB46*AC46</f>
        <v>0</v>
      </c>
      <c r="AJ46" s="120">
        <v>0</v>
      </c>
      <c r="AK46" s="128">
        <v>0</v>
      </c>
      <c r="AL46" s="179"/>
      <c r="AM46" s="179"/>
      <c r="AN46" s="179"/>
      <c r="AO46" s="179"/>
      <c r="AP46" s="179"/>
      <c r="AQ46" s="154">
        <f>AJ46*AK46</f>
        <v>0</v>
      </c>
      <c r="AR46" s="103">
        <v>0</v>
      </c>
      <c r="AS46" s="123">
        <v>0</v>
      </c>
      <c r="AT46" s="185"/>
      <c r="AU46" s="185"/>
      <c r="AV46" s="185"/>
      <c r="AW46" s="185"/>
      <c r="AX46" s="179"/>
      <c r="AY46" s="154">
        <f>AR46*AS46</f>
        <v>0</v>
      </c>
      <c r="AZ46" s="227">
        <f>SUM(D46,L46,T46,AB46,AJ46,AR46)</f>
        <v>0</v>
      </c>
      <c r="BA46" s="159">
        <f>K46+S46+AA46+AI46+AQ46+AY46</f>
        <v>0</v>
      </c>
    </row>
    <row r="47" spans="1:53" ht="13" hidden="1" x14ac:dyDescent="0.3">
      <c r="A47" s="9"/>
      <c r="B47" s="221" t="str">
        <f>'Phase 1 Costs'!A44</f>
        <v>Consultant Name - #02</v>
      </c>
      <c r="C47" s="56" t="s">
        <v>348</v>
      </c>
      <c r="D47" s="139"/>
      <c r="E47" s="128"/>
      <c r="F47" s="179"/>
      <c r="G47" s="179"/>
      <c r="H47" s="179"/>
      <c r="I47" s="179"/>
      <c r="J47" s="179"/>
      <c r="K47" s="154">
        <f>D47*E47</f>
        <v>0</v>
      </c>
      <c r="L47" s="120"/>
      <c r="M47" s="128"/>
      <c r="N47" s="179"/>
      <c r="O47" s="179"/>
      <c r="P47" s="179"/>
      <c r="Q47" s="179"/>
      <c r="R47" s="179"/>
      <c r="S47" s="154">
        <f>L47*M47</f>
        <v>0</v>
      </c>
      <c r="T47" s="120"/>
      <c r="U47" s="128"/>
      <c r="V47" s="179"/>
      <c r="W47" s="179"/>
      <c r="X47" s="179"/>
      <c r="Y47" s="179"/>
      <c r="Z47" s="179"/>
      <c r="AA47" s="154">
        <f>T47*U47</f>
        <v>0</v>
      </c>
      <c r="AB47" s="120"/>
      <c r="AC47" s="128"/>
      <c r="AD47" s="179"/>
      <c r="AE47" s="179"/>
      <c r="AF47" s="179"/>
      <c r="AG47" s="179"/>
      <c r="AH47" s="179"/>
      <c r="AI47" s="154">
        <f>AB47*AC47</f>
        <v>0</v>
      </c>
      <c r="AJ47" s="120"/>
      <c r="AK47" s="128"/>
      <c r="AL47" s="179"/>
      <c r="AM47" s="179"/>
      <c r="AN47" s="179"/>
      <c r="AO47" s="179"/>
      <c r="AP47" s="179"/>
      <c r="AQ47" s="154">
        <f>AJ47*AK47</f>
        <v>0</v>
      </c>
      <c r="AR47" s="103"/>
      <c r="AS47" s="123"/>
      <c r="AT47" s="185"/>
      <c r="AU47" s="185"/>
      <c r="AV47" s="185"/>
      <c r="AW47" s="185"/>
      <c r="AX47" s="179"/>
      <c r="AY47" s="154">
        <f>AR47*AS47</f>
        <v>0</v>
      </c>
      <c r="AZ47" s="227">
        <f>SUM(D47,L47,T47,AB47,AJ47,AR47)</f>
        <v>0</v>
      </c>
      <c r="BA47" s="159">
        <f>K47+S47+AA47+AI47+AQ47+AY47</f>
        <v>0</v>
      </c>
    </row>
    <row r="48" spans="1:53" ht="13" hidden="1" x14ac:dyDescent="0.3">
      <c r="A48" s="9"/>
      <c r="B48" s="221" t="str">
        <f>'Phase 1 Costs'!A45</f>
        <v>Consultant Name - #03</v>
      </c>
      <c r="C48" s="56" t="s">
        <v>348</v>
      </c>
      <c r="D48" s="139"/>
      <c r="E48" s="128"/>
      <c r="F48" s="179"/>
      <c r="G48" s="179"/>
      <c r="H48" s="179"/>
      <c r="I48" s="179"/>
      <c r="J48" s="179"/>
      <c r="K48" s="154">
        <f>D48*E48</f>
        <v>0</v>
      </c>
      <c r="L48" s="120"/>
      <c r="M48" s="128"/>
      <c r="N48" s="179"/>
      <c r="O48" s="179"/>
      <c r="P48" s="179"/>
      <c r="Q48" s="179"/>
      <c r="R48" s="179"/>
      <c r="S48" s="154">
        <f>L48*M48</f>
        <v>0</v>
      </c>
      <c r="T48" s="120"/>
      <c r="U48" s="128"/>
      <c r="V48" s="179"/>
      <c r="W48" s="179"/>
      <c r="X48" s="179"/>
      <c r="Y48" s="179"/>
      <c r="Z48" s="179"/>
      <c r="AA48" s="154">
        <f>T48*U48</f>
        <v>0</v>
      </c>
      <c r="AB48" s="120"/>
      <c r="AC48" s="128"/>
      <c r="AD48" s="179"/>
      <c r="AE48" s="179"/>
      <c r="AF48" s="179"/>
      <c r="AG48" s="179"/>
      <c r="AH48" s="179"/>
      <c r="AI48" s="154">
        <f>AB48*AC48</f>
        <v>0</v>
      </c>
      <c r="AJ48" s="120"/>
      <c r="AK48" s="128"/>
      <c r="AL48" s="179"/>
      <c r="AM48" s="179"/>
      <c r="AN48" s="179"/>
      <c r="AO48" s="179"/>
      <c r="AP48" s="179"/>
      <c r="AQ48" s="154">
        <f>AJ48*AK48</f>
        <v>0</v>
      </c>
      <c r="AR48" s="103"/>
      <c r="AS48" s="123"/>
      <c r="AT48" s="185"/>
      <c r="AU48" s="185"/>
      <c r="AV48" s="185"/>
      <c r="AW48" s="185"/>
      <c r="AX48" s="179"/>
      <c r="AY48" s="154">
        <f>AR48*AS48</f>
        <v>0</v>
      </c>
      <c r="AZ48" s="227">
        <f>SUM(D48,L48,T48,AB48,AJ48,AR48)</f>
        <v>0</v>
      </c>
      <c r="BA48" s="159">
        <f>K48+S48+AA48+AI48+AQ48+AY48</f>
        <v>0</v>
      </c>
    </row>
    <row r="49" spans="1:53" ht="13" hidden="1" x14ac:dyDescent="0.3">
      <c r="A49" s="9"/>
      <c r="B49" s="221" t="str">
        <f>'Phase 1 Costs'!A46</f>
        <v>Insert line(s) for additional Consultants</v>
      </c>
      <c r="C49" s="56" t="s">
        <v>348</v>
      </c>
      <c r="D49" s="139"/>
      <c r="E49" s="128"/>
      <c r="F49" s="179"/>
      <c r="G49" s="179"/>
      <c r="H49" s="179"/>
      <c r="I49" s="179"/>
      <c r="J49" s="179"/>
      <c r="K49" s="154">
        <f>D49*E49</f>
        <v>0</v>
      </c>
      <c r="L49" s="120"/>
      <c r="M49" s="128"/>
      <c r="N49" s="179"/>
      <c r="O49" s="179"/>
      <c r="P49" s="179"/>
      <c r="Q49" s="179"/>
      <c r="R49" s="179"/>
      <c r="S49" s="154">
        <f>L49*M49</f>
        <v>0</v>
      </c>
      <c r="T49" s="120"/>
      <c r="U49" s="128"/>
      <c r="V49" s="179"/>
      <c r="W49" s="179"/>
      <c r="X49" s="179"/>
      <c r="Y49" s="179"/>
      <c r="Z49" s="179"/>
      <c r="AA49" s="154">
        <f>T49*U49</f>
        <v>0</v>
      </c>
      <c r="AB49" s="120"/>
      <c r="AC49" s="128"/>
      <c r="AD49" s="179"/>
      <c r="AE49" s="179"/>
      <c r="AF49" s="179"/>
      <c r="AG49" s="179"/>
      <c r="AH49" s="179"/>
      <c r="AI49" s="154">
        <f>AB49*AC49</f>
        <v>0</v>
      </c>
      <c r="AJ49" s="120"/>
      <c r="AK49" s="128"/>
      <c r="AL49" s="179"/>
      <c r="AM49" s="179"/>
      <c r="AN49" s="179"/>
      <c r="AO49" s="179"/>
      <c r="AP49" s="179"/>
      <c r="AQ49" s="154">
        <f>AJ49*AK49</f>
        <v>0</v>
      </c>
      <c r="AR49" s="103"/>
      <c r="AS49" s="123"/>
      <c r="AT49" s="185"/>
      <c r="AU49" s="185"/>
      <c r="AV49" s="185"/>
      <c r="AW49" s="185"/>
      <c r="AX49" s="179"/>
      <c r="AY49" s="154">
        <f>AR49*AS49</f>
        <v>0</v>
      </c>
      <c r="AZ49" s="227">
        <f>SUM(D49,L49,T49,AB49,AJ49,AR49)</f>
        <v>0</v>
      </c>
      <c r="BA49" s="159">
        <f>K49+S49+AA49+AI49+AQ49+AY49</f>
        <v>0</v>
      </c>
    </row>
    <row r="50" spans="1:53" hidden="1" x14ac:dyDescent="0.25">
      <c r="A50" s="9"/>
      <c r="B50" s="4" t="s">
        <v>254</v>
      </c>
      <c r="C50" s="57"/>
      <c r="D50" s="144"/>
      <c r="E50" s="4"/>
      <c r="F50" s="8"/>
      <c r="G50" s="8"/>
      <c r="H50" s="8"/>
      <c r="I50" s="8"/>
      <c r="J50" s="8"/>
      <c r="K50" s="133">
        <f>SUM(K45:K49)</f>
        <v>0</v>
      </c>
      <c r="L50" s="115"/>
      <c r="M50" s="4"/>
      <c r="N50" s="8"/>
      <c r="O50" s="8"/>
      <c r="P50" s="8"/>
      <c r="Q50" s="8"/>
      <c r="R50" s="8"/>
      <c r="S50" s="133">
        <f>SUM(S45:S49)</f>
        <v>0</v>
      </c>
      <c r="T50" s="115"/>
      <c r="U50" s="4"/>
      <c r="V50" s="8"/>
      <c r="W50" s="8"/>
      <c r="X50" s="8"/>
      <c r="Y50" s="8"/>
      <c r="Z50" s="8"/>
      <c r="AA50" s="133">
        <f>SUM(AA45:AA49)</f>
        <v>0</v>
      </c>
      <c r="AB50" s="115"/>
      <c r="AC50" s="4"/>
      <c r="AD50" s="8"/>
      <c r="AE50" s="8"/>
      <c r="AF50" s="8"/>
      <c r="AG50" s="8"/>
      <c r="AH50" s="8"/>
      <c r="AI50" s="133">
        <f>SUM(AI45:AI49)</f>
        <v>0</v>
      </c>
      <c r="AJ50" s="115"/>
      <c r="AK50" s="4"/>
      <c r="AL50" s="8"/>
      <c r="AM50" s="8"/>
      <c r="AN50" s="8"/>
      <c r="AO50" s="8"/>
      <c r="AP50" s="8"/>
      <c r="AQ50" s="133">
        <f>SUM(AQ45:AQ49)</f>
        <v>0</v>
      </c>
      <c r="AR50" s="12"/>
      <c r="AS50" s="115"/>
      <c r="AT50" s="115"/>
      <c r="AU50" s="115"/>
      <c r="AV50" s="115"/>
      <c r="AW50" s="115"/>
      <c r="AX50" s="8"/>
      <c r="AY50" s="133">
        <f>SUM(AY45:AY49)</f>
        <v>0</v>
      </c>
      <c r="AZ50" s="228">
        <f>SUM(AZ45:AZ49)</f>
        <v>0</v>
      </c>
      <c r="BA50" s="160">
        <f>K50+S50+AA50+AI50+AQ50+AY50</f>
        <v>0</v>
      </c>
    </row>
    <row r="51" spans="1:53" x14ac:dyDescent="0.25">
      <c r="A51" s="17" t="s">
        <v>352</v>
      </c>
      <c r="B51" s="32"/>
      <c r="C51" s="7"/>
      <c r="D51" s="145"/>
      <c r="E51" s="32"/>
      <c r="F51" s="88"/>
      <c r="G51" s="88"/>
      <c r="H51" s="88"/>
      <c r="I51" s="88"/>
      <c r="J51" s="88"/>
      <c r="K51" s="135"/>
      <c r="L51" s="116"/>
      <c r="M51" s="32"/>
      <c r="N51" s="88"/>
      <c r="O51" s="88"/>
      <c r="P51" s="88"/>
      <c r="Q51" s="88"/>
      <c r="R51" s="88"/>
      <c r="S51" s="135"/>
      <c r="T51" s="116"/>
      <c r="U51" s="32"/>
      <c r="V51" s="88"/>
      <c r="W51" s="88"/>
      <c r="X51" s="88"/>
      <c r="Y51" s="88"/>
      <c r="Z51" s="88"/>
      <c r="AA51" s="135"/>
      <c r="AB51" s="116"/>
      <c r="AC51" s="32"/>
      <c r="AD51" s="88"/>
      <c r="AE51" s="88"/>
      <c r="AF51" s="88"/>
      <c r="AG51" s="88"/>
      <c r="AH51" s="88"/>
      <c r="AI51" s="135"/>
      <c r="AJ51" s="116"/>
      <c r="AK51" s="32"/>
      <c r="AL51" s="88"/>
      <c r="AM51" s="88"/>
      <c r="AN51" s="88"/>
      <c r="AO51" s="88"/>
      <c r="AP51" s="88"/>
      <c r="AQ51" s="135"/>
      <c r="AR51" s="17"/>
      <c r="AS51" s="116"/>
      <c r="AT51" s="116"/>
      <c r="AU51" s="116"/>
      <c r="AV51" s="116"/>
      <c r="AW51" s="116"/>
      <c r="AX51" s="88"/>
      <c r="AY51" s="135"/>
      <c r="AZ51" s="173"/>
      <c r="BA51" s="161"/>
    </row>
    <row r="52" spans="1:53" ht="13" x14ac:dyDescent="0.3">
      <c r="A52" s="9"/>
      <c r="B52" s="221" t="str">
        <f>'Phase 1 Costs'!A50</f>
        <v>Materials/Supplies</v>
      </c>
      <c r="C52" s="56" t="s">
        <v>355</v>
      </c>
      <c r="D52" s="183"/>
      <c r="E52" s="181"/>
      <c r="F52" s="182"/>
      <c r="G52" s="182"/>
      <c r="H52" s="182"/>
      <c r="I52" s="182"/>
      <c r="J52" s="182"/>
      <c r="K52" s="132">
        <v>0</v>
      </c>
      <c r="L52" s="180"/>
      <c r="M52" s="181"/>
      <c r="N52" s="182"/>
      <c r="O52" s="182"/>
      <c r="P52" s="182"/>
      <c r="Q52" s="182"/>
      <c r="R52" s="182"/>
      <c r="S52" s="132">
        <v>0</v>
      </c>
      <c r="T52" s="180"/>
      <c r="U52" s="181"/>
      <c r="V52" s="182"/>
      <c r="W52" s="182"/>
      <c r="X52" s="182"/>
      <c r="Y52" s="182"/>
      <c r="Z52" s="182"/>
      <c r="AA52" s="132">
        <v>0</v>
      </c>
      <c r="AB52" s="180"/>
      <c r="AC52" s="181"/>
      <c r="AD52" s="182"/>
      <c r="AE52" s="182"/>
      <c r="AF52" s="182"/>
      <c r="AG52" s="182"/>
      <c r="AH52" s="182"/>
      <c r="AI52" s="132">
        <v>0</v>
      </c>
      <c r="AJ52" s="180"/>
      <c r="AK52" s="181"/>
      <c r="AL52" s="182"/>
      <c r="AM52" s="182"/>
      <c r="AN52" s="182"/>
      <c r="AO52" s="182"/>
      <c r="AP52" s="182"/>
      <c r="AQ52" s="132">
        <v>0</v>
      </c>
      <c r="AR52" s="184"/>
      <c r="AS52" s="180"/>
      <c r="AT52" s="180"/>
      <c r="AU52" s="180"/>
      <c r="AV52" s="180"/>
      <c r="AW52" s="180"/>
      <c r="AX52" s="182"/>
      <c r="AY52" s="132">
        <v>0</v>
      </c>
      <c r="AZ52" s="171"/>
      <c r="BA52" s="159">
        <f>K52+S52+AA52+AI52+AQ52+AY52</f>
        <v>0</v>
      </c>
    </row>
    <row r="53" spans="1:53" ht="13" x14ac:dyDescent="0.3">
      <c r="A53" s="9"/>
      <c r="B53" s="221" t="str">
        <f>'Phase 1 Costs'!A51</f>
        <v>Equipment</v>
      </c>
      <c r="C53" s="56" t="s">
        <v>357</v>
      </c>
      <c r="D53" s="183"/>
      <c r="E53" s="181"/>
      <c r="F53" s="182"/>
      <c r="G53" s="182"/>
      <c r="H53" s="182"/>
      <c r="I53" s="182"/>
      <c r="J53" s="182"/>
      <c r="K53" s="132">
        <v>0</v>
      </c>
      <c r="L53" s="180"/>
      <c r="M53" s="181"/>
      <c r="N53" s="182"/>
      <c r="O53" s="182"/>
      <c r="P53" s="182"/>
      <c r="Q53" s="182"/>
      <c r="R53" s="182"/>
      <c r="S53" s="132">
        <v>0</v>
      </c>
      <c r="T53" s="180"/>
      <c r="U53" s="181"/>
      <c r="V53" s="182"/>
      <c r="W53" s="182"/>
      <c r="X53" s="182"/>
      <c r="Y53" s="182"/>
      <c r="Z53" s="182"/>
      <c r="AA53" s="132">
        <v>0</v>
      </c>
      <c r="AB53" s="180"/>
      <c r="AC53" s="181"/>
      <c r="AD53" s="182"/>
      <c r="AE53" s="182"/>
      <c r="AF53" s="182"/>
      <c r="AG53" s="182"/>
      <c r="AH53" s="182"/>
      <c r="AI53" s="132">
        <v>0</v>
      </c>
      <c r="AJ53" s="180"/>
      <c r="AK53" s="181"/>
      <c r="AL53" s="182"/>
      <c r="AM53" s="182"/>
      <c r="AN53" s="182"/>
      <c r="AO53" s="182"/>
      <c r="AP53" s="182"/>
      <c r="AQ53" s="132"/>
      <c r="AR53" s="184"/>
      <c r="AS53" s="180"/>
      <c r="AT53" s="180"/>
      <c r="AU53" s="180"/>
      <c r="AV53" s="180"/>
      <c r="AW53" s="180"/>
      <c r="AX53" s="182"/>
      <c r="AY53" s="132"/>
      <c r="AZ53" s="171"/>
      <c r="BA53" s="159">
        <f>K53+S53+AA53+AI53+AQ53+AY53</f>
        <v>0</v>
      </c>
    </row>
    <row r="54" spans="1:53" ht="13" x14ac:dyDescent="0.3">
      <c r="A54" s="9"/>
      <c r="B54" s="221" t="str">
        <f>'Phase 1 Costs'!A52</f>
        <v>Travel</v>
      </c>
      <c r="C54" s="56" t="s">
        <v>359</v>
      </c>
      <c r="D54" s="183"/>
      <c r="E54" s="181"/>
      <c r="F54" s="182"/>
      <c r="G54" s="182"/>
      <c r="H54" s="182"/>
      <c r="I54" s="182"/>
      <c r="J54" s="182"/>
      <c r="K54" s="132">
        <v>0</v>
      </c>
      <c r="L54" s="180"/>
      <c r="M54" s="181"/>
      <c r="N54" s="182"/>
      <c r="O54" s="182"/>
      <c r="P54" s="182"/>
      <c r="Q54" s="182"/>
      <c r="R54" s="182"/>
      <c r="S54" s="132">
        <v>0</v>
      </c>
      <c r="T54" s="180"/>
      <c r="U54" s="181"/>
      <c r="V54" s="182"/>
      <c r="W54" s="182"/>
      <c r="X54" s="182"/>
      <c r="Y54" s="182"/>
      <c r="Z54" s="182"/>
      <c r="AA54" s="132">
        <v>0</v>
      </c>
      <c r="AB54" s="180"/>
      <c r="AC54" s="181"/>
      <c r="AD54" s="182"/>
      <c r="AE54" s="182"/>
      <c r="AF54" s="182"/>
      <c r="AG54" s="182"/>
      <c r="AH54" s="182"/>
      <c r="AI54" s="132">
        <v>0</v>
      </c>
      <c r="AJ54" s="180"/>
      <c r="AK54" s="181"/>
      <c r="AL54" s="182"/>
      <c r="AM54" s="182"/>
      <c r="AN54" s="182"/>
      <c r="AO54" s="182"/>
      <c r="AP54" s="182"/>
      <c r="AQ54" s="132"/>
      <c r="AR54" s="184"/>
      <c r="AS54" s="180"/>
      <c r="AT54" s="180"/>
      <c r="AU54" s="180"/>
      <c r="AV54" s="180"/>
      <c r="AW54" s="180"/>
      <c r="AX54" s="182"/>
      <c r="AY54" s="132"/>
      <c r="AZ54" s="171"/>
      <c r="BA54" s="159">
        <f>K54+S54+AA54+AI54+AQ54+AY54</f>
        <v>0</v>
      </c>
    </row>
    <row r="55" spans="1:53" ht="13" x14ac:dyDescent="0.3">
      <c r="A55" s="9"/>
      <c r="B55" s="221" t="str">
        <f>'Phase 1 Costs'!A53</f>
        <v>Insert line(s) for other types of ODCs</v>
      </c>
      <c r="C55" s="56" t="s">
        <v>361</v>
      </c>
      <c r="D55" s="183"/>
      <c r="E55" s="181"/>
      <c r="F55" s="182"/>
      <c r="G55" s="182"/>
      <c r="H55" s="182"/>
      <c r="I55" s="182"/>
      <c r="J55" s="182"/>
      <c r="K55" s="132">
        <v>0</v>
      </c>
      <c r="L55" s="180"/>
      <c r="M55" s="181"/>
      <c r="N55" s="182"/>
      <c r="O55" s="182"/>
      <c r="P55" s="182"/>
      <c r="Q55" s="182"/>
      <c r="R55" s="182"/>
      <c r="S55" s="132">
        <v>0</v>
      </c>
      <c r="T55" s="180"/>
      <c r="U55" s="181"/>
      <c r="V55" s="182"/>
      <c r="W55" s="182"/>
      <c r="X55" s="182"/>
      <c r="Y55" s="182"/>
      <c r="Z55" s="182"/>
      <c r="AA55" s="132">
        <v>0</v>
      </c>
      <c r="AB55" s="180"/>
      <c r="AC55" s="181"/>
      <c r="AD55" s="182"/>
      <c r="AE55" s="182"/>
      <c r="AF55" s="182"/>
      <c r="AG55" s="182"/>
      <c r="AH55" s="182"/>
      <c r="AI55" s="132">
        <v>0</v>
      </c>
      <c r="AJ55" s="180"/>
      <c r="AK55" s="181"/>
      <c r="AL55" s="182"/>
      <c r="AM55" s="182"/>
      <c r="AN55" s="182"/>
      <c r="AO55" s="182"/>
      <c r="AP55" s="182"/>
      <c r="AQ55" s="132"/>
      <c r="AR55" s="184"/>
      <c r="AS55" s="180"/>
      <c r="AT55" s="180"/>
      <c r="AU55" s="180"/>
      <c r="AV55" s="180"/>
      <c r="AW55" s="180"/>
      <c r="AX55" s="182"/>
      <c r="AY55" s="132"/>
      <c r="AZ55" s="171"/>
      <c r="BA55" s="159">
        <f>K55+S55+AA55+AI55+AQ55+AY55</f>
        <v>0</v>
      </c>
    </row>
    <row r="56" spans="1:53" x14ac:dyDescent="0.25">
      <c r="A56" s="9"/>
      <c r="B56" s="4" t="s">
        <v>256</v>
      </c>
      <c r="C56" s="8"/>
      <c r="D56" s="144"/>
      <c r="E56" s="4"/>
      <c r="F56" s="8"/>
      <c r="G56" s="8"/>
      <c r="H56" s="8"/>
      <c r="I56" s="8"/>
      <c r="J56" s="8"/>
      <c r="K56" s="133">
        <f>SUM(K51:K55)</f>
        <v>0</v>
      </c>
      <c r="L56" s="115"/>
      <c r="M56" s="4"/>
      <c r="N56" s="8"/>
      <c r="O56" s="8"/>
      <c r="P56" s="8"/>
      <c r="Q56" s="8"/>
      <c r="R56" s="8"/>
      <c r="S56" s="133">
        <f>SUM(S51:S55)</f>
        <v>0</v>
      </c>
      <c r="T56" s="115"/>
      <c r="U56" s="4"/>
      <c r="V56" s="8"/>
      <c r="W56" s="8"/>
      <c r="X56" s="8"/>
      <c r="Y56" s="8"/>
      <c r="Z56" s="8"/>
      <c r="AA56" s="133">
        <f>SUM(AA51:AA55)</f>
        <v>0</v>
      </c>
      <c r="AB56" s="115"/>
      <c r="AC56" s="4"/>
      <c r="AD56" s="8"/>
      <c r="AE56" s="8"/>
      <c r="AF56" s="8"/>
      <c r="AG56" s="8"/>
      <c r="AH56" s="8"/>
      <c r="AI56" s="133">
        <f>SUM(AI51:AI55)</f>
        <v>0</v>
      </c>
      <c r="AJ56" s="115"/>
      <c r="AK56" s="4"/>
      <c r="AL56" s="8"/>
      <c r="AM56" s="8"/>
      <c r="AN56" s="8"/>
      <c r="AO56" s="8"/>
      <c r="AP56" s="8"/>
      <c r="AQ56" s="133">
        <f>SUM(AQ51:AQ55)</f>
        <v>0</v>
      </c>
      <c r="AR56" s="12"/>
      <c r="AS56" s="115"/>
      <c r="AT56" s="115"/>
      <c r="AU56" s="115"/>
      <c r="AV56" s="115"/>
      <c r="AW56" s="115"/>
      <c r="AX56" s="8"/>
      <c r="AY56" s="133">
        <f>SUM(AY51:AY55)</f>
        <v>0</v>
      </c>
      <c r="AZ56" s="172"/>
      <c r="BA56" s="160">
        <f>K56+S56+AA56+AI56+AQ56+AY56</f>
        <v>0</v>
      </c>
    </row>
    <row r="57" spans="1:53" x14ac:dyDescent="0.25">
      <c r="A57" s="17" t="s">
        <v>452</v>
      </c>
      <c r="B57" s="2"/>
      <c r="C57" s="7"/>
      <c r="D57" s="219" t="s">
        <v>15</v>
      </c>
      <c r="E57" s="220" t="s">
        <v>363</v>
      </c>
      <c r="F57" s="7"/>
      <c r="G57" s="7"/>
      <c r="H57" s="7"/>
      <c r="I57" s="7"/>
      <c r="J57" s="7"/>
      <c r="K57" s="134"/>
      <c r="L57" s="219" t="s">
        <v>15</v>
      </c>
      <c r="M57" s="220" t="s">
        <v>363</v>
      </c>
      <c r="N57" s="7"/>
      <c r="O57" s="7"/>
      <c r="P57" s="7"/>
      <c r="Q57" s="7"/>
      <c r="R57" s="7"/>
      <c r="S57" s="134"/>
      <c r="T57" s="219" t="s">
        <v>15</v>
      </c>
      <c r="U57" s="220" t="s">
        <v>363</v>
      </c>
      <c r="V57" s="7"/>
      <c r="W57" s="7"/>
      <c r="X57" s="7"/>
      <c r="Y57" s="7"/>
      <c r="Z57" s="7"/>
      <c r="AA57" s="134"/>
      <c r="AB57" s="219" t="s">
        <v>15</v>
      </c>
      <c r="AC57" s="220" t="s">
        <v>363</v>
      </c>
      <c r="AD57" s="7"/>
      <c r="AE57" s="7"/>
      <c r="AF57" s="7"/>
      <c r="AG57" s="7"/>
      <c r="AH57" s="7"/>
      <c r="AI57" s="134"/>
      <c r="AJ57" s="219" t="s">
        <v>15</v>
      </c>
      <c r="AK57" s="220" t="s">
        <v>363</v>
      </c>
      <c r="AL57" s="7"/>
      <c r="AM57" s="7"/>
      <c r="AN57" s="7"/>
      <c r="AO57" s="7"/>
      <c r="AP57" s="7"/>
      <c r="AQ57" s="134"/>
      <c r="AR57" s="219" t="s">
        <v>15</v>
      </c>
      <c r="AS57" s="220" t="s">
        <v>363</v>
      </c>
      <c r="AT57" s="113"/>
      <c r="AU57" s="113"/>
      <c r="AV57" s="113"/>
      <c r="AW57" s="113"/>
      <c r="AX57" s="7"/>
      <c r="AY57" s="134"/>
      <c r="AZ57" s="170"/>
      <c r="BA57" s="159"/>
    </row>
    <row r="58" spans="1:53" x14ac:dyDescent="0.25">
      <c r="A58" s="9"/>
      <c r="B58" s="221" t="str">
        <f>'Phase 1 Costs'!A57</f>
        <v>Insert M/H O/H rate title</v>
      </c>
      <c r="C58" s="7"/>
      <c r="D58" s="147">
        <v>0</v>
      </c>
      <c r="E58" s="102">
        <v>0</v>
      </c>
      <c r="F58" s="186"/>
      <c r="G58" s="186"/>
      <c r="H58" s="186"/>
      <c r="I58" s="186"/>
      <c r="J58" s="186"/>
      <c r="K58" s="154">
        <f>D58*E58</f>
        <v>0</v>
      </c>
      <c r="L58" s="123">
        <v>0</v>
      </c>
      <c r="M58" s="102">
        <v>0</v>
      </c>
      <c r="N58" s="186"/>
      <c r="O58" s="186"/>
      <c r="P58" s="186"/>
      <c r="Q58" s="186"/>
      <c r="R58" s="186"/>
      <c r="S58" s="154">
        <f>L58*M58</f>
        <v>0</v>
      </c>
      <c r="T58" s="123">
        <v>0</v>
      </c>
      <c r="U58" s="102">
        <v>0</v>
      </c>
      <c r="V58" s="186"/>
      <c r="W58" s="186"/>
      <c r="X58" s="186"/>
      <c r="Y58" s="186"/>
      <c r="Z58" s="186"/>
      <c r="AA58" s="154">
        <f>T58*U58</f>
        <v>0</v>
      </c>
      <c r="AB58" s="123">
        <v>0</v>
      </c>
      <c r="AC58" s="102">
        <v>0</v>
      </c>
      <c r="AD58" s="186"/>
      <c r="AE58" s="186"/>
      <c r="AF58" s="186"/>
      <c r="AG58" s="186"/>
      <c r="AH58" s="186"/>
      <c r="AI58" s="154">
        <f>AB58*AC58</f>
        <v>0</v>
      </c>
      <c r="AJ58" s="218">
        <v>0</v>
      </c>
      <c r="AK58" s="102">
        <v>0</v>
      </c>
      <c r="AL58" s="186"/>
      <c r="AM58" s="186"/>
      <c r="AN58" s="186"/>
      <c r="AO58" s="186"/>
      <c r="AP58" s="186"/>
      <c r="AQ58" s="154">
        <f>AJ58*AK58</f>
        <v>0</v>
      </c>
      <c r="AR58" s="216">
        <v>0</v>
      </c>
      <c r="AS58" s="178">
        <v>0</v>
      </c>
      <c r="AT58" s="188"/>
      <c r="AU58" s="188"/>
      <c r="AV58" s="188"/>
      <c r="AW58" s="188"/>
      <c r="AX58" s="186"/>
      <c r="AY58" s="154">
        <f>AR58*AS58</f>
        <v>0</v>
      </c>
      <c r="AZ58" s="171"/>
      <c r="BA58" s="159">
        <f>K58+S58+AA58+AI58+AQ58+AY58</f>
        <v>0</v>
      </c>
    </row>
    <row r="59" spans="1:53" x14ac:dyDescent="0.25">
      <c r="A59" s="9"/>
      <c r="B59" s="221" t="str">
        <f>'Phase 1 Costs'!A58</f>
        <v>Insert line(s) &amp; title(s) for other M/H O/H rates</v>
      </c>
      <c r="C59" s="7"/>
      <c r="D59" s="146"/>
      <c r="E59" s="102"/>
      <c r="F59" s="186"/>
      <c r="G59" s="186"/>
      <c r="H59" s="186"/>
      <c r="I59" s="186"/>
      <c r="J59" s="186"/>
      <c r="K59" s="154">
        <f>D59*E59</f>
        <v>0</v>
      </c>
      <c r="L59" s="122"/>
      <c r="M59" s="102"/>
      <c r="N59" s="186"/>
      <c r="O59" s="186"/>
      <c r="P59" s="186"/>
      <c r="Q59" s="186"/>
      <c r="R59" s="186"/>
      <c r="S59" s="154">
        <f>L59*M59</f>
        <v>0</v>
      </c>
      <c r="T59" s="122"/>
      <c r="U59" s="102"/>
      <c r="V59" s="186"/>
      <c r="W59" s="186"/>
      <c r="X59" s="186"/>
      <c r="Y59" s="186"/>
      <c r="Z59" s="186"/>
      <c r="AA59" s="154">
        <f>T59*U59</f>
        <v>0</v>
      </c>
      <c r="AB59" s="122"/>
      <c r="AC59" s="102"/>
      <c r="AD59" s="186"/>
      <c r="AE59" s="186"/>
      <c r="AF59" s="186"/>
      <c r="AG59" s="186"/>
      <c r="AH59" s="186"/>
      <c r="AI59" s="154">
        <f>AB59*AC59</f>
        <v>0</v>
      </c>
      <c r="AJ59" s="218"/>
      <c r="AK59" s="102"/>
      <c r="AL59" s="186"/>
      <c r="AM59" s="186"/>
      <c r="AN59" s="186"/>
      <c r="AO59" s="186"/>
      <c r="AP59" s="186"/>
      <c r="AQ59" s="154">
        <f>AJ59*AK59</f>
        <v>0</v>
      </c>
      <c r="AR59" s="216"/>
      <c r="AS59" s="178"/>
      <c r="AT59" s="188"/>
      <c r="AU59" s="188"/>
      <c r="AV59" s="188"/>
      <c r="AW59" s="188"/>
      <c r="AX59" s="186"/>
      <c r="AY59" s="154">
        <f>AR59*AS59</f>
        <v>0</v>
      </c>
      <c r="AZ59" s="171"/>
      <c r="BA59" s="159">
        <f>K59+S59+AA59+AI59+AQ59+AY59</f>
        <v>0</v>
      </c>
    </row>
    <row r="60" spans="1:53" x14ac:dyDescent="0.25">
      <c r="A60" s="9"/>
      <c r="B60" s="4" t="s">
        <v>258</v>
      </c>
      <c r="C60" s="8"/>
      <c r="D60" s="144"/>
      <c r="E60" s="4"/>
      <c r="F60" s="8"/>
      <c r="G60" s="8"/>
      <c r="H60" s="8"/>
      <c r="I60" s="8"/>
      <c r="J60" s="8"/>
      <c r="K60" s="133">
        <f>SUM(K57:K59)</f>
        <v>0</v>
      </c>
      <c r="L60" s="115"/>
      <c r="M60" s="4"/>
      <c r="N60" s="8"/>
      <c r="O60" s="8"/>
      <c r="P60" s="8"/>
      <c r="Q60" s="8"/>
      <c r="R60" s="8"/>
      <c r="S60" s="133">
        <f>SUM(S57:S59)</f>
        <v>0</v>
      </c>
      <c r="T60" s="115"/>
      <c r="U60" s="4"/>
      <c r="V60" s="8"/>
      <c r="W60" s="8"/>
      <c r="X60" s="8"/>
      <c r="Y60" s="8"/>
      <c r="Z60" s="8"/>
      <c r="AA60" s="133">
        <f>SUM(AA57:AA59)</f>
        <v>0</v>
      </c>
      <c r="AB60" s="115"/>
      <c r="AC60" s="4"/>
      <c r="AD60" s="8"/>
      <c r="AE60" s="8"/>
      <c r="AF60" s="8"/>
      <c r="AG60" s="8"/>
      <c r="AH60" s="8"/>
      <c r="AI60" s="133">
        <f>SUM(AI57:AI59)</f>
        <v>0</v>
      </c>
      <c r="AJ60" s="115"/>
      <c r="AK60" s="4"/>
      <c r="AL60" s="8"/>
      <c r="AM60" s="8"/>
      <c r="AN60" s="8"/>
      <c r="AO60" s="8"/>
      <c r="AP60" s="8"/>
      <c r="AQ60" s="133">
        <f>SUM(AQ57:AQ59)</f>
        <v>0</v>
      </c>
      <c r="AR60" s="12"/>
      <c r="AS60" s="115"/>
      <c r="AT60" s="115"/>
      <c r="AU60" s="115"/>
      <c r="AV60" s="115"/>
      <c r="AW60" s="115"/>
      <c r="AX60" s="8"/>
      <c r="AY60" s="133">
        <f>SUM(AY57:AY59)</f>
        <v>0</v>
      </c>
      <c r="AZ60" s="172"/>
      <c r="BA60" s="160">
        <f>K60+S60+AA60+AI60+AQ60+AY60</f>
        <v>0</v>
      </c>
    </row>
    <row r="61" spans="1:53" s="24" customFormat="1" ht="13" x14ac:dyDescent="0.3">
      <c r="A61" s="190" t="s">
        <v>260</v>
      </c>
      <c r="B61" s="191"/>
      <c r="C61" s="192"/>
      <c r="D61" s="193"/>
      <c r="E61" s="191"/>
      <c r="F61" s="192"/>
      <c r="G61" s="192"/>
      <c r="H61" s="192"/>
      <c r="I61" s="192"/>
      <c r="J61" s="192"/>
      <c r="K61" s="194" t="e">
        <f>F32+K35+K38+K44+K50+K56+K60</f>
        <v>#REF!</v>
      </c>
      <c r="L61" s="195"/>
      <c r="M61" s="191"/>
      <c r="N61" s="192"/>
      <c r="O61" s="192"/>
      <c r="P61" s="192"/>
      <c r="Q61" s="192"/>
      <c r="R61" s="192"/>
      <c r="S61" s="194" t="e">
        <f>N32+S35+S38+S44+S50+S56+S60</f>
        <v>#REF!</v>
      </c>
      <c r="T61" s="195"/>
      <c r="U61" s="191"/>
      <c r="V61" s="192"/>
      <c r="W61" s="192"/>
      <c r="X61" s="192"/>
      <c r="Y61" s="192"/>
      <c r="Z61" s="192"/>
      <c r="AA61" s="194" t="e">
        <f>V32+AA35+AA38+AA44+AA50+AA56+AA60</f>
        <v>#REF!</v>
      </c>
      <c r="AB61" s="195"/>
      <c r="AC61" s="191"/>
      <c r="AD61" s="192"/>
      <c r="AE61" s="192"/>
      <c r="AF61" s="192"/>
      <c r="AG61" s="192"/>
      <c r="AH61" s="192"/>
      <c r="AI61" s="194" t="e">
        <f>AD32+AI35+AI38+AI44+AI50+AI56+AI60</f>
        <v>#REF!</v>
      </c>
      <c r="AJ61" s="195"/>
      <c r="AK61" s="191"/>
      <c r="AL61" s="192"/>
      <c r="AM61" s="192"/>
      <c r="AN61" s="192"/>
      <c r="AO61" s="192"/>
      <c r="AP61" s="192"/>
      <c r="AQ61" s="194" t="e">
        <f>AL32+AQ35+AQ38+AQ44+AQ50+AQ56+AQ60</f>
        <v>#REF!</v>
      </c>
      <c r="AR61" s="190"/>
      <c r="AS61" s="195"/>
      <c r="AT61" s="195"/>
      <c r="AU61" s="195"/>
      <c r="AV61" s="195"/>
      <c r="AW61" s="195"/>
      <c r="AX61" s="192"/>
      <c r="AY61" s="194" t="e">
        <f>AT32+AY35+AY38+AY44+AY50+AY56+AY60</f>
        <v>#REF!</v>
      </c>
      <c r="AZ61" s="196"/>
      <c r="BA61" s="197" t="e">
        <f>K61+S61+AA61+AI61+AQ61+AY61</f>
        <v>#REF!</v>
      </c>
    </row>
    <row r="62" spans="1:53" x14ac:dyDescent="0.25">
      <c r="A62" s="17" t="s">
        <v>454</v>
      </c>
      <c r="B62" s="2"/>
      <c r="C62" s="7"/>
      <c r="D62" s="219" t="s">
        <v>15</v>
      </c>
      <c r="E62" s="220" t="s">
        <v>363</v>
      </c>
      <c r="F62" s="7"/>
      <c r="G62" s="7"/>
      <c r="H62" s="7"/>
      <c r="I62" s="7"/>
      <c r="J62" s="7"/>
      <c r="K62" s="134"/>
      <c r="L62" s="219" t="s">
        <v>15</v>
      </c>
      <c r="M62" s="220" t="s">
        <v>363</v>
      </c>
      <c r="N62" s="7"/>
      <c r="O62" s="7"/>
      <c r="P62" s="7"/>
      <c r="Q62" s="7"/>
      <c r="R62" s="7"/>
      <c r="S62" s="134"/>
      <c r="T62" s="219" t="s">
        <v>15</v>
      </c>
      <c r="U62" s="220" t="s">
        <v>363</v>
      </c>
      <c r="V62" s="7"/>
      <c r="W62" s="7"/>
      <c r="X62" s="7"/>
      <c r="Y62" s="7"/>
      <c r="Z62" s="7"/>
      <c r="AA62" s="134"/>
      <c r="AB62" s="219" t="s">
        <v>15</v>
      </c>
      <c r="AC62" s="220" t="s">
        <v>363</v>
      </c>
      <c r="AD62" s="7"/>
      <c r="AE62" s="7"/>
      <c r="AF62" s="7"/>
      <c r="AG62" s="7"/>
      <c r="AH62" s="7"/>
      <c r="AI62" s="134"/>
      <c r="AJ62" s="219" t="s">
        <v>15</v>
      </c>
      <c r="AK62" s="220" t="s">
        <v>363</v>
      </c>
      <c r="AL62" s="7"/>
      <c r="AM62" s="7"/>
      <c r="AN62" s="7"/>
      <c r="AO62" s="7"/>
      <c r="AP62" s="7"/>
      <c r="AQ62" s="134"/>
      <c r="AR62" s="219" t="s">
        <v>15</v>
      </c>
      <c r="AS62" s="220" t="s">
        <v>363</v>
      </c>
      <c r="AT62" s="113"/>
      <c r="AU62" s="113"/>
      <c r="AV62" s="113"/>
      <c r="AW62" s="113"/>
      <c r="AX62" s="7"/>
      <c r="AY62" s="134"/>
      <c r="AZ62" s="170"/>
      <c r="BA62" s="159"/>
    </row>
    <row r="63" spans="1:53" x14ac:dyDescent="0.25">
      <c r="A63" s="9"/>
      <c r="B63" s="221" t="str">
        <f>'Phase 1 Costs'!A66</f>
        <v>G&amp;A</v>
      </c>
      <c r="C63" s="7"/>
      <c r="D63" s="143" t="e">
        <f>K61</f>
        <v>#REF!</v>
      </c>
      <c r="E63" s="102">
        <v>0</v>
      </c>
      <c r="F63" s="186"/>
      <c r="G63" s="186"/>
      <c r="H63" s="186"/>
      <c r="I63" s="186"/>
      <c r="J63" s="186"/>
      <c r="K63" s="154" t="e">
        <f>D63*E63</f>
        <v>#REF!</v>
      </c>
      <c r="L63" s="121" t="e">
        <f>S61</f>
        <v>#REF!</v>
      </c>
      <c r="M63" s="102">
        <v>0</v>
      </c>
      <c r="N63" s="186"/>
      <c r="O63" s="186"/>
      <c r="P63" s="186"/>
      <c r="Q63" s="186"/>
      <c r="R63" s="186"/>
      <c r="S63" s="154" t="e">
        <f>L63*M63</f>
        <v>#REF!</v>
      </c>
      <c r="T63" s="121" t="e">
        <f>AA61</f>
        <v>#REF!</v>
      </c>
      <c r="U63" s="102">
        <v>0</v>
      </c>
      <c r="V63" s="186"/>
      <c r="W63" s="186"/>
      <c r="X63" s="186"/>
      <c r="Y63" s="186"/>
      <c r="Z63" s="186"/>
      <c r="AA63" s="154" t="e">
        <f>T63*U63</f>
        <v>#REF!</v>
      </c>
      <c r="AB63" s="121" t="e">
        <f>AI61</f>
        <v>#REF!</v>
      </c>
      <c r="AC63" s="102">
        <v>0</v>
      </c>
      <c r="AD63" s="186"/>
      <c r="AE63" s="186"/>
      <c r="AF63" s="186"/>
      <c r="AG63" s="186"/>
      <c r="AH63" s="186"/>
      <c r="AI63" s="154" t="e">
        <f>AB63*AC63</f>
        <v>#REF!</v>
      </c>
      <c r="AJ63" s="121" t="e">
        <f>AQ61</f>
        <v>#REF!</v>
      </c>
      <c r="AK63" s="102">
        <v>0</v>
      </c>
      <c r="AL63" s="186"/>
      <c r="AM63" s="186"/>
      <c r="AN63" s="186"/>
      <c r="AO63" s="186"/>
      <c r="AP63" s="186"/>
      <c r="AQ63" s="154" t="e">
        <f>AJ63*AK63</f>
        <v>#REF!</v>
      </c>
      <c r="AR63" s="217" t="e">
        <f>AY32+AY35+AY38+AY44+AY50+AY56+AY60</f>
        <v>#REF!</v>
      </c>
      <c r="AS63" s="102">
        <v>0</v>
      </c>
      <c r="AT63" s="188"/>
      <c r="AU63" s="188"/>
      <c r="AV63" s="188"/>
      <c r="AW63" s="188"/>
      <c r="AX63" s="186"/>
      <c r="AY63" s="154" t="e">
        <f>AR63*AS63</f>
        <v>#REF!</v>
      </c>
      <c r="AZ63" s="171"/>
      <c r="BA63" s="159" t="e">
        <f>K63+S63+AA63+AI63+AQ63+AY63</f>
        <v>#REF!</v>
      </c>
    </row>
    <row r="64" spans="1:53" x14ac:dyDescent="0.25">
      <c r="A64" s="9"/>
      <c r="B64" s="221" t="str">
        <f>'Phase 1 Costs'!A67</f>
        <v>Insert line(s) &amp; title(s) for other G&amp;A rates</v>
      </c>
      <c r="C64" s="7"/>
      <c r="D64" s="147"/>
      <c r="E64" s="102"/>
      <c r="F64" s="186"/>
      <c r="G64" s="186"/>
      <c r="H64" s="186"/>
      <c r="I64" s="186"/>
      <c r="J64" s="186"/>
      <c r="K64" s="154">
        <f>D64*E64</f>
        <v>0</v>
      </c>
      <c r="L64" s="123"/>
      <c r="M64" s="102"/>
      <c r="N64" s="186"/>
      <c r="O64" s="186"/>
      <c r="P64" s="186"/>
      <c r="Q64" s="186"/>
      <c r="R64" s="186"/>
      <c r="S64" s="154">
        <f>L64*M64</f>
        <v>0</v>
      </c>
      <c r="T64" s="123"/>
      <c r="U64" s="102"/>
      <c r="V64" s="186"/>
      <c r="W64" s="186"/>
      <c r="X64" s="186"/>
      <c r="Y64" s="186"/>
      <c r="Z64" s="186"/>
      <c r="AA64" s="154">
        <f>T64*U64</f>
        <v>0</v>
      </c>
      <c r="AB64" s="123"/>
      <c r="AC64" s="102"/>
      <c r="AD64" s="186"/>
      <c r="AE64" s="186"/>
      <c r="AF64" s="186"/>
      <c r="AG64" s="186"/>
      <c r="AH64" s="186"/>
      <c r="AI64" s="154">
        <f>AB64*AC64</f>
        <v>0</v>
      </c>
      <c r="AJ64" s="123"/>
      <c r="AK64" s="102"/>
      <c r="AL64" s="186"/>
      <c r="AM64" s="186"/>
      <c r="AN64" s="186"/>
      <c r="AO64" s="186"/>
      <c r="AP64" s="186"/>
      <c r="AQ64" s="154">
        <f>AJ64*AK64</f>
        <v>0</v>
      </c>
      <c r="AR64" s="216"/>
      <c r="AS64" s="102"/>
      <c r="AT64" s="188"/>
      <c r="AU64" s="188"/>
      <c r="AV64" s="188"/>
      <c r="AW64" s="188"/>
      <c r="AX64" s="186"/>
      <c r="AY64" s="154">
        <f>AR64*AS64</f>
        <v>0</v>
      </c>
      <c r="AZ64" s="171"/>
      <c r="BA64" s="159">
        <f>K64+S64+AA64+AI64+AQ64+AY64</f>
        <v>0</v>
      </c>
    </row>
    <row r="65" spans="1:53" x14ac:dyDescent="0.25">
      <c r="A65" s="9"/>
      <c r="B65" s="4" t="s">
        <v>262</v>
      </c>
      <c r="C65" s="8"/>
      <c r="D65" s="144"/>
      <c r="E65" s="4"/>
      <c r="F65" s="8"/>
      <c r="G65" s="8"/>
      <c r="H65" s="8"/>
      <c r="I65" s="8"/>
      <c r="J65" s="8"/>
      <c r="K65" s="133" t="e">
        <f>SUM(K62:K64)</f>
        <v>#REF!</v>
      </c>
      <c r="L65" s="115"/>
      <c r="M65" s="4"/>
      <c r="N65" s="8"/>
      <c r="O65" s="8"/>
      <c r="P65" s="8"/>
      <c r="Q65" s="8"/>
      <c r="R65" s="8"/>
      <c r="S65" s="133" t="e">
        <f>SUM(S63:S64)</f>
        <v>#REF!</v>
      </c>
      <c r="T65" s="115"/>
      <c r="U65" s="4"/>
      <c r="V65" s="8"/>
      <c r="W65" s="8"/>
      <c r="X65" s="8"/>
      <c r="Y65" s="8"/>
      <c r="Z65" s="8"/>
      <c r="AA65" s="133" t="e">
        <f>SUM(AA63:AA64)</f>
        <v>#REF!</v>
      </c>
      <c r="AB65" s="115"/>
      <c r="AC65" s="4"/>
      <c r="AD65" s="8"/>
      <c r="AE65" s="8"/>
      <c r="AF65" s="8"/>
      <c r="AG65" s="8"/>
      <c r="AH65" s="8"/>
      <c r="AI65" s="133" t="e">
        <f>SUM(AI63:AI64)</f>
        <v>#REF!</v>
      </c>
      <c r="AJ65" s="115"/>
      <c r="AK65" s="4"/>
      <c r="AL65" s="8"/>
      <c r="AM65" s="8"/>
      <c r="AN65" s="8"/>
      <c r="AO65" s="8"/>
      <c r="AP65" s="8"/>
      <c r="AQ65" s="133" t="e">
        <f>SUM(AQ63:AQ64)</f>
        <v>#REF!</v>
      </c>
      <c r="AR65" s="12"/>
      <c r="AS65" s="115"/>
      <c r="AT65" s="115"/>
      <c r="AU65" s="115"/>
      <c r="AV65" s="115"/>
      <c r="AW65" s="115"/>
      <c r="AX65" s="8"/>
      <c r="AY65" s="133" t="e">
        <f>SUM(AY63:AY64)</f>
        <v>#REF!</v>
      </c>
      <c r="AZ65" s="172"/>
      <c r="BA65" s="160" t="e">
        <f>K65+S65+AA65+AI65+AQ65+AY65</f>
        <v>#REF!</v>
      </c>
    </row>
    <row r="66" spans="1:53" x14ac:dyDescent="0.25">
      <c r="A66" s="190" t="s">
        <v>260</v>
      </c>
      <c r="B66" s="198"/>
      <c r="C66" s="199"/>
      <c r="D66" s="200"/>
      <c r="E66" s="198"/>
      <c r="F66" s="199"/>
      <c r="G66" s="199"/>
      <c r="H66" s="199"/>
      <c r="I66" s="199"/>
      <c r="J66" s="199"/>
      <c r="K66" s="194" t="e">
        <f>K61+K65</f>
        <v>#REF!</v>
      </c>
      <c r="L66" s="201"/>
      <c r="M66" s="198"/>
      <c r="N66" s="199"/>
      <c r="O66" s="199"/>
      <c r="P66" s="199"/>
      <c r="Q66" s="199"/>
      <c r="R66" s="199"/>
      <c r="S66" s="194" t="e">
        <f>S61+S65</f>
        <v>#REF!</v>
      </c>
      <c r="T66" s="201"/>
      <c r="U66" s="198"/>
      <c r="V66" s="199"/>
      <c r="W66" s="199"/>
      <c r="X66" s="199"/>
      <c r="Y66" s="199"/>
      <c r="Z66" s="199"/>
      <c r="AA66" s="194" t="e">
        <f>AA61+AA65</f>
        <v>#REF!</v>
      </c>
      <c r="AB66" s="201"/>
      <c r="AC66" s="198"/>
      <c r="AD66" s="199"/>
      <c r="AE66" s="199"/>
      <c r="AF66" s="199"/>
      <c r="AG66" s="199"/>
      <c r="AH66" s="199"/>
      <c r="AI66" s="194" t="e">
        <f>AI61+AI65</f>
        <v>#REF!</v>
      </c>
      <c r="AJ66" s="201"/>
      <c r="AK66" s="198"/>
      <c r="AL66" s="199"/>
      <c r="AM66" s="199"/>
      <c r="AN66" s="199"/>
      <c r="AO66" s="199"/>
      <c r="AP66" s="199"/>
      <c r="AQ66" s="194" t="e">
        <f>AQ61+AQ65</f>
        <v>#REF!</v>
      </c>
      <c r="AR66" s="202"/>
      <c r="AS66" s="201"/>
      <c r="AT66" s="201"/>
      <c r="AU66" s="201"/>
      <c r="AV66" s="201"/>
      <c r="AW66" s="201"/>
      <c r="AX66" s="199"/>
      <c r="AY66" s="194" t="e">
        <f>AY61+AY65</f>
        <v>#REF!</v>
      </c>
      <c r="AZ66" s="203"/>
      <c r="BA66" s="204" t="e">
        <f>K66+S66+AA66+AI66+AQ66+AY66</f>
        <v>#REF!</v>
      </c>
    </row>
    <row r="67" spans="1:53" x14ac:dyDescent="0.25">
      <c r="A67" s="17" t="s">
        <v>489</v>
      </c>
      <c r="B67" s="2"/>
      <c r="C67" s="7"/>
      <c r="D67" s="219" t="s">
        <v>15</v>
      </c>
      <c r="E67" s="220" t="s">
        <v>363</v>
      </c>
      <c r="F67" s="7"/>
      <c r="G67" s="7"/>
      <c r="H67" s="7"/>
      <c r="I67" s="7"/>
      <c r="J67" s="7"/>
      <c r="K67" s="134"/>
      <c r="L67" s="219" t="s">
        <v>15</v>
      </c>
      <c r="M67" s="220" t="s">
        <v>363</v>
      </c>
      <c r="N67" s="7"/>
      <c r="O67" s="7"/>
      <c r="P67" s="7"/>
      <c r="Q67" s="7"/>
      <c r="R67" s="7"/>
      <c r="S67" s="134"/>
      <c r="T67" s="219" t="s">
        <v>15</v>
      </c>
      <c r="U67" s="220" t="s">
        <v>363</v>
      </c>
      <c r="V67" s="7"/>
      <c r="W67" s="7"/>
      <c r="X67" s="7"/>
      <c r="Y67" s="7"/>
      <c r="Z67" s="7"/>
      <c r="AA67" s="134"/>
      <c r="AB67" s="219" t="s">
        <v>15</v>
      </c>
      <c r="AC67" s="220" t="s">
        <v>363</v>
      </c>
      <c r="AD67" s="7"/>
      <c r="AE67" s="7"/>
      <c r="AF67" s="7"/>
      <c r="AG67" s="7"/>
      <c r="AH67" s="7"/>
      <c r="AI67" s="134"/>
      <c r="AJ67" s="219" t="s">
        <v>15</v>
      </c>
      <c r="AK67" s="220" t="s">
        <v>363</v>
      </c>
      <c r="AL67" s="7"/>
      <c r="AM67" s="7"/>
      <c r="AN67" s="7"/>
      <c r="AO67" s="7"/>
      <c r="AP67" s="7"/>
      <c r="AQ67" s="134"/>
      <c r="AR67" s="219" t="s">
        <v>15</v>
      </c>
      <c r="AS67" s="220" t="s">
        <v>363</v>
      </c>
      <c r="AT67" s="113"/>
      <c r="AU67" s="113"/>
      <c r="AV67" s="113"/>
      <c r="AW67" s="113"/>
      <c r="AX67" s="7"/>
      <c r="AY67" s="134"/>
      <c r="AZ67" s="170"/>
      <c r="BA67" s="159"/>
    </row>
    <row r="68" spans="1:53" x14ac:dyDescent="0.25">
      <c r="A68" s="9"/>
      <c r="B68" s="221" t="str">
        <f>'Phase 1 Costs'!A75</f>
        <v>Insert FCCM rate title</v>
      </c>
      <c r="C68" s="7"/>
      <c r="D68" s="147">
        <v>0</v>
      </c>
      <c r="E68" s="102">
        <v>0</v>
      </c>
      <c r="F68" s="186"/>
      <c r="G68" s="186"/>
      <c r="H68" s="186"/>
      <c r="I68" s="186"/>
      <c r="J68" s="186"/>
      <c r="K68" s="154">
        <f>D68*E68</f>
        <v>0</v>
      </c>
      <c r="L68" s="123">
        <v>0</v>
      </c>
      <c r="M68" s="102">
        <v>0</v>
      </c>
      <c r="N68" s="186"/>
      <c r="O68" s="186"/>
      <c r="P68" s="186"/>
      <c r="Q68" s="186"/>
      <c r="R68" s="186"/>
      <c r="S68" s="154">
        <f>L68*M68</f>
        <v>0</v>
      </c>
      <c r="T68" s="123">
        <v>0</v>
      </c>
      <c r="U68" s="102">
        <v>0</v>
      </c>
      <c r="V68" s="186"/>
      <c r="W68" s="186"/>
      <c r="X68" s="186"/>
      <c r="Y68" s="186"/>
      <c r="Z68" s="186"/>
      <c r="AA68" s="154">
        <f>T68*U68</f>
        <v>0</v>
      </c>
      <c r="AB68" s="123">
        <v>0</v>
      </c>
      <c r="AC68" s="102">
        <v>0</v>
      </c>
      <c r="AD68" s="186"/>
      <c r="AE68" s="186"/>
      <c r="AF68" s="186"/>
      <c r="AG68" s="186"/>
      <c r="AH68" s="186"/>
      <c r="AI68" s="154">
        <f>AB68*AC68</f>
        <v>0</v>
      </c>
      <c r="AJ68" s="123">
        <v>0</v>
      </c>
      <c r="AK68" s="102">
        <v>0</v>
      </c>
      <c r="AL68" s="186"/>
      <c r="AM68" s="186"/>
      <c r="AN68" s="186"/>
      <c r="AO68" s="186"/>
      <c r="AP68" s="186"/>
      <c r="AQ68" s="154">
        <f>AJ68*AK68</f>
        <v>0</v>
      </c>
      <c r="AR68" s="123">
        <v>0</v>
      </c>
      <c r="AS68" s="102">
        <v>0</v>
      </c>
      <c r="AT68" s="188"/>
      <c r="AU68" s="188"/>
      <c r="AV68" s="188"/>
      <c r="AW68" s="188"/>
      <c r="AX68" s="186"/>
      <c r="AY68" s="154">
        <f>AR68*AS68</f>
        <v>0</v>
      </c>
      <c r="AZ68" s="171"/>
      <c r="BA68" s="159">
        <f t="shared" ref="BA68:BA73" si="27">K68+S68+AA68+AI68+AQ68+AY68</f>
        <v>0</v>
      </c>
    </row>
    <row r="69" spans="1:53" x14ac:dyDescent="0.25">
      <c r="A69" s="9"/>
      <c r="B69" s="221" t="str">
        <f>'Phase 1 Costs'!A76</f>
        <v>Insert line(s) &amp; title(s) for any other FCCM rates</v>
      </c>
      <c r="C69" s="7"/>
      <c r="D69" s="147"/>
      <c r="E69" s="102"/>
      <c r="F69" s="186"/>
      <c r="G69" s="186"/>
      <c r="H69" s="186"/>
      <c r="I69" s="186"/>
      <c r="J69" s="186"/>
      <c r="K69" s="154">
        <f>D69*E69</f>
        <v>0</v>
      </c>
      <c r="L69" s="123"/>
      <c r="M69" s="102"/>
      <c r="N69" s="186"/>
      <c r="O69" s="186"/>
      <c r="P69" s="186"/>
      <c r="Q69" s="186"/>
      <c r="R69" s="186"/>
      <c r="S69" s="154">
        <f>L69*M69</f>
        <v>0</v>
      </c>
      <c r="T69" s="123"/>
      <c r="U69" s="102"/>
      <c r="V69" s="186"/>
      <c r="W69" s="186"/>
      <c r="X69" s="186"/>
      <c r="Y69" s="186"/>
      <c r="Z69" s="186"/>
      <c r="AA69" s="154">
        <f>T69*U69</f>
        <v>0</v>
      </c>
      <c r="AB69" s="123"/>
      <c r="AC69" s="102"/>
      <c r="AD69" s="186"/>
      <c r="AE69" s="186"/>
      <c r="AF69" s="186"/>
      <c r="AG69" s="186"/>
      <c r="AH69" s="186"/>
      <c r="AI69" s="154">
        <f>AB69*AC69</f>
        <v>0</v>
      </c>
      <c r="AJ69" s="123"/>
      <c r="AK69" s="102"/>
      <c r="AL69" s="186"/>
      <c r="AM69" s="186"/>
      <c r="AN69" s="186"/>
      <c r="AO69" s="186"/>
      <c r="AP69" s="186"/>
      <c r="AQ69" s="154">
        <f>AJ69*AK69</f>
        <v>0</v>
      </c>
      <c r="AR69" s="123"/>
      <c r="AS69" s="102"/>
      <c r="AT69" s="188"/>
      <c r="AU69" s="188"/>
      <c r="AV69" s="188"/>
      <c r="AW69" s="188"/>
      <c r="AX69" s="186"/>
      <c r="AY69" s="154">
        <f>AR69*AS69</f>
        <v>0</v>
      </c>
      <c r="AZ69" s="171"/>
      <c r="BA69" s="159">
        <f t="shared" si="27"/>
        <v>0</v>
      </c>
    </row>
    <row r="70" spans="1:53" x14ac:dyDescent="0.25">
      <c r="A70" s="9"/>
      <c r="B70" s="4" t="s">
        <v>264</v>
      </c>
      <c r="C70" s="8"/>
      <c r="D70" s="144"/>
      <c r="E70" s="4"/>
      <c r="F70" s="8"/>
      <c r="G70" s="8"/>
      <c r="H70" s="8"/>
      <c r="I70" s="8"/>
      <c r="J70" s="8"/>
      <c r="K70" s="133">
        <f>SUM(K67:K69)</f>
        <v>0</v>
      </c>
      <c r="L70" s="115"/>
      <c r="M70" s="4"/>
      <c r="N70" s="8"/>
      <c r="O70" s="8"/>
      <c r="P70" s="8"/>
      <c r="Q70" s="8"/>
      <c r="R70" s="8"/>
      <c r="S70" s="133">
        <f>SUM(S68:S69)</f>
        <v>0</v>
      </c>
      <c r="T70" s="115"/>
      <c r="U70" s="4"/>
      <c r="V70" s="8"/>
      <c r="W70" s="8"/>
      <c r="X70" s="8"/>
      <c r="Y70" s="8"/>
      <c r="Z70" s="8"/>
      <c r="AA70" s="133">
        <f>SUM(AA68:AA69)</f>
        <v>0</v>
      </c>
      <c r="AB70" s="115"/>
      <c r="AC70" s="4"/>
      <c r="AD70" s="8"/>
      <c r="AE70" s="8"/>
      <c r="AF70" s="8"/>
      <c r="AG70" s="8"/>
      <c r="AH70" s="8"/>
      <c r="AI70" s="133">
        <f>SUM(AI68:AI69)</f>
        <v>0</v>
      </c>
      <c r="AJ70" s="115"/>
      <c r="AK70" s="4"/>
      <c r="AL70" s="8"/>
      <c r="AM70" s="8"/>
      <c r="AN70" s="8"/>
      <c r="AO70" s="8"/>
      <c r="AP70" s="8"/>
      <c r="AQ70" s="133">
        <f>SUM(AQ68:AQ69)</f>
        <v>0</v>
      </c>
      <c r="AR70" s="12"/>
      <c r="AS70" s="115"/>
      <c r="AT70" s="115"/>
      <c r="AU70" s="115"/>
      <c r="AV70" s="115"/>
      <c r="AW70" s="115"/>
      <c r="AX70" s="8"/>
      <c r="AY70" s="133">
        <f>SUM(AY68:AY69)</f>
        <v>0</v>
      </c>
      <c r="AZ70" s="172"/>
      <c r="BA70" s="160">
        <f t="shared" si="27"/>
        <v>0</v>
      </c>
    </row>
    <row r="71" spans="1:53" x14ac:dyDescent="0.25">
      <c r="A71" s="18" t="s">
        <v>459</v>
      </c>
      <c r="B71" s="14"/>
      <c r="C71" s="15"/>
      <c r="D71" s="148"/>
      <c r="E71" s="14"/>
      <c r="F71" s="15"/>
      <c r="G71" s="15"/>
      <c r="H71" s="15"/>
      <c r="I71" s="15"/>
      <c r="J71" s="15"/>
      <c r="K71" s="136" t="e">
        <f>K66+K70</f>
        <v>#REF!</v>
      </c>
      <c r="L71" s="117"/>
      <c r="M71" s="14"/>
      <c r="N71" s="15"/>
      <c r="O71" s="15"/>
      <c r="P71" s="15"/>
      <c r="Q71" s="15"/>
      <c r="R71" s="15"/>
      <c r="S71" s="136" t="e">
        <f>S66+S70</f>
        <v>#REF!</v>
      </c>
      <c r="T71" s="117"/>
      <c r="U71" s="14"/>
      <c r="V71" s="15"/>
      <c r="W71" s="15"/>
      <c r="X71" s="15"/>
      <c r="Y71" s="15"/>
      <c r="Z71" s="15"/>
      <c r="AA71" s="136" t="e">
        <f>AA66+AA70</f>
        <v>#REF!</v>
      </c>
      <c r="AB71" s="117"/>
      <c r="AC71" s="14"/>
      <c r="AD71" s="15"/>
      <c r="AE71" s="15"/>
      <c r="AF71" s="15"/>
      <c r="AG71" s="15"/>
      <c r="AH71" s="15"/>
      <c r="AI71" s="136" t="e">
        <f>AI66+AI70</f>
        <v>#REF!</v>
      </c>
      <c r="AJ71" s="117"/>
      <c r="AK71" s="14"/>
      <c r="AL71" s="15"/>
      <c r="AM71" s="15"/>
      <c r="AN71" s="15"/>
      <c r="AO71" s="15"/>
      <c r="AP71" s="15"/>
      <c r="AQ71" s="136" t="e">
        <f>AQ66+AQ70</f>
        <v>#REF!</v>
      </c>
      <c r="AR71" s="16"/>
      <c r="AS71" s="117"/>
      <c r="AT71" s="117"/>
      <c r="AU71" s="117"/>
      <c r="AV71" s="117"/>
      <c r="AW71" s="117"/>
      <c r="AX71" s="15"/>
      <c r="AY71" s="136" t="e">
        <f>AY66+AY70</f>
        <v>#REF!</v>
      </c>
      <c r="AZ71" s="174"/>
      <c r="BA71" s="163" t="e">
        <f t="shared" si="27"/>
        <v>#REF!</v>
      </c>
    </row>
    <row r="72" spans="1:53" ht="13" thickBot="1" x14ac:dyDescent="0.3">
      <c r="A72" s="30" t="s">
        <v>490</v>
      </c>
      <c r="B72" s="19"/>
      <c r="C72" s="63" t="s">
        <v>491</v>
      </c>
      <c r="D72" s="143" t="e">
        <f>K66</f>
        <v>#REF!</v>
      </c>
      <c r="E72" s="102">
        <v>0</v>
      </c>
      <c r="F72" s="187"/>
      <c r="G72" s="187"/>
      <c r="H72" s="187"/>
      <c r="I72" s="187"/>
      <c r="J72" s="187"/>
      <c r="K72" s="154" t="e">
        <f>D72*E72</f>
        <v>#REF!</v>
      </c>
      <c r="L72" s="121" t="e">
        <f>S66</f>
        <v>#REF!</v>
      </c>
      <c r="M72" s="102">
        <v>0</v>
      </c>
      <c r="N72" s="187"/>
      <c r="O72" s="187"/>
      <c r="P72" s="187"/>
      <c r="Q72" s="187"/>
      <c r="R72" s="187"/>
      <c r="S72" s="154" t="e">
        <f>L72*M72</f>
        <v>#REF!</v>
      </c>
      <c r="T72" s="121" t="e">
        <f>AA66</f>
        <v>#REF!</v>
      </c>
      <c r="U72" s="102">
        <v>0</v>
      </c>
      <c r="V72" s="187"/>
      <c r="W72" s="187"/>
      <c r="X72" s="187"/>
      <c r="Y72" s="187"/>
      <c r="Z72" s="187"/>
      <c r="AA72" s="154" t="e">
        <f>T72*U72</f>
        <v>#REF!</v>
      </c>
      <c r="AB72" s="121" t="e">
        <f>AI66</f>
        <v>#REF!</v>
      </c>
      <c r="AC72" s="102">
        <v>0</v>
      </c>
      <c r="AD72" s="187"/>
      <c r="AE72" s="187"/>
      <c r="AF72" s="187"/>
      <c r="AG72" s="187"/>
      <c r="AH72" s="187"/>
      <c r="AI72" s="154" t="e">
        <f>AB72*AC72</f>
        <v>#REF!</v>
      </c>
      <c r="AJ72" s="121" t="e">
        <f>AQ66</f>
        <v>#REF!</v>
      </c>
      <c r="AK72" s="102">
        <v>0</v>
      </c>
      <c r="AL72" s="187"/>
      <c r="AM72" s="187"/>
      <c r="AN72" s="187"/>
      <c r="AO72" s="187"/>
      <c r="AP72" s="187"/>
      <c r="AQ72" s="154" t="e">
        <f>AJ72*AK72</f>
        <v>#REF!</v>
      </c>
      <c r="AR72" s="217" t="e">
        <f>AY66</f>
        <v>#REF!</v>
      </c>
      <c r="AS72" s="102">
        <v>0</v>
      </c>
      <c r="AT72" s="189"/>
      <c r="AU72" s="189"/>
      <c r="AV72" s="189"/>
      <c r="AW72" s="189"/>
      <c r="AX72" s="187"/>
      <c r="AY72" s="213" t="e">
        <f>AR72*AS72</f>
        <v>#REF!</v>
      </c>
      <c r="AZ72" s="175"/>
      <c r="BA72" s="164" t="e">
        <f t="shared" si="27"/>
        <v>#REF!</v>
      </c>
    </row>
    <row r="73" spans="1:53" ht="13" thickBot="1" x14ac:dyDescent="0.3">
      <c r="A73" s="205" t="s">
        <v>268</v>
      </c>
      <c r="B73" s="206"/>
      <c r="C73" s="207"/>
      <c r="D73" s="208"/>
      <c r="E73" s="206"/>
      <c r="F73" s="207"/>
      <c r="G73" s="207"/>
      <c r="H73" s="207"/>
      <c r="I73" s="207"/>
      <c r="J73" s="207"/>
      <c r="K73" s="209" t="e">
        <f>K71+K72</f>
        <v>#REF!</v>
      </c>
      <c r="L73" s="210"/>
      <c r="M73" s="206"/>
      <c r="N73" s="207"/>
      <c r="O73" s="207"/>
      <c r="P73" s="207"/>
      <c r="Q73" s="207"/>
      <c r="R73" s="207"/>
      <c r="S73" s="209" t="e">
        <f>S71+S72</f>
        <v>#REF!</v>
      </c>
      <c r="T73" s="210"/>
      <c r="U73" s="206"/>
      <c r="V73" s="207"/>
      <c r="W73" s="207"/>
      <c r="X73" s="207"/>
      <c r="Y73" s="207"/>
      <c r="Z73" s="207"/>
      <c r="AA73" s="209" t="e">
        <f>AA71+AA72</f>
        <v>#REF!</v>
      </c>
      <c r="AB73" s="210"/>
      <c r="AC73" s="206"/>
      <c r="AD73" s="207"/>
      <c r="AE73" s="207"/>
      <c r="AF73" s="207"/>
      <c r="AG73" s="207"/>
      <c r="AH73" s="207"/>
      <c r="AI73" s="209" t="e">
        <f>AI71+AI72</f>
        <v>#REF!</v>
      </c>
      <c r="AJ73" s="210"/>
      <c r="AK73" s="206"/>
      <c r="AL73" s="207"/>
      <c r="AM73" s="207"/>
      <c r="AN73" s="207"/>
      <c r="AO73" s="207"/>
      <c r="AP73" s="207"/>
      <c r="AQ73" s="209" t="e">
        <f>AQ71+AQ72</f>
        <v>#REF!</v>
      </c>
      <c r="AR73" s="205"/>
      <c r="AS73" s="210"/>
      <c r="AT73" s="210"/>
      <c r="AU73" s="210"/>
      <c r="AV73" s="210"/>
      <c r="AW73" s="210"/>
      <c r="AX73" s="207"/>
      <c r="AY73" s="209" t="e">
        <f>AY71+AY72</f>
        <v>#REF!</v>
      </c>
      <c r="AZ73" s="211"/>
      <c r="BA73" s="212" t="e">
        <f t="shared" si="27"/>
        <v>#REF!</v>
      </c>
    </row>
    <row r="74" spans="1:53" x14ac:dyDescent="0.25">
      <c r="V74" s="55" t="s">
        <v>358</v>
      </c>
    </row>
    <row r="75" spans="1:53" ht="74.25" customHeight="1" x14ac:dyDescent="0.25">
      <c r="A75" s="60" t="s">
        <v>292</v>
      </c>
      <c r="B75" s="1641" t="s">
        <v>492</v>
      </c>
      <c r="C75" s="1641"/>
      <c r="D75" s="1641"/>
      <c r="E75" s="1641"/>
      <c r="F75" s="1641"/>
      <c r="G75" s="1641"/>
      <c r="H75" s="1641"/>
      <c r="I75" s="1641"/>
      <c r="J75" s="1641"/>
      <c r="K75" s="1641"/>
      <c r="L75" s="1641"/>
      <c r="V75" s="55"/>
    </row>
    <row r="76" spans="1:53" ht="14.25" customHeight="1" x14ac:dyDescent="0.3">
      <c r="A76" s="24" t="s">
        <v>294</v>
      </c>
      <c r="B76" s="24" t="s">
        <v>463</v>
      </c>
    </row>
    <row r="77" spans="1:53" ht="18" customHeight="1" x14ac:dyDescent="0.3">
      <c r="A77" s="24" t="s">
        <v>296</v>
      </c>
      <c r="B77" s="24" t="s">
        <v>464</v>
      </c>
    </row>
    <row r="78" spans="1:53" ht="30" customHeight="1" x14ac:dyDescent="0.3">
      <c r="A78" s="24" t="s">
        <v>465</v>
      </c>
      <c r="B78" s="1633" t="s">
        <v>466</v>
      </c>
      <c r="C78" s="1633"/>
      <c r="D78" s="1633"/>
      <c r="E78" s="1633"/>
      <c r="F78" s="1633"/>
      <c r="G78" s="1633"/>
      <c r="H78" s="1633"/>
      <c r="I78" s="1633"/>
      <c r="J78" s="1633"/>
      <c r="K78" s="1633"/>
      <c r="L78" s="1633"/>
      <c r="M78" s="1633"/>
      <c r="N78" s="79"/>
      <c r="O78" s="79"/>
      <c r="P78" s="79"/>
      <c r="Q78" s="79"/>
      <c r="R78" s="79"/>
      <c r="S78" s="79"/>
      <c r="T78" s="79"/>
    </row>
    <row r="79" spans="1:53" ht="21.75" customHeight="1" x14ac:dyDescent="0.3">
      <c r="A79" s="24" t="s">
        <v>467</v>
      </c>
      <c r="B79" s="1634" t="s">
        <v>493</v>
      </c>
      <c r="C79" s="1634"/>
      <c r="D79" s="1634"/>
      <c r="E79" s="1634"/>
      <c r="F79" s="1634"/>
      <c r="G79" s="1634"/>
      <c r="H79" s="1634"/>
      <c r="I79" s="1634"/>
      <c r="J79" s="1634"/>
      <c r="K79" s="1634"/>
      <c r="L79" s="1634"/>
      <c r="M79" s="1634"/>
      <c r="N79" s="1634"/>
      <c r="O79" s="1634"/>
    </row>
    <row r="80" spans="1:53" ht="15.5" x14ac:dyDescent="0.25">
      <c r="B80" s="61"/>
    </row>
    <row r="81" spans="2:2" ht="15.5" x14ac:dyDescent="0.25">
      <c r="B81" s="61"/>
    </row>
    <row r="82" spans="2:2" ht="15.5" x14ac:dyDescent="0.25">
      <c r="B82" s="61"/>
    </row>
    <row r="83" spans="2:2" ht="15.5" x14ac:dyDescent="0.25">
      <c r="B83" s="61"/>
    </row>
    <row r="84" spans="2:2" ht="15.5" x14ac:dyDescent="0.25">
      <c r="B84" s="61"/>
    </row>
  </sheetData>
  <mergeCells count="16">
    <mergeCell ref="AM6:AN6"/>
    <mergeCell ref="BA6:BB6"/>
    <mergeCell ref="B75:L75"/>
    <mergeCell ref="G4:H4"/>
    <mergeCell ref="O4:P4"/>
    <mergeCell ref="AE4:AF4"/>
    <mergeCell ref="AM4:AN4"/>
    <mergeCell ref="G5:H5"/>
    <mergeCell ref="O5:P5"/>
    <mergeCell ref="AE5:AF5"/>
    <mergeCell ref="AM5:AN5"/>
    <mergeCell ref="B78:M78"/>
    <mergeCell ref="B79:O79"/>
    <mergeCell ref="G6:H6"/>
    <mergeCell ref="O6:P6"/>
    <mergeCell ref="AE6:AF6"/>
  </mergeCells>
  <pageMargins left="0.25" right="0.25" top="0.75" bottom="0.75" header="0.3" footer="0.3"/>
  <pageSetup scale="39" fitToHeight="3" orientation="landscape"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
    <tabColor theme="7" tint="0.59999389629810485"/>
    <pageSetUpPr fitToPage="1"/>
  </sheetPr>
  <dimension ref="A1:TY102"/>
  <sheetViews>
    <sheetView zoomScale="85" zoomScaleNormal="85" workbookViewId="0">
      <pane xSplit="3" ySplit="6" topLeftCell="D7" activePane="bottomRight" state="frozen"/>
      <selection pane="topRight" activeCell="D1" sqref="D1"/>
      <selection pane="bottomLeft" activeCell="A7" sqref="A7"/>
      <selection pane="bottomRight" activeCell="C20" sqref="C20"/>
    </sheetView>
  </sheetViews>
  <sheetFormatPr defaultColWidth="8.453125" defaultRowHeight="13" x14ac:dyDescent="0.25"/>
  <cols>
    <col min="1" max="1" width="18.81640625" style="292" customWidth="1"/>
    <col min="2" max="2" width="18.54296875" style="292" customWidth="1"/>
    <col min="3" max="3" width="31.81640625" style="292" customWidth="1"/>
    <col min="4" max="4" width="3.81640625" style="292" customWidth="1"/>
    <col min="5" max="5" width="17.1796875" style="292" customWidth="1"/>
    <col min="6" max="6" width="11.7265625" style="292" bestFit="1" customWidth="1"/>
    <col min="7" max="7" width="20.1796875" style="292" customWidth="1"/>
    <col min="8" max="8" width="4" style="292" customWidth="1"/>
    <col min="9" max="9" width="15.7265625" style="292" customWidth="1"/>
    <col min="10" max="10" width="11.7265625" style="292" bestFit="1" customWidth="1"/>
    <col min="11" max="11" width="21.7265625" style="292" customWidth="1"/>
    <col min="12" max="12" width="3.453125" style="292" customWidth="1"/>
    <col min="13" max="13" width="15.7265625" style="292" customWidth="1"/>
    <col min="14" max="14" width="12.54296875" style="292" bestFit="1" customWidth="1"/>
    <col min="15" max="15" width="14.81640625" style="292" customWidth="1"/>
    <col min="16" max="16" width="3.81640625" style="292" customWidth="1"/>
    <col min="17" max="17" width="15.453125" style="292" customWidth="1"/>
    <col min="18" max="18" width="12.81640625" style="292" bestFit="1" customWidth="1"/>
    <col min="19" max="19" width="15.453125" style="292" customWidth="1"/>
    <col min="20" max="20" width="3.81640625" style="292" customWidth="1"/>
    <col min="21" max="21" width="16.81640625" style="292" customWidth="1"/>
    <col min="22" max="22" width="12.1796875" style="292" customWidth="1"/>
    <col min="23" max="23" width="15.1796875" style="292" customWidth="1"/>
    <col min="24" max="24" width="3.81640625" style="292" customWidth="1"/>
    <col min="25" max="25" width="13.26953125" style="292" bestFit="1" customWidth="1"/>
    <col min="26" max="26" width="12.54296875" style="292" bestFit="1" customWidth="1"/>
    <col min="27" max="27" width="17.453125" style="292" customWidth="1"/>
    <col min="28" max="28" width="3.453125" style="292" customWidth="1"/>
    <col min="29" max="29" width="15.81640625" style="292" customWidth="1"/>
    <col min="30" max="30" width="23.453125" style="292" customWidth="1"/>
    <col min="31" max="31" width="6.453125" style="292" customWidth="1"/>
    <col min="32" max="16384" width="8.453125" style="292"/>
  </cols>
  <sheetData>
    <row r="1" spans="1:61" ht="12.65" customHeight="1" x14ac:dyDescent="0.25">
      <c r="A1" s="951"/>
      <c r="B1" s="952"/>
      <c r="C1" s="953"/>
      <c r="D1" s="954"/>
      <c r="E1" s="955"/>
      <c r="F1" s="955"/>
      <c r="G1" s="955"/>
      <c r="H1" s="954"/>
      <c r="I1" s="955"/>
      <c r="J1" s="955"/>
      <c r="K1" s="955"/>
      <c r="L1" s="954"/>
      <c r="M1" s="955"/>
      <c r="N1" s="955"/>
      <c r="O1" s="955"/>
      <c r="P1" s="954"/>
      <c r="Q1" s="955"/>
      <c r="R1" s="955"/>
      <c r="S1" s="955"/>
      <c r="T1" s="954"/>
      <c r="U1" s="955"/>
      <c r="V1" s="955"/>
      <c r="W1" s="955"/>
      <c r="X1" s="954"/>
      <c r="Y1" s="955"/>
      <c r="Z1" s="955"/>
      <c r="AA1" s="955"/>
      <c r="AB1" s="955"/>
      <c r="AC1" s="955"/>
      <c r="AD1" s="955"/>
      <c r="AE1" s="956"/>
      <c r="AF1" s="802"/>
      <c r="AG1" s="802"/>
      <c r="AH1" s="802"/>
      <c r="AI1" s="802"/>
      <c r="AJ1" s="802"/>
      <c r="AK1" s="802"/>
      <c r="AL1" s="802"/>
      <c r="AM1" s="802"/>
      <c r="AN1" s="802"/>
      <c r="AO1" s="802"/>
      <c r="AP1" s="802"/>
      <c r="AQ1" s="802"/>
      <c r="AR1" s="802"/>
      <c r="AS1" s="802"/>
      <c r="AT1" s="802"/>
      <c r="AU1" s="802"/>
      <c r="AV1" s="802"/>
      <c r="AW1" s="802"/>
      <c r="AX1" s="802"/>
      <c r="AY1" s="802"/>
      <c r="AZ1" s="802"/>
      <c r="BA1" s="802"/>
      <c r="BB1" s="802"/>
      <c r="BC1" s="802"/>
      <c r="BD1" s="802"/>
    </row>
    <row r="2" spans="1:61" ht="34" customHeight="1" x14ac:dyDescent="0.25">
      <c r="A2" s="1317" t="s">
        <v>494</v>
      </c>
      <c r="B2" s="1318"/>
      <c r="C2" s="614" t="s">
        <v>319</v>
      </c>
      <c r="D2" s="1180"/>
      <c r="E2" s="957"/>
      <c r="F2" s="957"/>
      <c r="G2" s="957"/>
      <c r="H2" s="1180"/>
      <c r="I2" s="957"/>
      <c r="J2" s="957"/>
      <c r="K2" s="957"/>
      <c r="L2" s="1180"/>
      <c r="M2" s="957"/>
      <c r="N2" s="957"/>
      <c r="O2" s="957"/>
      <c r="P2" s="1180"/>
      <c r="Q2" s="957"/>
      <c r="R2" s="957"/>
      <c r="S2" s="957"/>
      <c r="T2" s="1180"/>
      <c r="U2" s="957"/>
      <c r="V2" s="957"/>
      <c r="W2" s="957"/>
      <c r="X2" s="1180"/>
      <c r="Y2" s="957"/>
      <c r="Z2" s="957"/>
      <c r="AA2" s="957"/>
      <c r="AB2" s="957"/>
      <c r="AC2" s="957"/>
      <c r="AD2" s="957"/>
      <c r="AE2" s="958"/>
      <c r="AF2" s="802"/>
      <c r="AG2" s="802"/>
      <c r="AH2" s="802"/>
      <c r="AI2" s="802"/>
      <c r="AJ2" s="802"/>
      <c r="AK2" s="802"/>
      <c r="AL2" s="802"/>
      <c r="AM2" s="802"/>
      <c r="AN2" s="802"/>
      <c r="AO2" s="802"/>
      <c r="AP2" s="802"/>
      <c r="AQ2" s="802"/>
      <c r="AR2" s="802"/>
      <c r="AS2" s="802"/>
      <c r="AT2" s="802"/>
      <c r="AU2" s="802"/>
      <c r="AV2" s="802"/>
      <c r="AW2" s="802"/>
      <c r="AX2" s="802"/>
      <c r="AY2" s="802"/>
      <c r="AZ2" s="802"/>
      <c r="BA2" s="802"/>
      <c r="BB2" s="802"/>
      <c r="BC2" s="802"/>
      <c r="BD2" s="802"/>
    </row>
    <row r="3" spans="1:61" ht="10.5" customHeight="1" x14ac:dyDescent="0.25">
      <c r="A3" s="959"/>
      <c r="B3" s="960"/>
      <c r="C3" s="960"/>
      <c r="D3" s="1180"/>
      <c r="E3" s="957"/>
      <c r="F3" s="957"/>
      <c r="G3" s="957"/>
      <c r="H3" s="1180"/>
      <c r="I3" s="957"/>
      <c r="J3" s="957"/>
      <c r="K3" s="957"/>
      <c r="L3" s="1180"/>
      <c r="M3" s="957"/>
      <c r="N3" s="957"/>
      <c r="O3" s="957"/>
      <c r="P3" s="1180"/>
      <c r="Q3" s="957"/>
      <c r="R3" s="957"/>
      <c r="S3" s="957"/>
      <c r="T3" s="1180"/>
      <c r="U3" s="957"/>
      <c r="V3" s="957"/>
      <c r="W3" s="957"/>
      <c r="X3" s="1180"/>
      <c r="Y3" s="957"/>
      <c r="Z3" s="957"/>
      <c r="AA3" s="957"/>
      <c r="AB3" s="957"/>
      <c r="AC3" s="957"/>
      <c r="AD3" s="957"/>
      <c r="AE3" s="958"/>
      <c r="AF3" s="802"/>
      <c r="AG3" s="802"/>
      <c r="AH3" s="802"/>
      <c r="AI3" s="802"/>
      <c r="AJ3" s="802"/>
      <c r="AK3" s="802"/>
      <c r="AL3" s="802"/>
      <c r="AM3" s="802"/>
      <c r="AN3" s="802"/>
      <c r="AO3" s="802"/>
      <c r="AP3" s="802"/>
      <c r="AQ3" s="802"/>
      <c r="AR3" s="802"/>
      <c r="AS3" s="802"/>
      <c r="AT3" s="802"/>
      <c r="AU3" s="802"/>
      <c r="AV3" s="802"/>
      <c r="AW3" s="802"/>
      <c r="AX3" s="802"/>
      <c r="AY3" s="802"/>
      <c r="AZ3" s="802"/>
      <c r="BA3" s="802"/>
      <c r="BB3" s="802"/>
      <c r="BC3" s="802"/>
      <c r="BD3" s="802"/>
    </row>
    <row r="4" spans="1:61" ht="21" customHeight="1" x14ac:dyDescent="0.25">
      <c r="A4" s="1149" t="s">
        <v>320</v>
      </c>
      <c r="B4" s="1331" t="str">
        <f>General!D4</f>
        <v>Name</v>
      </c>
      <c r="C4" s="1331"/>
      <c r="D4" s="1180"/>
      <c r="E4" s="1309"/>
      <c r="F4" s="1309"/>
      <c r="G4" s="1309"/>
      <c r="H4" s="1180"/>
      <c r="I4" s="1309"/>
      <c r="J4" s="1309"/>
      <c r="K4" s="1309"/>
      <c r="L4" s="1180"/>
      <c r="M4" s="1309"/>
      <c r="N4" s="1309"/>
      <c r="O4" s="1309"/>
      <c r="P4" s="1180"/>
      <c r="Q4" s="1309"/>
      <c r="R4" s="1309"/>
      <c r="S4" s="1309"/>
      <c r="T4" s="1180"/>
      <c r="U4" s="1309"/>
      <c r="V4" s="1309"/>
      <c r="W4" s="1309"/>
      <c r="X4" s="1180"/>
      <c r="Y4" s="1309"/>
      <c r="Z4" s="1309"/>
      <c r="AA4" s="1309"/>
      <c r="AB4" s="1177"/>
      <c r="AC4" s="957"/>
      <c r="AD4" s="957"/>
      <c r="AE4" s="958"/>
      <c r="AF4" s="802"/>
      <c r="AG4" s="802"/>
      <c r="AH4" s="802"/>
      <c r="AI4" s="802"/>
      <c r="AJ4" s="802"/>
      <c r="AK4" s="802"/>
      <c r="AL4" s="802"/>
      <c r="AM4" s="802"/>
      <c r="AN4" s="802"/>
      <c r="AO4" s="802"/>
      <c r="AP4" s="802"/>
      <c r="AQ4" s="802"/>
      <c r="AR4" s="802"/>
      <c r="AS4" s="802"/>
      <c r="AT4" s="802"/>
      <c r="AU4" s="802"/>
      <c r="AV4" s="802"/>
      <c r="AW4" s="802"/>
      <c r="AX4" s="802"/>
      <c r="AY4" s="802"/>
      <c r="AZ4" s="802"/>
      <c r="BA4" s="802"/>
      <c r="BB4" s="802"/>
      <c r="BC4" s="802"/>
      <c r="BD4" s="802"/>
    </row>
    <row r="5" spans="1:61" ht="22" customHeight="1" x14ac:dyDescent="0.25">
      <c r="A5" s="1149" t="s">
        <v>321</v>
      </c>
      <c r="B5" s="1331" t="str">
        <f>General!D5</f>
        <v>Name</v>
      </c>
      <c r="C5" s="1331"/>
      <c r="D5" s="960"/>
      <c r="E5" s="960"/>
      <c r="F5" s="960"/>
      <c r="G5" s="960"/>
      <c r="H5" s="1180"/>
      <c r="I5" s="960"/>
      <c r="J5" s="960"/>
      <c r="K5" s="960"/>
      <c r="L5" s="1180"/>
      <c r="M5" s="960"/>
      <c r="N5" s="960"/>
      <c r="O5" s="960"/>
      <c r="P5" s="1180"/>
      <c r="Q5" s="960"/>
      <c r="R5" s="960"/>
      <c r="S5" s="960"/>
      <c r="T5" s="1180"/>
      <c r="U5" s="960"/>
      <c r="V5" s="960"/>
      <c r="W5" s="960"/>
      <c r="X5" s="1180"/>
      <c r="Y5" s="960"/>
      <c r="Z5" s="960"/>
      <c r="AA5" s="960"/>
      <c r="AB5" s="972"/>
      <c r="AC5" s="960"/>
      <c r="AD5" s="960"/>
      <c r="AE5" s="958"/>
      <c r="AF5" s="803"/>
      <c r="AG5" s="803"/>
      <c r="AH5" s="803"/>
      <c r="AR5" s="803"/>
      <c r="AS5" s="803"/>
      <c r="AT5" s="803"/>
      <c r="AU5" s="803"/>
      <c r="AV5" s="803"/>
      <c r="AW5" s="803"/>
      <c r="AX5" s="803"/>
      <c r="AZ5" s="803"/>
      <c r="BA5" s="803"/>
      <c r="BB5" s="803"/>
      <c r="BC5" s="803"/>
      <c r="BD5" s="803"/>
      <c r="BE5" s="803"/>
      <c r="BF5" s="803"/>
      <c r="BG5" s="1307"/>
      <c r="BH5" s="1307"/>
      <c r="BI5" s="1307"/>
    </row>
    <row r="6" spans="1:61" ht="24" customHeight="1" x14ac:dyDescent="0.25">
      <c r="A6" s="961"/>
      <c r="B6" s="962"/>
      <c r="C6" s="962"/>
      <c r="D6" s="960"/>
      <c r="E6" s="1314" t="str">
        <f>Period1_Label</f>
        <v>FY 1</v>
      </c>
      <c r="F6" s="1315"/>
      <c r="G6" s="1316"/>
      <c r="H6" s="1180"/>
      <c r="I6" s="1314" t="str">
        <f>Period2_Label</f>
        <v>FY 2</v>
      </c>
      <c r="J6" s="1315"/>
      <c r="K6" s="1316"/>
      <c r="L6" s="1180"/>
      <c r="M6" s="1314" t="str">
        <f>Period3_Label</f>
        <v>FY 3</v>
      </c>
      <c r="N6" s="1315"/>
      <c r="O6" s="1316"/>
      <c r="P6" s="1180"/>
      <c r="Q6" s="1314" t="str">
        <f>Period4_Label</f>
        <v>FY 4</v>
      </c>
      <c r="R6" s="1315"/>
      <c r="S6" s="1316"/>
      <c r="T6" s="1180"/>
      <c r="U6" s="1314" t="str">
        <f>Period5_Label</f>
        <v>FY 5</v>
      </c>
      <c r="V6" s="1315"/>
      <c r="W6" s="1316"/>
      <c r="X6" s="1180"/>
      <c r="Y6" s="1314" t="str">
        <f>Period6_Label</f>
        <v>FY 6</v>
      </c>
      <c r="Z6" s="1315"/>
      <c r="AA6" s="1316"/>
      <c r="AB6" s="972"/>
      <c r="AC6" s="1312" t="s">
        <v>322</v>
      </c>
      <c r="AD6" s="1313"/>
      <c r="AE6" s="958"/>
      <c r="AF6" s="804"/>
      <c r="AG6" s="804"/>
      <c r="AH6" s="804"/>
      <c r="AJ6" s="804"/>
      <c r="AK6" s="804"/>
      <c r="AL6" s="804"/>
      <c r="AM6" s="804"/>
      <c r="AN6" s="804"/>
      <c r="AO6" s="804"/>
      <c r="AP6" s="804"/>
      <c r="AR6" s="804"/>
      <c r="AS6" s="804"/>
      <c r="AT6" s="804"/>
      <c r="AU6" s="804"/>
      <c r="AV6" s="804"/>
      <c r="AW6" s="804"/>
      <c r="AX6" s="804"/>
      <c r="AZ6" s="804"/>
      <c r="BA6" s="804"/>
      <c r="BB6" s="804"/>
      <c r="BC6" s="804"/>
      <c r="BD6" s="804"/>
      <c r="BE6" s="804"/>
      <c r="BF6" s="804"/>
    </row>
    <row r="7" spans="1:61" ht="21.65" customHeight="1" x14ac:dyDescent="0.25">
      <c r="A7" s="1336" t="s">
        <v>323</v>
      </c>
      <c r="B7" s="1336"/>
      <c r="C7" s="1336"/>
      <c r="D7" s="960"/>
      <c r="E7" s="1308" t="str">
        <f>CONCATENATE(TEXT('Proposer Constants'!C14,"MM/DD/YY")," to ",TEXT('Proposer Constants'!C15,"MM/DD/YY"))</f>
        <v>06/01/25 to 05/31/26</v>
      </c>
      <c r="F7" s="1308"/>
      <c r="G7" s="1308"/>
      <c r="H7" s="1180"/>
      <c r="I7" s="1308" t="str">
        <f>CONCATENATE(TEXT('Proposer Constants'!D14,"MM/DD/YY")," to ",TEXT('Proposer Constants'!D15,"MM/DD/YY"))</f>
        <v>06/01/26 to 05/31/27</v>
      </c>
      <c r="J7" s="1308"/>
      <c r="K7" s="1308"/>
      <c r="L7" s="1180"/>
      <c r="M7" s="1308" t="str">
        <f>CONCATENATE(TEXT('Proposer Constants'!E14,"MM/DD/YY")," to ",TEXT('Proposer Constants'!E15,"MM/DD/YY"))</f>
        <v>06/01/27 to 05/31/28</v>
      </c>
      <c r="N7" s="1308"/>
      <c r="O7" s="1308"/>
      <c r="P7" s="1180"/>
      <c r="Q7" s="1308" t="str">
        <f>CONCATENATE(TEXT('Proposer Constants'!F14,"MM/DD/YY")," to ",TEXT('Proposer Constants'!F15,"MM/DD/YY"))</f>
        <v>06/01/28 to 05/31/29</v>
      </c>
      <c r="R7" s="1308"/>
      <c r="S7" s="1308"/>
      <c r="T7" s="1180"/>
      <c r="U7" s="1308" t="str">
        <f>CONCATENATE(TEXT('Proposer Constants'!G14,"MM/DD/YY")," to ",TEXT('Proposer Constants'!G15,"MM/DD/YY"))</f>
        <v>06/01/29 to 05/31/30</v>
      </c>
      <c r="V7" s="1308"/>
      <c r="W7" s="1308"/>
      <c r="X7" s="1180"/>
      <c r="Y7" s="1308" t="str">
        <f>CONCATENATE(TEXT('Proposer Constants'!H14,"MM/DD/YY")," to ",TEXT('Proposer Constants'!H15,"MM/DD/YY"))</f>
        <v>06/01/30 to 05/31/31</v>
      </c>
      <c r="Z7" s="1308"/>
      <c r="AA7" s="1308"/>
      <c r="AB7" s="973"/>
      <c r="AC7" s="1310" t="s">
        <v>324</v>
      </c>
      <c r="AD7" s="1311"/>
      <c r="AE7" s="958"/>
      <c r="AF7" s="802"/>
      <c r="AG7" s="802"/>
      <c r="AH7" s="802"/>
      <c r="AI7" s="802"/>
      <c r="AL7" s="802"/>
      <c r="AM7" s="805"/>
      <c r="AN7" s="802"/>
      <c r="AO7" s="802"/>
      <c r="AP7" s="802"/>
      <c r="AQ7" s="802"/>
      <c r="AS7" s="804"/>
      <c r="AT7" s="802"/>
      <c r="AU7" s="805"/>
      <c r="AV7" s="802"/>
    </row>
    <row r="8" spans="1:61" s="616" customFormat="1" ht="31.5" customHeight="1" x14ac:dyDescent="0.25">
      <c r="A8" s="1332" t="s">
        <v>325</v>
      </c>
      <c r="B8" s="1333"/>
      <c r="C8" s="1098" t="s">
        <v>326</v>
      </c>
      <c r="D8" s="963"/>
      <c r="E8" s="617" t="s">
        <v>327</v>
      </c>
      <c r="F8" s="617" t="s">
        <v>328</v>
      </c>
      <c r="G8" s="617" t="s">
        <v>329</v>
      </c>
      <c r="H8" s="1180"/>
      <c r="I8" s="617" t="s">
        <v>327</v>
      </c>
      <c r="J8" s="617" t="s">
        <v>328</v>
      </c>
      <c r="K8" s="617" t="s">
        <v>329</v>
      </c>
      <c r="L8" s="1180"/>
      <c r="M8" s="617" t="s">
        <v>327</v>
      </c>
      <c r="N8" s="617" t="s">
        <v>328</v>
      </c>
      <c r="O8" s="617" t="s">
        <v>329</v>
      </c>
      <c r="P8" s="1180"/>
      <c r="Q8" s="617" t="s">
        <v>327</v>
      </c>
      <c r="R8" s="617" t="s">
        <v>328</v>
      </c>
      <c r="S8" s="617" t="s">
        <v>329</v>
      </c>
      <c r="T8" s="1180"/>
      <c r="U8" s="617" t="s">
        <v>327</v>
      </c>
      <c r="V8" s="617" t="s">
        <v>328</v>
      </c>
      <c r="W8" s="617" t="s">
        <v>329</v>
      </c>
      <c r="X8" s="1180"/>
      <c r="Y8" s="617" t="s">
        <v>327</v>
      </c>
      <c r="Z8" s="617" t="s">
        <v>328</v>
      </c>
      <c r="AA8" s="617" t="s">
        <v>329</v>
      </c>
      <c r="AB8" s="974"/>
      <c r="AC8" s="617" t="s">
        <v>330</v>
      </c>
      <c r="AD8" s="617" t="s">
        <v>331</v>
      </c>
      <c r="AE8" s="958"/>
    </row>
    <row r="9" spans="1:61" ht="15" customHeight="1" x14ac:dyDescent="0.25">
      <c r="A9" s="1321" t="str">
        <f>IF(ISBLANK('Labor Rates'!D8),"",'Labor Rates'!D8)</f>
        <v/>
      </c>
      <c r="B9" s="1322"/>
      <c r="C9" s="949" t="str">
        <f>IF(ISBLANK('Labor Rates'!E8),"",'Labor Rates'!E8)</f>
        <v/>
      </c>
      <c r="D9" s="960"/>
      <c r="E9" s="791">
        <v>0</v>
      </c>
      <c r="F9" s="618">
        <f>'Labor Rates'!F8</f>
        <v>0</v>
      </c>
      <c r="G9" s="619">
        <f>E9*F9</f>
        <v>0</v>
      </c>
      <c r="H9" s="1180"/>
      <c r="I9" s="791">
        <v>0</v>
      </c>
      <c r="J9" s="618">
        <f>'Labor Rates'!H8</f>
        <v>0</v>
      </c>
      <c r="K9" s="619">
        <f>I9*J9</f>
        <v>0</v>
      </c>
      <c r="L9" s="1180"/>
      <c r="M9" s="791">
        <v>0</v>
      </c>
      <c r="N9" s="618">
        <f>'Labor Rates'!J8</f>
        <v>0</v>
      </c>
      <c r="O9" s="619">
        <f>M9*N9</f>
        <v>0</v>
      </c>
      <c r="P9" s="1180"/>
      <c r="Q9" s="791">
        <v>0</v>
      </c>
      <c r="R9" s="618">
        <f>'Labor Rates'!L8</f>
        <v>0</v>
      </c>
      <c r="S9" s="619">
        <f>Q9*R9</f>
        <v>0</v>
      </c>
      <c r="T9" s="1180"/>
      <c r="U9" s="791">
        <v>0</v>
      </c>
      <c r="V9" s="618">
        <f>'Labor Rates'!N8</f>
        <v>0</v>
      </c>
      <c r="W9" s="619">
        <f>U9*V9</f>
        <v>0</v>
      </c>
      <c r="X9" s="1180"/>
      <c r="Y9" s="791">
        <v>0</v>
      </c>
      <c r="Z9" s="618">
        <f>'Labor Rates'!P8</f>
        <v>0</v>
      </c>
      <c r="AA9" s="619">
        <f>Y9*Z9</f>
        <v>0</v>
      </c>
      <c r="AB9" s="975"/>
      <c r="AC9" s="1002">
        <f t="shared" ref="AC9:AC32" si="0">E9+I9+M9+Q9+U9+Y9</f>
        <v>0</v>
      </c>
      <c r="AD9" s="619">
        <f t="shared" ref="AD9:AD32" si="1">G9+K9+O9+S9+W9+AA9</f>
        <v>0</v>
      </c>
      <c r="AE9" s="958"/>
    </row>
    <row r="10" spans="1:61" ht="15" customHeight="1" x14ac:dyDescent="0.25">
      <c r="A10" s="1321" t="str">
        <f>IF(ISBLANK('Labor Rates'!D9),"",'Labor Rates'!D9)</f>
        <v/>
      </c>
      <c r="B10" s="1322"/>
      <c r="C10" s="949" t="str">
        <f>IF(ISBLANK('Labor Rates'!E9),"",'Labor Rates'!E9)</f>
        <v/>
      </c>
      <c r="D10" s="960"/>
      <c r="E10" s="791">
        <v>0</v>
      </c>
      <c r="F10" s="618">
        <f>'Labor Rates'!F9</f>
        <v>0</v>
      </c>
      <c r="G10" s="619">
        <f t="shared" ref="G10:G32" si="2">E10*F10</f>
        <v>0</v>
      </c>
      <c r="H10" s="1180"/>
      <c r="I10" s="791">
        <v>0</v>
      </c>
      <c r="J10" s="618">
        <f>'Labor Rates'!H9</f>
        <v>0</v>
      </c>
      <c r="K10" s="619">
        <f t="shared" ref="K10:K32" si="3">I10*J10</f>
        <v>0</v>
      </c>
      <c r="L10" s="1180"/>
      <c r="M10" s="791">
        <v>0</v>
      </c>
      <c r="N10" s="618">
        <f>'Labor Rates'!J9</f>
        <v>0</v>
      </c>
      <c r="O10" s="619">
        <f t="shared" ref="O10:O32" si="4">M10*N10</f>
        <v>0</v>
      </c>
      <c r="P10" s="1180"/>
      <c r="Q10" s="791">
        <v>0</v>
      </c>
      <c r="R10" s="618">
        <f>'Labor Rates'!L9</f>
        <v>0</v>
      </c>
      <c r="S10" s="619">
        <f t="shared" ref="S10:S32" si="5">Q10*R10</f>
        <v>0</v>
      </c>
      <c r="T10" s="1180"/>
      <c r="U10" s="791">
        <v>0</v>
      </c>
      <c r="V10" s="618">
        <f>'Labor Rates'!N9</f>
        <v>0</v>
      </c>
      <c r="W10" s="619">
        <f t="shared" ref="W10:W32" si="6">U10*V10</f>
        <v>0</v>
      </c>
      <c r="X10" s="1180"/>
      <c r="Y10" s="791">
        <v>0</v>
      </c>
      <c r="Z10" s="618">
        <f>'Labor Rates'!P9</f>
        <v>0</v>
      </c>
      <c r="AA10" s="619">
        <f t="shared" ref="AA10:AA32" si="7">Y10*Z10</f>
        <v>0</v>
      </c>
      <c r="AB10" s="975"/>
      <c r="AC10" s="1002">
        <f t="shared" si="0"/>
        <v>0</v>
      </c>
      <c r="AD10" s="619">
        <f t="shared" si="1"/>
        <v>0</v>
      </c>
      <c r="AE10" s="958"/>
    </row>
    <row r="11" spans="1:61" ht="15" customHeight="1" x14ac:dyDescent="0.25">
      <c r="A11" s="1321" t="str">
        <f>IF(ISBLANK('Labor Rates'!D10),"",'Labor Rates'!D10)</f>
        <v/>
      </c>
      <c r="B11" s="1322"/>
      <c r="C11" s="949" t="str">
        <f>IF(ISBLANK('Labor Rates'!E10),"",'Labor Rates'!E10)</f>
        <v/>
      </c>
      <c r="D11" s="960"/>
      <c r="E11" s="791">
        <v>0</v>
      </c>
      <c r="F11" s="618">
        <f>'Labor Rates'!F10</f>
        <v>0</v>
      </c>
      <c r="G11" s="619">
        <f t="shared" si="2"/>
        <v>0</v>
      </c>
      <c r="H11" s="1180"/>
      <c r="I11" s="791">
        <v>0</v>
      </c>
      <c r="J11" s="618">
        <f>'Labor Rates'!H10</f>
        <v>0</v>
      </c>
      <c r="K11" s="619">
        <f t="shared" si="3"/>
        <v>0</v>
      </c>
      <c r="L11" s="1180"/>
      <c r="M11" s="791">
        <v>0</v>
      </c>
      <c r="N11" s="618">
        <f>'Labor Rates'!J10</f>
        <v>0</v>
      </c>
      <c r="O11" s="619">
        <f t="shared" si="4"/>
        <v>0</v>
      </c>
      <c r="P11" s="1180"/>
      <c r="Q11" s="791">
        <v>0</v>
      </c>
      <c r="R11" s="618">
        <f>'Labor Rates'!L10</f>
        <v>0</v>
      </c>
      <c r="S11" s="619">
        <f t="shared" si="5"/>
        <v>0</v>
      </c>
      <c r="T11" s="1180"/>
      <c r="U11" s="791">
        <v>0</v>
      </c>
      <c r="V11" s="618">
        <f>'Labor Rates'!N10</f>
        <v>0</v>
      </c>
      <c r="W11" s="619">
        <f t="shared" si="6"/>
        <v>0</v>
      </c>
      <c r="X11" s="1180"/>
      <c r="Y11" s="791">
        <v>0</v>
      </c>
      <c r="Z11" s="618">
        <f>'Labor Rates'!P10</f>
        <v>0</v>
      </c>
      <c r="AA11" s="619">
        <f t="shared" si="7"/>
        <v>0</v>
      </c>
      <c r="AB11" s="975"/>
      <c r="AC11" s="1002">
        <f t="shared" si="0"/>
        <v>0</v>
      </c>
      <c r="AD11" s="619">
        <f t="shared" si="1"/>
        <v>0</v>
      </c>
      <c r="AE11" s="958"/>
    </row>
    <row r="12" spans="1:61" ht="15" customHeight="1" x14ac:dyDescent="0.25">
      <c r="A12" s="1321" t="str">
        <f>IF(ISBLANK('Labor Rates'!D11),"",'Labor Rates'!D11)</f>
        <v/>
      </c>
      <c r="B12" s="1322"/>
      <c r="C12" s="949" t="str">
        <f>IF(ISBLANK('Labor Rates'!E11),"",'Labor Rates'!E11)</f>
        <v/>
      </c>
      <c r="D12" s="960"/>
      <c r="E12" s="791">
        <v>0</v>
      </c>
      <c r="F12" s="618">
        <f>'Labor Rates'!F11</f>
        <v>0</v>
      </c>
      <c r="G12" s="619">
        <f t="shared" si="2"/>
        <v>0</v>
      </c>
      <c r="H12" s="1180"/>
      <c r="I12" s="791">
        <v>0</v>
      </c>
      <c r="J12" s="618">
        <f>'Labor Rates'!H11</f>
        <v>0</v>
      </c>
      <c r="K12" s="619">
        <f t="shared" si="3"/>
        <v>0</v>
      </c>
      <c r="L12" s="1180"/>
      <c r="M12" s="791">
        <v>0</v>
      </c>
      <c r="N12" s="618">
        <f>'Labor Rates'!J11</f>
        <v>0</v>
      </c>
      <c r="O12" s="619">
        <f t="shared" si="4"/>
        <v>0</v>
      </c>
      <c r="P12" s="1180"/>
      <c r="Q12" s="791">
        <v>0</v>
      </c>
      <c r="R12" s="618">
        <f>'Labor Rates'!L11</f>
        <v>0</v>
      </c>
      <c r="S12" s="619">
        <f t="shared" si="5"/>
        <v>0</v>
      </c>
      <c r="T12" s="1180"/>
      <c r="U12" s="791">
        <v>0</v>
      </c>
      <c r="V12" s="618">
        <f>'Labor Rates'!N11</f>
        <v>0</v>
      </c>
      <c r="W12" s="619">
        <f t="shared" si="6"/>
        <v>0</v>
      </c>
      <c r="X12" s="1180"/>
      <c r="Y12" s="791">
        <v>0</v>
      </c>
      <c r="Z12" s="618">
        <f>'Labor Rates'!P11</f>
        <v>0</v>
      </c>
      <c r="AA12" s="619">
        <f t="shared" si="7"/>
        <v>0</v>
      </c>
      <c r="AB12" s="975"/>
      <c r="AC12" s="1002">
        <f t="shared" si="0"/>
        <v>0</v>
      </c>
      <c r="AD12" s="619">
        <f t="shared" si="1"/>
        <v>0</v>
      </c>
      <c r="AE12" s="958"/>
    </row>
    <row r="13" spans="1:61" ht="15" customHeight="1" x14ac:dyDescent="0.25">
      <c r="A13" s="1321" t="str">
        <f>IF(ISBLANK('Labor Rates'!D12),"",'Labor Rates'!D12)</f>
        <v/>
      </c>
      <c r="B13" s="1322"/>
      <c r="C13" s="949" t="str">
        <f>IF(ISBLANK('Labor Rates'!E12),"",'Labor Rates'!E12)</f>
        <v/>
      </c>
      <c r="D13" s="960"/>
      <c r="E13" s="791">
        <v>0</v>
      </c>
      <c r="F13" s="618">
        <f>'Labor Rates'!F12</f>
        <v>0</v>
      </c>
      <c r="G13" s="619">
        <f t="shared" si="2"/>
        <v>0</v>
      </c>
      <c r="H13" s="1180"/>
      <c r="I13" s="791">
        <v>0</v>
      </c>
      <c r="J13" s="618">
        <f>'Labor Rates'!H12</f>
        <v>0</v>
      </c>
      <c r="K13" s="619">
        <f t="shared" si="3"/>
        <v>0</v>
      </c>
      <c r="L13" s="1180"/>
      <c r="M13" s="791">
        <v>0</v>
      </c>
      <c r="N13" s="618">
        <f>'Labor Rates'!J12</f>
        <v>0</v>
      </c>
      <c r="O13" s="619">
        <f t="shared" si="4"/>
        <v>0</v>
      </c>
      <c r="P13" s="1180"/>
      <c r="Q13" s="791">
        <v>0</v>
      </c>
      <c r="R13" s="618">
        <f>'Labor Rates'!L12</f>
        <v>0</v>
      </c>
      <c r="S13" s="619">
        <f t="shared" si="5"/>
        <v>0</v>
      </c>
      <c r="T13" s="1180"/>
      <c r="U13" s="791">
        <v>0</v>
      </c>
      <c r="V13" s="618">
        <f>'Labor Rates'!N12</f>
        <v>0</v>
      </c>
      <c r="W13" s="619">
        <f t="shared" si="6"/>
        <v>0</v>
      </c>
      <c r="X13" s="1180"/>
      <c r="Y13" s="791">
        <v>0</v>
      </c>
      <c r="Z13" s="618">
        <f>'Labor Rates'!P12</f>
        <v>0</v>
      </c>
      <c r="AA13" s="619">
        <f t="shared" si="7"/>
        <v>0</v>
      </c>
      <c r="AB13" s="975"/>
      <c r="AC13" s="1002">
        <f t="shared" si="0"/>
        <v>0</v>
      </c>
      <c r="AD13" s="619">
        <f t="shared" si="1"/>
        <v>0</v>
      </c>
      <c r="AE13" s="958"/>
    </row>
    <row r="14" spans="1:61" ht="15" customHeight="1" x14ac:dyDescent="0.25">
      <c r="A14" s="1321" t="str">
        <f>IF(ISBLANK('Labor Rates'!D13),"",'Labor Rates'!D13)</f>
        <v/>
      </c>
      <c r="B14" s="1322"/>
      <c r="C14" s="949" t="str">
        <f>IF(ISBLANK('Labor Rates'!E13),"",'Labor Rates'!E13)</f>
        <v/>
      </c>
      <c r="D14" s="960"/>
      <c r="E14" s="791">
        <v>0</v>
      </c>
      <c r="F14" s="618">
        <f>'Labor Rates'!F13</f>
        <v>0</v>
      </c>
      <c r="G14" s="619">
        <f t="shared" si="2"/>
        <v>0</v>
      </c>
      <c r="H14" s="1180"/>
      <c r="I14" s="791">
        <v>0</v>
      </c>
      <c r="J14" s="618">
        <f>'Labor Rates'!H13</f>
        <v>0</v>
      </c>
      <c r="K14" s="619">
        <f t="shared" si="3"/>
        <v>0</v>
      </c>
      <c r="L14" s="1180"/>
      <c r="M14" s="791">
        <v>0</v>
      </c>
      <c r="N14" s="618">
        <f>'Labor Rates'!J13</f>
        <v>0</v>
      </c>
      <c r="O14" s="619">
        <f t="shared" si="4"/>
        <v>0</v>
      </c>
      <c r="P14" s="1180"/>
      <c r="Q14" s="791">
        <v>0</v>
      </c>
      <c r="R14" s="618">
        <f>'Labor Rates'!L13</f>
        <v>0</v>
      </c>
      <c r="S14" s="619">
        <f t="shared" si="5"/>
        <v>0</v>
      </c>
      <c r="T14" s="1180"/>
      <c r="U14" s="791">
        <v>0</v>
      </c>
      <c r="V14" s="618">
        <f>'Labor Rates'!N13</f>
        <v>0</v>
      </c>
      <c r="W14" s="619">
        <f t="shared" si="6"/>
        <v>0</v>
      </c>
      <c r="X14" s="1180"/>
      <c r="Y14" s="791">
        <v>0</v>
      </c>
      <c r="Z14" s="618">
        <f>'Labor Rates'!P13</f>
        <v>0</v>
      </c>
      <c r="AA14" s="619">
        <f t="shared" si="7"/>
        <v>0</v>
      </c>
      <c r="AB14" s="975"/>
      <c r="AC14" s="1002">
        <f t="shared" si="0"/>
        <v>0</v>
      </c>
      <c r="AD14" s="619">
        <f t="shared" si="1"/>
        <v>0</v>
      </c>
      <c r="AE14" s="958"/>
    </row>
    <row r="15" spans="1:61" ht="15" customHeight="1" x14ac:dyDescent="0.25">
      <c r="A15" s="1321" t="str">
        <f>IF(ISBLANK('Labor Rates'!D14),"",'Labor Rates'!D14)</f>
        <v/>
      </c>
      <c r="B15" s="1322"/>
      <c r="C15" s="949" t="str">
        <f>IF(ISBLANK('Labor Rates'!E14),"",'Labor Rates'!E14)</f>
        <v/>
      </c>
      <c r="D15" s="960"/>
      <c r="E15" s="791">
        <v>0</v>
      </c>
      <c r="F15" s="618">
        <f>'Labor Rates'!F14</f>
        <v>0</v>
      </c>
      <c r="G15" s="619">
        <f t="shared" si="2"/>
        <v>0</v>
      </c>
      <c r="H15" s="1180"/>
      <c r="I15" s="791">
        <v>0</v>
      </c>
      <c r="J15" s="618">
        <f>'Labor Rates'!H14</f>
        <v>0</v>
      </c>
      <c r="K15" s="619">
        <f t="shared" si="3"/>
        <v>0</v>
      </c>
      <c r="L15" s="1180"/>
      <c r="M15" s="791">
        <v>0</v>
      </c>
      <c r="N15" s="618">
        <f>'Labor Rates'!J14</f>
        <v>0</v>
      </c>
      <c r="O15" s="619">
        <f t="shared" si="4"/>
        <v>0</v>
      </c>
      <c r="P15" s="1180"/>
      <c r="Q15" s="791">
        <v>0</v>
      </c>
      <c r="R15" s="618">
        <f>'Labor Rates'!L14</f>
        <v>0</v>
      </c>
      <c r="S15" s="619">
        <f t="shared" si="5"/>
        <v>0</v>
      </c>
      <c r="T15" s="1180"/>
      <c r="U15" s="791">
        <v>0</v>
      </c>
      <c r="V15" s="618">
        <f>'Labor Rates'!N14</f>
        <v>0</v>
      </c>
      <c r="W15" s="619">
        <f t="shared" si="6"/>
        <v>0</v>
      </c>
      <c r="X15" s="1180"/>
      <c r="Y15" s="791">
        <v>0</v>
      </c>
      <c r="Z15" s="618">
        <f>'Labor Rates'!P14</f>
        <v>0</v>
      </c>
      <c r="AA15" s="619">
        <f t="shared" si="7"/>
        <v>0</v>
      </c>
      <c r="AB15" s="975"/>
      <c r="AC15" s="1002">
        <f t="shared" si="0"/>
        <v>0</v>
      </c>
      <c r="AD15" s="619">
        <f t="shared" si="1"/>
        <v>0</v>
      </c>
      <c r="AE15" s="958"/>
    </row>
    <row r="16" spans="1:61" ht="15" customHeight="1" x14ac:dyDescent="0.25">
      <c r="A16" s="1321" t="str">
        <f>IF(ISBLANK('Labor Rates'!D15),"",'Labor Rates'!D15)</f>
        <v/>
      </c>
      <c r="B16" s="1322"/>
      <c r="C16" s="949" t="str">
        <f>IF(ISBLANK('Labor Rates'!E15),"",'Labor Rates'!E15)</f>
        <v/>
      </c>
      <c r="D16" s="960"/>
      <c r="E16" s="791">
        <v>0</v>
      </c>
      <c r="F16" s="618">
        <f>'Labor Rates'!F15</f>
        <v>0</v>
      </c>
      <c r="G16" s="619">
        <f t="shared" si="2"/>
        <v>0</v>
      </c>
      <c r="H16" s="1180"/>
      <c r="I16" s="791">
        <v>0</v>
      </c>
      <c r="J16" s="618">
        <f>'Labor Rates'!H15</f>
        <v>0</v>
      </c>
      <c r="K16" s="619">
        <f t="shared" si="3"/>
        <v>0</v>
      </c>
      <c r="L16" s="1180"/>
      <c r="M16" s="791">
        <v>0</v>
      </c>
      <c r="N16" s="618">
        <f>'Labor Rates'!J15</f>
        <v>0</v>
      </c>
      <c r="O16" s="619">
        <f t="shared" si="4"/>
        <v>0</v>
      </c>
      <c r="P16" s="1180"/>
      <c r="Q16" s="791">
        <v>0</v>
      </c>
      <c r="R16" s="618">
        <f>'Labor Rates'!L15</f>
        <v>0</v>
      </c>
      <c r="S16" s="619">
        <f t="shared" si="5"/>
        <v>0</v>
      </c>
      <c r="T16" s="1180"/>
      <c r="U16" s="791">
        <v>0</v>
      </c>
      <c r="V16" s="618">
        <f>'Labor Rates'!N15</f>
        <v>0</v>
      </c>
      <c r="W16" s="619">
        <f t="shared" si="6"/>
        <v>0</v>
      </c>
      <c r="X16" s="1180"/>
      <c r="Y16" s="791">
        <v>0</v>
      </c>
      <c r="Z16" s="618">
        <f>'Labor Rates'!P15</f>
        <v>0</v>
      </c>
      <c r="AA16" s="619">
        <f t="shared" si="7"/>
        <v>0</v>
      </c>
      <c r="AB16" s="975"/>
      <c r="AC16" s="1002">
        <f t="shared" si="0"/>
        <v>0</v>
      </c>
      <c r="AD16" s="619">
        <f t="shared" si="1"/>
        <v>0</v>
      </c>
      <c r="AE16" s="958"/>
    </row>
    <row r="17" spans="1:31" ht="15" customHeight="1" x14ac:dyDescent="0.25">
      <c r="A17" s="1321" t="str">
        <f>IF(ISBLANK('Labor Rates'!D16),"",'Labor Rates'!D16)</f>
        <v/>
      </c>
      <c r="B17" s="1322"/>
      <c r="C17" s="950" t="str">
        <f>IF(ISBLANK('Labor Rates'!E16),"",'Labor Rates'!E16)</f>
        <v/>
      </c>
      <c r="D17" s="960"/>
      <c r="E17" s="791">
        <v>0</v>
      </c>
      <c r="F17" s="618">
        <f>'Labor Rates'!F16</f>
        <v>0</v>
      </c>
      <c r="G17" s="619">
        <f t="shared" si="2"/>
        <v>0</v>
      </c>
      <c r="H17" s="1180"/>
      <c r="I17" s="791">
        <v>0</v>
      </c>
      <c r="J17" s="618">
        <f>'Labor Rates'!H16</f>
        <v>0</v>
      </c>
      <c r="K17" s="619">
        <f t="shared" si="3"/>
        <v>0</v>
      </c>
      <c r="L17" s="1180"/>
      <c r="M17" s="791">
        <v>0</v>
      </c>
      <c r="N17" s="618">
        <f>'Labor Rates'!J16</f>
        <v>0</v>
      </c>
      <c r="O17" s="619">
        <f t="shared" si="4"/>
        <v>0</v>
      </c>
      <c r="P17" s="1180"/>
      <c r="Q17" s="791">
        <v>0</v>
      </c>
      <c r="R17" s="618">
        <f>'Labor Rates'!L16</f>
        <v>0</v>
      </c>
      <c r="S17" s="619">
        <f t="shared" si="5"/>
        <v>0</v>
      </c>
      <c r="T17" s="1180"/>
      <c r="U17" s="791">
        <v>0</v>
      </c>
      <c r="V17" s="618">
        <f>'Labor Rates'!N16</f>
        <v>0</v>
      </c>
      <c r="W17" s="619">
        <f t="shared" si="6"/>
        <v>0</v>
      </c>
      <c r="X17" s="1180"/>
      <c r="Y17" s="791">
        <v>0</v>
      </c>
      <c r="Z17" s="618">
        <f>'Labor Rates'!P16</f>
        <v>0</v>
      </c>
      <c r="AA17" s="619">
        <f t="shared" si="7"/>
        <v>0</v>
      </c>
      <c r="AB17" s="975"/>
      <c r="AC17" s="1002">
        <f t="shared" si="0"/>
        <v>0</v>
      </c>
      <c r="AD17" s="619">
        <f t="shared" si="1"/>
        <v>0</v>
      </c>
      <c r="AE17" s="958"/>
    </row>
    <row r="18" spans="1:31" ht="15" customHeight="1" x14ac:dyDescent="0.25">
      <c r="A18" s="1321" t="str">
        <f>IF(ISBLANK('Labor Rates'!D17),"",'Labor Rates'!D17)</f>
        <v/>
      </c>
      <c r="B18" s="1322"/>
      <c r="C18" s="950" t="str">
        <f>IF(ISBLANK('Labor Rates'!E17),"",'Labor Rates'!E17)</f>
        <v/>
      </c>
      <c r="D18" s="960"/>
      <c r="E18" s="791">
        <v>0</v>
      </c>
      <c r="F18" s="618">
        <f>'Labor Rates'!F17</f>
        <v>0</v>
      </c>
      <c r="G18" s="619">
        <f t="shared" si="2"/>
        <v>0</v>
      </c>
      <c r="H18" s="1180"/>
      <c r="I18" s="791">
        <v>0</v>
      </c>
      <c r="J18" s="618">
        <f>'Labor Rates'!H17</f>
        <v>0</v>
      </c>
      <c r="K18" s="619">
        <f t="shared" si="3"/>
        <v>0</v>
      </c>
      <c r="L18" s="1180"/>
      <c r="M18" s="791">
        <v>0</v>
      </c>
      <c r="N18" s="618">
        <f>'Labor Rates'!J17</f>
        <v>0</v>
      </c>
      <c r="O18" s="619">
        <f t="shared" si="4"/>
        <v>0</v>
      </c>
      <c r="P18" s="1180"/>
      <c r="Q18" s="791">
        <v>0</v>
      </c>
      <c r="R18" s="618">
        <f>'Labor Rates'!L17</f>
        <v>0</v>
      </c>
      <c r="S18" s="619">
        <f t="shared" si="5"/>
        <v>0</v>
      </c>
      <c r="T18" s="1180"/>
      <c r="U18" s="791">
        <v>0</v>
      </c>
      <c r="V18" s="618">
        <f>'Labor Rates'!N17</f>
        <v>0</v>
      </c>
      <c r="W18" s="619">
        <f t="shared" si="6"/>
        <v>0</v>
      </c>
      <c r="X18" s="1180"/>
      <c r="Y18" s="791">
        <v>0</v>
      </c>
      <c r="Z18" s="618">
        <f>'Labor Rates'!P17</f>
        <v>0</v>
      </c>
      <c r="AA18" s="619">
        <f t="shared" si="7"/>
        <v>0</v>
      </c>
      <c r="AB18" s="975"/>
      <c r="AC18" s="1002">
        <f t="shared" si="0"/>
        <v>0</v>
      </c>
      <c r="AD18" s="619">
        <f t="shared" si="1"/>
        <v>0</v>
      </c>
      <c r="AE18" s="958"/>
    </row>
    <row r="19" spans="1:31" ht="15" customHeight="1" x14ac:dyDescent="0.25">
      <c r="A19" s="1321" t="str">
        <f>IF(ISBLANK('Labor Rates'!D18),"",'Labor Rates'!D18)</f>
        <v/>
      </c>
      <c r="B19" s="1322"/>
      <c r="C19" s="950" t="str">
        <f>IF(ISBLANK('Labor Rates'!E18),"",'Labor Rates'!E18)</f>
        <v/>
      </c>
      <c r="D19" s="960"/>
      <c r="E19" s="791">
        <v>0</v>
      </c>
      <c r="F19" s="618">
        <f>'Labor Rates'!F18</f>
        <v>0</v>
      </c>
      <c r="G19" s="619">
        <f t="shared" si="2"/>
        <v>0</v>
      </c>
      <c r="H19" s="1180"/>
      <c r="I19" s="791">
        <v>0</v>
      </c>
      <c r="J19" s="618">
        <f>'Labor Rates'!H18</f>
        <v>0</v>
      </c>
      <c r="K19" s="619">
        <f t="shared" si="3"/>
        <v>0</v>
      </c>
      <c r="L19" s="1180"/>
      <c r="M19" s="791">
        <v>0</v>
      </c>
      <c r="N19" s="618">
        <f>'Labor Rates'!J18</f>
        <v>0</v>
      </c>
      <c r="O19" s="619">
        <f t="shared" si="4"/>
        <v>0</v>
      </c>
      <c r="P19" s="1180"/>
      <c r="Q19" s="791">
        <v>0</v>
      </c>
      <c r="R19" s="618">
        <f>'Labor Rates'!L18</f>
        <v>0</v>
      </c>
      <c r="S19" s="619">
        <f t="shared" si="5"/>
        <v>0</v>
      </c>
      <c r="T19" s="1180"/>
      <c r="U19" s="791">
        <v>0</v>
      </c>
      <c r="V19" s="618">
        <f>'Labor Rates'!N18</f>
        <v>0</v>
      </c>
      <c r="W19" s="619">
        <f t="shared" si="6"/>
        <v>0</v>
      </c>
      <c r="X19" s="1180"/>
      <c r="Y19" s="791">
        <v>0</v>
      </c>
      <c r="Z19" s="618">
        <f>'Labor Rates'!P18</f>
        <v>0</v>
      </c>
      <c r="AA19" s="619">
        <f t="shared" si="7"/>
        <v>0</v>
      </c>
      <c r="AB19" s="975"/>
      <c r="AC19" s="1002">
        <f t="shared" si="0"/>
        <v>0</v>
      </c>
      <c r="AD19" s="619">
        <f t="shared" si="1"/>
        <v>0</v>
      </c>
      <c r="AE19" s="958"/>
    </row>
    <row r="20" spans="1:31" ht="15" customHeight="1" x14ac:dyDescent="0.25">
      <c r="A20" s="1321" t="str">
        <f>IF(ISBLANK('Labor Rates'!D19),"",'Labor Rates'!D19)</f>
        <v/>
      </c>
      <c r="B20" s="1322"/>
      <c r="C20" s="950" t="str">
        <f>IF(ISBLANK('Labor Rates'!E19),"",'Labor Rates'!E19)</f>
        <v/>
      </c>
      <c r="D20" s="960"/>
      <c r="E20" s="791">
        <v>0</v>
      </c>
      <c r="F20" s="618">
        <f>'Labor Rates'!F19</f>
        <v>0</v>
      </c>
      <c r="G20" s="619">
        <f t="shared" si="2"/>
        <v>0</v>
      </c>
      <c r="H20" s="1180"/>
      <c r="I20" s="791">
        <v>0</v>
      </c>
      <c r="J20" s="618">
        <f>'Labor Rates'!H19</f>
        <v>0</v>
      </c>
      <c r="K20" s="619">
        <f t="shared" si="3"/>
        <v>0</v>
      </c>
      <c r="L20" s="1180"/>
      <c r="M20" s="791">
        <v>0</v>
      </c>
      <c r="N20" s="618">
        <f>'Labor Rates'!J19</f>
        <v>0</v>
      </c>
      <c r="O20" s="619">
        <f t="shared" si="4"/>
        <v>0</v>
      </c>
      <c r="P20" s="1180"/>
      <c r="Q20" s="791">
        <v>0</v>
      </c>
      <c r="R20" s="618">
        <f>'Labor Rates'!L19</f>
        <v>0</v>
      </c>
      <c r="S20" s="619">
        <f t="shared" si="5"/>
        <v>0</v>
      </c>
      <c r="T20" s="1180"/>
      <c r="U20" s="791">
        <v>0</v>
      </c>
      <c r="V20" s="618">
        <f>'Labor Rates'!N19</f>
        <v>0</v>
      </c>
      <c r="W20" s="619">
        <f t="shared" si="6"/>
        <v>0</v>
      </c>
      <c r="X20" s="1180"/>
      <c r="Y20" s="791">
        <v>0</v>
      </c>
      <c r="Z20" s="618">
        <f>'Labor Rates'!P19</f>
        <v>0</v>
      </c>
      <c r="AA20" s="619">
        <f t="shared" si="7"/>
        <v>0</v>
      </c>
      <c r="AB20" s="975"/>
      <c r="AC20" s="1002">
        <f t="shared" si="0"/>
        <v>0</v>
      </c>
      <c r="AD20" s="619">
        <f t="shared" si="1"/>
        <v>0</v>
      </c>
      <c r="AE20" s="958"/>
    </row>
    <row r="21" spans="1:31" ht="15" customHeight="1" x14ac:dyDescent="0.25">
      <c r="A21" s="1321" t="str">
        <f>IF(ISBLANK('Labor Rates'!D20),"",'Labor Rates'!D20)</f>
        <v/>
      </c>
      <c r="B21" s="1322"/>
      <c r="C21" s="950" t="str">
        <f>IF(ISBLANK('Labor Rates'!E20),"",'Labor Rates'!E20)</f>
        <v/>
      </c>
      <c r="D21" s="960"/>
      <c r="E21" s="791">
        <v>0</v>
      </c>
      <c r="F21" s="618">
        <f>'Labor Rates'!F20</f>
        <v>0</v>
      </c>
      <c r="G21" s="619">
        <f t="shared" si="2"/>
        <v>0</v>
      </c>
      <c r="H21" s="1180"/>
      <c r="I21" s="791">
        <v>0</v>
      </c>
      <c r="J21" s="618">
        <f>'Labor Rates'!H20</f>
        <v>0</v>
      </c>
      <c r="K21" s="619">
        <f t="shared" si="3"/>
        <v>0</v>
      </c>
      <c r="L21" s="1180"/>
      <c r="M21" s="791">
        <v>0</v>
      </c>
      <c r="N21" s="618">
        <f>'Labor Rates'!J20</f>
        <v>0</v>
      </c>
      <c r="O21" s="619">
        <f t="shared" si="4"/>
        <v>0</v>
      </c>
      <c r="P21" s="1180"/>
      <c r="Q21" s="791">
        <v>0</v>
      </c>
      <c r="R21" s="618">
        <f>'Labor Rates'!L20</f>
        <v>0</v>
      </c>
      <c r="S21" s="619">
        <f t="shared" si="5"/>
        <v>0</v>
      </c>
      <c r="T21" s="1180"/>
      <c r="U21" s="791">
        <v>0</v>
      </c>
      <c r="V21" s="618">
        <f>'Labor Rates'!N20</f>
        <v>0</v>
      </c>
      <c r="W21" s="619">
        <f t="shared" si="6"/>
        <v>0</v>
      </c>
      <c r="X21" s="1180"/>
      <c r="Y21" s="791">
        <v>0</v>
      </c>
      <c r="Z21" s="618">
        <f>'Labor Rates'!P20</f>
        <v>0</v>
      </c>
      <c r="AA21" s="619">
        <f t="shared" si="7"/>
        <v>0</v>
      </c>
      <c r="AB21" s="975"/>
      <c r="AC21" s="1002">
        <f t="shared" si="0"/>
        <v>0</v>
      </c>
      <c r="AD21" s="619">
        <f t="shared" si="1"/>
        <v>0</v>
      </c>
      <c r="AE21" s="958"/>
    </row>
    <row r="22" spans="1:31" ht="15" customHeight="1" x14ac:dyDescent="0.25">
      <c r="A22" s="1321" t="str">
        <f>IF(ISBLANK('Labor Rates'!D21),"",'Labor Rates'!D21)</f>
        <v/>
      </c>
      <c r="B22" s="1322"/>
      <c r="C22" s="950" t="str">
        <f>IF(ISBLANK('Labor Rates'!E21),"",'Labor Rates'!E21)</f>
        <v/>
      </c>
      <c r="D22" s="960"/>
      <c r="E22" s="791">
        <v>0</v>
      </c>
      <c r="F22" s="618">
        <f>'Labor Rates'!F21</f>
        <v>0</v>
      </c>
      <c r="G22" s="619">
        <f t="shared" si="2"/>
        <v>0</v>
      </c>
      <c r="H22" s="1180"/>
      <c r="I22" s="791">
        <v>0</v>
      </c>
      <c r="J22" s="618">
        <f>'Labor Rates'!H21</f>
        <v>0</v>
      </c>
      <c r="K22" s="619">
        <f t="shared" si="3"/>
        <v>0</v>
      </c>
      <c r="L22" s="1180"/>
      <c r="M22" s="791">
        <v>0</v>
      </c>
      <c r="N22" s="618">
        <f>'Labor Rates'!J21</f>
        <v>0</v>
      </c>
      <c r="O22" s="619">
        <f t="shared" si="4"/>
        <v>0</v>
      </c>
      <c r="P22" s="1180"/>
      <c r="Q22" s="791">
        <v>0</v>
      </c>
      <c r="R22" s="618">
        <f>'Labor Rates'!L21</f>
        <v>0</v>
      </c>
      <c r="S22" s="619">
        <f t="shared" si="5"/>
        <v>0</v>
      </c>
      <c r="T22" s="1180"/>
      <c r="U22" s="791">
        <v>0</v>
      </c>
      <c r="V22" s="618">
        <f>'Labor Rates'!N21</f>
        <v>0</v>
      </c>
      <c r="W22" s="619">
        <f t="shared" si="6"/>
        <v>0</v>
      </c>
      <c r="X22" s="1180"/>
      <c r="Y22" s="791">
        <v>0</v>
      </c>
      <c r="Z22" s="618">
        <f>'Labor Rates'!P21</f>
        <v>0</v>
      </c>
      <c r="AA22" s="619">
        <f t="shared" si="7"/>
        <v>0</v>
      </c>
      <c r="AB22" s="975"/>
      <c r="AC22" s="1002">
        <f t="shared" si="0"/>
        <v>0</v>
      </c>
      <c r="AD22" s="619">
        <f t="shared" si="1"/>
        <v>0</v>
      </c>
      <c r="AE22" s="958"/>
    </row>
    <row r="23" spans="1:31" ht="15" customHeight="1" x14ac:dyDescent="0.25">
      <c r="A23" s="1321" t="str">
        <f>IF(ISBLANK('Labor Rates'!D22),"",'Labor Rates'!D22)</f>
        <v/>
      </c>
      <c r="B23" s="1322"/>
      <c r="C23" s="950" t="str">
        <f>IF(ISBLANK('Labor Rates'!E22),"",'Labor Rates'!E22)</f>
        <v/>
      </c>
      <c r="D23" s="960"/>
      <c r="E23" s="791">
        <v>0</v>
      </c>
      <c r="F23" s="618">
        <f>'Labor Rates'!F22</f>
        <v>0</v>
      </c>
      <c r="G23" s="619">
        <f t="shared" si="2"/>
        <v>0</v>
      </c>
      <c r="H23" s="1180"/>
      <c r="I23" s="791">
        <v>0</v>
      </c>
      <c r="J23" s="618">
        <f>'Labor Rates'!H22</f>
        <v>0</v>
      </c>
      <c r="K23" s="619">
        <f t="shared" si="3"/>
        <v>0</v>
      </c>
      <c r="L23" s="1180"/>
      <c r="M23" s="791">
        <v>0</v>
      </c>
      <c r="N23" s="618">
        <f>'Labor Rates'!J22</f>
        <v>0</v>
      </c>
      <c r="O23" s="619">
        <f t="shared" si="4"/>
        <v>0</v>
      </c>
      <c r="P23" s="1180"/>
      <c r="Q23" s="791">
        <v>0</v>
      </c>
      <c r="R23" s="618">
        <f>'Labor Rates'!L22</f>
        <v>0</v>
      </c>
      <c r="S23" s="619">
        <f t="shared" si="5"/>
        <v>0</v>
      </c>
      <c r="T23" s="1180"/>
      <c r="U23" s="791">
        <v>0</v>
      </c>
      <c r="V23" s="618">
        <f>'Labor Rates'!N22</f>
        <v>0</v>
      </c>
      <c r="W23" s="619">
        <f t="shared" si="6"/>
        <v>0</v>
      </c>
      <c r="X23" s="1180"/>
      <c r="Y23" s="791">
        <v>0</v>
      </c>
      <c r="Z23" s="618">
        <f>'Labor Rates'!P22</f>
        <v>0</v>
      </c>
      <c r="AA23" s="619">
        <f t="shared" si="7"/>
        <v>0</v>
      </c>
      <c r="AB23" s="975"/>
      <c r="AC23" s="1002">
        <f t="shared" si="0"/>
        <v>0</v>
      </c>
      <c r="AD23" s="619">
        <f t="shared" si="1"/>
        <v>0</v>
      </c>
      <c r="AE23" s="958"/>
    </row>
    <row r="24" spans="1:31" ht="15" customHeight="1" x14ac:dyDescent="0.25">
      <c r="A24" s="1321" t="str">
        <f>IF(ISBLANK('Labor Rates'!D23),"",'Labor Rates'!D23)</f>
        <v/>
      </c>
      <c r="B24" s="1322"/>
      <c r="C24" s="950" t="str">
        <f>IF(ISBLANK('Labor Rates'!E23),"",'Labor Rates'!E23)</f>
        <v/>
      </c>
      <c r="D24" s="960"/>
      <c r="E24" s="791">
        <v>0</v>
      </c>
      <c r="F24" s="618">
        <f>'Labor Rates'!F23</f>
        <v>0</v>
      </c>
      <c r="G24" s="619">
        <f t="shared" si="2"/>
        <v>0</v>
      </c>
      <c r="H24" s="1180"/>
      <c r="I24" s="791">
        <v>0</v>
      </c>
      <c r="J24" s="618">
        <f>'Labor Rates'!H23</f>
        <v>0</v>
      </c>
      <c r="K24" s="619">
        <f t="shared" si="3"/>
        <v>0</v>
      </c>
      <c r="L24" s="1180"/>
      <c r="M24" s="791">
        <v>0</v>
      </c>
      <c r="N24" s="618">
        <f>'Labor Rates'!J23</f>
        <v>0</v>
      </c>
      <c r="O24" s="619">
        <f t="shared" si="4"/>
        <v>0</v>
      </c>
      <c r="P24" s="1180"/>
      <c r="Q24" s="791">
        <v>0</v>
      </c>
      <c r="R24" s="618">
        <f>'Labor Rates'!L23</f>
        <v>0</v>
      </c>
      <c r="S24" s="619">
        <f t="shared" si="5"/>
        <v>0</v>
      </c>
      <c r="T24" s="1180"/>
      <c r="U24" s="791">
        <v>0</v>
      </c>
      <c r="V24" s="618">
        <f>'Labor Rates'!N23</f>
        <v>0</v>
      </c>
      <c r="W24" s="619">
        <f t="shared" si="6"/>
        <v>0</v>
      </c>
      <c r="X24" s="1180"/>
      <c r="Y24" s="791">
        <v>0</v>
      </c>
      <c r="Z24" s="618">
        <f>'Labor Rates'!P23</f>
        <v>0</v>
      </c>
      <c r="AA24" s="619">
        <f t="shared" si="7"/>
        <v>0</v>
      </c>
      <c r="AB24" s="975"/>
      <c r="AC24" s="1002">
        <f t="shared" si="0"/>
        <v>0</v>
      </c>
      <c r="AD24" s="619">
        <f t="shared" si="1"/>
        <v>0</v>
      </c>
      <c r="AE24" s="958"/>
    </row>
    <row r="25" spans="1:31" ht="15" customHeight="1" x14ac:dyDescent="0.25">
      <c r="A25" s="1321" t="str">
        <f>IF(ISBLANK('Labor Rates'!D24),"",'Labor Rates'!D24)</f>
        <v/>
      </c>
      <c r="B25" s="1322"/>
      <c r="C25" s="950" t="str">
        <f>IF(ISBLANK('Labor Rates'!E24),"",'Labor Rates'!E24)</f>
        <v/>
      </c>
      <c r="D25" s="960"/>
      <c r="E25" s="791">
        <v>0</v>
      </c>
      <c r="F25" s="618">
        <f>'Labor Rates'!F24</f>
        <v>0</v>
      </c>
      <c r="G25" s="619">
        <f t="shared" si="2"/>
        <v>0</v>
      </c>
      <c r="H25" s="1180"/>
      <c r="I25" s="791">
        <v>0</v>
      </c>
      <c r="J25" s="618">
        <f>'Labor Rates'!H24</f>
        <v>0</v>
      </c>
      <c r="K25" s="619">
        <f t="shared" si="3"/>
        <v>0</v>
      </c>
      <c r="L25" s="1180"/>
      <c r="M25" s="791">
        <v>0</v>
      </c>
      <c r="N25" s="618">
        <f>'Labor Rates'!J24</f>
        <v>0</v>
      </c>
      <c r="O25" s="619">
        <f t="shared" si="4"/>
        <v>0</v>
      </c>
      <c r="P25" s="1180"/>
      <c r="Q25" s="791">
        <v>0</v>
      </c>
      <c r="R25" s="618">
        <f>'Labor Rates'!L24</f>
        <v>0</v>
      </c>
      <c r="S25" s="619">
        <f t="shared" si="5"/>
        <v>0</v>
      </c>
      <c r="T25" s="1180"/>
      <c r="U25" s="791">
        <v>0</v>
      </c>
      <c r="V25" s="618">
        <f>'Labor Rates'!N24</f>
        <v>0</v>
      </c>
      <c r="W25" s="619">
        <f t="shared" si="6"/>
        <v>0</v>
      </c>
      <c r="X25" s="1180"/>
      <c r="Y25" s="791">
        <v>0</v>
      </c>
      <c r="Z25" s="618">
        <f>'Labor Rates'!P24</f>
        <v>0</v>
      </c>
      <c r="AA25" s="619">
        <f t="shared" si="7"/>
        <v>0</v>
      </c>
      <c r="AB25" s="975"/>
      <c r="AC25" s="1002">
        <f t="shared" si="0"/>
        <v>0</v>
      </c>
      <c r="AD25" s="619">
        <f t="shared" si="1"/>
        <v>0</v>
      </c>
      <c r="AE25" s="958"/>
    </row>
    <row r="26" spans="1:31" ht="15" customHeight="1" x14ac:dyDescent="0.25">
      <c r="A26" s="1321" t="str">
        <f>IF(ISBLANK('Labor Rates'!D25),"",'Labor Rates'!D25)</f>
        <v/>
      </c>
      <c r="B26" s="1322"/>
      <c r="C26" s="950" t="str">
        <f>IF(ISBLANK('Labor Rates'!E25),"",'Labor Rates'!E25)</f>
        <v/>
      </c>
      <c r="D26" s="960"/>
      <c r="E26" s="791">
        <v>0</v>
      </c>
      <c r="F26" s="618">
        <f>'Labor Rates'!F25</f>
        <v>0</v>
      </c>
      <c r="G26" s="619">
        <f t="shared" si="2"/>
        <v>0</v>
      </c>
      <c r="H26" s="1180"/>
      <c r="I26" s="791">
        <v>0</v>
      </c>
      <c r="J26" s="618">
        <f>'Labor Rates'!H25</f>
        <v>0</v>
      </c>
      <c r="K26" s="619">
        <f t="shared" si="3"/>
        <v>0</v>
      </c>
      <c r="L26" s="1180"/>
      <c r="M26" s="791">
        <v>0</v>
      </c>
      <c r="N26" s="618">
        <f>'Labor Rates'!J25</f>
        <v>0</v>
      </c>
      <c r="O26" s="619">
        <f t="shared" si="4"/>
        <v>0</v>
      </c>
      <c r="P26" s="1180"/>
      <c r="Q26" s="791">
        <v>0</v>
      </c>
      <c r="R26" s="618">
        <f>'Labor Rates'!L25</f>
        <v>0</v>
      </c>
      <c r="S26" s="619">
        <f t="shared" si="5"/>
        <v>0</v>
      </c>
      <c r="T26" s="1180"/>
      <c r="U26" s="791">
        <v>0</v>
      </c>
      <c r="V26" s="618">
        <f>'Labor Rates'!N25</f>
        <v>0</v>
      </c>
      <c r="W26" s="619">
        <f t="shared" si="6"/>
        <v>0</v>
      </c>
      <c r="X26" s="1180"/>
      <c r="Y26" s="791">
        <v>0</v>
      </c>
      <c r="Z26" s="618">
        <f>'Labor Rates'!P25</f>
        <v>0</v>
      </c>
      <c r="AA26" s="619">
        <f t="shared" si="7"/>
        <v>0</v>
      </c>
      <c r="AB26" s="975"/>
      <c r="AC26" s="1002">
        <f t="shared" si="0"/>
        <v>0</v>
      </c>
      <c r="AD26" s="619">
        <f t="shared" si="1"/>
        <v>0</v>
      </c>
      <c r="AE26" s="958"/>
    </row>
    <row r="27" spans="1:31" ht="15" customHeight="1" x14ac:dyDescent="0.25">
      <c r="A27" s="1321" t="str">
        <f>IF(ISBLANK('Labor Rates'!D26),"",'Labor Rates'!D26)</f>
        <v/>
      </c>
      <c r="B27" s="1322"/>
      <c r="C27" s="950" t="str">
        <f>IF(ISBLANK('Labor Rates'!E26),"",'Labor Rates'!E26)</f>
        <v/>
      </c>
      <c r="D27" s="960"/>
      <c r="E27" s="791">
        <v>0</v>
      </c>
      <c r="F27" s="618">
        <f>'Labor Rates'!F26</f>
        <v>0</v>
      </c>
      <c r="G27" s="619">
        <f t="shared" si="2"/>
        <v>0</v>
      </c>
      <c r="H27" s="1180"/>
      <c r="I27" s="791">
        <v>0</v>
      </c>
      <c r="J27" s="618">
        <f>'Labor Rates'!H26</f>
        <v>0</v>
      </c>
      <c r="K27" s="619">
        <f t="shared" si="3"/>
        <v>0</v>
      </c>
      <c r="L27" s="1180"/>
      <c r="M27" s="791">
        <v>0</v>
      </c>
      <c r="N27" s="618">
        <f>'Labor Rates'!J26</f>
        <v>0</v>
      </c>
      <c r="O27" s="619">
        <f t="shared" si="4"/>
        <v>0</v>
      </c>
      <c r="P27" s="1180"/>
      <c r="Q27" s="791">
        <v>0</v>
      </c>
      <c r="R27" s="618">
        <f>'Labor Rates'!L26</f>
        <v>0</v>
      </c>
      <c r="S27" s="619">
        <f t="shared" si="5"/>
        <v>0</v>
      </c>
      <c r="T27" s="1180"/>
      <c r="U27" s="791">
        <v>0</v>
      </c>
      <c r="V27" s="618">
        <f>'Labor Rates'!N26</f>
        <v>0</v>
      </c>
      <c r="W27" s="619">
        <f t="shared" si="6"/>
        <v>0</v>
      </c>
      <c r="X27" s="1180"/>
      <c r="Y27" s="791">
        <v>0</v>
      </c>
      <c r="Z27" s="618">
        <f>'Labor Rates'!P26</f>
        <v>0</v>
      </c>
      <c r="AA27" s="619">
        <f t="shared" si="7"/>
        <v>0</v>
      </c>
      <c r="AB27" s="975"/>
      <c r="AC27" s="1002">
        <f t="shared" si="0"/>
        <v>0</v>
      </c>
      <c r="AD27" s="619">
        <f t="shared" si="1"/>
        <v>0</v>
      </c>
      <c r="AE27" s="958"/>
    </row>
    <row r="28" spans="1:31" ht="15" customHeight="1" x14ac:dyDescent="0.25">
      <c r="A28" s="1321" t="str">
        <f>IF(ISBLANK('Labor Rates'!D27),"",'Labor Rates'!D27)</f>
        <v/>
      </c>
      <c r="B28" s="1322"/>
      <c r="C28" s="950" t="str">
        <f>IF(ISBLANK('Labor Rates'!E27),"",'Labor Rates'!E27)</f>
        <v/>
      </c>
      <c r="D28" s="960"/>
      <c r="E28" s="791">
        <v>0</v>
      </c>
      <c r="F28" s="618">
        <f>'Labor Rates'!F27</f>
        <v>0</v>
      </c>
      <c r="G28" s="619">
        <f t="shared" si="2"/>
        <v>0</v>
      </c>
      <c r="H28" s="1180"/>
      <c r="I28" s="791">
        <v>0</v>
      </c>
      <c r="J28" s="618">
        <f>'Labor Rates'!H27</f>
        <v>0</v>
      </c>
      <c r="K28" s="619">
        <f t="shared" si="3"/>
        <v>0</v>
      </c>
      <c r="L28" s="1180"/>
      <c r="M28" s="791">
        <v>0</v>
      </c>
      <c r="N28" s="618">
        <f>'Labor Rates'!J27</f>
        <v>0</v>
      </c>
      <c r="O28" s="619">
        <f t="shared" si="4"/>
        <v>0</v>
      </c>
      <c r="P28" s="1180"/>
      <c r="Q28" s="791">
        <v>0</v>
      </c>
      <c r="R28" s="618">
        <f>'Labor Rates'!L27</f>
        <v>0</v>
      </c>
      <c r="S28" s="619">
        <f t="shared" si="5"/>
        <v>0</v>
      </c>
      <c r="T28" s="1180"/>
      <c r="U28" s="791">
        <v>0</v>
      </c>
      <c r="V28" s="618">
        <f>'Labor Rates'!N27</f>
        <v>0</v>
      </c>
      <c r="W28" s="619">
        <f t="shared" si="6"/>
        <v>0</v>
      </c>
      <c r="X28" s="1180"/>
      <c r="Y28" s="791">
        <v>0</v>
      </c>
      <c r="Z28" s="618">
        <f>'Labor Rates'!P27</f>
        <v>0</v>
      </c>
      <c r="AA28" s="619">
        <f t="shared" si="7"/>
        <v>0</v>
      </c>
      <c r="AB28" s="975"/>
      <c r="AC28" s="1002">
        <f t="shared" si="0"/>
        <v>0</v>
      </c>
      <c r="AD28" s="619">
        <f t="shared" si="1"/>
        <v>0</v>
      </c>
      <c r="AE28" s="958"/>
    </row>
    <row r="29" spans="1:31" ht="15" customHeight="1" x14ac:dyDescent="0.25">
      <c r="A29" s="1321" t="str">
        <f>IF(ISBLANK('Labor Rates'!D28),"",'Labor Rates'!D28)</f>
        <v/>
      </c>
      <c r="B29" s="1322"/>
      <c r="C29" s="950" t="str">
        <f>IF(ISBLANK('Labor Rates'!E28),"",'Labor Rates'!E28)</f>
        <v/>
      </c>
      <c r="D29" s="960"/>
      <c r="E29" s="791">
        <v>0</v>
      </c>
      <c r="F29" s="618">
        <f>'Labor Rates'!F28</f>
        <v>0</v>
      </c>
      <c r="G29" s="619">
        <f t="shared" si="2"/>
        <v>0</v>
      </c>
      <c r="H29" s="1180"/>
      <c r="I29" s="791">
        <v>0</v>
      </c>
      <c r="J29" s="618">
        <f>'Labor Rates'!H28</f>
        <v>0</v>
      </c>
      <c r="K29" s="619">
        <f t="shared" si="3"/>
        <v>0</v>
      </c>
      <c r="L29" s="1180"/>
      <c r="M29" s="791">
        <v>0</v>
      </c>
      <c r="N29" s="618">
        <f>'Labor Rates'!J28</f>
        <v>0</v>
      </c>
      <c r="O29" s="619">
        <f t="shared" si="4"/>
        <v>0</v>
      </c>
      <c r="P29" s="1180"/>
      <c r="Q29" s="791">
        <v>0</v>
      </c>
      <c r="R29" s="618">
        <f>'Labor Rates'!L28</f>
        <v>0</v>
      </c>
      <c r="S29" s="619">
        <f t="shared" si="5"/>
        <v>0</v>
      </c>
      <c r="T29" s="1180"/>
      <c r="U29" s="791">
        <v>0</v>
      </c>
      <c r="V29" s="618">
        <f>'Labor Rates'!N28</f>
        <v>0</v>
      </c>
      <c r="W29" s="619">
        <f t="shared" si="6"/>
        <v>0</v>
      </c>
      <c r="X29" s="1180"/>
      <c r="Y29" s="791">
        <v>0</v>
      </c>
      <c r="Z29" s="618">
        <f>'Labor Rates'!P28</f>
        <v>0</v>
      </c>
      <c r="AA29" s="619">
        <f t="shared" si="7"/>
        <v>0</v>
      </c>
      <c r="AB29" s="975"/>
      <c r="AC29" s="1002">
        <f t="shared" si="0"/>
        <v>0</v>
      </c>
      <c r="AD29" s="619">
        <f t="shared" si="1"/>
        <v>0</v>
      </c>
      <c r="AE29" s="958"/>
    </row>
    <row r="30" spans="1:31" ht="15" customHeight="1" x14ac:dyDescent="0.25">
      <c r="A30" s="1321" t="str">
        <f>IF(ISBLANK('Labor Rates'!D29),"",'Labor Rates'!D29)</f>
        <v/>
      </c>
      <c r="B30" s="1322"/>
      <c r="C30" s="950" t="str">
        <f>IF(ISBLANK('Labor Rates'!E29),"",'Labor Rates'!E29)</f>
        <v/>
      </c>
      <c r="D30" s="960"/>
      <c r="E30" s="791">
        <v>0</v>
      </c>
      <c r="F30" s="618">
        <f>'Labor Rates'!F29</f>
        <v>0</v>
      </c>
      <c r="G30" s="619">
        <f t="shared" si="2"/>
        <v>0</v>
      </c>
      <c r="H30" s="1180"/>
      <c r="I30" s="791">
        <v>0</v>
      </c>
      <c r="J30" s="618">
        <f>'Labor Rates'!H29</f>
        <v>0</v>
      </c>
      <c r="K30" s="619">
        <f t="shared" si="3"/>
        <v>0</v>
      </c>
      <c r="L30" s="1180"/>
      <c r="M30" s="791">
        <v>0</v>
      </c>
      <c r="N30" s="618">
        <f>'Labor Rates'!J29</f>
        <v>0</v>
      </c>
      <c r="O30" s="619">
        <f t="shared" si="4"/>
        <v>0</v>
      </c>
      <c r="P30" s="1180"/>
      <c r="Q30" s="791">
        <v>0</v>
      </c>
      <c r="R30" s="618">
        <f>'Labor Rates'!L29</f>
        <v>0</v>
      </c>
      <c r="S30" s="619">
        <f t="shared" si="5"/>
        <v>0</v>
      </c>
      <c r="T30" s="1180"/>
      <c r="U30" s="791">
        <v>0</v>
      </c>
      <c r="V30" s="618">
        <f>'Labor Rates'!N29</f>
        <v>0</v>
      </c>
      <c r="W30" s="619">
        <f t="shared" si="6"/>
        <v>0</v>
      </c>
      <c r="X30" s="1180"/>
      <c r="Y30" s="791">
        <v>0</v>
      </c>
      <c r="Z30" s="618">
        <f>'Labor Rates'!P29</f>
        <v>0</v>
      </c>
      <c r="AA30" s="619">
        <f t="shared" si="7"/>
        <v>0</v>
      </c>
      <c r="AB30" s="975"/>
      <c r="AC30" s="1002">
        <f t="shared" si="0"/>
        <v>0</v>
      </c>
      <c r="AD30" s="619">
        <f t="shared" si="1"/>
        <v>0</v>
      </c>
      <c r="AE30" s="958"/>
    </row>
    <row r="31" spans="1:31" ht="15" customHeight="1" x14ac:dyDescent="0.25">
      <c r="A31" s="1321" t="str">
        <f>IF(ISBLANK('Labor Rates'!D30),"",'Labor Rates'!D30)</f>
        <v/>
      </c>
      <c r="B31" s="1322"/>
      <c r="C31" s="950" t="str">
        <f>IF(ISBLANK('Labor Rates'!E30),"",'Labor Rates'!E30)</f>
        <v/>
      </c>
      <c r="D31" s="960"/>
      <c r="E31" s="791">
        <v>0</v>
      </c>
      <c r="F31" s="618">
        <f>'Labor Rates'!F30</f>
        <v>0</v>
      </c>
      <c r="G31" s="619">
        <f t="shared" si="2"/>
        <v>0</v>
      </c>
      <c r="H31" s="1180"/>
      <c r="I31" s="791">
        <v>0</v>
      </c>
      <c r="J31" s="618">
        <f>'Labor Rates'!H30</f>
        <v>0</v>
      </c>
      <c r="K31" s="619">
        <f t="shared" si="3"/>
        <v>0</v>
      </c>
      <c r="L31" s="1180"/>
      <c r="M31" s="791">
        <v>0</v>
      </c>
      <c r="N31" s="618">
        <f>'Labor Rates'!J30</f>
        <v>0</v>
      </c>
      <c r="O31" s="619">
        <f t="shared" si="4"/>
        <v>0</v>
      </c>
      <c r="P31" s="1180"/>
      <c r="Q31" s="791">
        <v>0</v>
      </c>
      <c r="R31" s="618">
        <f>'Labor Rates'!L30</f>
        <v>0</v>
      </c>
      <c r="S31" s="619">
        <f t="shared" si="5"/>
        <v>0</v>
      </c>
      <c r="T31" s="1180"/>
      <c r="U31" s="791">
        <v>0</v>
      </c>
      <c r="V31" s="618">
        <f>'Labor Rates'!N30</f>
        <v>0</v>
      </c>
      <c r="W31" s="619">
        <f t="shared" si="6"/>
        <v>0</v>
      </c>
      <c r="X31" s="1180"/>
      <c r="Y31" s="791">
        <v>0</v>
      </c>
      <c r="Z31" s="618">
        <f>'Labor Rates'!P30</f>
        <v>0</v>
      </c>
      <c r="AA31" s="619">
        <f t="shared" si="7"/>
        <v>0</v>
      </c>
      <c r="AB31" s="975"/>
      <c r="AC31" s="1002">
        <f t="shared" si="0"/>
        <v>0</v>
      </c>
      <c r="AD31" s="619">
        <f t="shared" si="1"/>
        <v>0</v>
      </c>
      <c r="AE31" s="958"/>
    </row>
    <row r="32" spans="1:31" ht="15" customHeight="1" x14ac:dyDescent="0.25">
      <c r="A32" s="1321" t="str">
        <f>IF(ISBLANK('Labor Rates'!D31),"",'Labor Rates'!D31)</f>
        <v/>
      </c>
      <c r="B32" s="1322"/>
      <c r="C32" s="949" t="str">
        <f>IF(ISBLANK('Labor Rates'!E31),"",'Labor Rates'!E31)</f>
        <v/>
      </c>
      <c r="D32" s="960"/>
      <c r="E32" s="791">
        <v>0</v>
      </c>
      <c r="F32" s="618">
        <f>'Labor Rates'!F31</f>
        <v>0</v>
      </c>
      <c r="G32" s="619">
        <f t="shared" si="2"/>
        <v>0</v>
      </c>
      <c r="H32" s="1180"/>
      <c r="I32" s="791">
        <v>0</v>
      </c>
      <c r="J32" s="618">
        <f>'Labor Rates'!H31</f>
        <v>0</v>
      </c>
      <c r="K32" s="619">
        <f t="shared" si="3"/>
        <v>0</v>
      </c>
      <c r="L32" s="1180"/>
      <c r="M32" s="791">
        <v>0</v>
      </c>
      <c r="N32" s="618">
        <f>'Labor Rates'!J31</f>
        <v>0</v>
      </c>
      <c r="O32" s="619">
        <f t="shared" si="4"/>
        <v>0</v>
      </c>
      <c r="P32" s="1180"/>
      <c r="Q32" s="791">
        <v>0</v>
      </c>
      <c r="R32" s="618">
        <f>'Labor Rates'!L31</f>
        <v>0</v>
      </c>
      <c r="S32" s="619">
        <f t="shared" si="5"/>
        <v>0</v>
      </c>
      <c r="T32" s="1180"/>
      <c r="U32" s="791">
        <v>0</v>
      </c>
      <c r="V32" s="618">
        <f>'Labor Rates'!N31</f>
        <v>0</v>
      </c>
      <c r="W32" s="619">
        <f t="shared" si="6"/>
        <v>0</v>
      </c>
      <c r="X32" s="1180"/>
      <c r="Y32" s="791">
        <v>0</v>
      </c>
      <c r="Z32" s="618">
        <f>'Labor Rates'!P31</f>
        <v>0</v>
      </c>
      <c r="AA32" s="619">
        <f t="shared" si="7"/>
        <v>0</v>
      </c>
      <c r="AB32" s="975"/>
      <c r="AC32" s="1002">
        <f t="shared" si="0"/>
        <v>0</v>
      </c>
      <c r="AD32" s="619">
        <f t="shared" si="1"/>
        <v>0</v>
      </c>
      <c r="AE32" s="958"/>
    </row>
    <row r="33" spans="1:545" s="620" customFormat="1" ht="23.15" customHeight="1" x14ac:dyDescent="0.25">
      <c r="A33" s="1004"/>
      <c r="B33" s="1005"/>
      <c r="C33" s="1130" t="s">
        <v>332</v>
      </c>
      <c r="D33" s="960"/>
      <c r="E33" s="800">
        <f>SUM(E9:E32)</f>
        <v>0</v>
      </c>
      <c r="F33" s="1143" t="s">
        <v>333</v>
      </c>
      <c r="G33" s="795">
        <f>SUM(G9:G32)</f>
        <v>0</v>
      </c>
      <c r="H33" s="977"/>
      <c r="I33" s="800">
        <f>SUM(I9:I32)</f>
        <v>0</v>
      </c>
      <c r="J33" s="1143" t="s">
        <v>333</v>
      </c>
      <c r="K33" s="795">
        <f>SUM(K9:K32)</f>
        <v>0</v>
      </c>
      <c r="L33" s="977"/>
      <c r="M33" s="800">
        <f>SUM(M9:M32)</f>
        <v>0</v>
      </c>
      <c r="N33" s="1143" t="s">
        <v>333</v>
      </c>
      <c r="O33" s="795">
        <f>SUM(O9:O32)</f>
        <v>0</v>
      </c>
      <c r="P33" s="977"/>
      <c r="Q33" s="800">
        <f>SUM(Q9:Q32)</f>
        <v>0</v>
      </c>
      <c r="R33" s="1143" t="s">
        <v>333</v>
      </c>
      <c r="S33" s="621">
        <f>SUM(S9:S32)</f>
        <v>0</v>
      </c>
      <c r="T33" s="977"/>
      <c r="U33" s="800">
        <f>SUM(U9:U32)</f>
        <v>0</v>
      </c>
      <c r="V33" s="1143" t="s">
        <v>333</v>
      </c>
      <c r="W33" s="795">
        <f>SUM(W9:W32)</f>
        <v>0</v>
      </c>
      <c r="X33" s="977"/>
      <c r="Y33" s="800">
        <f>SUM(Y9:Y32)</f>
        <v>0</v>
      </c>
      <c r="Z33" s="1143" t="s">
        <v>333</v>
      </c>
      <c r="AA33" s="795">
        <f>SUM(AA9:AA32)</f>
        <v>0</v>
      </c>
      <c r="AB33" s="976"/>
      <c r="AC33" s="800">
        <f>SUM(AC9:AC32)</f>
        <v>0</v>
      </c>
      <c r="AD33" s="795">
        <f>SUM(AD9:AD32)</f>
        <v>0</v>
      </c>
      <c r="AE33" s="971"/>
      <c r="AF33" s="806"/>
      <c r="AG33" s="806"/>
      <c r="AH33" s="292"/>
      <c r="AI33" s="292"/>
      <c r="AJ33" s="292"/>
      <c r="AK33" s="292"/>
      <c r="AL33" s="806"/>
      <c r="AM33" s="806"/>
      <c r="AN33" s="806"/>
      <c r="AO33" s="806"/>
      <c r="AP33" s="807"/>
      <c r="AQ33" s="292"/>
      <c r="AR33" s="292"/>
      <c r="AS33" s="292"/>
      <c r="AT33" s="806"/>
      <c r="AU33" s="806"/>
      <c r="AV33" s="806"/>
      <c r="AW33" s="806"/>
      <c r="AX33" s="807"/>
      <c r="AY33" s="292"/>
      <c r="AZ33" s="292"/>
      <c r="BA33" s="292"/>
      <c r="BB33" s="806"/>
      <c r="BC33" s="806"/>
      <c r="BD33" s="806"/>
      <c r="BE33" s="806"/>
      <c r="BF33" s="807"/>
      <c r="BG33" s="292"/>
      <c r="BH33" s="807"/>
      <c r="BI33" s="292"/>
      <c r="BJ33" s="292"/>
      <c r="BK33" s="292"/>
      <c r="BL33" s="292"/>
      <c r="BM33" s="292"/>
      <c r="BN33" s="292"/>
      <c r="BO33" s="292"/>
      <c r="BP33" s="292"/>
      <c r="BQ33" s="292"/>
      <c r="BR33" s="292"/>
      <c r="BS33" s="292"/>
      <c r="BT33" s="292"/>
      <c r="BU33" s="292"/>
      <c r="BV33" s="292"/>
      <c r="BW33" s="292"/>
      <c r="BX33" s="292"/>
      <c r="BY33" s="292"/>
      <c r="BZ33" s="292"/>
      <c r="CA33" s="292"/>
      <c r="CB33" s="292"/>
      <c r="CC33" s="292"/>
      <c r="CD33" s="292"/>
      <c r="CE33" s="292"/>
      <c r="CF33" s="292"/>
      <c r="CG33" s="292"/>
      <c r="CH33" s="292"/>
      <c r="CI33" s="292"/>
      <c r="CJ33" s="292"/>
      <c r="CK33" s="292"/>
      <c r="CL33" s="292"/>
      <c r="CM33" s="292"/>
      <c r="CN33" s="292"/>
      <c r="CO33" s="292"/>
      <c r="CP33" s="292"/>
      <c r="CQ33" s="292"/>
      <c r="CR33" s="292"/>
      <c r="CS33" s="292"/>
      <c r="CT33" s="292"/>
      <c r="CU33" s="292"/>
      <c r="CV33" s="292"/>
      <c r="CW33" s="292"/>
      <c r="CX33" s="292"/>
      <c r="CY33" s="292"/>
      <c r="CZ33" s="292"/>
      <c r="DA33" s="292"/>
      <c r="DB33" s="292"/>
      <c r="DC33" s="292"/>
      <c r="DD33" s="292"/>
      <c r="DE33" s="292"/>
      <c r="DF33" s="292"/>
      <c r="DG33" s="292"/>
      <c r="DH33" s="292"/>
      <c r="DI33" s="292"/>
      <c r="DJ33" s="292"/>
      <c r="DK33" s="292"/>
      <c r="DL33" s="292"/>
      <c r="DM33" s="292"/>
      <c r="DN33" s="292"/>
      <c r="DO33" s="292"/>
      <c r="DP33" s="292"/>
      <c r="DQ33" s="292"/>
      <c r="DR33" s="292"/>
      <c r="DS33" s="292"/>
      <c r="DT33" s="292"/>
      <c r="DU33" s="292"/>
      <c r="DV33" s="292"/>
      <c r="DW33" s="292"/>
      <c r="DX33" s="292"/>
      <c r="DY33" s="292"/>
      <c r="DZ33" s="292"/>
      <c r="EA33" s="292"/>
      <c r="EB33" s="292"/>
      <c r="EC33" s="292"/>
      <c r="ED33" s="292"/>
      <c r="EE33" s="292"/>
      <c r="EF33" s="292"/>
      <c r="EG33" s="292"/>
      <c r="EH33" s="292"/>
      <c r="EI33" s="292"/>
      <c r="EJ33" s="292"/>
      <c r="EK33" s="292"/>
      <c r="EL33" s="292"/>
      <c r="EM33" s="292"/>
      <c r="EN33" s="292"/>
      <c r="EO33" s="292"/>
      <c r="EP33" s="292"/>
      <c r="EQ33" s="292"/>
      <c r="ER33" s="292"/>
      <c r="ES33" s="292"/>
      <c r="ET33" s="292"/>
      <c r="EU33" s="292"/>
      <c r="EV33" s="292"/>
      <c r="EW33" s="292"/>
      <c r="EX33" s="292"/>
      <c r="EY33" s="292"/>
      <c r="EZ33" s="292"/>
      <c r="FA33" s="292"/>
      <c r="FB33" s="292"/>
      <c r="FC33" s="292"/>
      <c r="FD33" s="292"/>
      <c r="FE33" s="292"/>
      <c r="FF33" s="292"/>
      <c r="FG33" s="292"/>
      <c r="FH33" s="292"/>
      <c r="FI33" s="292"/>
      <c r="FJ33" s="292"/>
      <c r="FK33" s="292"/>
      <c r="FL33" s="292"/>
      <c r="FM33" s="292"/>
      <c r="FN33" s="292"/>
      <c r="FO33" s="292"/>
      <c r="FP33" s="292"/>
      <c r="FQ33" s="292"/>
      <c r="FR33" s="292"/>
      <c r="FS33" s="292"/>
      <c r="FT33" s="292"/>
      <c r="FU33" s="292"/>
      <c r="FV33" s="292"/>
      <c r="FW33" s="292"/>
      <c r="FX33" s="292"/>
      <c r="FY33" s="292"/>
      <c r="FZ33" s="292"/>
      <c r="GA33" s="292"/>
      <c r="GB33" s="292"/>
      <c r="GC33" s="292"/>
      <c r="GD33" s="292"/>
      <c r="GE33" s="292"/>
      <c r="GF33" s="292"/>
      <c r="GG33" s="292"/>
      <c r="GH33" s="292"/>
      <c r="GI33" s="292"/>
      <c r="GJ33" s="292"/>
      <c r="GK33" s="292"/>
      <c r="GL33" s="292"/>
      <c r="GM33" s="292"/>
      <c r="GN33" s="292"/>
      <c r="GO33" s="292"/>
      <c r="GP33" s="292"/>
      <c r="GQ33" s="292"/>
      <c r="GR33" s="292"/>
      <c r="GS33" s="292"/>
      <c r="GT33" s="292"/>
      <c r="GU33" s="292"/>
      <c r="GV33" s="292"/>
      <c r="GW33" s="292"/>
      <c r="GX33" s="292"/>
      <c r="GY33" s="292"/>
      <c r="GZ33" s="292"/>
      <c r="HA33" s="292"/>
      <c r="HB33" s="292"/>
      <c r="HC33" s="292"/>
      <c r="HD33" s="292"/>
      <c r="HE33" s="292"/>
      <c r="HF33" s="292"/>
      <c r="HG33" s="292"/>
      <c r="HH33" s="292"/>
      <c r="HI33" s="292"/>
      <c r="HJ33" s="292"/>
      <c r="HK33" s="292"/>
      <c r="HL33" s="292"/>
      <c r="HM33" s="292"/>
      <c r="HN33" s="292"/>
      <c r="HO33" s="292"/>
      <c r="HP33" s="292"/>
      <c r="HQ33" s="292"/>
      <c r="HR33" s="292"/>
      <c r="HS33" s="292"/>
      <c r="HT33" s="292"/>
      <c r="HU33" s="292"/>
      <c r="HV33" s="292"/>
      <c r="HW33" s="292"/>
      <c r="HX33" s="292"/>
      <c r="HY33" s="292"/>
      <c r="HZ33" s="292"/>
      <c r="IA33" s="292"/>
      <c r="IB33" s="292"/>
      <c r="IC33" s="292"/>
      <c r="ID33" s="292"/>
      <c r="IE33" s="292"/>
      <c r="IF33" s="292"/>
      <c r="IG33" s="292"/>
      <c r="IH33" s="292"/>
      <c r="II33" s="292"/>
      <c r="IJ33" s="292"/>
      <c r="IK33" s="292"/>
      <c r="IL33" s="292"/>
      <c r="IM33" s="292"/>
      <c r="IN33" s="292"/>
      <c r="IO33" s="292"/>
      <c r="IP33" s="292"/>
      <c r="IQ33" s="292"/>
      <c r="IR33" s="292"/>
      <c r="IS33" s="292"/>
      <c r="IT33" s="292"/>
      <c r="IU33" s="292"/>
      <c r="IV33" s="292"/>
      <c r="IW33" s="292"/>
      <c r="IX33" s="292"/>
      <c r="IY33" s="292"/>
      <c r="IZ33" s="292"/>
      <c r="JA33" s="292"/>
      <c r="JB33" s="292"/>
      <c r="JC33" s="292"/>
      <c r="JD33" s="292"/>
      <c r="JE33" s="292"/>
      <c r="JF33" s="292"/>
      <c r="JG33" s="292"/>
      <c r="JH33" s="292"/>
      <c r="JI33" s="292"/>
      <c r="JJ33" s="292"/>
      <c r="JK33" s="292"/>
      <c r="JL33" s="292"/>
      <c r="JM33" s="292"/>
      <c r="JN33" s="292"/>
      <c r="JO33" s="292"/>
      <c r="JP33" s="292"/>
      <c r="JQ33" s="292"/>
      <c r="JR33" s="292"/>
      <c r="JS33" s="292"/>
      <c r="JT33" s="292"/>
      <c r="JU33" s="292"/>
      <c r="JV33" s="292"/>
      <c r="JW33" s="292"/>
      <c r="JX33" s="292"/>
      <c r="JY33" s="292"/>
      <c r="JZ33" s="292"/>
      <c r="KA33" s="292"/>
      <c r="KB33" s="292"/>
      <c r="KC33" s="292"/>
      <c r="KD33" s="292"/>
      <c r="KE33" s="292"/>
      <c r="KF33" s="292"/>
      <c r="KG33" s="292"/>
      <c r="KH33" s="292"/>
      <c r="KI33" s="292"/>
      <c r="KJ33" s="292"/>
      <c r="KK33" s="292"/>
      <c r="KL33" s="292"/>
      <c r="KM33" s="292"/>
      <c r="KN33" s="292"/>
      <c r="KO33" s="292"/>
      <c r="KP33" s="292"/>
      <c r="KQ33" s="292"/>
      <c r="KR33" s="292"/>
      <c r="KS33" s="292"/>
      <c r="KT33" s="292"/>
      <c r="KU33" s="292"/>
      <c r="KV33" s="292"/>
      <c r="KW33" s="292"/>
      <c r="KX33" s="292"/>
      <c r="KY33" s="292"/>
      <c r="KZ33" s="292"/>
      <c r="LA33" s="292"/>
      <c r="LB33" s="292"/>
      <c r="LC33" s="292"/>
      <c r="LD33" s="292"/>
      <c r="LE33" s="292"/>
      <c r="LF33" s="292"/>
      <c r="LG33" s="292"/>
      <c r="LH33" s="292"/>
      <c r="LI33" s="292"/>
      <c r="LJ33" s="292"/>
      <c r="LK33" s="292"/>
      <c r="LL33" s="292"/>
      <c r="LM33" s="292"/>
      <c r="LN33" s="292"/>
      <c r="LO33" s="292"/>
      <c r="LP33" s="292"/>
      <c r="LQ33" s="292"/>
      <c r="LR33" s="292"/>
      <c r="LS33" s="292"/>
      <c r="LT33" s="292"/>
      <c r="LU33" s="292"/>
      <c r="LV33" s="292"/>
      <c r="LW33" s="292"/>
      <c r="LX33" s="292"/>
      <c r="LY33" s="292"/>
      <c r="LZ33" s="292"/>
      <c r="MA33" s="292"/>
      <c r="MB33" s="292"/>
      <c r="MC33" s="292"/>
      <c r="MD33" s="292"/>
      <c r="ME33" s="292"/>
      <c r="MF33" s="292"/>
      <c r="MG33" s="292"/>
      <c r="MH33" s="292"/>
      <c r="MI33" s="292"/>
      <c r="MJ33" s="292"/>
      <c r="MK33" s="292"/>
      <c r="ML33" s="292"/>
      <c r="MM33" s="292"/>
      <c r="MN33" s="292"/>
      <c r="MO33" s="292"/>
      <c r="MP33" s="292"/>
      <c r="MQ33" s="292"/>
      <c r="MR33" s="292"/>
      <c r="MS33" s="292"/>
      <c r="MT33" s="292"/>
      <c r="MU33" s="292"/>
      <c r="MV33" s="292"/>
      <c r="MW33" s="292"/>
      <c r="MX33" s="292"/>
      <c r="MY33" s="292"/>
      <c r="MZ33" s="292"/>
      <c r="NA33" s="292"/>
      <c r="NB33" s="292"/>
      <c r="NC33" s="292"/>
      <c r="ND33" s="292"/>
      <c r="NE33" s="292"/>
      <c r="NF33" s="292"/>
      <c r="NG33" s="292"/>
      <c r="NH33" s="292"/>
      <c r="NI33" s="292"/>
      <c r="NJ33" s="292"/>
      <c r="NK33" s="292"/>
      <c r="NL33" s="292"/>
      <c r="NM33" s="292"/>
      <c r="NN33" s="292"/>
      <c r="NO33" s="292"/>
      <c r="NP33" s="292"/>
      <c r="NQ33" s="292"/>
      <c r="NR33" s="292"/>
      <c r="NS33" s="292"/>
      <c r="NT33" s="292"/>
      <c r="NU33" s="292"/>
      <c r="NV33" s="292"/>
      <c r="NW33" s="292"/>
      <c r="NX33" s="292"/>
      <c r="NY33" s="292"/>
      <c r="NZ33" s="292"/>
      <c r="OA33" s="292"/>
      <c r="OB33" s="292"/>
      <c r="OC33" s="292"/>
      <c r="OD33" s="292"/>
      <c r="OE33" s="292"/>
      <c r="OF33" s="292"/>
      <c r="OG33" s="292"/>
      <c r="OH33" s="292"/>
      <c r="OI33" s="292"/>
      <c r="OJ33" s="292"/>
      <c r="OK33" s="292"/>
      <c r="OL33" s="292"/>
      <c r="OM33" s="292"/>
      <c r="ON33" s="292"/>
      <c r="OO33" s="292"/>
      <c r="OP33" s="292"/>
      <c r="OQ33" s="292"/>
      <c r="OR33" s="292"/>
      <c r="OS33" s="292"/>
      <c r="OT33" s="292"/>
      <c r="OU33" s="292"/>
      <c r="OV33" s="292"/>
      <c r="OW33" s="292"/>
      <c r="OX33" s="292"/>
      <c r="OY33" s="292"/>
      <c r="OZ33" s="292"/>
      <c r="PA33" s="292"/>
      <c r="PB33" s="292"/>
      <c r="PC33" s="292"/>
      <c r="PD33" s="292"/>
      <c r="PE33" s="292"/>
      <c r="PF33" s="292"/>
      <c r="PG33" s="292"/>
      <c r="PH33" s="292"/>
      <c r="PI33" s="292"/>
      <c r="PJ33" s="292"/>
      <c r="PK33" s="292"/>
      <c r="PL33" s="292"/>
      <c r="PM33" s="292"/>
      <c r="PN33" s="292"/>
      <c r="PO33" s="292"/>
      <c r="PP33" s="292"/>
      <c r="PQ33" s="292"/>
      <c r="PR33" s="292"/>
      <c r="PS33" s="292"/>
      <c r="PT33" s="292"/>
      <c r="PU33" s="292"/>
      <c r="PV33" s="292"/>
      <c r="PW33" s="292"/>
      <c r="PX33" s="292"/>
      <c r="PY33" s="292"/>
      <c r="PZ33" s="292"/>
      <c r="QA33" s="292"/>
      <c r="QB33" s="292"/>
      <c r="QC33" s="292"/>
      <c r="QD33" s="292"/>
      <c r="QE33" s="292"/>
      <c r="QF33" s="292"/>
      <c r="QG33" s="292"/>
      <c r="QH33" s="292"/>
      <c r="QI33" s="292"/>
      <c r="QJ33" s="292"/>
      <c r="QK33" s="292"/>
      <c r="QL33" s="292"/>
      <c r="QM33" s="292"/>
      <c r="QN33" s="292"/>
      <c r="QO33" s="292"/>
      <c r="QP33" s="292"/>
      <c r="QQ33" s="292"/>
      <c r="QR33" s="292"/>
      <c r="QS33" s="292"/>
      <c r="QT33" s="292"/>
      <c r="QU33" s="292"/>
      <c r="QV33" s="292"/>
      <c r="QW33" s="292"/>
      <c r="QX33" s="292"/>
      <c r="QY33" s="292"/>
      <c r="QZ33" s="292"/>
      <c r="RA33" s="292"/>
      <c r="RB33" s="292"/>
      <c r="RC33" s="292"/>
      <c r="RD33" s="292"/>
      <c r="RE33" s="292"/>
      <c r="RF33" s="292"/>
      <c r="RG33" s="292"/>
      <c r="RH33" s="292"/>
      <c r="RI33" s="292"/>
      <c r="RJ33" s="292"/>
      <c r="RK33" s="292"/>
      <c r="RL33" s="292"/>
      <c r="RM33" s="292"/>
      <c r="RN33" s="292"/>
      <c r="RO33" s="292"/>
      <c r="RP33" s="292"/>
      <c r="RQ33" s="292"/>
      <c r="RR33" s="292"/>
      <c r="RS33" s="292"/>
      <c r="RT33" s="292"/>
      <c r="RU33" s="292"/>
      <c r="RV33" s="292"/>
      <c r="RW33" s="292"/>
      <c r="RX33" s="292"/>
      <c r="RY33" s="292"/>
      <c r="RZ33" s="292"/>
      <c r="SA33" s="292"/>
      <c r="SB33" s="292"/>
      <c r="SC33" s="292"/>
      <c r="SD33" s="292"/>
      <c r="SE33" s="292"/>
      <c r="SF33" s="292"/>
      <c r="SG33" s="292"/>
      <c r="SH33" s="292"/>
      <c r="SI33" s="292"/>
      <c r="SJ33" s="292"/>
      <c r="SK33" s="292"/>
      <c r="SL33" s="292"/>
      <c r="SM33" s="292"/>
      <c r="SN33" s="292"/>
      <c r="SO33" s="292"/>
      <c r="SP33" s="292"/>
      <c r="SQ33" s="292"/>
      <c r="SR33" s="292"/>
      <c r="SS33" s="292"/>
      <c r="ST33" s="292"/>
      <c r="SU33" s="292"/>
      <c r="SV33" s="292"/>
      <c r="SW33" s="292"/>
      <c r="SX33" s="292"/>
      <c r="SY33" s="292"/>
      <c r="SZ33" s="292"/>
      <c r="TA33" s="292"/>
      <c r="TB33" s="292"/>
      <c r="TC33" s="292"/>
      <c r="TD33" s="292"/>
      <c r="TE33" s="292"/>
      <c r="TF33" s="292"/>
      <c r="TG33" s="292"/>
      <c r="TH33" s="292"/>
      <c r="TI33" s="292"/>
      <c r="TJ33" s="292"/>
      <c r="TK33" s="292"/>
      <c r="TL33" s="292"/>
      <c r="TM33" s="292"/>
      <c r="TN33" s="292"/>
      <c r="TO33" s="292"/>
      <c r="TP33" s="292"/>
      <c r="TQ33" s="292"/>
      <c r="TR33" s="292"/>
      <c r="TS33" s="292"/>
      <c r="TT33" s="292"/>
      <c r="TU33" s="292"/>
      <c r="TV33" s="292"/>
      <c r="TW33" s="292"/>
      <c r="TX33" s="292"/>
      <c r="TY33" s="292"/>
    </row>
    <row r="34" spans="1:545" s="620" customFormat="1" ht="15" customHeight="1" x14ac:dyDescent="0.25">
      <c r="A34" s="1004"/>
      <c r="B34" s="1005"/>
      <c r="C34" s="1006"/>
      <c r="D34" s="960"/>
      <c r="E34" s="980"/>
      <c r="F34" s="976"/>
      <c r="G34" s="981"/>
      <c r="H34" s="977"/>
      <c r="I34" s="980"/>
      <c r="J34" s="962"/>
      <c r="K34" s="981"/>
      <c r="L34" s="977"/>
      <c r="M34" s="980"/>
      <c r="N34" s="982"/>
      <c r="O34" s="981"/>
      <c r="P34" s="977"/>
      <c r="Q34" s="980"/>
      <c r="R34" s="962"/>
      <c r="S34" s="976"/>
      <c r="T34" s="977"/>
      <c r="U34" s="980"/>
      <c r="V34" s="962"/>
      <c r="W34" s="981"/>
      <c r="X34" s="977"/>
      <c r="Y34" s="980"/>
      <c r="Z34" s="962"/>
      <c r="AA34" s="981"/>
      <c r="AB34" s="976"/>
      <c r="AC34" s="980"/>
      <c r="AD34" s="981"/>
      <c r="AE34" s="971"/>
      <c r="AF34" s="806"/>
      <c r="AG34" s="806"/>
      <c r="AH34" s="292"/>
      <c r="AI34" s="292"/>
      <c r="AJ34" s="292"/>
      <c r="AK34" s="292"/>
      <c r="AL34" s="806"/>
      <c r="AM34" s="806"/>
      <c r="AN34" s="806"/>
      <c r="AO34" s="806"/>
      <c r="AP34" s="807"/>
      <c r="AQ34" s="292"/>
      <c r="AR34" s="292"/>
      <c r="AS34" s="292"/>
      <c r="AT34" s="806"/>
      <c r="AU34" s="806"/>
      <c r="AV34" s="806"/>
      <c r="AW34" s="806"/>
      <c r="AX34" s="807"/>
      <c r="AY34" s="292"/>
      <c r="AZ34" s="292"/>
      <c r="BA34" s="292"/>
      <c r="BB34" s="806"/>
      <c r="BC34" s="806"/>
      <c r="BD34" s="806"/>
      <c r="BE34" s="806"/>
      <c r="BF34" s="807"/>
      <c r="BG34" s="292"/>
      <c r="BH34" s="807"/>
      <c r="BI34" s="292"/>
      <c r="BJ34" s="292"/>
      <c r="BK34" s="292"/>
      <c r="BL34" s="292"/>
      <c r="BM34" s="292"/>
      <c r="BN34" s="292"/>
      <c r="BO34" s="292"/>
      <c r="BP34" s="292"/>
      <c r="BQ34" s="292"/>
      <c r="BR34" s="292"/>
      <c r="BS34" s="292"/>
      <c r="BT34" s="292"/>
      <c r="BU34" s="292"/>
      <c r="BV34" s="292"/>
      <c r="BW34" s="292"/>
      <c r="BX34" s="292"/>
      <c r="BY34" s="292"/>
      <c r="BZ34" s="292"/>
      <c r="CA34" s="292"/>
      <c r="CB34" s="292"/>
      <c r="CC34" s="292"/>
      <c r="CD34" s="292"/>
      <c r="CE34" s="292"/>
      <c r="CF34" s="292"/>
      <c r="CG34" s="292"/>
      <c r="CH34" s="292"/>
      <c r="CI34" s="292"/>
      <c r="CJ34" s="292"/>
      <c r="CK34" s="292"/>
      <c r="CL34" s="292"/>
      <c r="CM34" s="292"/>
      <c r="CN34" s="292"/>
      <c r="CO34" s="292"/>
      <c r="CP34" s="292"/>
      <c r="CQ34" s="292"/>
      <c r="CR34" s="292"/>
      <c r="CS34" s="292"/>
      <c r="CT34" s="292"/>
      <c r="CU34" s="292"/>
      <c r="CV34" s="292"/>
      <c r="CW34" s="292"/>
      <c r="CX34" s="292"/>
      <c r="CY34" s="292"/>
      <c r="CZ34" s="292"/>
      <c r="DA34" s="292"/>
      <c r="DB34" s="292"/>
      <c r="DC34" s="292"/>
      <c r="DD34" s="292"/>
      <c r="DE34" s="292"/>
      <c r="DF34" s="292"/>
      <c r="DG34" s="292"/>
      <c r="DH34" s="292"/>
      <c r="DI34" s="292"/>
      <c r="DJ34" s="292"/>
      <c r="DK34" s="292"/>
      <c r="DL34" s="292"/>
      <c r="DM34" s="292"/>
      <c r="DN34" s="292"/>
      <c r="DO34" s="292"/>
      <c r="DP34" s="292"/>
      <c r="DQ34" s="292"/>
      <c r="DR34" s="292"/>
      <c r="DS34" s="292"/>
      <c r="DT34" s="292"/>
      <c r="DU34" s="292"/>
      <c r="DV34" s="292"/>
      <c r="DW34" s="292"/>
      <c r="DX34" s="292"/>
      <c r="DY34" s="292"/>
      <c r="DZ34" s="292"/>
      <c r="EA34" s="292"/>
      <c r="EB34" s="292"/>
      <c r="EC34" s="292"/>
      <c r="ED34" s="292"/>
      <c r="EE34" s="292"/>
      <c r="EF34" s="292"/>
      <c r="EG34" s="292"/>
      <c r="EH34" s="292"/>
      <c r="EI34" s="292"/>
      <c r="EJ34" s="292"/>
      <c r="EK34" s="292"/>
      <c r="EL34" s="292"/>
      <c r="EM34" s="292"/>
      <c r="EN34" s="292"/>
      <c r="EO34" s="292"/>
      <c r="EP34" s="292"/>
      <c r="EQ34" s="292"/>
      <c r="ER34" s="292"/>
      <c r="ES34" s="292"/>
      <c r="ET34" s="292"/>
      <c r="EU34" s="292"/>
      <c r="EV34" s="292"/>
      <c r="EW34" s="292"/>
      <c r="EX34" s="292"/>
      <c r="EY34" s="292"/>
      <c r="EZ34" s="292"/>
      <c r="FA34" s="292"/>
      <c r="FB34" s="292"/>
      <c r="FC34" s="292"/>
      <c r="FD34" s="292"/>
      <c r="FE34" s="292"/>
      <c r="FF34" s="292"/>
      <c r="FG34" s="292"/>
      <c r="FH34" s="292"/>
      <c r="FI34" s="292"/>
      <c r="FJ34" s="292"/>
      <c r="FK34" s="292"/>
      <c r="FL34" s="292"/>
      <c r="FM34" s="292"/>
      <c r="FN34" s="292"/>
      <c r="FO34" s="292"/>
      <c r="FP34" s="292"/>
      <c r="FQ34" s="292"/>
      <c r="FR34" s="292"/>
      <c r="FS34" s="292"/>
      <c r="FT34" s="292"/>
      <c r="FU34" s="292"/>
      <c r="FV34" s="292"/>
      <c r="FW34" s="292"/>
      <c r="FX34" s="292"/>
      <c r="FY34" s="292"/>
      <c r="FZ34" s="292"/>
      <c r="GA34" s="292"/>
      <c r="GB34" s="292"/>
      <c r="GC34" s="292"/>
      <c r="GD34" s="292"/>
      <c r="GE34" s="292"/>
      <c r="GF34" s="292"/>
      <c r="GG34" s="292"/>
      <c r="GH34" s="292"/>
      <c r="GI34" s="292"/>
      <c r="GJ34" s="292"/>
      <c r="GK34" s="292"/>
      <c r="GL34" s="292"/>
      <c r="GM34" s="292"/>
      <c r="GN34" s="292"/>
      <c r="GO34" s="292"/>
      <c r="GP34" s="292"/>
      <c r="GQ34" s="292"/>
      <c r="GR34" s="292"/>
      <c r="GS34" s="292"/>
      <c r="GT34" s="292"/>
      <c r="GU34" s="292"/>
      <c r="GV34" s="292"/>
      <c r="GW34" s="292"/>
      <c r="GX34" s="292"/>
      <c r="GY34" s="292"/>
      <c r="GZ34" s="292"/>
      <c r="HA34" s="292"/>
      <c r="HB34" s="292"/>
      <c r="HC34" s="292"/>
      <c r="HD34" s="292"/>
      <c r="HE34" s="292"/>
      <c r="HF34" s="292"/>
      <c r="HG34" s="292"/>
      <c r="HH34" s="292"/>
      <c r="HI34" s="292"/>
      <c r="HJ34" s="292"/>
      <c r="HK34" s="292"/>
      <c r="HL34" s="292"/>
      <c r="HM34" s="292"/>
      <c r="HN34" s="292"/>
      <c r="HO34" s="292"/>
      <c r="HP34" s="292"/>
      <c r="HQ34" s="292"/>
      <c r="HR34" s="292"/>
      <c r="HS34" s="292"/>
      <c r="HT34" s="292"/>
      <c r="HU34" s="292"/>
      <c r="HV34" s="292"/>
      <c r="HW34" s="292"/>
      <c r="HX34" s="292"/>
      <c r="HY34" s="292"/>
      <c r="HZ34" s="292"/>
      <c r="IA34" s="292"/>
      <c r="IB34" s="292"/>
      <c r="IC34" s="292"/>
      <c r="ID34" s="292"/>
      <c r="IE34" s="292"/>
      <c r="IF34" s="292"/>
      <c r="IG34" s="292"/>
      <c r="IH34" s="292"/>
      <c r="II34" s="292"/>
      <c r="IJ34" s="292"/>
      <c r="IK34" s="292"/>
      <c r="IL34" s="292"/>
      <c r="IM34" s="292"/>
      <c r="IN34" s="292"/>
      <c r="IO34" s="292"/>
      <c r="IP34" s="292"/>
      <c r="IQ34" s="292"/>
      <c r="IR34" s="292"/>
      <c r="IS34" s="292"/>
      <c r="IT34" s="292"/>
      <c r="IU34" s="292"/>
      <c r="IV34" s="292"/>
      <c r="IW34" s="292"/>
      <c r="IX34" s="292"/>
      <c r="IY34" s="292"/>
      <c r="IZ34" s="292"/>
      <c r="JA34" s="292"/>
      <c r="JB34" s="292"/>
      <c r="JC34" s="292"/>
      <c r="JD34" s="292"/>
      <c r="JE34" s="292"/>
      <c r="JF34" s="292"/>
      <c r="JG34" s="292"/>
      <c r="JH34" s="292"/>
      <c r="JI34" s="292"/>
      <c r="JJ34" s="292"/>
      <c r="JK34" s="292"/>
      <c r="JL34" s="292"/>
      <c r="JM34" s="292"/>
      <c r="JN34" s="292"/>
      <c r="JO34" s="292"/>
      <c r="JP34" s="292"/>
      <c r="JQ34" s="292"/>
      <c r="JR34" s="292"/>
      <c r="JS34" s="292"/>
      <c r="JT34" s="292"/>
      <c r="JU34" s="292"/>
      <c r="JV34" s="292"/>
      <c r="JW34" s="292"/>
      <c r="JX34" s="292"/>
      <c r="JY34" s="292"/>
      <c r="JZ34" s="292"/>
      <c r="KA34" s="292"/>
      <c r="KB34" s="292"/>
      <c r="KC34" s="292"/>
      <c r="KD34" s="292"/>
      <c r="KE34" s="292"/>
      <c r="KF34" s="292"/>
      <c r="KG34" s="292"/>
      <c r="KH34" s="292"/>
      <c r="KI34" s="292"/>
      <c r="KJ34" s="292"/>
      <c r="KK34" s="292"/>
      <c r="KL34" s="292"/>
      <c r="KM34" s="292"/>
      <c r="KN34" s="292"/>
      <c r="KO34" s="292"/>
      <c r="KP34" s="292"/>
      <c r="KQ34" s="292"/>
      <c r="KR34" s="292"/>
      <c r="KS34" s="292"/>
      <c r="KT34" s="292"/>
      <c r="KU34" s="292"/>
      <c r="KV34" s="292"/>
      <c r="KW34" s="292"/>
      <c r="KX34" s="292"/>
      <c r="KY34" s="292"/>
      <c r="KZ34" s="292"/>
      <c r="LA34" s="292"/>
      <c r="LB34" s="292"/>
      <c r="LC34" s="292"/>
      <c r="LD34" s="292"/>
      <c r="LE34" s="292"/>
      <c r="LF34" s="292"/>
      <c r="LG34" s="292"/>
      <c r="LH34" s="292"/>
      <c r="LI34" s="292"/>
      <c r="LJ34" s="292"/>
      <c r="LK34" s="292"/>
      <c r="LL34" s="292"/>
      <c r="LM34" s="292"/>
      <c r="LN34" s="292"/>
      <c r="LO34" s="292"/>
      <c r="LP34" s="292"/>
      <c r="LQ34" s="292"/>
      <c r="LR34" s="292"/>
      <c r="LS34" s="292"/>
      <c r="LT34" s="292"/>
      <c r="LU34" s="292"/>
      <c r="LV34" s="292"/>
      <c r="LW34" s="292"/>
      <c r="LX34" s="292"/>
      <c r="LY34" s="292"/>
      <c r="LZ34" s="292"/>
      <c r="MA34" s="292"/>
      <c r="MB34" s="292"/>
      <c r="MC34" s="292"/>
      <c r="MD34" s="292"/>
      <c r="ME34" s="292"/>
      <c r="MF34" s="292"/>
      <c r="MG34" s="292"/>
      <c r="MH34" s="292"/>
      <c r="MI34" s="292"/>
      <c r="MJ34" s="292"/>
      <c r="MK34" s="292"/>
      <c r="ML34" s="292"/>
      <c r="MM34" s="292"/>
      <c r="MN34" s="292"/>
      <c r="MO34" s="292"/>
      <c r="MP34" s="292"/>
      <c r="MQ34" s="292"/>
      <c r="MR34" s="292"/>
      <c r="MS34" s="292"/>
      <c r="MT34" s="292"/>
      <c r="MU34" s="292"/>
      <c r="MV34" s="292"/>
      <c r="MW34" s="292"/>
      <c r="MX34" s="292"/>
      <c r="MY34" s="292"/>
      <c r="MZ34" s="292"/>
      <c r="NA34" s="292"/>
      <c r="NB34" s="292"/>
      <c r="NC34" s="292"/>
      <c r="ND34" s="292"/>
      <c r="NE34" s="292"/>
      <c r="NF34" s="292"/>
      <c r="NG34" s="292"/>
      <c r="NH34" s="292"/>
      <c r="NI34" s="292"/>
      <c r="NJ34" s="292"/>
      <c r="NK34" s="292"/>
      <c r="NL34" s="292"/>
      <c r="NM34" s="292"/>
      <c r="NN34" s="292"/>
      <c r="NO34" s="292"/>
      <c r="NP34" s="292"/>
      <c r="NQ34" s="292"/>
      <c r="NR34" s="292"/>
      <c r="NS34" s="292"/>
      <c r="NT34" s="292"/>
      <c r="NU34" s="292"/>
      <c r="NV34" s="292"/>
      <c r="NW34" s="292"/>
      <c r="NX34" s="292"/>
      <c r="NY34" s="292"/>
      <c r="NZ34" s="292"/>
      <c r="OA34" s="292"/>
      <c r="OB34" s="292"/>
      <c r="OC34" s="292"/>
      <c r="OD34" s="292"/>
      <c r="OE34" s="292"/>
      <c r="OF34" s="292"/>
      <c r="OG34" s="292"/>
      <c r="OH34" s="292"/>
      <c r="OI34" s="292"/>
      <c r="OJ34" s="292"/>
      <c r="OK34" s="292"/>
      <c r="OL34" s="292"/>
      <c r="OM34" s="292"/>
      <c r="ON34" s="292"/>
      <c r="OO34" s="292"/>
      <c r="OP34" s="292"/>
      <c r="OQ34" s="292"/>
      <c r="OR34" s="292"/>
      <c r="OS34" s="292"/>
      <c r="OT34" s="292"/>
      <c r="OU34" s="292"/>
      <c r="OV34" s="292"/>
      <c r="OW34" s="292"/>
      <c r="OX34" s="292"/>
      <c r="OY34" s="292"/>
      <c r="OZ34" s="292"/>
      <c r="PA34" s="292"/>
      <c r="PB34" s="292"/>
      <c r="PC34" s="292"/>
      <c r="PD34" s="292"/>
      <c r="PE34" s="292"/>
      <c r="PF34" s="292"/>
      <c r="PG34" s="292"/>
      <c r="PH34" s="292"/>
      <c r="PI34" s="292"/>
      <c r="PJ34" s="292"/>
      <c r="PK34" s="292"/>
      <c r="PL34" s="292"/>
      <c r="PM34" s="292"/>
      <c r="PN34" s="292"/>
      <c r="PO34" s="292"/>
      <c r="PP34" s="292"/>
      <c r="PQ34" s="292"/>
      <c r="PR34" s="292"/>
      <c r="PS34" s="292"/>
      <c r="PT34" s="292"/>
      <c r="PU34" s="292"/>
      <c r="PV34" s="292"/>
      <c r="PW34" s="292"/>
      <c r="PX34" s="292"/>
      <c r="PY34" s="292"/>
      <c r="PZ34" s="292"/>
      <c r="QA34" s="292"/>
      <c r="QB34" s="292"/>
      <c r="QC34" s="292"/>
      <c r="QD34" s="292"/>
      <c r="QE34" s="292"/>
      <c r="QF34" s="292"/>
      <c r="QG34" s="292"/>
      <c r="QH34" s="292"/>
      <c r="QI34" s="292"/>
      <c r="QJ34" s="292"/>
      <c r="QK34" s="292"/>
      <c r="QL34" s="292"/>
      <c r="QM34" s="292"/>
      <c r="QN34" s="292"/>
      <c r="QO34" s="292"/>
      <c r="QP34" s="292"/>
      <c r="QQ34" s="292"/>
      <c r="QR34" s="292"/>
      <c r="QS34" s="292"/>
      <c r="QT34" s="292"/>
      <c r="QU34" s="292"/>
      <c r="QV34" s="292"/>
      <c r="QW34" s="292"/>
      <c r="QX34" s="292"/>
      <c r="QY34" s="292"/>
      <c r="QZ34" s="292"/>
      <c r="RA34" s="292"/>
      <c r="RB34" s="292"/>
      <c r="RC34" s="292"/>
      <c r="RD34" s="292"/>
      <c r="RE34" s="292"/>
      <c r="RF34" s="292"/>
      <c r="RG34" s="292"/>
      <c r="RH34" s="292"/>
      <c r="RI34" s="292"/>
      <c r="RJ34" s="292"/>
      <c r="RK34" s="292"/>
      <c r="RL34" s="292"/>
      <c r="RM34" s="292"/>
      <c r="RN34" s="292"/>
      <c r="RO34" s="292"/>
      <c r="RP34" s="292"/>
      <c r="RQ34" s="292"/>
      <c r="RR34" s="292"/>
      <c r="RS34" s="292"/>
      <c r="RT34" s="292"/>
      <c r="RU34" s="292"/>
      <c r="RV34" s="292"/>
      <c r="RW34" s="292"/>
      <c r="RX34" s="292"/>
      <c r="RY34" s="292"/>
      <c r="RZ34" s="292"/>
      <c r="SA34" s="292"/>
      <c r="SB34" s="292"/>
      <c r="SC34" s="292"/>
      <c r="SD34" s="292"/>
      <c r="SE34" s="292"/>
      <c r="SF34" s="292"/>
      <c r="SG34" s="292"/>
      <c r="SH34" s="292"/>
      <c r="SI34" s="292"/>
      <c r="SJ34" s="292"/>
      <c r="SK34" s="292"/>
      <c r="SL34" s="292"/>
      <c r="SM34" s="292"/>
      <c r="SN34" s="292"/>
      <c r="SO34" s="292"/>
      <c r="SP34" s="292"/>
      <c r="SQ34" s="292"/>
      <c r="SR34" s="292"/>
      <c r="SS34" s="292"/>
      <c r="ST34" s="292"/>
      <c r="SU34" s="292"/>
      <c r="SV34" s="292"/>
      <c r="SW34" s="292"/>
      <c r="SX34" s="292"/>
      <c r="SY34" s="292"/>
      <c r="SZ34" s="292"/>
      <c r="TA34" s="292"/>
      <c r="TB34" s="292"/>
      <c r="TC34" s="292"/>
      <c r="TD34" s="292"/>
      <c r="TE34" s="292"/>
      <c r="TF34" s="292"/>
      <c r="TG34" s="292"/>
      <c r="TH34" s="292"/>
      <c r="TI34" s="292"/>
      <c r="TJ34" s="292"/>
      <c r="TK34" s="292"/>
      <c r="TL34" s="292"/>
      <c r="TM34" s="292"/>
      <c r="TN34" s="292"/>
      <c r="TO34" s="292"/>
      <c r="TP34" s="292"/>
      <c r="TQ34" s="292"/>
      <c r="TR34" s="292"/>
      <c r="TS34" s="292"/>
      <c r="TT34" s="292"/>
      <c r="TU34" s="292"/>
      <c r="TV34" s="292"/>
      <c r="TW34" s="292"/>
      <c r="TX34" s="292"/>
      <c r="TY34" s="292"/>
    </row>
    <row r="35" spans="1:545" ht="20.149999999999999" customHeight="1" x14ac:dyDescent="0.25">
      <c r="A35" s="1344" t="s">
        <v>334</v>
      </c>
      <c r="B35" s="1345"/>
      <c r="C35" s="1345"/>
      <c r="D35" s="957"/>
      <c r="E35" s="957"/>
      <c r="F35" s="957"/>
      <c r="G35" s="1137" t="s">
        <v>335</v>
      </c>
      <c r="H35" s="957"/>
      <c r="I35" s="957"/>
      <c r="J35" s="957"/>
      <c r="K35" s="1137" t="s">
        <v>335</v>
      </c>
      <c r="L35" s="957"/>
      <c r="M35" s="957"/>
      <c r="N35" s="957"/>
      <c r="O35" s="1137" t="s">
        <v>335</v>
      </c>
      <c r="P35" s="957"/>
      <c r="Q35" s="957"/>
      <c r="R35" s="957"/>
      <c r="S35" s="1137" t="s">
        <v>335</v>
      </c>
      <c r="T35" s="957"/>
      <c r="U35" s="957"/>
      <c r="V35" s="957"/>
      <c r="W35" s="1137" t="s">
        <v>335</v>
      </c>
      <c r="X35" s="957"/>
      <c r="Y35" s="957"/>
      <c r="Z35" s="957"/>
      <c r="AA35" s="1137" t="s">
        <v>335</v>
      </c>
      <c r="AB35" s="957"/>
      <c r="AC35" s="957"/>
      <c r="AD35" s="1171" t="s">
        <v>336</v>
      </c>
      <c r="AE35" s="971"/>
    </row>
    <row r="36" spans="1:545" ht="15" customHeight="1" x14ac:dyDescent="0.25">
      <c r="A36" s="1337" t="s">
        <v>337</v>
      </c>
      <c r="B36" s="1338"/>
      <c r="C36" s="1094" t="s">
        <v>338</v>
      </c>
      <c r="D36" s="957"/>
      <c r="E36" s="957"/>
      <c r="F36" s="957"/>
      <c r="G36" s="622">
        <v>0</v>
      </c>
      <c r="H36" s="957"/>
      <c r="I36" s="957"/>
      <c r="J36" s="957"/>
      <c r="K36" s="622">
        <v>0</v>
      </c>
      <c r="L36" s="957"/>
      <c r="M36" s="957"/>
      <c r="N36" s="957"/>
      <c r="O36" s="622">
        <v>0</v>
      </c>
      <c r="P36" s="957"/>
      <c r="Q36" s="957"/>
      <c r="R36" s="957"/>
      <c r="S36" s="622">
        <v>0</v>
      </c>
      <c r="T36" s="957"/>
      <c r="U36" s="957"/>
      <c r="V36" s="957"/>
      <c r="W36" s="622">
        <v>0</v>
      </c>
      <c r="X36" s="957"/>
      <c r="Y36" s="957"/>
      <c r="Z36" s="957"/>
      <c r="AA36" s="622">
        <v>0</v>
      </c>
      <c r="AB36" s="975"/>
      <c r="AC36" s="957"/>
      <c r="AD36" s="1001">
        <f>G36+K36+O36+S36+W36+AA36</f>
        <v>0</v>
      </c>
      <c r="AE36" s="971"/>
    </row>
    <row r="37" spans="1:545" ht="15" customHeight="1" x14ac:dyDescent="0.25">
      <c r="A37" s="1337" t="s">
        <v>339</v>
      </c>
      <c r="B37" s="1338"/>
      <c r="C37" s="1094" t="s">
        <v>338</v>
      </c>
      <c r="D37" s="957"/>
      <c r="E37" s="957"/>
      <c r="F37" s="957"/>
      <c r="G37" s="622">
        <v>0</v>
      </c>
      <c r="H37" s="957"/>
      <c r="I37" s="957"/>
      <c r="J37" s="957"/>
      <c r="K37" s="622">
        <v>0</v>
      </c>
      <c r="L37" s="957"/>
      <c r="M37" s="957"/>
      <c r="N37" s="957"/>
      <c r="O37" s="622">
        <v>0</v>
      </c>
      <c r="P37" s="957"/>
      <c r="Q37" s="957"/>
      <c r="R37" s="957"/>
      <c r="S37" s="622">
        <v>0</v>
      </c>
      <c r="T37" s="957"/>
      <c r="U37" s="957"/>
      <c r="V37" s="957"/>
      <c r="W37" s="622">
        <v>0</v>
      </c>
      <c r="X37" s="957"/>
      <c r="Y37" s="957"/>
      <c r="Z37" s="957"/>
      <c r="AA37" s="622">
        <v>0</v>
      </c>
      <c r="AB37" s="975"/>
      <c r="AC37" s="957"/>
      <c r="AD37" s="1001">
        <f>G37+K37+O37+S37+W37+AA37</f>
        <v>0</v>
      </c>
      <c r="AE37" s="971"/>
    </row>
    <row r="38" spans="1:545" ht="15" customHeight="1" x14ac:dyDescent="0.25">
      <c r="A38" s="1337" t="s">
        <v>340</v>
      </c>
      <c r="B38" s="1338"/>
      <c r="C38" s="1094" t="s">
        <v>338</v>
      </c>
      <c r="D38" s="957"/>
      <c r="E38" s="957"/>
      <c r="F38" s="957"/>
      <c r="G38" s="622">
        <v>0</v>
      </c>
      <c r="H38" s="957"/>
      <c r="I38" s="957"/>
      <c r="J38" s="957"/>
      <c r="K38" s="622">
        <v>0</v>
      </c>
      <c r="L38" s="957"/>
      <c r="M38" s="957"/>
      <c r="N38" s="957"/>
      <c r="O38" s="622">
        <v>0</v>
      </c>
      <c r="P38" s="957"/>
      <c r="Q38" s="957"/>
      <c r="R38" s="957"/>
      <c r="S38" s="622">
        <v>0</v>
      </c>
      <c r="T38" s="957"/>
      <c r="U38" s="957"/>
      <c r="V38" s="957"/>
      <c r="W38" s="622">
        <v>0</v>
      </c>
      <c r="X38" s="957"/>
      <c r="Y38" s="957"/>
      <c r="Z38" s="957"/>
      <c r="AA38" s="622">
        <v>0</v>
      </c>
      <c r="AB38" s="975"/>
      <c r="AC38" s="957"/>
      <c r="AD38" s="1001">
        <f>G38+K38+O38+S38+W38+AA38</f>
        <v>0</v>
      </c>
      <c r="AE38" s="971"/>
    </row>
    <row r="39" spans="1:545" ht="15" customHeight="1" x14ac:dyDescent="0.25">
      <c r="A39" s="1329" t="s">
        <v>341</v>
      </c>
      <c r="B39" s="1330"/>
      <c r="C39" s="1094" t="s">
        <v>338</v>
      </c>
      <c r="D39" s="957"/>
      <c r="E39" s="957"/>
      <c r="F39" s="957"/>
      <c r="G39" s="622">
        <v>0</v>
      </c>
      <c r="H39" s="957"/>
      <c r="I39" s="957"/>
      <c r="J39" s="957"/>
      <c r="K39" s="622">
        <v>0</v>
      </c>
      <c r="L39" s="957"/>
      <c r="M39" s="957"/>
      <c r="N39" s="957"/>
      <c r="O39" s="622">
        <v>0</v>
      </c>
      <c r="P39" s="957"/>
      <c r="Q39" s="957"/>
      <c r="R39" s="957"/>
      <c r="S39" s="622">
        <v>0</v>
      </c>
      <c r="T39" s="957"/>
      <c r="U39" s="957"/>
      <c r="V39" s="957"/>
      <c r="W39" s="622">
        <v>0</v>
      </c>
      <c r="X39" s="957"/>
      <c r="Y39" s="957"/>
      <c r="Z39" s="957"/>
      <c r="AA39" s="622">
        <v>0</v>
      </c>
      <c r="AB39" s="975"/>
      <c r="AC39" s="957"/>
      <c r="AD39" s="1001">
        <f>G39+K39+O39+S39+W39+AA39</f>
        <v>0</v>
      </c>
      <c r="AE39" s="971"/>
    </row>
    <row r="40" spans="1:545" s="623" customFormat="1" ht="23.15" customHeight="1" x14ac:dyDescent="0.25">
      <c r="A40" s="1358" t="s">
        <v>335</v>
      </c>
      <c r="B40" s="1359"/>
      <c r="C40" s="1359"/>
      <c r="D40" s="962"/>
      <c r="E40" s="962"/>
      <c r="F40" s="962"/>
      <c r="G40" s="794">
        <f>SUM(G35:G39)</f>
        <v>0</v>
      </c>
      <c r="H40" s="979"/>
      <c r="I40" s="962"/>
      <c r="J40" s="962"/>
      <c r="K40" s="794">
        <f>SUM(K35:K39)</f>
        <v>0</v>
      </c>
      <c r="L40" s="979"/>
      <c r="M40" s="962"/>
      <c r="N40" s="962"/>
      <c r="O40" s="794">
        <f>SUM(O35:O39)</f>
        <v>0</v>
      </c>
      <c r="P40" s="979"/>
      <c r="Q40" s="957"/>
      <c r="R40" s="957"/>
      <c r="S40" s="794">
        <f>SUM(S35:S39)</f>
        <v>0</v>
      </c>
      <c r="T40" s="957"/>
      <c r="U40" s="1295"/>
      <c r="V40" s="1295"/>
      <c r="W40" s="794">
        <f>SUM(W35:W39)</f>
        <v>0</v>
      </c>
      <c r="X40" s="957"/>
      <c r="Y40" s="1295"/>
      <c r="Z40" s="1295"/>
      <c r="AA40" s="794">
        <f>SUM(AA35:AA39)</f>
        <v>0</v>
      </c>
      <c r="AB40" s="976"/>
      <c r="AC40" s="957"/>
      <c r="AD40" s="794">
        <f>G40+K40+O40+S40+W40+AA40</f>
        <v>0</v>
      </c>
      <c r="AE40" s="971"/>
      <c r="AF40" s="292"/>
      <c r="AG40" s="292"/>
      <c r="AH40" s="292"/>
      <c r="AI40" s="292"/>
      <c r="AJ40" s="292"/>
      <c r="AK40" s="292"/>
      <c r="AL40" s="292"/>
      <c r="AM40" s="292"/>
      <c r="AN40" s="292"/>
      <c r="AO40" s="292"/>
      <c r="AP40" s="292"/>
      <c r="AQ40" s="292"/>
      <c r="AR40" s="292"/>
      <c r="AS40" s="292"/>
      <c r="AT40" s="292"/>
      <c r="AU40" s="292"/>
      <c r="AV40" s="292"/>
      <c r="AW40" s="292"/>
      <c r="AX40" s="292"/>
      <c r="AY40" s="292"/>
      <c r="AZ40" s="292"/>
      <c r="BA40" s="292"/>
      <c r="BB40" s="292"/>
      <c r="BC40" s="292"/>
      <c r="BD40" s="292"/>
      <c r="BE40" s="292"/>
      <c r="BF40" s="292"/>
      <c r="BG40" s="292"/>
      <c r="BH40" s="292"/>
      <c r="BI40" s="292"/>
      <c r="BJ40" s="292"/>
      <c r="BK40" s="292"/>
      <c r="BL40" s="292"/>
      <c r="BM40" s="292"/>
      <c r="BN40" s="292"/>
      <c r="BO40" s="292"/>
      <c r="BP40" s="292"/>
      <c r="BQ40" s="292"/>
      <c r="BR40" s="292"/>
      <c r="BS40" s="292"/>
      <c r="BT40" s="292"/>
      <c r="BU40" s="292"/>
      <c r="BV40" s="292"/>
      <c r="BW40" s="292"/>
      <c r="BX40" s="292"/>
      <c r="BY40" s="292"/>
      <c r="BZ40" s="292"/>
      <c r="CA40" s="292"/>
      <c r="CB40" s="292"/>
      <c r="CC40" s="292"/>
      <c r="CD40" s="292"/>
      <c r="CE40" s="292"/>
      <c r="CF40" s="292"/>
      <c r="CG40" s="292"/>
      <c r="CH40" s="292"/>
      <c r="CI40" s="292"/>
      <c r="CJ40" s="292"/>
      <c r="CK40" s="292"/>
      <c r="CL40" s="292"/>
      <c r="CM40" s="292"/>
      <c r="CN40" s="292"/>
      <c r="CO40" s="292"/>
      <c r="CP40" s="292"/>
      <c r="CQ40" s="292"/>
      <c r="CR40" s="292"/>
      <c r="CS40" s="292"/>
      <c r="CT40" s="292"/>
      <c r="CU40" s="292"/>
      <c r="CV40" s="292"/>
      <c r="CW40" s="292"/>
      <c r="CX40" s="292"/>
      <c r="CY40" s="292"/>
      <c r="CZ40" s="292"/>
      <c r="DA40" s="292"/>
      <c r="DB40" s="292"/>
      <c r="DC40" s="292"/>
      <c r="DD40" s="292"/>
      <c r="DE40" s="292"/>
      <c r="DF40" s="292"/>
      <c r="DG40" s="292"/>
      <c r="DH40" s="292"/>
      <c r="DI40" s="292"/>
      <c r="DJ40" s="292"/>
      <c r="DK40" s="292"/>
      <c r="DL40" s="292"/>
      <c r="DM40" s="292"/>
      <c r="DN40" s="292"/>
      <c r="DO40" s="292"/>
      <c r="DP40" s="292"/>
      <c r="DQ40" s="292"/>
      <c r="DR40" s="292"/>
      <c r="DS40" s="292"/>
      <c r="DT40" s="292"/>
      <c r="DU40" s="292"/>
      <c r="DV40" s="292"/>
      <c r="DW40" s="292"/>
      <c r="DX40" s="292"/>
      <c r="DY40" s="292"/>
      <c r="DZ40" s="292"/>
      <c r="EA40" s="292"/>
      <c r="EB40" s="292"/>
      <c r="EC40" s="292"/>
      <c r="ED40" s="292"/>
      <c r="EE40" s="292"/>
      <c r="EF40" s="292"/>
      <c r="EG40" s="292"/>
      <c r="EH40" s="292"/>
      <c r="EI40" s="292"/>
      <c r="EJ40" s="292"/>
      <c r="EK40" s="292"/>
      <c r="EL40" s="292"/>
      <c r="EM40" s="292"/>
      <c r="EN40" s="292"/>
      <c r="EO40" s="292"/>
      <c r="EP40" s="292"/>
      <c r="EQ40" s="292"/>
      <c r="ER40" s="292"/>
      <c r="ES40" s="292"/>
      <c r="ET40" s="292"/>
      <c r="EU40" s="292"/>
      <c r="EV40" s="292"/>
      <c r="EW40" s="292"/>
      <c r="EX40" s="292"/>
      <c r="EY40" s="292"/>
      <c r="EZ40" s="292"/>
      <c r="FA40" s="292"/>
      <c r="FB40" s="292"/>
      <c r="FC40" s="292"/>
      <c r="FD40" s="292"/>
      <c r="FE40" s="292"/>
      <c r="FF40" s="292"/>
      <c r="FG40" s="292"/>
      <c r="FH40" s="292"/>
      <c r="FI40" s="292"/>
      <c r="FJ40" s="292"/>
      <c r="FK40" s="292"/>
      <c r="FL40" s="292"/>
      <c r="FM40" s="292"/>
      <c r="FN40" s="292"/>
      <c r="FO40" s="292"/>
      <c r="FP40" s="292"/>
      <c r="FQ40" s="292"/>
      <c r="FR40" s="292"/>
      <c r="FS40" s="292"/>
      <c r="FT40" s="292"/>
      <c r="FU40" s="292"/>
      <c r="FV40" s="292"/>
      <c r="FW40" s="292"/>
      <c r="FX40" s="292"/>
      <c r="FY40" s="292"/>
      <c r="FZ40" s="292"/>
      <c r="GA40" s="292"/>
      <c r="GB40" s="292"/>
      <c r="GC40" s="292"/>
      <c r="GD40" s="292"/>
      <c r="GE40" s="292"/>
      <c r="GF40" s="292"/>
      <c r="GG40" s="292"/>
      <c r="GH40" s="292"/>
      <c r="GI40" s="292"/>
      <c r="GJ40" s="292"/>
      <c r="GK40" s="292"/>
      <c r="GL40" s="292"/>
      <c r="GM40" s="292"/>
      <c r="GN40" s="292"/>
      <c r="GO40" s="292"/>
      <c r="GP40" s="292"/>
      <c r="GQ40" s="292"/>
      <c r="GR40" s="292"/>
      <c r="GS40" s="292"/>
      <c r="GT40" s="292"/>
      <c r="GU40" s="292"/>
      <c r="GV40" s="292"/>
      <c r="GW40" s="292"/>
      <c r="GX40" s="292"/>
      <c r="GY40" s="292"/>
      <c r="GZ40" s="292"/>
      <c r="HA40" s="292"/>
      <c r="HB40" s="292"/>
      <c r="HC40" s="292"/>
      <c r="HD40" s="292"/>
      <c r="HE40" s="292"/>
      <c r="HF40" s="292"/>
      <c r="HG40" s="292"/>
      <c r="HH40" s="292"/>
      <c r="HI40" s="292"/>
      <c r="HJ40" s="292"/>
      <c r="HK40" s="292"/>
      <c r="HL40" s="292"/>
      <c r="HM40" s="292"/>
      <c r="HN40" s="292"/>
      <c r="HO40" s="292"/>
      <c r="HP40" s="292"/>
      <c r="HQ40" s="292"/>
      <c r="HR40" s="292"/>
      <c r="HS40" s="292"/>
      <c r="HT40" s="292"/>
      <c r="HU40" s="292"/>
      <c r="HV40" s="292"/>
      <c r="HW40" s="292"/>
      <c r="HX40" s="292"/>
      <c r="HY40" s="292"/>
      <c r="HZ40" s="292"/>
      <c r="IA40" s="292"/>
      <c r="IB40" s="292"/>
      <c r="IC40" s="292"/>
      <c r="ID40" s="292"/>
      <c r="IE40" s="292"/>
      <c r="IF40" s="292"/>
      <c r="IG40" s="292"/>
      <c r="IH40" s="292"/>
      <c r="II40" s="292"/>
      <c r="IJ40" s="292"/>
      <c r="IK40" s="292"/>
      <c r="IL40" s="292"/>
      <c r="IM40" s="292"/>
      <c r="IN40" s="292"/>
      <c r="IO40" s="292"/>
      <c r="IP40" s="292"/>
      <c r="IQ40" s="292"/>
      <c r="IR40" s="292"/>
      <c r="IS40" s="292"/>
      <c r="IT40" s="292"/>
      <c r="IU40" s="292"/>
      <c r="IV40" s="292"/>
      <c r="IW40" s="292"/>
      <c r="IX40" s="292"/>
      <c r="IY40" s="292"/>
      <c r="IZ40" s="292"/>
      <c r="JA40" s="292"/>
      <c r="JB40" s="292"/>
      <c r="JC40" s="292"/>
      <c r="JD40" s="292"/>
      <c r="JE40" s="292"/>
      <c r="JF40" s="292"/>
      <c r="JG40" s="292"/>
      <c r="JH40" s="292"/>
      <c r="JI40" s="292"/>
      <c r="JJ40" s="292"/>
      <c r="JK40" s="292"/>
      <c r="JL40" s="292"/>
      <c r="JM40" s="292"/>
      <c r="JN40" s="292"/>
      <c r="JO40" s="292"/>
      <c r="JP40" s="292"/>
      <c r="JQ40" s="292"/>
      <c r="JR40" s="292"/>
      <c r="JS40" s="292"/>
      <c r="JT40" s="292"/>
      <c r="JU40" s="292"/>
      <c r="JV40" s="292"/>
      <c r="JW40" s="292"/>
      <c r="JX40" s="292"/>
      <c r="JY40" s="292"/>
      <c r="JZ40" s="292"/>
      <c r="KA40" s="292"/>
      <c r="KB40" s="292"/>
      <c r="KC40" s="292"/>
      <c r="KD40" s="292"/>
      <c r="KE40" s="292"/>
      <c r="KF40" s="292"/>
      <c r="KG40" s="292"/>
      <c r="KH40" s="292"/>
      <c r="KI40" s="292"/>
      <c r="KJ40" s="292"/>
      <c r="KK40" s="292"/>
      <c r="KL40" s="292"/>
      <c r="KM40" s="292"/>
      <c r="KN40" s="292"/>
      <c r="KO40" s="292"/>
      <c r="KP40" s="292"/>
      <c r="KQ40" s="292"/>
      <c r="KR40" s="292"/>
      <c r="KS40" s="292"/>
      <c r="KT40" s="292"/>
      <c r="KU40" s="292"/>
      <c r="KV40" s="292"/>
      <c r="KW40" s="292"/>
      <c r="KX40" s="292"/>
      <c r="KY40" s="292"/>
      <c r="KZ40" s="292"/>
      <c r="LA40" s="292"/>
      <c r="LB40" s="292"/>
      <c r="LC40" s="292"/>
      <c r="LD40" s="292"/>
      <c r="LE40" s="292"/>
      <c r="LF40" s="292"/>
      <c r="LG40" s="292"/>
      <c r="LH40" s="292"/>
      <c r="LI40" s="292"/>
      <c r="LJ40" s="292"/>
      <c r="LK40" s="292"/>
      <c r="LL40" s="292"/>
      <c r="LM40" s="292"/>
      <c r="LN40" s="292"/>
      <c r="LO40" s="292"/>
      <c r="LP40" s="292"/>
      <c r="LQ40" s="292"/>
      <c r="LR40" s="292"/>
      <c r="LS40" s="292"/>
      <c r="LT40" s="292"/>
      <c r="LU40" s="292"/>
      <c r="LV40" s="292"/>
      <c r="LW40" s="292"/>
      <c r="LX40" s="292"/>
      <c r="LY40" s="292"/>
      <c r="LZ40" s="292"/>
      <c r="MA40" s="292"/>
      <c r="MB40" s="292"/>
      <c r="MC40" s="292"/>
      <c r="MD40" s="292"/>
      <c r="ME40" s="292"/>
      <c r="MF40" s="292"/>
      <c r="MG40" s="292"/>
      <c r="MH40" s="292"/>
      <c r="MI40" s="292"/>
      <c r="MJ40" s="292"/>
      <c r="MK40" s="292"/>
      <c r="ML40" s="292"/>
      <c r="MM40" s="292"/>
      <c r="MN40" s="292"/>
      <c r="MO40" s="292"/>
      <c r="MP40" s="292"/>
      <c r="MQ40" s="292"/>
      <c r="MR40" s="292"/>
      <c r="MS40" s="292"/>
      <c r="MT40" s="292"/>
      <c r="MU40" s="292"/>
      <c r="MV40" s="292"/>
      <c r="MW40" s="292"/>
      <c r="MX40" s="292"/>
      <c r="MY40" s="292"/>
      <c r="MZ40" s="292"/>
      <c r="NA40" s="292"/>
      <c r="NB40" s="292"/>
      <c r="NC40" s="292"/>
      <c r="ND40" s="292"/>
      <c r="NE40" s="292"/>
      <c r="NF40" s="292"/>
      <c r="NG40" s="292"/>
      <c r="NH40" s="292"/>
      <c r="NI40" s="292"/>
      <c r="NJ40" s="292"/>
      <c r="NK40" s="292"/>
      <c r="NL40" s="292"/>
      <c r="NM40" s="292"/>
      <c r="NN40" s="292"/>
      <c r="NO40" s="292"/>
      <c r="NP40" s="292"/>
      <c r="NQ40" s="292"/>
      <c r="NR40" s="292"/>
      <c r="NS40" s="292"/>
      <c r="NT40" s="292"/>
      <c r="NU40" s="292"/>
      <c r="NV40" s="292"/>
      <c r="NW40" s="292"/>
      <c r="NX40" s="292"/>
      <c r="NY40" s="292"/>
      <c r="NZ40" s="292"/>
      <c r="OA40" s="292"/>
      <c r="OB40" s="292"/>
      <c r="OC40" s="292"/>
      <c r="OD40" s="292"/>
      <c r="OE40" s="292"/>
      <c r="OF40" s="292"/>
      <c r="OG40" s="292"/>
      <c r="OH40" s="292"/>
      <c r="OI40" s="292"/>
      <c r="OJ40" s="292"/>
      <c r="OK40" s="292"/>
      <c r="OL40" s="292"/>
      <c r="OM40" s="292"/>
      <c r="ON40" s="292"/>
      <c r="OO40" s="292"/>
      <c r="OP40" s="292"/>
      <c r="OQ40" s="292"/>
      <c r="OR40" s="292"/>
      <c r="OS40" s="292"/>
      <c r="OT40" s="292"/>
      <c r="OU40" s="292"/>
      <c r="OV40" s="292"/>
      <c r="OW40" s="292"/>
      <c r="OX40" s="292"/>
      <c r="OY40" s="292"/>
      <c r="OZ40" s="292"/>
      <c r="PA40" s="292"/>
      <c r="PB40" s="292"/>
      <c r="PC40" s="292"/>
      <c r="PD40" s="292"/>
      <c r="PE40" s="292"/>
      <c r="PF40" s="292"/>
      <c r="PG40" s="292"/>
      <c r="PH40" s="292"/>
      <c r="PI40" s="292"/>
      <c r="PJ40" s="292"/>
      <c r="PK40" s="292"/>
      <c r="PL40" s="292"/>
      <c r="PM40" s="292"/>
      <c r="PN40" s="292"/>
      <c r="PO40" s="292"/>
      <c r="PP40" s="292"/>
      <c r="PQ40" s="292"/>
      <c r="PR40" s="292"/>
      <c r="PS40" s="292"/>
      <c r="PT40" s="292"/>
      <c r="PU40" s="292"/>
      <c r="PV40" s="292"/>
      <c r="PW40" s="292"/>
      <c r="PX40" s="292"/>
      <c r="PY40" s="292"/>
      <c r="PZ40" s="292"/>
      <c r="QA40" s="292"/>
      <c r="QB40" s="292"/>
      <c r="QC40" s="292"/>
      <c r="QD40" s="292"/>
      <c r="QE40" s="292"/>
      <c r="QF40" s="292"/>
      <c r="QG40" s="292"/>
      <c r="QH40" s="292"/>
      <c r="QI40" s="292"/>
      <c r="QJ40" s="292"/>
      <c r="QK40" s="292"/>
      <c r="QL40" s="292"/>
      <c r="QM40" s="292"/>
      <c r="QN40" s="292"/>
      <c r="QO40" s="292"/>
      <c r="QP40" s="292"/>
      <c r="QQ40" s="292"/>
      <c r="QR40" s="292"/>
      <c r="QS40" s="292"/>
      <c r="QT40" s="292"/>
      <c r="QU40" s="292"/>
      <c r="QV40" s="292"/>
      <c r="QW40" s="292"/>
      <c r="QX40" s="292"/>
      <c r="QY40" s="292"/>
      <c r="QZ40" s="292"/>
      <c r="RA40" s="292"/>
      <c r="RB40" s="292"/>
      <c r="RC40" s="292"/>
      <c r="RD40" s="292"/>
      <c r="RE40" s="292"/>
      <c r="RF40" s="292"/>
      <c r="RG40" s="292"/>
      <c r="RH40" s="292"/>
      <c r="RI40" s="292"/>
      <c r="RJ40" s="292"/>
      <c r="RK40" s="292"/>
      <c r="RL40" s="292"/>
      <c r="RM40" s="292"/>
      <c r="RN40" s="292"/>
      <c r="RO40" s="292"/>
      <c r="RP40" s="292"/>
      <c r="RQ40" s="292"/>
      <c r="RR40" s="292"/>
      <c r="RS40" s="292"/>
      <c r="RT40" s="292"/>
      <c r="RU40" s="292"/>
      <c r="RV40" s="292"/>
      <c r="RW40" s="292"/>
      <c r="RX40" s="292"/>
      <c r="RY40" s="292"/>
      <c r="RZ40" s="292"/>
      <c r="SA40" s="292"/>
      <c r="SB40" s="292"/>
      <c r="SC40" s="292"/>
      <c r="SD40" s="292"/>
      <c r="SE40" s="292"/>
      <c r="SF40" s="292"/>
      <c r="SG40" s="292"/>
      <c r="SH40" s="292"/>
      <c r="SI40" s="292"/>
      <c r="SJ40" s="292"/>
      <c r="SK40" s="292"/>
      <c r="SL40" s="292"/>
      <c r="SM40" s="292"/>
      <c r="SN40" s="292"/>
      <c r="SO40" s="292"/>
      <c r="SP40" s="292"/>
      <c r="SQ40" s="292"/>
      <c r="SR40" s="292"/>
      <c r="SS40" s="292"/>
      <c r="ST40" s="292"/>
      <c r="SU40" s="292"/>
    </row>
    <row r="41" spans="1:545" s="620" customFormat="1" ht="15" customHeight="1" x14ac:dyDescent="0.25">
      <c r="A41" s="1007"/>
      <c r="B41" s="1006"/>
      <c r="C41" s="1006"/>
      <c r="D41" s="962"/>
      <c r="E41" s="962"/>
      <c r="F41" s="962"/>
      <c r="G41" s="981"/>
      <c r="H41" s="957"/>
      <c r="I41" s="962"/>
      <c r="J41" s="962"/>
      <c r="K41" s="981"/>
      <c r="L41" s="957"/>
      <c r="M41" s="962"/>
      <c r="N41" s="962"/>
      <c r="O41" s="981"/>
      <c r="P41" s="957"/>
      <c r="Q41" s="957"/>
      <c r="R41" s="957"/>
      <c r="S41" s="981"/>
      <c r="T41" s="957"/>
      <c r="U41" s="1180"/>
      <c r="V41" s="1180"/>
      <c r="W41" s="981"/>
      <c r="X41" s="957"/>
      <c r="Y41" s="1180"/>
      <c r="Z41" s="1180"/>
      <c r="AA41" s="981"/>
      <c r="AB41" s="976"/>
      <c r="AC41" s="957"/>
      <c r="AD41" s="981"/>
      <c r="AE41" s="971"/>
      <c r="AF41" s="292"/>
      <c r="AG41" s="292"/>
      <c r="AH41" s="292"/>
      <c r="AI41" s="292"/>
      <c r="AJ41" s="292"/>
      <c r="AK41" s="292"/>
      <c r="AL41" s="292"/>
      <c r="AM41" s="292"/>
      <c r="AN41" s="292"/>
      <c r="AO41" s="292"/>
      <c r="AP41" s="292"/>
      <c r="AQ41" s="292"/>
      <c r="AR41" s="292"/>
      <c r="AS41" s="292"/>
      <c r="AT41" s="292"/>
      <c r="AU41" s="292"/>
      <c r="AV41" s="292"/>
      <c r="AW41" s="292"/>
      <c r="AX41" s="292"/>
      <c r="AY41" s="292"/>
      <c r="AZ41" s="292"/>
      <c r="BA41" s="292"/>
      <c r="BB41" s="292"/>
      <c r="BC41" s="292"/>
      <c r="BD41" s="292"/>
      <c r="BE41" s="292"/>
      <c r="BF41" s="292"/>
      <c r="BG41" s="292"/>
      <c r="BH41" s="292"/>
      <c r="BI41" s="292"/>
      <c r="BJ41" s="292"/>
      <c r="BK41" s="292"/>
      <c r="BL41" s="292"/>
    </row>
    <row r="42" spans="1:545" ht="27.65" customHeight="1" x14ac:dyDescent="0.25">
      <c r="A42" s="1334" t="s">
        <v>342</v>
      </c>
      <c r="B42" s="1335"/>
      <c r="C42" s="1335"/>
      <c r="D42" s="957"/>
      <c r="E42" s="1179" t="s">
        <v>327</v>
      </c>
      <c r="F42" s="1179" t="s">
        <v>343</v>
      </c>
      <c r="G42" s="1141" t="s">
        <v>344</v>
      </c>
      <c r="H42" s="957"/>
      <c r="I42" s="1179" t="s">
        <v>327</v>
      </c>
      <c r="J42" s="1179" t="s">
        <v>343</v>
      </c>
      <c r="K42" s="1141" t="s">
        <v>344</v>
      </c>
      <c r="L42" s="957"/>
      <c r="M42" s="1179" t="s">
        <v>327</v>
      </c>
      <c r="N42" s="1179" t="s">
        <v>343</v>
      </c>
      <c r="O42" s="1141" t="s">
        <v>344</v>
      </c>
      <c r="P42" s="957"/>
      <c r="Q42" s="1179" t="s">
        <v>327</v>
      </c>
      <c r="R42" s="1179" t="s">
        <v>343</v>
      </c>
      <c r="S42" s="1141" t="s">
        <v>344</v>
      </c>
      <c r="T42" s="957"/>
      <c r="U42" s="1179" t="s">
        <v>327</v>
      </c>
      <c r="V42" s="1179" t="s">
        <v>343</v>
      </c>
      <c r="W42" s="1141" t="s">
        <v>344</v>
      </c>
      <c r="X42" s="957"/>
      <c r="Y42" s="1179" t="s">
        <v>345</v>
      </c>
      <c r="Z42" s="1179" t="s">
        <v>343</v>
      </c>
      <c r="AA42" s="1141" t="s">
        <v>344</v>
      </c>
      <c r="AB42" s="957"/>
      <c r="AC42" s="1179" t="s">
        <v>327</v>
      </c>
      <c r="AD42" s="1142" t="s">
        <v>346</v>
      </c>
      <c r="AE42" s="971"/>
    </row>
    <row r="43" spans="1:545" ht="15" customHeight="1" x14ac:dyDescent="0.25">
      <c r="A43" s="1337" t="s">
        <v>347</v>
      </c>
      <c r="B43" s="1338"/>
      <c r="C43" s="1095" t="s">
        <v>348</v>
      </c>
      <c r="D43" s="957"/>
      <c r="E43" s="797">
        <v>0</v>
      </c>
      <c r="F43" s="1158">
        <v>0</v>
      </c>
      <c r="G43" s="998">
        <f>E43*F43</f>
        <v>0</v>
      </c>
      <c r="H43" s="957"/>
      <c r="I43" s="797">
        <v>0</v>
      </c>
      <c r="J43" s="622">
        <v>0</v>
      </c>
      <c r="K43" s="998">
        <f>I43*J43</f>
        <v>0</v>
      </c>
      <c r="L43" s="957"/>
      <c r="M43" s="797">
        <v>0</v>
      </c>
      <c r="N43" s="622">
        <v>0</v>
      </c>
      <c r="O43" s="998">
        <f>M43*N43</f>
        <v>0</v>
      </c>
      <c r="P43" s="957"/>
      <c r="Q43" s="797">
        <v>0</v>
      </c>
      <c r="R43" s="622">
        <v>0</v>
      </c>
      <c r="S43" s="998">
        <f>Q43*R43</f>
        <v>0</v>
      </c>
      <c r="T43" s="957"/>
      <c r="U43" s="797">
        <v>0</v>
      </c>
      <c r="V43" s="622">
        <v>0</v>
      </c>
      <c r="W43" s="998">
        <f>U43*V43</f>
        <v>0</v>
      </c>
      <c r="X43" s="957"/>
      <c r="Y43" s="797">
        <v>0</v>
      </c>
      <c r="Z43" s="622">
        <v>0</v>
      </c>
      <c r="AA43" s="998">
        <f>Y43*Z43</f>
        <v>0</v>
      </c>
      <c r="AB43" s="975"/>
      <c r="AC43" s="1097">
        <f>SUM(E43,I43,M43,Q43,U43,Y43)</f>
        <v>0</v>
      </c>
      <c r="AD43" s="998">
        <f>G43+K43+O43+S43+W43+AA43</f>
        <v>0</v>
      </c>
      <c r="AE43" s="971"/>
    </row>
    <row r="44" spans="1:545" ht="15" customHeight="1" x14ac:dyDescent="0.25">
      <c r="A44" s="1337" t="s">
        <v>349</v>
      </c>
      <c r="B44" s="1338"/>
      <c r="C44" s="1095" t="s">
        <v>348</v>
      </c>
      <c r="D44" s="957"/>
      <c r="E44" s="797">
        <v>0</v>
      </c>
      <c r="F44" s="622">
        <v>0</v>
      </c>
      <c r="G44" s="998">
        <f>E45*F44</f>
        <v>0</v>
      </c>
      <c r="H44" s="957"/>
      <c r="I44" s="797">
        <v>0</v>
      </c>
      <c r="J44" s="622">
        <v>0</v>
      </c>
      <c r="K44" s="998">
        <f>I44*J44</f>
        <v>0</v>
      </c>
      <c r="L44" s="957"/>
      <c r="M44" s="797">
        <v>0</v>
      </c>
      <c r="N44" s="622">
        <v>0</v>
      </c>
      <c r="O44" s="998">
        <f>M44*N44</f>
        <v>0</v>
      </c>
      <c r="P44" s="957"/>
      <c r="Q44" s="797">
        <v>0</v>
      </c>
      <c r="R44" s="622">
        <v>0</v>
      </c>
      <c r="S44" s="998">
        <f>Q44*R44</f>
        <v>0</v>
      </c>
      <c r="T44" s="957"/>
      <c r="U44" s="797">
        <v>0</v>
      </c>
      <c r="V44" s="622">
        <v>0</v>
      </c>
      <c r="W44" s="998">
        <f>U44*V44</f>
        <v>0</v>
      </c>
      <c r="X44" s="957"/>
      <c r="Y44" s="797">
        <v>0</v>
      </c>
      <c r="Z44" s="622">
        <v>0</v>
      </c>
      <c r="AA44" s="998">
        <f>Y44*Z44</f>
        <v>0</v>
      </c>
      <c r="AB44" s="975"/>
      <c r="AC44" s="1097">
        <f>SUM(E44,I44,M44,Q44,U44,Y44)</f>
        <v>0</v>
      </c>
      <c r="AD44" s="998">
        <f>G44+K44+O44+S44+W44+AA44</f>
        <v>0</v>
      </c>
      <c r="AE44" s="971"/>
    </row>
    <row r="45" spans="1:545" ht="15" customHeight="1" x14ac:dyDescent="0.25">
      <c r="A45" s="1337" t="s">
        <v>350</v>
      </c>
      <c r="B45" s="1338"/>
      <c r="C45" s="1095" t="s">
        <v>348</v>
      </c>
      <c r="D45" s="957"/>
      <c r="E45" s="797">
        <v>0</v>
      </c>
      <c r="F45" s="622">
        <v>0</v>
      </c>
      <c r="G45" s="998">
        <f>E46*F45</f>
        <v>0</v>
      </c>
      <c r="H45" s="957"/>
      <c r="I45" s="797">
        <v>0</v>
      </c>
      <c r="J45" s="622">
        <v>0</v>
      </c>
      <c r="K45" s="998">
        <f>I45*J45</f>
        <v>0</v>
      </c>
      <c r="L45" s="957"/>
      <c r="M45" s="797">
        <v>0</v>
      </c>
      <c r="N45" s="622">
        <v>0</v>
      </c>
      <c r="O45" s="998">
        <f>M45*N45</f>
        <v>0</v>
      </c>
      <c r="P45" s="957"/>
      <c r="Q45" s="797">
        <v>0</v>
      </c>
      <c r="R45" s="622">
        <v>0</v>
      </c>
      <c r="S45" s="998">
        <f>Q45*R45</f>
        <v>0</v>
      </c>
      <c r="T45" s="957"/>
      <c r="U45" s="797">
        <v>0</v>
      </c>
      <c r="V45" s="622">
        <v>0</v>
      </c>
      <c r="W45" s="998">
        <f>U45*V45</f>
        <v>0</v>
      </c>
      <c r="X45" s="957"/>
      <c r="Y45" s="797">
        <v>0</v>
      </c>
      <c r="Z45" s="622">
        <v>0</v>
      </c>
      <c r="AA45" s="998">
        <f>Y45*Z45</f>
        <v>0</v>
      </c>
      <c r="AB45" s="975"/>
      <c r="AC45" s="1097">
        <f>SUM(E45,I45,M45,Q45,U45,Y45)</f>
        <v>0</v>
      </c>
      <c r="AD45" s="998">
        <f>G45+K45+O45+S45+W45+AA45</f>
        <v>0</v>
      </c>
      <c r="AE45" s="971"/>
    </row>
    <row r="46" spans="1:545" ht="15" customHeight="1" x14ac:dyDescent="0.25">
      <c r="A46" s="1329" t="s">
        <v>351</v>
      </c>
      <c r="B46" s="1330"/>
      <c r="C46" s="1095" t="s">
        <v>348</v>
      </c>
      <c r="D46" s="957"/>
      <c r="E46" s="797">
        <v>0</v>
      </c>
      <c r="F46" s="622">
        <v>0</v>
      </c>
      <c r="G46" s="998">
        <f>E46*F46</f>
        <v>0</v>
      </c>
      <c r="H46" s="957"/>
      <c r="I46" s="797">
        <v>0</v>
      </c>
      <c r="J46" s="622">
        <v>0</v>
      </c>
      <c r="K46" s="998">
        <f>I46*J46</f>
        <v>0</v>
      </c>
      <c r="L46" s="957"/>
      <c r="M46" s="797">
        <v>0</v>
      </c>
      <c r="N46" s="622">
        <v>0</v>
      </c>
      <c r="O46" s="998">
        <f>M46*N46</f>
        <v>0</v>
      </c>
      <c r="P46" s="957"/>
      <c r="Q46" s="797">
        <v>0</v>
      </c>
      <c r="R46" s="622">
        <v>0</v>
      </c>
      <c r="S46" s="998">
        <f>Q46*R46</f>
        <v>0</v>
      </c>
      <c r="T46" s="957"/>
      <c r="U46" s="797">
        <v>0</v>
      </c>
      <c r="V46" s="622">
        <v>0</v>
      </c>
      <c r="W46" s="998">
        <f>U46*V46</f>
        <v>0</v>
      </c>
      <c r="X46" s="957"/>
      <c r="Y46" s="797">
        <v>0</v>
      </c>
      <c r="Z46" s="622">
        <v>0</v>
      </c>
      <c r="AA46" s="998">
        <f>Y46*Z46</f>
        <v>0</v>
      </c>
      <c r="AB46" s="975"/>
      <c r="AC46" s="1097">
        <f>SUM(E46,I46,M46,Q46,U46,Y46)</f>
        <v>0</v>
      </c>
      <c r="AD46" s="998">
        <f>G46+K46+O46+S46+W46+AA46</f>
        <v>0</v>
      </c>
      <c r="AE46" s="971"/>
    </row>
    <row r="47" spans="1:545" s="615" customFormat="1" ht="23.15" customHeight="1" x14ac:dyDescent="0.25">
      <c r="A47" s="1360" t="s">
        <v>342</v>
      </c>
      <c r="B47" s="1361"/>
      <c r="C47" s="1361"/>
      <c r="D47" s="957"/>
      <c r="E47" s="798">
        <f>SUM(E43:E46)</f>
        <v>0</v>
      </c>
      <c r="F47" s="995"/>
      <c r="G47" s="1131">
        <f>SUM(G42:G46)</f>
        <v>0</v>
      </c>
      <c r="H47" s="957"/>
      <c r="I47" s="798">
        <f>SUM(I43:I46)</f>
        <v>0</v>
      </c>
      <c r="J47" s="996"/>
      <c r="K47" s="1131">
        <f>SUM(K42:K46)</f>
        <v>0</v>
      </c>
      <c r="L47" s="957"/>
      <c r="M47" s="798">
        <f>SUM(M43:M46)</f>
        <v>0</v>
      </c>
      <c r="N47" s="996"/>
      <c r="O47" s="1131">
        <f>SUM(O42:O46)</f>
        <v>0</v>
      </c>
      <c r="P47" s="957"/>
      <c r="Q47" s="798">
        <f>SUM(Q43:Q46)</f>
        <v>0</v>
      </c>
      <c r="R47" s="996"/>
      <c r="S47" s="1131">
        <f>SUM(S42:S46)</f>
        <v>0</v>
      </c>
      <c r="T47" s="957"/>
      <c r="U47" s="798">
        <f>SUM(U43:U46)</f>
        <v>0</v>
      </c>
      <c r="V47" s="987"/>
      <c r="W47" s="1131">
        <f>SUM(W42:W46)</f>
        <v>0</v>
      </c>
      <c r="X47" s="957"/>
      <c r="Y47" s="798">
        <f>SUM(Y43:Y46)</f>
        <v>0</v>
      </c>
      <c r="Z47" s="987"/>
      <c r="AA47" s="1131">
        <f>SUM(AA42:AA46)</f>
        <v>0</v>
      </c>
      <c r="AB47" s="976"/>
      <c r="AC47" s="798">
        <f>SUM(AC43:AC46)</f>
        <v>0</v>
      </c>
      <c r="AD47" s="1131">
        <f>G47+K47+O47+S47+W47+AA47</f>
        <v>0</v>
      </c>
      <c r="AE47" s="971"/>
      <c r="AF47" s="292"/>
      <c r="AG47" s="292"/>
      <c r="AH47" s="292"/>
      <c r="AI47" s="292"/>
      <c r="AJ47" s="292"/>
      <c r="AK47" s="292"/>
      <c r="AL47" s="292"/>
      <c r="AM47" s="292"/>
      <c r="AN47" s="292"/>
      <c r="AO47" s="292"/>
      <c r="AP47" s="292"/>
      <c r="AQ47" s="292"/>
      <c r="AR47" s="292"/>
      <c r="AS47" s="292"/>
      <c r="AT47" s="292"/>
      <c r="AU47" s="292"/>
      <c r="AV47" s="292"/>
      <c r="AW47" s="292"/>
      <c r="AX47" s="292"/>
      <c r="AY47" s="292"/>
      <c r="AZ47" s="292"/>
      <c r="BA47" s="292"/>
      <c r="BB47" s="292"/>
      <c r="BC47" s="292"/>
      <c r="BD47" s="292"/>
      <c r="BE47" s="292"/>
      <c r="BF47" s="292"/>
      <c r="BG47" s="292"/>
      <c r="BH47" s="292"/>
      <c r="BI47" s="292"/>
      <c r="BJ47" s="292"/>
      <c r="BK47" s="292"/>
      <c r="BL47" s="292"/>
      <c r="BM47" s="292"/>
      <c r="BN47" s="292"/>
      <c r="BO47" s="292"/>
      <c r="BP47" s="292"/>
      <c r="BQ47" s="292"/>
      <c r="BR47" s="292"/>
      <c r="BS47" s="292"/>
      <c r="BT47" s="292"/>
      <c r="BU47" s="292"/>
      <c r="BV47" s="292"/>
      <c r="BW47" s="292"/>
      <c r="BX47" s="292"/>
      <c r="BY47" s="292"/>
      <c r="BZ47" s="292"/>
      <c r="CA47" s="292"/>
      <c r="CB47" s="292"/>
      <c r="CC47" s="292"/>
      <c r="CD47" s="292"/>
      <c r="CE47" s="292"/>
      <c r="CF47" s="292"/>
      <c r="CG47" s="292"/>
      <c r="CH47" s="292"/>
      <c r="CI47" s="292"/>
      <c r="CJ47" s="292"/>
      <c r="CK47" s="292"/>
      <c r="CL47" s="292"/>
      <c r="CM47" s="292"/>
      <c r="CN47" s="292"/>
      <c r="CO47" s="292"/>
      <c r="CP47" s="292"/>
      <c r="CQ47" s="292"/>
      <c r="CR47" s="292"/>
      <c r="CS47" s="292"/>
      <c r="CT47" s="292"/>
      <c r="CU47" s="292"/>
      <c r="CV47" s="292"/>
      <c r="CW47" s="292"/>
      <c r="CX47" s="292"/>
      <c r="CY47" s="292"/>
      <c r="CZ47" s="292"/>
      <c r="DA47" s="292"/>
      <c r="DB47" s="292"/>
      <c r="DC47" s="292"/>
      <c r="DD47" s="292"/>
      <c r="DE47" s="292"/>
      <c r="DF47" s="292"/>
      <c r="DG47" s="292"/>
      <c r="DH47" s="292"/>
      <c r="DI47" s="292"/>
      <c r="DJ47" s="292"/>
      <c r="DK47" s="292"/>
      <c r="DL47" s="292"/>
      <c r="DM47" s="292"/>
      <c r="DN47" s="292"/>
      <c r="DO47" s="292"/>
      <c r="DP47" s="292"/>
      <c r="DQ47" s="292"/>
      <c r="DR47" s="292"/>
      <c r="DS47" s="292"/>
      <c r="DT47" s="292"/>
      <c r="DU47" s="292"/>
      <c r="DV47" s="292"/>
      <c r="DW47" s="292"/>
      <c r="DX47" s="292"/>
      <c r="DY47" s="292"/>
      <c r="DZ47" s="292"/>
      <c r="EA47" s="292"/>
      <c r="EB47" s="292"/>
      <c r="EC47" s="292"/>
      <c r="ED47" s="292"/>
      <c r="EE47" s="292"/>
      <c r="EF47" s="292"/>
      <c r="EG47" s="292"/>
      <c r="EH47" s="292"/>
      <c r="EI47" s="292"/>
      <c r="EJ47" s="292"/>
      <c r="EK47" s="292"/>
      <c r="EL47" s="292"/>
      <c r="EM47" s="292"/>
      <c r="EN47" s="292"/>
      <c r="EO47" s="292"/>
      <c r="EP47" s="292"/>
      <c r="EQ47" s="292"/>
      <c r="ER47" s="292"/>
      <c r="ES47" s="292"/>
      <c r="ET47" s="292"/>
      <c r="EU47" s="292"/>
      <c r="EV47" s="292"/>
      <c r="EW47" s="292"/>
      <c r="EX47" s="292"/>
      <c r="EY47" s="292"/>
      <c r="EZ47" s="292"/>
      <c r="FA47" s="292"/>
      <c r="FB47" s="292"/>
      <c r="FC47" s="292"/>
      <c r="FD47" s="292"/>
      <c r="FE47" s="292"/>
      <c r="FF47" s="292"/>
      <c r="FG47" s="292"/>
      <c r="FH47" s="292"/>
      <c r="FI47" s="292"/>
      <c r="FJ47" s="292"/>
      <c r="FK47" s="292"/>
      <c r="FL47" s="292"/>
      <c r="FM47" s="292"/>
      <c r="FN47" s="292"/>
      <c r="FO47" s="292"/>
      <c r="FP47" s="292"/>
      <c r="FQ47" s="292"/>
      <c r="FR47" s="292"/>
      <c r="FS47" s="292"/>
      <c r="FT47" s="292"/>
      <c r="FU47" s="292"/>
      <c r="FV47" s="292"/>
      <c r="FW47" s="292"/>
      <c r="FX47" s="292"/>
      <c r="FY47" s="292"/>
      <c r="FZ47" s="292"/>
      <c r="GA47" s="292"/>
      <c r="GB47" s="292"/>
      <c r="GC47" s="292"/>
      <c r="GD47" s="292"/>
      <c r="GE47" s="292"/>
      <c r="GF47" s="292"/>
      <c r="GG47" s="292"/>
      <c r="GH47" s="292"/>
      <c r="GI47" s="292"/>
      <c r="GJ47" s="292"/>
      <c r="GK47" s="292"/>
      <c r="GL47" s="292"/>
      <c r="GM47" s="292"/>
      <c r="GN47" s="292"/>
      <c r="GO47" s="292"/>
      <c r="GP47" s="292"/>
      <c r="GQ47" s="292"/>
      <c r="GR47" s="292"/>
      <c r="GS47" s="292"/>
      <c r="GT47" s="292"/>
      <c r="GU47" s="292"/>
      <c r="GV47" s="292"/>
      <c r="GW47" s="292"/>
      <c r="GX47" s="292"/>
      <c r="GY47" s="292"/>
      <c r="GZ47" s="292"/>
      <c r="HA47" s="292"/>
      <c r="HB47" s="292"/>
      <c r="HC47" s="292"/>
      <c r="HD47" s="292"/>
      <c r="HE47" s="292"/>
      <c r="HF47" s="292"/>
      <c r="HG47" s="292"/>
      <c r="HH47" s="292"/>
      <c r="HI47" s="292"/>
      <c r="HJ47" s="292"/>
      <c r="HK47" s="292"/>
      <c r="HL47" s="292"/>
      <c r="HM47" s="292"/>
      <c r="HN47" s="292"/>
      <c r="HO47" s="292"/>
      <c r="HP47" s="292"/>
      <c r="HQ47" s="292"/>
      <c r="HR47" s="292"/>
      <c r="HS47" s="292"/>
      <c r="HT47" s="292"/>
      <c r="HU47" s="292"/>
      <c r="HV47" s="292"/>
      <c r="HW47" s="292"/>
      <c r="HX47" s="292"/>
      <c r="HY47" s="292"/>
      <c r="HZ47" s="292"/>
      <c r="IA47" s="292"/>
      <c r="IB47" s="292"/>
      <c r="IC47" s="292"/>
      <c r="ID47" s="292"/>
      <c r="IE47" s="292"/>
      <c r="IF47" s="292"/>
      <c r="IG47" s="292"/>
      <c r="IH47" s="292"/>
      <c r="II47" s="292"/>
      <c r="IJ47" s="292"/>
      <c r="IK47" s="292"/>
      <c r="IL47" s="292"/>
      <c r="IM47" s="292"/>
      <c r="IN47" s="292"/>
      <c r="IO47" s="292"/>
      <c r="IP47" s="292"/>
      <c r="IQ47" s="292"/>
      <c r="IR47" s="292"/>
      <c r="IS47" s="292"/>
      <c r="IT47" s="292"/>
      <c r="IU47" s="292"/>
      <c r="IV47" s="292"/>
      <c r="IW47" s="292"/>
      <c r="IX47" s="292"/>
      <c r="IY47" s="292"/>
      <c r="IZ47" s="292"/>
      <c r="JA47" s="292"/>
      <c r="JB47" s="292"/>
      <c r="JC47" s="292"/>
      <c r="JD47" s="292"/>
      <c r="JE47" s="292"/>
      <c r="JF47" s="292"/>
      <c r="JG47" s="292"/>
      <c r="JH47" s="292"/>
      <c r="JI47" s="292"/>
      <c r="JJ47" s="292"/>
      <c r="JK47" s="292"/>
      <c r="JL47" s="292"/>
      <c r="JM47" s="292"/>
      <c r="JN47" s="292"/>
      <c r="JO47" s="292"/>
      <c r="JP47" s="292"/>
      <c r="JQ47" s="292"/>
      <c r="JR47" s="292"/>
      <c r="JS47" s="292"/>
      <c r="JT47" s="292"/>
      <c r="JU47" s="292"/>
      <c r="JV47" s="292"/>
      <c r="JW47" s="292"/>
      <c r="JX47" s="292"/>
      <c r="JY47" s="292"/>
      <c r="JZ47" s="292"/>
      <c r="KA47" s="292"/>
      <c r="KB47" s="292"/>
      <c r="KC47" s="292"/>
      <c r="KD47" s="292"/>
      <c r="KE47" s="292"/>
      <c r="KF47" s="292"/>
      <c r="KG47" s="292"/>
      <c r="KH47" s="292"/>
      <c r="KI47" s="292"/>
      <c r="KJ47" s="292"/>
      <c r="KK47" s="292"/>
      <c r="KL47" s="292"/>
      <c r="KM47" s="292"/>
      <c r="KN47" s="292"/>
      <c r="KO47" s="292"/>
      <c r="KP47" s="292"/>
      <c r="KQ47" s="292"/>
      <c r="KR47" s="292"/>
      <c r="KS47" s="292"/>
      <c r="KT47" s="292"/>
      <c r="KU47" s="292"/>
      <c r="KV47" s="292"/>
      <c r="KW47" s="292"/>
      <c r="KX47" s="292"/>
      <c r="KY47" s="292"/>
      <c r="KZ47" s="292"/>
      <c r="LA47" s="292"/>
      <c r="LB47" s="292"/>
      <c r="LC47" s="292"/>
      <c r="LD47" s="292"/>
      <c r="LE47" s="292"/>
      <c r="LF47" s="292"/>
      <c r="LG47" s="292"/>
      <c r="LH47" s="292"/>
      <c r="LI47" s="292"/>
      <c r="LJ47" s="292"/>
      <c r="LK47" s="292"/>
      <c r="LL47" s="292"/>
      <c r="LM47" s="292"/>
      <c r="LN47" s="292"/>
      <c r="LO47" s="292"/>
      <c r="LP47" s="292"/>
      <c r="LQ47" s="292"/>
      <c r="LR47" s="292"/>
      <c r="LS47" s="292"/>
      <c r="LT47" s="292"/>
      <c r="LU47" s="292"/>
      <c r="LV47" s="292"/>
      <c r="LW47" s="292"/>
      <c r="LX47" s="292"/>
      <c r="LY47" s="292"/>
      <c r="LZ47" s="292"/>
      <c r="MA47" s="292"/>
      <c r="MB47" s="292"/>
      <c r="MC47" s="292"/>
      <c r="MD47" s="292"/>
      <c r="ME47" s="292"/>
      <c r="MF47" s="292"/>
      <c r="MG47" s="292"/>
      <c r="MH47" s="292"/>
      <c r="MI47" s="292"/>
      <c r="MJ47" s="292"/>
      <c r="MK47" s="292"/>
      <c r="ML47" s="292"/>
      <c r="MM47" s="292"/>
      <c r="MN47" s="292"/>
      <c r="MO47" s="292"/>
      <c r="MP47" s="292"/>
      <c r="MQ47" s="292"/>
      <c r="MR47" s="292"/>
      <c r="MS47" s="292"/>
      <c r="MT47" s="292"/>
      <c r="MU47" s="292"/>
      <c r="MV47" s="292"/>
      <c r="MW47" s="292"/>
      <c r="MX47" s="292"/>
      <c r="MY47" s="292"/>
      <c r="MZ47" s="292"/>
      <c r="NA47" s="292"/>
      <c r="NB47" s="292"/>
      <c r="NC47" s="292"/>
      <c r="ND47" s="292"/>
      <c r="NE47" s="292"/>
      <c r="NF47" s="292"/>
      <c r="NG47" s="292"/>
      <c r="NH47" s="292"/>
      <c r="NI47" s="292"/>
      <c r="NJ47" s="292"/>
      <c r="NK47" s="292"/>
      <c r="NL47" s="292"/>
      <c r="NM47" s="292"/>
      <c r="NN47" s="292"/>
      <c r="NO47" s="292"/>
      <c r="NP47" s="292"/>
      <c r="NQ47" s="292"/>
      <c r="NR47" s="292"/>
      <c r="NS47" s="292"/>
      <c r="NT47" s="292"/>
      <c r="NU47" s="292"/>
      <c r="NV47" s="292"/>
      <c r="NW47" s="292"/>
      <c r="NX47" s="292"/>
      <c r="NY47" s="292"/>
      <c r="NZ47" s="292"/>
      <c r="OA47" s="292"/>
      <c r="OB47" s="292"/>
      <c r="OC47" s="292"/>
      <c r="OD47" s="292"/>
      <c r="OE47" s="292"/>
      <c r="OF47" s="292"/>
      <c r="OG47" s="292"/>
      <c r="OH47" s="292"/>
      <c r="OI47" s="292"/>
      <c r="OJ47" s="292"/>
      <c r="OK47" s="292"/>
      <c r="OL47" s="292"/>
      <c r="OM47" s="292"/>
      <c r="ON47" s="292"/>
      <c r="OO47" s="292"/>
      <c r="OP47" s="292"/>
      <c r="OQ47" s="292"/>
      <c r="OR47" s="292"/>
      <c r="OS47" s="292"/>
      <c r="OT47" s="292"/>
      <c r="OU47" s="292"/>
      <c r="OV47" s="292"/>
      <c r="OW47" s="292"/>
      <c r="OX47" s="292"/>
      <c r="OY47" s="292"/>
      <c r="OZ47" s="292"/>
      <c r="PA47" s="292"/>
      <c r="PB47" s="292"/>
      <c r="PC47" s="292"/>
      <c r="PD47" s="292"/>
      <c r="PE47" s="292"/>
      <c r="PF47" s="292"/>
      <c r="PG47" s="292"/>
      <c r="PH47" s="292"/>
      <c r="PI47" s="292"/>
      <c r="PJ47" s="292"/>
      <c r="PK47" s="292"/>
      <c r="PL47" s="292"/>
      <c r="PM47" s="292"/>
      <c r="PN47" s="292"/>
      <c r="PO47" s="292"/>
      <c r="PP47" s="292"/>
      <c r="PQ47" s="292"/>
      <c r="PR47" s="292"/>
      <c r="PS47" s="292"/>
      <c r="PT47" s="292"/>
      <c r="PU47" s="292"/>
      <c r="PV47" s="292"/>
      <c r="PW47" s="292"/>
      <c r="PX47" s="292"/>
      <c r="PY47" s="292"/>
      <c r="PZ47" s="292"/>
      <c r="QA47" s="292"/>
      <c r="QB47" s="292"/>
      <c r="QC47" s="292"/>
      <c r="QD47" s="292"/>
      <c r="QE47" s="292"/>
      <c r="QF47" s="292"/>
      <c r="QG47" s="292"/>
      <c r="QH47" s="292"/>
      <c r="QI47" s="292"/>
      <c r="QJ47" s="292"/>
      <c r="QK47" s="292"/>
      <c r="QL47" s="292"/>
      <c r="QM47" s="292"/>
      <c r="QN47" s="292"/>
      <c r="QO47" s="292"/>
      <c r="QP47" s="292"/>
      <c r="QQ47" s="292"/>
      <c r="QR47" s="292"/>
      <c r="QS47" s="292"/>
      <c r="QT47" s="292"/>
      <c r="QU47" s="292"/>
      <c r="QV47" s="292"/>
      <c r="QW47" s="292"/>
      <c r="QX47" s="292"/>
      <c r="QY47" s="292"/>
      <c r="QZ47" s="292"/>
      <c r="RA47" s="292"/>
      <c r="RB47" s="292"/>
      <c r="RC47" s="292"/>
      <c r="RD47" s="292"/>
      <c r="RE47" s="292"/>
      <c r="RF47" s="292"/>
      <c r="RG47" s="292"/>
      <c r="RH47" s="292"/>
      <c r="RI47" s="292"/>
      <c r="RJ47" s="292"/>
      <c r="RK47" s="292"/>
      <c r="RL47" s="292"/>
      <c r="RM47" s="292"/>
      <c r="RN47" s="292"/>
      <c r="RO47" s="292"/>
      <c r="RP47" s="292"/>
      <c r="RQ47" s="292"/>
      <c r="RR47" s="292"/>
      <c r="RS47" s="292"/>
      <c r="RT47" s="292"/>
      <c r="RU47" s="292"/>
      <c r="RV47" s="292"/>
      <c r="RW47" s="292"/>
      <c r="RX47" s="292"/>
      <c r="RY47" s="292"/>
      <c r="RZ47" s="292"/>
      <c r="SA47" s="292"/>
      <c r="SB47" s="292"/>
      <c r="SC47" s="292"/>
      <c r="SD47" s="292"/>
      <c r="SE47" s="292"/>
      <c r="SF47" s="292"/>
      <c r="SG47" s="292"/>
      <c r="SH47" s="292"/>
      <c r="SI47" s="292"/>
      <c r="SJ47" s="292"/>
      <c r="SK47" s="292"/>
      <c r="SL47" s="292"/>
      <c r="SM47" s="292"/>
      <c r="SN47" s="292"/>
      <c r="SO47" s="292"/>
      <c r="SP47" s="292"/>
      <c r="SQ47" s="292"/>
      <c r="SR47" s="292"/>
      <c r="SS47" s="292"/>
      <c r="ST47" s="292"/>
      <c r="SU47" s="292"/>
    </row>
    <row r="48" spans="1:545" s="620" customFormat="1" ht="15" customHeight="1" x14ac:dyDescent="0.25">
      <c r="A48" s="986"/>
      <c r="B48" s="984"/>
      <c r="C48" s="984"/>
      <c r="D48" s="957"/>
      <c r="E48" s="983"/>
      <c r="F48" s="957"/>
      <c r="G48" s="981"/>
      <c r="H48" s="957"/>
      <c r="I48" s="983"/>
      <c r="J48" s="981"/>
      <c r="K48" s="981"/>
      <c r="L48" s="957"/>
      <c r="M48" s="983"/>
      <c r="N48" s="981"/>
      <c r="O48" s="981"/>
      <c r="P48" s="957"/>
      <c r="Q48" s="983"/>
      <c r="R48" s="981"/>
      <c r="S48" s="981"/>
      <c r="T48" s="957"/>
      <c r="U48" s="983"/>
      <c r="V48" s="957"/>
      <c r="W48" s="981"/>
      <c r="X48" s="957"/>
      <c r="Y48" s="983"/>
      <c r="Z48" s="957"/>
      <c r="AA48" s="981"/>
      <c r="AB48" s="976"/>
      <c r="AC48" s="983"/>
      <c r="AD48" s="981"/>
      <c r="AE48" s="971"/>
      <c r="AF48" s="292"/>
      <c r="AG48" s="292"/>
      <c r="AH48" s="292"/>
      <c r="AI48" s="292"/>
      <c r="AJ48" s="292"/>
      <c r="AK48" s="292"/>
      <c r="AL48" s="292"/>
      <c r="AM48" s="292"/>
      <c r="AN48" s="292"/>
      <c r="AO48" s="292"/>
      <c r="AP48" s="292"/>
      <c r="AQ48" s="292"/>
      <c r="AR48" s="292"/>
      <c r="AS48" s="292"/>
      <c r="AT48" s="292"/>
      <c r="AU48" s="292"/>
      <c r="AV48" s="292"/>
      <c r="AW48" s="292"/>
      <c r="AX48" s="292"/>
      <c r="AY48" s="292"/>
      <c r="AZ48" s="292"/>
      <c r="BA48" s="292"/>
      <c r="BB48" s="292"/>
      <c r="BC48" s="292"/>
      <c r="BD48" s="292"/>
      <c r="BE48" s="292"/>
      <c r="BF48" s="292"/>
      <c r="BG48" s="292"/>
      <c r="BH48" s="292"/>
      <c r="BI48" s="292"/>
      <c r="BJ48" s="292"/>
      <c r="BK48" s="292"/>
      <c r="BL48" s="292"/>
    </row>
    <row r="49" spans="1:515" s="624" customFormat="1" ht="23.15" customHeight="1" x14ac:dyDescent="0.25">
      <c r="A49" s="1364" t="s">
        <v>352</v>
      </c>
      <c r="B49" s="1365"/>
      <c r="C49" s="1365"/>
      <c r="D49" s="962"/>
      <c r="E49" s="962"/>
      <c r="F49" s="962"/>
      <c r="G49" s="1175" t="s">
        <v>353</v>
      </c>
      <c r="H49" s="962"/>
      <c r="I49" s="962"/>
      <c r="J49" s="962"/>
      <c r="K49" s="1175" t="s">
        <v>353</v>
      </c>
      <c r="L49" s="962"/>
      <c r="M49" s="962"/>
      <c r="N49" s="962"/>
      <c r="O49" s="1175" t="s">
        <v>353</v>
      </c>
      <c r="P49" s="962"/>
      <c r="Q49" s="962"/>
      <c r="R49" s="962"/>
      <c r="S49" s="1175" t="s">
        <v>353</v>
      </c>
      <c r="T49" s="962"/>
      <c r="U49" s="962"/>
      <c r="V49" s="962"/>
      <c r="W49" s="1175" t="s">
        <v>345</v>
      </c>
      <c r="X49" s="962"/>
      <c r="Y49" s="962"/>
      <c r="Z49" s="962"/>
      <c r="AA49" s="1175" t="s">
        <v>353</v>
      </c>
      <c r="AB49" s="962"/>
      <c r="AC49" s="962"/>
      <c r="AD49" s="1175" t="s">
        <v>353</v>
      </c>
      <c r="AE49" s="971"/>
      <c r="AF49" s="292"/>
      <c r="AG49" s="292"/>
      <c r="AH49" s="292"/>
      <c r="AI49" s="292"/>
      <c r="AJ49" s="292"/>
      <c r="AK49" s="292"/>
      <c r="AL49" s="292"/>
      <c r="AM49" s="292"/>
      <c r="AN49" s="292"/>
      <c r="AO49" s="292"/>
      <c r="AP49" s="292"/>
      <c r="AQ49" s="292"/>
      <c r="AR49" s="292"/>
      <c r="AS49" s="292"/>
      <c r="AT49" s="292"/>
      <c r="AU49" s="292"/>
      <c r="AV49" s="292"/>
      <c r="AW49" s="292"/>
      <c r="AX49" s="292"/>
      <c r="AY49" s="292"/>
      <c r="AZ49" s="292"/>
      <c r="BA49" s="292"/>
      <c r="BB49" s="292"/>
      <c r="BC49" s="292"/>
      <c r="BD49" s="292"/>
      <c r="BE49" s="292"/>
      <c r="BF49" s="292"/>
      <c r="BG49" s="292"/>
      <c r="BH49" s="292"/>
      <c r="BI49" s="292"/>
      <c r="BJ49" s="292"/>
      <c r="BK49" s="292"/>
      <c r="BL49" s="292"/>
      <c r="BM49" s="292"/>
      <c r="BN49" s="292"/>
      <c r="BO49" s="292"/>
      <c r="BP49" s="292"/>
      <c r="BQ49" s="292"/>
      <c r="BR49" s="292"/>
      <c r="BS49" s="292"/>
      <c r="BT49" s="292"/>
      <c r="BU49" s="292"/>
      <c r="BV49" s="292"/>
      <c r="BW49" s="292"/>
      <c r="BX49" s="292"/>
      <c r="BY49" s="292"/>
      <c r="BZ49" s="292"/>
      <c r="CA49" s="292"/>
      <c r="CB49" s="292"/>
      <c r="CC49" s="292"/>
      <c r="CD49" s="292"/>
      <c r="CE49" s="292"/>
      <c r="CF49" s="292"/>
      <c r="CG49" s="292"/>
      <c r="CH49" s="292"/>
      <c r="CI49" s="292"/>
      <c r="CJ49" s="292"/>
      <c r="CK49" s="292"/>
      <c r="CL49" s="292"/>
      <c r="CM49" s="292"/>
      <c r="CN49" s="292"/>
      <c r="CO49" s="292"/>
      <c r="CP49" s="292"/>
      <c r="CQ49" s="292"/>
      <c r="CR49" s="292"/>
      <c r="CS49" s="292"/>
      <c r="CT49" s="292"/>
      <c r="CU49" s="292"/>
      <c r="CV49" s="292"/>
      <c r="CW49" s="292"/>
      <c r="CX49" s="292"/>
      <c r="CY49" s="292"/>
      <c r="CZ49" s="292"/>
      <c r="DA49" s="292"/>
      <c r="DB49" s="292"/>
      <c r="DC49" s="292"/>
      <c r="DD49" s="292"/>
      <c r="DE49" s="292"/>
      <c r="DF49" s="292"/>
      <c r="DG49" s="292"/>
      <c r="DH49" s="292"/>
      <c r="DI49" s="292"/>
      <c r="DJ49" s="292"/>
      <c r="DK49" s="292"/>
      <c r="DL49" s="292"/>
      <c r="DM49" s="292"/>
      <c r="DN49" s="292"/>
      <c r="DO49" s="292"/>
      <c r="DP49" s="292"/>
      <c r="DQ49" s="292"/>
      <c r="DR49" s="292"/>
      <c r="DS49" s="292"/>
      <c r="DT49" s="292"/>
      <c r="DU49" s="292"/>
      <c r="DV49" s="292"/>
      <c r="DW49" s="292"/>
      <c r="DX49" s="292"/>
      <c r="DY49" s="292"/>
      <c r="DZ49" s="292"/>
      <c r="EA49" s="292"/>
      <c r="EB49" s="292"/>
      <c r="EC49" s="292"/>
      <c r="ED49" s="292"/>
      <c r="EE49" s="292"/>
      <c r="EF49" s="292"/>
      <c r="EG49" s="292"/>
      <c r="EH49" s="292"/>
      <c r="EI49" s="292"/>
      <c r="EJ49" s="292"/>
      <c r="EK49" s="292"/>
      <c r="EL49" s="292"/>
      <c r="EM49" s="292"/>
      <c r="EN49" s="292"/>
      <c r="EO49" s="292"/>
      <c r="EP49" s="292"/>
      <c r="EQ49" s="292"/>
      <c r="ER49" s="292"/>
      <c r="ES49" s="292"/>
      <c r="ET49" s="292"/>
      <c r="EU49" s="292"/>
      <c r="EV49" s="292"/>
      <c r="EW49" s="292"/>
      <c r="EX49" s="292"/>
      <c r="EY49" s="292"/>
      <c r="EZ49" s="292"/>
      <c r="FA49" s="292"/>
      <c r="FB49" s="292"/>
      <c r="FC49" s="292"/>
      <c r="FD49" s="292"/>
      <c r="FE49" s="292"/>
      <c r="FF49" s="292"/>
      <c r="FG49" s="292"/>
      <c r="FH49" s="292"/>
      <c r="FI49" s="292"/>
      <c r="FJ49" s="292"/>
      <c r="FK49" s="292"/>
      <c r="FL49" s="292"/>
      <c r="FM49" s="292"/>
      <c r="FN49" s="292"/>
      <c r="FO49" s="292"/>
      <c r="FP49" s="292"/>
      <c r="FQ49" s="292"/>
      <c r="FR49" s="292"/>
      <c r="FS49" s="292"/>
      <c r="FT49" s="292"/>
      <c r="FU49" s="292"/>
      <c r="FV49" s="292"/>
      <c r="FW49" s="292"/>
      <c r="FX49" s="292"/>
      <c r="FY49" s="292"/>
      <c r="FZ49" s="292"/>
      <c r="GA49" s="292"/>
      <c r="GB49" s="292"/>
      <c r="GC49" s="292"/>
      <c r="GD49" s="292"/>
      <c r="GE49" s="292"/>
      <c r="GF49" s="292"/>
      <c r="GG49" s="292"/>
      <c r="GH49" s="292"/>
      <c r="GI49" s="292"/>
      <c r="GJ49" s="292"/>
      <c r="GK49" s="292"/>
      <c r="GL49" s="292"/>
      <c r="GM49" s="292"/>
      <c r="GN49" s="292"/>
      <c r="GO49" s="292"/>
      <c r="GP49" s="292"/>
      <c r="GQ49" s="292"/>
      <c r="GR49" s="292"/>
      <c r="GS49" s="292"/>
      <c r="GT49" s="292"/>
      <c r="GU49" s="292"/>
      <c r="GV49" s="292"/>
      <c r="GW49" s="292"/>
      <c r="GX49" s="292"/>
      <c r="GY49" s="292"/>
      <c r="GZ49" s="292"/>
      <c r="HA49" s="292"/>
      <c r="HB49" s="292"/>
      <c r="HC49" s="292"/>
      <c r="HD49" s="292"/>
      <c r="HE49" s="292"/>
      <c r="HF49" s="292"/>
      <c r="HG49" s="292"/>
      <c r="HH49" s="292"/>
      <c r="HI49" s="292"/>
      <c r="HJ49" s="292"/>
      <c r="HK49" s="292"/>
      <c r="HL49" s="292"/>
      <c r="HM49" s="292"/>
      <c r="HN49" s="292"/>
      <c r="HO49" s="292"/>
      <c r="HP49" s="292"/>
      <c r="HQ49" s="292"/>
      <c r="HR49" s="292"/>
      <c r="HS49" s="292"/>
      <c r="HT49" s="292"/>
      <c r="HU49" s="292"/>
      <c r="HV49" s="292"/>
      <c r="HW49" s="292"/>
      <c r="HX49" s="292"/>
      <c r="HY49" s="292"/>
      <c r="HZ49" s="292"/>
      <c r="IA49" s="292"/>
      <c r="IB49" s="292"/>
      <c r="IC49" s="292"/>
      <c r="ID49" s="292"/>
      <c r="IE49" s="292"/>
      <c r="IF49" s="292"/>
      <c r="IG49" s="292"/>
      <c r="IH49" s="292"/>
      <c r="II49" s="292"/>
      <c r="IJ49" s="292"/>
      <c r="IK49" s="292"/>
      <c r="IL49" s="292"/>
      <c r="IM49" s="292"/>
      <c r="IN49" s="292"/>
      <c r="IO49" s="292"/>
      <c r="IP49" s="292"/>
      <c r="IQ49" s="292"/>
      <c r="IR49" s="292"/>
      <c r="IS49" s="292"/>
      <c r="IT49" s="292"/>
      <c r="IU49" s="292"/>
      <c r="IV49" s="292"/>
      <c r="IW49" s="292"/>
      <c r="IX49" s="292"/>
      <c r="IY49" s="292"/>
      <c r="IZ49" s="292"/>
      <c r="JA49" s="292"/>
      <c r="JB49" s="292"/>
      <c r="JC49" s="292"/>
      <c r="JD49" s="292"/>
      <c r="JE49" s="292"/>
      <c r="JF49" s="292"/>
      <c r="JG49" s="292"/>
      <c r="JH49" s="292"/>
      <c r="JI49" s="292"/>
      <c r="JJ49" s="292"/>
      <c r="JK49" s="292"/>
      <c r="JL49" s="292"/>
      <c r="JM49" s="292"/>
      <c r="JN49" s="292"/>
      <c r="JO49" s="292"/>
      <c r="JP49" s="292"/>
      <c r="JQ49" s="292"/>
      <c r="JR49" s="292"/>
      <c r="JS49" s="292"/>
      <c r="JT49" s="292"/>
      <c r="JU49" s="292"/>
      <c r="JV49" s="292"/>
      <c r="JW49" s="292"/>
      <c r="JX49" s="292"/>
      <c r="JY49" s="292"/>
      <c r="JZ49" s="292"/>
      <c r="KA49" s="292"/>
      <c r="KB49" s="292"/>
      <c r="KC49" s="292"/>
      <c r="KD49" s="292"/>
      <c r="KE49" s="292"/>
      <c r="KF49" s="292"/>
      <c r="KG49" s="292"/>
      <c r="KH49" s="292"/>
      <c r="KI49" s="292"/>
      <c r="KJ49" s="292"/>
      <c r="KK49" s="292"/>
      <c r="KL49" s="292"/>
      <c r="KM49" s="292"/>
      <c r="KN49" s="292"/>
      <c r="KO49" s="292"/>
      <c r="KP49" s="292"/>
      <c r="KQ49" s="292"/>
      <c r="KR49" s="292"/>
      <c r="KS49" s="292"/>
      <c r="KT49" s="292"/>
      <c r="KU49" s="292"/>
      <c r="KV49" s="292"/>
      <c r="KW49" s="292"/>
      <c r="KX49" s="292"/>
      <c r="KY49" s="292"/>
      <c r="KZ49" s="292"/>
      <c r="LA49" s="292"/>
      <c r="LB49" s="292"/>
      <c r="LC49" s="292"/>
      <c r="LD49" s="292"/>
      <c r="LE49" s="292"/>
      <c r="LF49" s="292"/>
      <c r="LG49" s="292"/>
      <c r="LH49" s="292"/>
      <c r="LI49" s="292"/>
      <c r="LJ49" s="292"/>
      <c r="LK49" s="292"/>
      <c r="LL49" s="292"/>
      <c r="LM49" s="292"/>
      <c r="LN49" s="292"/>
      <c r="LO49" s="292"/>
      <c r="LP49" s="292"/>
      <c r="LQ49" s="292"/>
      <c r="LR49" s="292"/>
      <c r="LS49" s="292"/>
      <c r="LT49" s="292"/>
      <c r="LU49" s="292"/>
      <c r="LV49" s="292"/>
      <c r="LW49" s="292"/>
      <c r="LX49" s="292"/>
      <c r="LY49" s="292"/>
      <c r="LZ49" s="292"/>
      <c r="MA49" s="292"/>
      <c r="MB49" s="292"/>
      <c r="MC49" s="292"/>
      <c r="MD49" s="292"/>
      <c r="ME49" s="292"/>
      <c r="MF49" s="292"/>
      <c r="MG49" s="292"/>
      <c r="MH49" s="292"/>
      <c r="MI49" s="292"/>
      <c r="MJ49" s="292"/>
      <c r="MK49" s="292"/>
      <c r="ML49" s="292"/>
      <c r="MM49" s="292"/>
      <c r="MN49" s="292"/>
      <c r="MO49" s="292"/>
      <c r="MP49" s="292"/>
      <c r="MQ49" s="292"/>
      <c r="MR49" s="292"/>
      <c r="MS49" s="292"/>
      <c r="MT49" s="292"/>
      <c r="MU49" s="292"/>
      <c r="MV49" s="292"/>
      <c r="MW49" s="292"/>
      <c r="MX49" s="292"/>
      <c r="MY49" s="292"/>
      <c r="MZ49" s="292"/>
      <c r="NA49" s="292"/>
      <c r="NB49" s="292"/>
      <c r="NC49" s="292"/>
      <c r="ND49" s="292"/>
      <c r="NE49" s="292"/>
      <c r="NF49" s="292"/>
      <c r="NG49" s="292"/>
      <c r="NH49" s="292"/>
      <c r="NI49" s="292"/>
      <c r="NJ49" s="292"/>
      <c r="NK49" s="292"/>
      <c r="NL49" s="292"/>
      <c r="NM49" s="292"/>
      <c r="NN49" s="292"/>
      <c r="NO49" s="292"/>
      <c r="NP49" s="292"/>
      <c r="NQ49" s="292"/>
      <c r="NR49" s="292"/>
      <c r="NS49" s="292"/>
      <c r="NT49" s="292"/>
      <c r="NU49" s="292"/>
      <c r="NV49" s="292"/>
      <c r="NW49" s="292"/>
      <c r="NX49" s="292"/>
      <c r="NY49" s="292"/>
      <c r="NZ49" s="292"/>
      <c r="OA49" s="292"/>
      <c r="OB49" s="292"/>
      <c r="OC49" s="292"/>
      <c r="OD49" s="292"/>
      <c r="OE49" s="292"/>
      <c r="OF49" s="292"/>
      <c r="OG49" s="292"/>
      <c r="OH49" s="292"/>
      <c r="OI49" s="292"/>
      <c r="OJ49" s="292"/>
      <c r="OK49" s="292"/>
      <c r="OL49" s="292"/>
      <c r="OM49" s="292"/>
      <c r="ON49" s="292"/>
      <c r="OO49" s="292"/>
      <c r="OP49" s="292"/>
      <c r="OQ49" s="292"/>
      <c r="OR49" s="292"/>
      <c r="OS49" s="292"/>
      <c r="OT49" s="292"/>
      <c r="OU49" s="292"/>
      <c r="OV49" s="292"/>
      <c r="OW49" s="292"/>
      <c r="OX49" s="292"/>
      <c r="OY49" s="292"/>
      <c r="OZ49" s="292"/>
      <c r="PA49" s="292"/>
      <c r="PB49" s="292"/>
      <c r="PC49" s="292"/>
      <c r="PD49" s="292"/>
      <c r="PE49" s="292"/>
      <c r="PF49" s="292"/>
      <c r="PG49" s="292"/>
      <c r="PH49" s="292"/>
      <c r="PI49" s="292"/>
      <c r="PJ49" s="292"/>
      <c r="PK49" s="292"/>
      <c r="PL49" s="292"/>
      <c r="PM49" s="292"/>
      <c r="PN49" s="292"/>
      <c r="PO49" s="292"/>
      <c r="PP49" s="292"/>
      <c r="PQ49" s="292"/>
      <c r="PR49" s="292"/>
      <c r="PS49" s="292"/>
      <c r="PT49" s="292"/>
      <c r="PU49" s="292"/>
      <c r="PV49" s="292"/>
      <c r="PW49" s="292"/>
      <c r="PX49" s="292"/>
      <c r="PY49" s="292"/>
      <c r="PZ49" s="292"/>
      <c r="QA49" s="292"/>
      <c r="QB49" s="292"/>
      <c r="QC49" s="292"/>
      <c r="QD49" s="292"/>
      <c r="QE49" s="292"/>
      <c r="QF49" s="292"/>
      <c r="QG49" s="292"/>
      <c r="QH49" s="292"/>
      <c r="QI49" s="292"/>
      <c r="QJ49" s="292"/>
      <c r="QK49" s="292"/>
      <c r="QL49" s="292"/>
      <c r="QM49" s="292"/>
      <c r="QN49" s="292"/>
      <c r="QO49" s="292"/>
      <c r="QP49" s="292"/>
      <c r="QQ49" s="292"/>
      <c r="QR49" s="292"/>
      <c r="QS49" s="292"/>
      <c r="QT49" s="292"/>
      <c r="QU49" s="292"/>
      <c r="QV49" s="292"/>
      <c r="QW49" s="292"/>
      <c r="QX49" s="292"/>
      <c r="QY49" s="292"/>
      <c r="QZ49" s="292"/>
      <c r="RA49" s="292"/>
      <c r="RB49" s="292"/>
      <c r="RC49" s="292"/>
      <c r="RD49" s="292"/>
      <c r="RE49" s="292"/>
      <c r="RF49" s="292"/>
      <c r="RG49" s="292"/>
      <c r="RH49" s="292"/>
      <c r="RI49" s="292"/>
      <c r="RJ49" s="292"/>
      <c r="RK49" s="292"/>
      <c r="RL49" s="292"/>
      <c r="RM49" s="292"/>
      <c r="RN49" s="292"/>
      <c r="RO49" s="292"/>
      <c r="RP49" s="292"/>
      <c r="RQ49" s="292"/>
      <c r="RR49" s="292"/>
      <c r="RS49" s="292"/>
      <c r="RT49" s="292"/>
      <c r="RU49" s="292"/>
      <c r="RV49" s="292"/>
      <c r="RW49" s="292"/>
      <c r="RX49" s="292"/>
      <c r="RY49" s="292"/>
      <c r="RZ49" s="292"/>
      <c r="SA49" s="292"/>
      <c r="SB49" s="292"/>
      <c r="SC49" s="292"/>
      <c r="SD49" s="292"/>
      <c r="SE49" s="292"/>
      <c r="SF49" s="292"/>
      <c r="SG49" s="292"/>
      <c r="SH49" s="292"/>
      <c r="SI49" s="292"/>
      <c r="SJ49" s="292"/>
      <c r="SK49" s="292"/>
      <c r="SL49" s="292"/>
      <c r="SM49" s="292"/>
      <c r="SN49" s="292"/>
      <c r="SO49" s="292"/>
      <c r="SP49" s="292"/>
      <c r="SQ49" s="292"/>
      <c r="SR49" s="292"/>
      <c r="SS49" s="292"/>
      <c r="ST49" s="292"/>
      <c r="SU49" s="292"/>
    </row>
    <row r="50" spans="1:515" ht="15" customHeight="1" x14ac:dyDescent="0.25">
      <c r="A50" s="1337" t="s">
        <v>354</v>
      </c>
      <c r="B50" s="1338"/>
      <c r="C50" s="1096" t="s">
        <v>355</v>
      </c>
      <c r="D50" s="962"/>
      <c r="E50" s="962"/>
      <c r="F50" s="962"/>
      <c r="G50" s="622">
        <v>0</v>
      </c>
      <c r="H50" s="962"/>
      <c r="I50" s="962"/>
      <c r="J50" s="962"/>
      <c r="K50" s="622">
        <v>0</v>
      </c>
      <c r="L50" s="962"/>
      <c r="M50" s="962"/>
      <c r="N50" s="962"/>
      <c r="O50" s="622">
        <v>0</v>
      </c>
      <c r="P50" s="962"/>
      <c r="Q50" s="962"/>
      <c r="R50" s="962"/>
      <c r="S50" s="622">
        <v>0</v>
      </c>
      <c r="T50" s="962"/>
      <c r="U50" s="962"/>
      <c r="V50" s="962"/>
      <c r="W50" s="622">
        <v>0</v>
      </c>
      <c r="X50" s="962"/>
      <c r="Y50" s="962"/>
      <c r="Z50" s="962"/>
      <c r="AA50" s="622">
        <v>0</v>
      </c>
      <c r="AB50" s="975"/>
      <c r="AC50" s="962"/>
      <c r="AD50" s="999">
        <f>G50+K50+O50+S50+W50+AA50</f>
        <v>0</v>
      </c>
      <c r="AE50" s="971"/>
    </row>
    <row r="51" spans="1:515" ht="15" customHeight="1" x14ac:dyDescent="0.25">
      <c r="A51" s="1337" t="s">
        <v>356</v>
      </c>
      <c r="B51" s="1338"/>
      <c r="C51" s="1096" t="s">
        <v>357</v>
      </c>
      <c r="D51" s="962"/>
      <c r="E51" s="962"/>
      <c r="F51" s="962"/>
      <c r="G51" s="622">
        <v>0</v>
      </c>
      <c r="H51" s="962"/>
      <c r="I51" s="962"/>
      <c r="J51" s="962" t="s">
        <v>358</v>
      </c>
      <c r="K51" s="622">
        <v>0</v>
      </c>
      <c r="L51" s="962"/>
      <c r="M51" s="962"/>
      <c r="N51" s="962"/>
      <c r="O51" s="622">
        <v>0</v>
      </c>
      <c r="P51" s="962"/>
      <c r="Q51" s="962"/>
      <c r="R51" s="962"/>
      <c r="S51" s="622">
        <v>0</v>
      </c>
      <c r="T51" s="962"/>
      <c r="U51" s="962"/>
      <c r="V51" s="962"/>
      <c r="W51" s="622">
        <v>0</v>
      </c>
      <c r="X51" s="962"/>
      <c r="Y51" s="962"/>
      <c r="Z51" s="962"/>
      <c r="AA51" s="622">
        <v>0</v>
      </c>
      <c r="AB51" s="975"/>
      <c r="AC51" s="962"/>
      <c r="AD51" s="999">
        <f>G51+K51+O51+S51+W51+AA51</f>
        <v>0</v>
      </c>
      <c r="AE51" s="971"/>
    </row>
    <row r="52" spans="1:515" ht="15" customHeight="1" x14ac:dyDescent="0.25">
      <c r="A52" s="1337" t="s">
        <v>48</v>
      </c>
      <c r="B52" s="1338"/>
      <c r="C52" s="1096" t="s">
        <v>359</v>
      </c>
      <c r="D52" s="962"/>
      <c r="E52" s="962"/>
      <c r="F52" s="962"/>
      <c r="G52" s="622">
        <v>0</v>
      </c>
      <c r="H52" s="962"/>
      <c r="I52" s="962"/>
      <c r="J52" s="962"/>
      <c r="K52" s="622">
        <v>0</v>
      </c>
      <c r="L52" s="962"/>
      <c r="M52" s="962"/>
      <c r="N52" s="962"/>
      <c r="O52" s="622">
        <v>0</v>
      </c>
      <c r="P52" s="962"/>
      <c r="Q52" s="962"/>
      <c r="R52" s="962"/>
      <c r="S52" s="622">
        <v>0</v>
      </c>
      <c r="T52" s="962"/>
      <c r="U52" s="962"/>
      <c r="V52" s="962"/>
      <c r="W52" s="622">
        <v>0</v>
      </c>
      <c r="X52" s="962"/>
      <c r="Y52" s="962"/>
      <c r="Z52" s="962"/>
      <c r="AA52" s="622">
        <v>0</v>
      </c>
      <c r="AB52" s="975"/>
      <c r="AC52" s="962"/>
      <c r="AD52" s="999">
        <f>G52+K52+O52+S52+W52+AA52</f>
        <v>0</v>
      </c>
      <c r="AE52" s="971"/>
    </row>
    <row r="53" spans="1:515" ht="21" customHeight="1" x14ac:dyDescent="0.25">
      <c r="A53" s="1329" t="s">
        <v>360</v>
      </c>
      <c r="B53" s="1330"/>
      <c r="C53" s="1096" t="s">
        <v>361</v>
      </c>
      <c r="D53" s="962"/>
      <c r="E53" s="962"/>
      <c r="F53" s="962"/>
      <c r="G53" s="622">
        <v>0</v>
      </c>
      <c r="H53" s="988"/>
      <c r="I53" s="962"/>
      <c r="J53" s="962"/>
      <c r="K53" s="622">
        <v>0</v>
      </c>
      <c r="L53" s="962"/>
      <c r="M53" s="962"/>
      <c r="N53" s="962"/>
      <c r="O53" s="622">
        <v>0</v>
      </c>
      <c r="P53" s="962"/>
      <c r="Q53" s="962"/>
      <c r="R53" s="962"/>
      <c r="S53" s="622">
        <v>0</v>
      </c>
      <c r="T53" s="962"/>
      <c r="U53" s="962"/>
      <c r="V53" s="962"/>
      <c r="W53" s="622">
        <v>0</v>
      </c>
      <c r="X53" s="962"/>
      <c r="Y53" s="962"/>
      <c r="Z53" s="962"/>
      <c r="AA53" s="622">
        <v>0</v>
      </c>
      <c r="AB53" s="975"/>
      <c r="AC53" s="962"/>
      <c r="AD53" s="999">
        <f>G53+K53+O53+S53+W53+AA53</f>
        <v>0</v>
      </c>
      <c r="AE53" s="971"/>
    </row>
    <row r="54" spans="1:515" s="624" customFormat="1" ht="23.15" customHeight="1" x14ac:dyDescent="0.25">
      <c r="A54" s="1362" t="s">
        <v>352</v>
      </c>
      <c r="B54" s="1363"/>
      <c r="C54" s="1363"/>
      <c r="D54" s="962"/>
      <c r="E54" s="960"/>
      <c r="F54" s="976"/>
      <c r="G54" s="789">
        <f>SUM(G49:G53)</f>
        <v>0</v>
      </c>
      <c r="H54" s="962"/>
      <c r="I54" s="960"/>
      <c r="J54" s="981"/>
      <c r="K54" s="789">
        <f>SUM(K49:K53)</f>
        <v>0</v>
      </c>
      <c r="L54" s="962"/>
      <c r="M54" s="984"/>
      <c r="N54" s="984"/>
      <c r="O54" s="789">
        <f>SUM(O49:O53)</f>
        <v>0</v>
      </c>
      <c r="P54" s="962"/>
      <c r="Q54" s="962"/>
      <c r="R54" s="962"/>
      <c r="S54" s="789">
        <f>SUM(S49:S53)</f>
        <v>0</v>
      </c>
      <c r="T54" s="962"/>
      <c r="U54" s="1309"/>
      <c r="V54" s="1309"/>
      <c r="W54" s="625">
        <f>SUM(W49:W53)</f>
        <v>0</v>
      </c>
      <c r="X54" s="962"/>
      <c r="Y54" s="1309"/>
      <c r="Z54" s="1309"/>
      <c r="AA54" s="789">
        <f>SUM(AA49:AA53)</f>
        <v>0</v>
      </c>
      <c r="AB54" s="976"/>
      <c r="AC54" s="962"/>
      <c r="AD54" s="789">
        <f>G54+K54+O54+S54+W54+AA54</f>
        <v>0</v>
      </c>
      <c r="AE54" s="971"/>
      <c r="AF54" s="292"/>
      <c r="AG54" s="292"/>
      <c r="AH54" s="292"/>
      <c r="AI54" s="292"/>
      <c r="AJ54" s="292"/>
      <c r="AK54" s="292"/>
      <c r="AL54" s="292"/>
      <c r="AM54" s="292"/>
      <c r="AN54" s="292"/>
      <c r="AO54" s="292"/>
      <c r="AP54" s="292"/>
      <c r="AQ54" s="292"/>
      <c r="AR54" s="292"/>
      <c r="AS54" s="292"/>
      <c r="AT54" s="292"/>
      <c r="AU54" s="292"/>
      <c r="AV54" s="292"/>
      <c r="AW54" s="292"/>
      <c r="AX54" s="292"/>
      <c r="AY54" s="292"/>
      <c r="AZ54" s="292"/>
      <c r="BA54" s="292"/>
      <c r="BB54" s="292"/>
      <c r="BC54" s="292"/>
      <c r="BD54" s="292"/>
      <c r="BE54" s="292"/>
      <c r="BF54" s="292"/>
      <c r="BG54" s="292"/>
      <c r="BH54" s="292"/>
      <c r="BI54" s="292"/>
      <c r="BJ54" s="292"/>
      <c r="BK54" s="292"/>
      <c r="BL54" s="292"/>
      <c r="BM54" s="292"/>
      <c r="BN54" s="292"/>
      <c r="BO54" s="292"/>
      <c r="BP54" s="292"/>
      <c r="BQ54" s="292"/>
      <c r="BR54" s="292"/>
      <c r="BS54" s="292"/>
      <c r="BT54" s="292"/>
      <c r="BU54" s="292"/>
      <c r="BV54" s="292"/>
      <c r="BW54" s="292"/>
      <c r="BX54" s="292"/>
      <c r="BY54" s="292"/>
      <c r="BZ54" s="292"/>
      <c r="CA54" s="292"/>
      <c r="CB54" s="292"/>
      <c r="CC54" s="292"/>
      <c r="CD54" s="292"/>
      <c r="CE54" s="292"/>
      <c r="CF54" s="292"/>
      <c r="CG54" s="292"/>
      <c r="CH54" s="292"/>
      <c r="CI54" s="292"/>
      <c r="CJ54" s="292"/>
      <c r="CK54" s="292"/>
      <c r="CL54" s="292"/>
      <c r="CM54" s="292"/>
      <c r="CN54" s="292"/>
      <c r="CO54" s="292"/>
      <c r="CP54" s="292"/>
      <c r="CQ54" s="292"/>
      <c r="CR54" s="292"/>
      <c r="CS54" s="292"/>
      <c r="CT54" s="292"/>
      <c r="CU54" s="292"/>
      <c r="CV54" s="292"/>
      <c r="CW54" s="292"/>
      <c r="CX54" s="292"/>
      <c r="CY54" s="292"/>
      <c r="CZ54" s="292"/>
      <c r="DA54" s="292"/>
      <c r="DB54" s="292"/>
      <c r="DC54" s="292"/>
      <c r="DD54" s="292"/>
      <c r="DE54" s="292"/>
      <c r="DF54" s="292"/>
      <c r="DG54" s="292"/>
      <c r="DH54" s="292"/>
      <c r="DI54" s="292"/>
      <c r="DJ54" s="292"/>
      <c r="DK54" s="292"/>
      <c r="DL54" s="292"/>
      <c r="DM54" s="292"/>
      <c r="DN54" s="292"/>
      <c r="DO54" s="292"/>
      <c r="DP54" s="292"/>
      <c r="DQ54" s="292"/>
      <c r="DR54" s="292"/>
      <c r="DS54" s="292"/>
      <c r="DT54" s="292"/>
      <c r="DU54" s="292"/>
      <c r="DV54" s="292"/>
      <c r="DW54" s="292"/>
      <c r="DX54" s="292"/>
      <c r="DY54" s="292"/>
      <c r="DZ54" s="292"/>
      <c r="EA54" s="292"/>
      <c r="EB54" s="292"/>
      <c r="EC54" s="292"/>
      <c r="ED54" s="292"/>
      <c r="EE54" s="292"/>
      <c r="EF54" s="292"/>
      <c r="EG54" s="292"/>
      <c r="EH54" s="292"/>
      <c r="EI54" s="292"/>
      <c r="EJ54" s="292"/>
      <c r="EK54" s="292"/>
      <c r="EL54" s="292"/>
      <c r="EM54" s="292"/>
      <c r="EN54" s="292"/>
      <c r="EO54" s="292"/>
      <c r="EP54" s="292"/>
      <c r="EQ54" s="292"/>
      <c r="ER54" s="292"/>
      <c r="ES54" s="292"/>
      <c r="ET54" s="292"/>
      <c r="EU54" s="292"/>
      <c r="EV54" s="292"/>
      <c r="EW54" s="292"/>
      <c r="EX54" s="292"/>
      <c r="EY54" s="292"/>
      <c r="EZ54" s="292"/>
      <c r="FA54" s="292"/>
      <c r="FB54" s="292"/>
      <c r="FC54" s="292"/>
      <c r="FD54" s="292"/>
      <c r="FE54" s="292"/>
      <c r="FF54" s="292"/>
      <c r="FG54" s="292"/>
      <c r="FH54" s="292"/>
      <c r="FI54" s="292"/>
      <c r="FJ54" s="292"/>
      <c r="FK54" s="292"/>
      <c r="FL54" s="292"/>
      <c r="FM54" s="292"/>
      <c r="FN54" s="292"/>
      <c r="FO54" s="292"/>
      <c r="FP54" s="292"/>
      <c r="FQ54" s="292"/>
      <c r="FR54" s="292"/>
      <c r="FS54" s="292"/>
      <c r="FT54" s="292"/>
      <c r="FU54" s="292"/>
      <c r="FV54" s="292"/>
      <c r="FW54" s="292"/>
      <c r="FX54" s="292"/>
      <c r="FY54" s="292"/>
      <c r="FZ54" s="292"/>
      <c r="GA54" s="292"/>
      <c r="GB54" s="292"/>
      <c r="GC54" s="292"/>
      <c r="GD54" s="292"/>
      <c r="GE54" s="292"/>
      <c r="GF54" s="292"/>
      <c r="GG54" s="292"/>
      <c r="GH54" s="292"/>
      <c r="GI54" s="292"/>
      <c r="GJ54" s="292"/>
      <c r="GK54" s="292"/>
      <c r="GL54" s="292"/>
      <c r="GM54" s="292"/>
      <c r="GN54" s="292"/>
      <c r="GO54" s="292"/>
      <c r="GP54" s="292"/>
      <c r="GQ54" s="292"/>
      <c r="GR54" s="292"/>
      <c r="GS54" s="292"/>
      <c r="GT54" s="292"/>
      <c r="GU54" s="292"/>
      <c r="GV54" s="292"/>
      <c r="GW54" s="292"/>
      <c r="GX54" s="292"/>
      <c r="GY54" s="292"/>
      <c r="GZ54" s="292"/>
      <c r="HA54" s="292"/>
      <c r="HB54" s="292"/>
      <c r="HC54" s="292"/>
      <c r="HD54" s="292"/>
      <c r="HE54" s="292"/>
      <c r="HF54" s="292"/>
      <c r="HG54" s="292"/>
      <c r="HH54" s="292"/>
      <c r="HI54" s="292"/>
      <c r="HJ54" s="292"/>
      <c r="HK54" s="292"/>
      <c r="HL54" s="292"/>
      <c r="HM54" s="292"/>
      <c r="HN54" s="292"/>
      <c r="HO54" s="292"/>
      <c r="HP54" s="292"/>
      <c r="HQ54" s="292"/>
      <c r="HR54" s="292"/>
      <c r="HS54" s="292"/>
      <c r="HT54" s="292"/>
      <c r="HU54" s="292"/>
      <c r="HV54" s="292"/>
      <c r="HW54" s="292"/>
      <c r="HX54" s="292"/>
      <c r="HY54" s="292"/>
      <c r="HZ54" s="292"/>
      <c r="IA54" s="292"/>
      <c r="IB54" s="292"/>
      <c r="IC54" s="292"/>
      <c r="ID54" s="292"/>
      <c r="IE54" s="292"/>
      <c r="IF54" s="292"/>
      <c r="IG54" s="292"/>
      <c r="IH54" s="292"/>
      <c r="II54" s="292"/>
      <c r="IJ54" s="292"/>
      <c r="IK54" s="292"/>
      <c r="IL54" s="292"/>
      <c r="IM54" s="292"/>
      <c r="IN54" s="292"/>
      <c r="IO54" s="292"/>
      <c r="IP54" s="292"/>
      <c r="IQ54" s="292"/>
      <c r="IR54" s="292"/>
      <c r="IS54" s="292"/>
      <c r="IT54" s="292"/>
      <c r="IU54" s="292"/>
      <c r="IV54" s="292"/>
      <c r="IW54" s="292"/>
      <c r="IX54" s="292"/>
      <c r="IY54" s="292"/>
      <c r="IZ54" s="292"/>
      <c r="JA54" s="292"/>
      <c r="JB54" s="292"/>
      <c r="JC54" s="292"/>
      <c r="JD54" s="292"/>
      <c r="JE54" s="292"/>
      <c r="JF54" s="292"/>
      <c r="JG54" s="292"/>
      <c r="JH54" s="292"/>
      <c r="JI54" s="292"/>
      <c r="JJ54" s="292"/>
      <c r="JK54" s="292"/>
      <c r="JL54" s="292"/>
      <c r="JM54" s="292"/>
      <c r="JN54" s="292"/>
      <c r="JO54" s="292"/>
      <c r="JP54" s="292"/>
      <c r="JQ54" s="292"/>
      <c r="JR54" s="292"/>
      <c r="JS54" s="292"/>
      <c r="JT54" s="292"/>
      <c r="JU54" s="292"/>
      <c r="JV54" s="292"/>
      <c r="JW54" s="292"/>
      <c r="JX54" s="292"/>
      <c r="JY54" s="292"/>
      <c r="JZ54" s="292"/>
      <c r="KA54" s="292"/>
      <c r="KB54" s="292"/>
      <c r="KC54" s="292"/>
      <c r="KD54" s="292"/>
      <c r="KE54" s="292"/>
      <c r="KF54" s="292"/>
      <c r="KG54" s="292"/>
      <c r="KH54" s="292"/>
      <c r="KI54" s="292"/>
      <c r="KJ54" s="292"/>
      <c r="KK54" s="292"/>
      <c r="KL54" s="292"/>
      <c r="KM54" s="292"/>
      <c r="KN54" s="292"/>
      <c r="KO54" s="292"/>
      <c r="KP54" s="292"/>
      <c r="KQ54" s="292"/>
      <c r="KR54" s="292"/>
      <c r="KS54" s="292"/>
      <c r="KT54" s="292"/>
      <c r="KU54" s="292"/>
      <c r="KV54" s="292"/>
      <c r="KW54" s="292"/>
      <c r="KX54" s="292"/>
      <c r="KY54" s="292"/>
      <c r="KZ54" s="292"/>
      <c r="LA54" s="292"/>
      <c r="LB54" s="292"/>
      <c r="LC54" s="292"/>
      <c r="LD54" s="292"/>
      <c r="LE54" s="292"/>
      <c r="LF54" s="292"/>
      <c r="LG54" s="292"/>
      <c r="LH54" s="292"/>
      <c r="LI54" s="292"/>
      <c r="LJ54" s="292"/>
      <c r="LK54" s="292"/>
      <c r="LL54" s="292"/>
      <c r="LM54" s="292"/>
      <c r="LN54" s="292"/>
      <c r="LO54" s="292"/>
      <c r="LP54" s="292"/>
      <c r="LQ54" s="292"/>
      <c r="LR54" s="292"/>
      <c r="LS54" s="292"/>
      <c r="LT54" s="292"/>
      <c r="LU54" s="292"/>
      <c r="LV54" s="292"/>
      <c r="LW54" s="292"/>
      <c r="LX54" s="292"/>
      <c r="LY54" s="292"/>
      <c r="LZ54" s="292"/>
      <c r="MA54" s="292"/>
      <c r="MB54" s="292"/>
      <c r="MC54" s="292"/>
      <c r="MD54" s="292"/>
      <c r="ME54" s="292"/>
      <c r="MF54" s="292"/>
      <c r="MG54" s="292"/>
      <c r="MH54" s="292"/>
      <c r="MI54" s="292"/>
      <c r="MJ54" s="292"/>
      <c r="MK54" s="292"/>
      <c r="ML54" s="292"/>
      <c r="MM54" s="292"/>
      <c r="MN54" s="292"/>
      <c r="MO54" s="292"/>
      <c r="MP54" s="292"/>
      <c r="MQ54" s="292"/>
      <c r="MR54" s="292"/>
      <c r="MS54" s="292"/>
      <c r="MT54" s="292"/>
      <c r="MU54" s="292"/>
      <c r="MV54" s="292"/>
      <c r="MW54" s="292"/>
      <c r="MX54" s="292"/>
      <c r="MY54" s="292"/>
      <c r="MZ54" s="292"/>
      <c r="NA54" s="292"/>
      <c r="NB54" s="292"/>
      <c r="NC54" s="292"/>
      <c r="ND54" s="292"/>
      <c r="NE54" s="292"/>
      <c r="NF54" s="292"/>
      <c r="NG54" s="292"/>
      <c r="NH54" s="292"/>
      <c r="NI54" s="292"/>
      <c r="NJ54" s="292"/>
      <c r="NK54" s="292"/>
      <c r="NL54" s="292"/>
      <c r="NM54" s="292"/>
      <c r="NN54" s="292"/>
      <c r="NO54" s="292"/>
      <c r="NP54" s="292"/>
      <c r="NQ54" s="292"/>
      <c r="NR54" s="292"/>
      <c r="NS54" s="292"/>
      <c r="NT54" s="292"/>
      <c r="NU54" s="292"/>
      <c r="NV54" s="292"/>
      <c r="NW54" s="292"/>
      <c r="NX54" s="292"/>
      <c r="NY54" s="292"/>
      <c r="NZ54" s="292"/>
      <c r="OA54" s="292"/>
      <c r="OB54" s="292"/>
      <c r="OC54" s="292"/>
      <c r="OD54" s="292"/>
      <c r="OE54" s="292"/>
      <c r="OF54" s="292"/>
      <c r="OG54" s="292"/>
      <c r="OH54" s="292"/>
      <c r="OI54" s="292"/>
      <c r="OJ54" s="292"/>
      <c r="OK54" s="292"/>
      <c r="OL54" s="292"/>
      <c r="OM54" s="292"/>
      <c r="ON54" s="292"/>
      <c r="OO54" s="292"/>
      <c r="OP54" s="292"/>
      <c r="OQ54" s="292"/>
      <c r="OR54" s="292"/>
      <c r="OS54" s="292"/>
      <c r="OT54" s="292"/>
      <c r="OU54" s="292"/>
      <c r="OV54" s="292"/>
      <c r="OW54" s="292"/>
      <c r="OX54" s="292"/>
      <c r="OY54" s="292"/>
      <c r="OZ54" s="292"/>
      <c r="PA54" s="292"/>
      <c r="PB54" s="292"/>
      <c r="PC54" s="292"/>
      <c r="PD54" s="292"/>
      <c r="PE54" s="292"/>
      <c r="PF54" s="292"/>
      <c r="PG54" s="292"/>
      <c r="PH54" s="292"/>
      <c r="PI54" s="292"/>
      <c r="PJ54" s="292"/>
      <c r="PK54" s="292"/>
      <c r="PL54" s="292"/>
      <c r="PM54" s="292"/>
      <c r="PN54" s="292"/>
      <c r="PO54" s="292"/>
      <c r="PP54" s="292"/>
      <c r="PQ54" s="292"/>
      <c r="PR54" s="292"/>
      <c r="PS54" s="292"/>
      <c r="PT54" s="292"/>
      <c r="PU54" s="292"/>
      <c r="PV54" s="292"/>
      <c r="PW54" s="292"/>
      <c r="PX54" s="292"/>
      <c r="PY54" s="292"/>
      <c r="PZ54" s="292"/>
      <c r="QA54" s="292"/>
      <c r="QB54" s="292"/>
      <c r="QC54" s="292"/>
      <c r="QD54" s="292"/>
      <c r="QE54" s="292"/>
      <c r="QF54" s="292"/>
      <c r="QG54" s="292"/>
      <c r="QH54" s="292"/>
      <c r="QI54" s="292"/>
      <c r="QJ54" s="292"/>
      <c r="QK54" s="292"/>
      <c r="QL54" s="292"/>
      <c r="QM54" s="292"/>
      <c r="QN54" s="292"/>
      <c r="QO54" s="292"/>
      <c r="QP54" s="292"/>
      <c r="QQ54" s="292"/>
      <c r="QR54" s="292"/>
      <c r="QS54" s="292"/>
      <c r="QT54" s="292"/>
      <c r="QU54" s="292"/>
      <c r="QV54" s="292"/>
      <c r="QW54" s="292"/>
      <c r="QX54" s="292"/>
      <c r="QY54" s="292"/>
      <c r="QZ54" s="292"/>
      <c r="RA54" s="292"/>
      <c r="RB54" s="292"/>
      <c r="RC54" s="292"/>
      <c r="RD54" s="292"/>
      <c r="RE54" s="292"/>
      <c r="RF54" s="292"/>
      <c r="RG54" s="292"/>
      <c r="RH54" s="292"/>
      <c r="RI54" s="292"/>
      <c r="RJ54" s="292"/>
      <c r="RK54" s="292"/>
      <c r="RL54" s="292"/>
      <c r="RM54" s="292"/>
      <c r="RN54" s="292"/>
      <c r="RO54" s="292"/>
      <c r="RP54" s="292"/>
      <c r="RQ54" s="292"/>
      <c r="RR54" s="292"/>
      <c r="RS54" s="292"/>
      <c r="RT54" s="292"/>
      <c r="RU54" s="292"/>
      <c r="RV54" s="292"/>
      <c r="RW54" s="292"/>
      <c r="RX54" s="292"/>
      <c r="RY54" s="292"/>
      <c r="RZ54" s="292"/>
      <c r="SA54" s="292"/>
      <c r="SB54" s="292"/>
      <c r="SC54" s="292"/>
      <c r="SD54" s="292"/>
      <c r="SE54" s="292"/>
      <c r="SF54" s="292"/>
      <c r="SG54" s="292"/>
      <c r="SH54" s="292"/>
      <c r="SI54" s="292"/>
      <c r="SJ54" s="292"/>
      <c r="SK54" s="292"/>
      <c r="SL54" s="292"/>
      <c r="SM54" s="292"/>
      <c r="SN54" s="292"/>
      <c r="SO54" s="292"/>
      <c r="SP54" s="292"/>
      <c r="SQ54" s="292"/>
      <c r="SR54" s="292"/>
      <c r="SS54" s="292"/>
      <c r="ST54" s="292"/>
      <c r="SU54" s="292"/>
    </row>
    <row r="55" spans="1:515" s="620" customFormat="1" ht="15" customHeight="1" x14ac:dyDescent="0.25">
      <c r="A55" s="986"/>
      <c r="B55" s="984"/>
      <c r="C55" s="984"/>
      <c r="D55" s="962"/>
      <c r="E55" s="960"/>
      <c r="F55" s="976"/>
      <c r="G55" s="981"/>
      <c r="H55" s="962"/>
      <c r="I55" s="960"/>
      <c r="J55" s="981"/>
      <c r="K55" s="981"/>
      <c r="L55" s="962"/>
      <c r="M55" s="984"/>
      <c r="N55" s="984"/>
      <c r="O55" s="981"/>
      <c r="P55" s="962"/>
      <c r="Q55" s="962"/>
      <c r="R55" s="962"/>
      <c r="S55" s="976"/>
      <c r="T55" s="962"/>
      <c r="U55" s="1177"/>
      <c r="V55" s="1177"/>
      <c r="W55" s="976"/>
      <c r="X55" s="962"/>
      <c r="Y55" s="1177"/>
      <c r="Z55" s="1177"/>
      <c r="AA55" s="981"/>
      <c r="AB55" s="976"/>
      <c r="AC55" s="962"/>
      <c r="AD55" s="981"/>
      <c r="AE55" s="971"/>
      <c r="AF55" s="292"/>
      <c r="AG55" s="292"/>
      <c r="AH55" s="292"/>
      <c r="AI55" s="292"/>
      <c r="AJ55" s="292"/>
      <c r="AK55" s="292"/>
      <c r="AL55" s="292"/>
      <c r="AM55" s="292"/>
      <c r="AN55" s="292"/>
      <c r="AO55" s="292"/>
      <c r="AP55" s="292"/>
      <c r="AQ55" s="292"/>
      <c r="AR55" s="292"/>
      <c r="AS55" s="292"/>
      <c r="AT55" s="292"/>
      <c r="AU55" s="292"/>
      <c r="AV55" s="292"/>
      <c r="AW55" s="292"/>
      <c r="AX55" s="292"/>
      <c r="AY55" s="292"/>
      <c r="AZ55" s="292"/>
      <c r="BA55" s="292"/>
      <c r="BB55" s="292"/>
      <c r="BC55" s="292"/>
      <c r="BD55" s="292"/>
      <c r="BE55" s="292"/>
      <c r="BF55" s="292"/>
      <c r="BG55" s="292"/>
      <c r="BH55" s="292"/>
      <c r="BI55" s="292"/>
      <c r="BJ55" s="292"/>
      <c r="BK55" s="292"/>
      <c r="BL55" s="292"/>
    </row>
    <row r="56" spans="1:515" s="478" customFormat="1" ht="23.15" customHeight="1" x14ac:dyDescent="0.25">
      <c r="A56" s="1346" t="s">
        <v>362</v>
      </c>
      <c r="B56" s="1308"/>
      <c r="C56" s="1308"/>
      <c r="D56" s="957"/>
      <c r="E56" s="1172">
        <v>0</v>
      </c>
      <c r="F56" s="1172" t="s">
        <v>363</v>
      </c>
      <c r="G56" s="1172" t="s">
        <v>364</v>
      </c>
      <c r="H56" s="957"/>
      <c r="I56" s="1172" t="s">
        <v>15</v>
      </c>
      <c r="J56" s="1172" t="s">
        <v>363</v>
      </c>
      <c r="K56" s="1172" t="s">
        <v>364</v>
      </c>
      <c r="L56" s="957"/>
      <c r="M56" s="1172" t="s">
        <v>15</v>
      </c>
      <c r="N56" s="1172" t="s">
        <v>363</v>
      </c>
      <c r="O56" s="1172" t="s">
        <v>364</v>
      </c>
      <c r="P56" s="957"/>
      <c r="Q56" s="1172" t="s">
        <v>15</v>
      </c>
      <c r="R56" s="1172" t="s">
        <v>363</v>
      </c>
      <c r="S56" s="1172" t="s">
        <v>364</v>
      </c>
      <c r="T56" s="957"/>
      <c r="U56" s="1172" t="s">
        <v>15</v>
      </c>
      <c r="V56" s="1172" t="s">
        <v>363</v>
      </c>
      <c r="W56" s="1172" t="s">
        <v>364</v>
      </c>
      <c r="X56" s="957"/>
      <c r="Y56" s="1172" t="s">
        <v>15</v>
      </c>
      <c r="Z56" s="1172" t="s">
        <v>363</v>
      </c>
      <c r="AA56" s="1172" t="s">
        <v>364</v>
      </c>
      <c r="AB56" s="957"/>
      <c r="AC56" s="957"/>
      <c r="AD56" s="1172" t="s">
        <v>138</v>
      </c>
      <c r="AE56" s="971"/>
      <c r="AF56" s="292"/>
      <c r="AG56" s="292"/>
      <c r="AH56" s="292"/>
      <c r="AI56" s="292"/>
      <c r="AJ56" s="292"/>
      <c r="AK56" s="292"/>
      <c r="AL56" s="292"/>
      <c r="AM56" s="292"/>
      <c r="AN56" s="292"/>
      <c r="AO56" s="292"/>
      <c r="AP56" s="292"/>
      <c r="AQ56" s="292"/>
      <c r="AR56" s="292"/>
      <c r="AS56" s="292"/>
      <c r="AT56" s="292"/>
      <c r="AU56" s="292"/>
      <c r="AV56" s="292"/>
      <c r="AW56" s="292"/>
      <c r="AX56" s="292"/>
      <c r="AY56" s="292"/>
      <c r="AZ56" s="292"/>
      <c r="BA56" s="292"/>
      <c r="BB56" s="292"/>
      <c r="BC56" s="292"/>
      <c r="BD56" s="292"/>
      <c r="BE56" s="292"/>
      <c r="BF56" s="292"/>
      <c r="BG56" s="292"/>
      <c r="BH56" s="292"/>
      <c r="BI56" s="292"/>
      <c r="BJ56" s="292"/>
      <c r="BK56" s="292"/>
      <c r="BL56" s="292"/>
      <c r="BM56" s="292"/>
      <c r="BN56" s="292"/>
      <c r="BO56" s="292"/>
      <c r="BP56" s="292"/>
      <c r="BQ56" s="292"/>
      <c r="BR56" s="292"/>
      <c r="BS56" s="292"/>
      <c r="BT56" s="292"/>
      <c r="BU56" s="292"/>
      <c r="BV56" s="292"/>
      <c r="BW56" s="292"/>
      <c r="BX56" s="292"/>
      <c r="BY56" s="292"/>
      <c r="BZ56" s="292"/>
      <c r="CA56" s="292"/>
      <c r="CB56" s="292"/>
      <c r="CC56" s="292"/>
      <c r="CD56" s="292"/>
      <c r="CE56" s="292"/>
      <c r="CF56" s="292"/>
      <c r="CG56" s="292"/>
      <c r="CH56" s="292"/>
      <c r="CI56" s="292"/>
      <c r="CJ56" s="292"/>
      <c r="CK56" s="292"/>
      <c r="CL56" s="292"/>
      <c r="CM56" s="292"/>
      <c r="CN56" s="292"/>
      <c r="CO56" s="292"/>
      <c r="CP56" s="292"/>
      <c r="CQ56" s="292"/>
      <c r="CR56" s="292"/>
      <c r="CS56" s="292"/>
      <c r="CT56" s="292"/>
      <c r="CU56" s="292"/>
      <c r="CV56" s="292"/>
      <c r="CW56" s="292"/>
      <c r="CX56" s="292"/>
      <c r="CY56" s="292"/>
      <c r="CZ56" s="292"/>
      <c r="DA56" s="292"/>
      <c r="DB56" s="292"/>
      <c r="DC56" s="292"/>
      <c r="DD56" s="292"/>
      <c r="DE56" s="292"/>
      <c r="DF56" s="292"/>
      <c r="DG56" s="292"/>
      <c r="DH56" s="292"/>
      <c r="DI56" s="292"/>
      <c r="DJ56" s="292"/>
      <c r="DK56" s="292"/>
      <c r="DL56" s="292"/>
      <c r="DM56" s="292"/>
      <c r="DN56" s="292"/>
      <c r="DO56" s="292"/>
      <c r="DP56" s="292"/>
      <c r="DQ56" s="292"/>
      <c r="DR56" s="292"/>
      <c r="DS56" s="292"/>
      <c r="DT56" s="292"/>
      <c r="DU56" s="292"/>
      <c r="DV56" s="292"/>
      <c r="DW56" s="292"/>
      <c r="DX56" s="292"/>
      <c r="DY56" s="292"/>
      <c r="DZ56" s="292"/>
      <c r="EA56" s="292"/>
      <c r="EB56" s="292"/>
      <c r="EC56" s="292"/>
      <c r="ED56" s="292"/>
      <c r="EE56" s="292"/>
      <c r="EF56" s="292"/>
      <c r="EG56" s="292"/>
      <c r="EH56" s="292"/>
      <c r="EI56" s="292"/>
      <c r="EJ56" s="292"/>
      <c r="EK56" s="292"/>
      <c r="EL56" s="292"/>
      <c r="EM56" s="292"/>
      <c r="EN56" s="292"/>
      <c r="EO56" s="292"/>
      <c r="EP56" s="292"/>
      <c r="EQ56" s="292"/>
      <c r="ER56" s="292"/>
      <c r="ES56" s="292"/>
      <c r="ET56" s="292"/>
      <c r="EU56" s="292"/>
      <c r="EV56" s="292"/>
      <c r="EW56" s="292"/>
      <c r="EX56" s="292"/>
      <c r="EY56" s="292"/>
      <c r="EZ56" s="292"/>
      <c r="FA56" s="292"/>
      <c r="FB56" s="292"/>
      <c r="FC56" s="292"/>
      <c r="FD56" s="292"/>
      <c r="FE56" s="292"/>
      <c r="FF56" s="292"/>
      <c r="FG56" s="292"/>
      <c r="FH56" s="292"/>
      <c r="FI56" s="292"/>
      <c r="FJ56" s="292"/>
      <c r="FK56" s="292"/>
      <c r="FL56" s="292"/>
      <c r="FM56" s="292"/>
      <c r="FN56" s="292"/>
      <c r="FO56" s="292"/>
      <c r="FP56" s="292"/>
      <c r="FQ56" s="292"/>
      <c r="FR56" s="292"/>
      <c r="FS56" s="292"/>
      <c r="FT56" s="292"/>
      <c r="FU56" s="292"/>
      <c r="FV56" s="292"/>
      <c r="FW56" s="292"/>
      <c r="FX56" s="292"/>
      <c r="FY56" s="292"/>
      <c r="FZ56" s="292"/>
      <c r="GA56" s="292"/>
      <c r="GB56" s="292"/>
      <c r="GC56" s="292"/>
      <c r="GD56" s="292"/>
      <c r="GE56" s="292"/>
      <c r="GF56" s="292"/>
      <c r="GG56" s="292"/>
      <c r="GH56" s="292"/>
      <c r="GI56" s="292"/>
      <c r="GJ56" s="292"/>
      <c r="GK56" s="292"/>
      <c r="GL56" s="292"/>
      <c r="GM56" s="292"/>
      <c r="GN56" s="292"/>
      <c r="GO56" s="292"/>
      <c r="GP56" s="292"/>
      <c r="GQ56" s="292"/>
      <c r="GR56" s="292"/>
      <c r="GS56" s="292"/>
      <c r="GT56" s="292"/>
      <c r="GU56" s="292"/>
      <c r="GV56" s="292"/>
      <c r="GW56" s="292"/>
      <c r="GX56" s="292"/>
      <c r="GY56" s="292"/>
      <c r="GZ56" s="292"/>
      <c r="HA56" s="292"/>
      <c r="HB56" s="292"/>
      <c r="HC56" s="292"/>
      <c r="HD56" s="292"/>
      <c r="HE56" s="292"/>
      <c r="HF56" s="292"/>
      <c r="HG56" s="292"/>
      <c r="HH56" s="292"/>
      <c r="HI56" s="292"/>
      <c r="HJ56" s="292"/>
      <c r="HK56" s="292"/>
      <c r="HL56" s="292"/>
      <c r="HM56" s="292"/>
      <c r="HN56" s="292"/>
      <c r="HO56" s="292"/>
      <c r="HP56" s="292"/>
      <c r="HQ56" s="292"/>
      <c r="HR56" s="292"/>
      <c r="HS56" s="292"/>
      <c r="HT56" s="292"/>
      <c r="HU56" s="292"/>
      <c r="HV56" s="292"/>
      <c r="HW56" s="292"/>
      <c r="HX56" s="292"/>
      <c r="HY56" s="292"/>
      <c r="HZ56" s="292"/>
      <c r="IA56" s="292"/>
      <c r="IB56" s="292"/>
      <c r="IC56" s="292"/>
      <c r="ID56" s="292"/>
      <c r="IE56" s="292"/>
      <c r="IF56" s="292"/>
      <c r="IG56" s="292"/>
      <c r="IH56" s="292"/>
      <c r="II56" s="292"/>
      <c r="IJ56" s="292"/>
      <c r="IK56" s="292"/>
      <c r="IL56" s="292"/>
      <c r="IM56" s="292"/>
      <c r="IN56" s="292"/>
      <c r="IO56" s="292"/>
      <c r="IP56" s="292"/>
      <c r="IQ56" s="292"/>
      <c r="IR56" s="292"/>
      <c r="IS56" s="292"/>
      <c r="IT56" s="292"/>
      <c r="IU56" s="292"/>
      <c r="IV56" s="292"/>
      <c r="IW56" s="292"/>
      <c r="IX56" s="292"/>
      <c r="IY56" s="292"/>
      <c r="IZ56" s="292"/>
      <c r="JA56" s="292"/>
      <c r="JB56" s="292"/>
      <c r="JC56" s="292"/>
      <c r="JD56" s="292"/>
      <c r="JE56" s="292"/>
      <c r="JF56" s="292"/>
      <c r="JG56" s="292"/>
      <c r="JH56" s="292"/>
      <c r="JI56" s="292"/>
      <c r="JJ56" s="292"/>
      <c r="JK56" s="292"/>
      <c r="JL56" s="292"/>
      <c r="JM56" s="292"/>
      <c r="JN56" s="292"/>
      <c r="JO56" s="292"/>
      <c r="JP56" s="292"/>
      <c r="JQ56" s="292"/>
      <c r="JR56" s="292"/>
      <c r="JS56" s="292"/>
      <c r="JT56" s="292"/>
      <c r="JU56" s="292"/>
      <c r="JV56" s="292"/>
      <c r="JW56" s="292"/>
      <c r="JX56" s="292"/>
      <c r="JY56" s="292"/>
      <c r="JZ56" s="292"/>
      <c r="KA56" s="292"/>
      <c r="KB56" s="292"/>
      <c r="KC56" s="292"/>
      <c r="KD56" s="292"/>
      <c r="KE56" s="292"/>
      <c r="KF56" s="292"/>
      <c r="KG56" s="292"/>
      <c r="KH56" s="292"/>
      <c r="KI56" s="292"/>
      <c r="KJ56" s="292"/>
      <c r="KK56" s="292"/>
      <c r="KL56" s="292"/>
      <c r="KM56" s="292"/>
      <c r="KN56" s="292"/>
      <c r="KO56" s="292"/>
      <c r="KP56" s="292"/>
      <c r="KQ56" s="292"/>
      <c r="KR56" s="292"/>
      <c r="KS56" s="292"/>
      <c r="KT56" s="292"/>
      <c r="KU56" s="292"/>
      <c r="KV56" s="292"/>
      <c r="KW56" s="292"/>
      <c r="KX56" s="292"/>
      <c r="KY56" s="292"/>
      <c r="KZ56" s="292"/>
      <c r="LA56" s="292"/>
      <c r="LB56" s="292"/>
      <c r="LC56" s="292"/>
      <c r="LD56" s="292"/>
      <c r="LE56" s="292"/>
      <c r="LF56" s="292"/>
      <c r="LG56" s="292"/>
      <c r="LH56" s="292"/>
      <c r="LI56" s="292"/>
      <c r="LJ56" s="292"/>
      <c r="LK56" s="292"/>
      <c r="LL56" s="292"/>
      <c r="LM56" s="292"/>
      <c r="LN56" s="292"/>
      <c r="LO56" s="292"/>
      <c r="LP56" s="292"/>
      <c r="LQ56" s="292"/>
      <c r="LR56" s="292"/>
      <c r="LS56" s="292"/>
      <c r="LT56" s="292"/>
      <c r="LU56" s="292"/>
      <c r="LV56" s="292"/>
      <c r="LW56" s="292"/>
      <c r="LX56" s="292"/>
      <c r="LY56" s="292"/>
      <c r="LZ56" s="292"/>
      <c r="MA56" s="292"/>
      <c r="MB56" s="292"/>
      <c r="MC56" s="292"/>
      <c r="MD56" s="292"/>
      <c r="ME56" s="292"/>
      <c r="MF56" s="292"/>
      <c r="MG56" s="292"/>
      <c r="MH56" s="292"/>
      <c r="MI56" s="292"/>
      <c r="MJ56" s="292"/>
      <c r="MK56" s="292"/>
      <c r="ML56" s="292"/>
      <c r="MM56" s="292"/>
      <c r="MN56" s="292"/>
      <c r="MO56" s="292"/>
      <c r="MP56" s="292"/>
      <c r="MQ56" s="292"/>
      <c r="MR56" s="292"/>
      <c r="MS56" s="292"/>
      <c r="MT56" s="292"/>
      <c r="MU56" s="292"/>
      <c r="MV56" s="292"/>
      <c r="MW56" s="292"/>
      <c r="MX56" s="292"/>
      <c r="MY56" s="292"/>
      <c r="MZ56" s="292"/>
      <c r="NA56" s="292"/>
      <c r="NB56" s="292"/>
      <c r="NC56" s="292"/>
      <c r="ND56" s="292"/>
      <c r="NE56" s="292"/>
      <c r="NF56" s="292"/>
      <c r="NG56" s="292"/>
      <c r="NH56" s="292"/>
      <c r="NI56" s="292"/>
      <c r="NJ56" s="292"/>
      <c r="NK56" s="292"/>
      <c r="NL56" s="292"/>
      <c r="NM56" s="292"/>
      <c r="NN56" s="292"/>
      <c r="NO56" s="292"/>
      <c r="NP56" s="292"/>
      <c r="NQ56" s="292"/>
      <c r="NR56" s="292"/>
      <c r="NS56" s="292"/>
      <c r="NT56" s="292"/>
      <c r="NU56" s="292"/>
      <c r="NV56" s="292"/>
      <c r="NW56" s="292"/>
      <c r="NX56" s="292"/>
      <c r="NY56" s="292"/>
      <c r="NZ56" s="292"/>
      <c r="OA56" s="292"/>
      <c r="OB56" s="292"/>
      <c r="OC56" s="292"/>
      <c r="OD56" s="292"/>
      <c r="OE56" s="292"/>
      <c r="OF56" s="292"/>
      <c r="OG56" s="292"/>
      <c r="OH56" s="292"/>
      <c r="OI56" s="292"/>
      <c r="OJ56" s="292"/>
      <c r="OK56" s="292"/>
      <c r="OL56" s="292"/>
      <c r="OM56" s="292"/>
      <c r="ON56" s="292"/>
      <c r="OO56" s="292"/>
      <c r="OP56" s="292"/>
      <c r="OQ56" s="292"/>
      <c r="OR56" s="292"/>
      <c r="OS56" s="292"/>
      <c r="OT56" s="292"/>
      <c r="OU56" s="292"/>
      <c r="OV56" s="292"/>
      <c r="OW56" s="292"/>
      <c r="OX56" s="292"/>
      <c r="OY56" s="292"/>
      <c r="OZ56" s="292"/>
      <c r="PA56" s="292"/>
      <c r="PB56" s="292"/>
      <c r="PC56" s="292"/>
      <c r="PD56" s="292"/>
      <c r="PE56" s="292"/>
      <c r="PF56" s="292"/>
      <c r="PG56" s="292"/>
      <c r="PH56" s="292"/>
      <c r="PI56" s="292"/>
      <c r="PJ56" s="292"/>
      <c r="PK56" s="292"/>
      <c r="PL56" s="292"/>
      <c r="PM56" s="292"/>
      <c r="PN56" s="292"/>
      <c r="PO56" s="292"/>
      <c r="PP56" s="292"/>
      <c r="PQ56" s="292"/>
      <c r="PR56" s="292"/>
      <c r="PS56" s="292"/>
      <c r="PT56" s="292"/>
      <c r="PU56" s="292"/>
      <c r="PV56" s="292"/>
      <c r="PW56" s="292"/>
      <c r="PX56" s="292"/>
      <c r="PY56" s="292"/>
      <c r="PZ56" s="292"/>
      <c r="QA56" s="292"/>
      <c r="QB56" s="292"/>
      <c r="QC56" s="292"/>
      <c r="QD56" s="292"/>
      <c r="QE56" s="292"/>
      <c r="QF56" s="292"/>
      <c r="QG56" s="292"/>
      <c r="QH56" s="292"/>
      <c r="QI56" s="292"/>
      <c r="QJ56" s="292"/>
      <c r="QK56" s="292"/>
      <c r="QL56" s="292"/>
      <c r="QM56" s="292"/>
      <c r="QN56" s="292"/>
      <c r="QO56" s="292"/>
      <c r="QP56" s="292"/>
      <c r="QQ56" s="292"/>
      <c r="QR56" s="292"/>
      <c r="QS56" s="292"/>
      <c r="QT56" s="292"/>
      <c r="QU56" s="292"/>
      <c r="QV56" s="292"/>
      <c r="QW56" s="292"/>
      <c r="QX56" s="292"/>
      <c r="QY56" s="292"/>
      <c r="QZ56" s="292"/>
      <c r="RA56" s="292"/>
      <c r="RB56" s="292"/>
      <c r="RC56" s="292"/>
      <c r="RD56" s="292"/>
      <c r="RE56" s="292"/>
      <c r="RF56" s="292"/>
      <c r="RG56" s="292"/>
      <c r="RH56" s="292"/>
      <c r="RI56" s="292"/>
      <c r="RJ56" s="292"/>
      <c r="RK56" s="292"/>
      <c r="RL56" s="292"/>
      <c r="RM56" s="292"/>
      <c r="RN56" s="292"/>
      <c r="RO56" s="292"/>
      <c r="RP56" s="292"/>
      <c r="RQ56" s="292"/>
      <c r="RR56" s="292"/>
      <c r="RS56" s="292"/>
      <c r="RT56" s="292"/>
      <c r="RU56" s="292"/>
      <c r="RV56" s="292"/>
      <c r="RW56" s="292"/>
      <c r="RX56" s="292"/>
      <c r="RY56" s="292"/>
      <c r="RZ56" s="292"/>
      <c r="SA56" s="292"/>
      <c r="SB56" s="292"/>
      <c r="SC56" s="292"/>
      <c r="SD56" s="292"/>
      <c r="SE56" s="292"/>
      <c r="SF56" s="292"/>
      <c r="SG56" s="292"/>
      <c r="SH56" s="292"/>
      <c r="SI56" s="292"/>
      <c r="SJ56" s="292"/>
      <c r="SK56" s="292"/>
      <c r="SL56" s="292"/>
      <c r="SM56" s="292"/>
      <c r="SN56" s="292"/>
      <c r="SO56" s="292"/>
      <c r="SP56" s="292"/>
      <c r="SQ56" s="292"/>
      <c r="SR56" s="292"/>
      <c r="SS56" s="292"/>
      <c r="ST56" s="292"/>
      <c r="SU56" s="292"/>
    </row>
    <row r="57" spans="1:515" ht="15" customHeight="1" x14ac:dyDescent="0.25">
      <c r="A57" s="1349" t="s">
        <v>365</v>
      </c>
      <c r="B57" s="1350"/>
      <c r="C57" s="1350"/>
      <c r="D57" s="957"/>
      <c r="E57" s="622">
        <v>0</v>
      </c>
      <c r="F57" s="626">
        <v>0</v>
      </c>
      <c r="G57" s="1000">
        <f>E57*F57</f>
        <v>0</v>
      </c>
      <c r="H57" s="957"/>
      <c r="I57" s="622">
        <v>0</v>
      </c>
      <c r="J57" s="626">
        <v>0</v>
      </c>
      <c r="K57" s="1000">
        <f>I57*J57</f>
        <v>0</v>
      </c>
      <c r="L57" s="957"/>
      <c r="M57" s="622">
        <v>0</v>
      </c>
      <c r="N57" s="626">
        <v>0</v>
      </c>
      <c r="O57" s="1000">
        <f>M57*N57</f>
        <v>0</v>
      </c>
      <c r="P57" s="957"/>
      <c r="Q57" s="622">
        <v>0</v>
      </c>
      <c r="R57" s="626">
        <v>0</v>
      </c>
      <c r="S57" s="1000">
        <f>Q57*R57</f>
        <v>0</v>
      </c>
      <c r="T57" s="957"/>
      <c r="U57" s="622">
        <v>0</v>
      </c>
      <c r="V57" s="626">
        <v>0</v>
      </c>
      <c r="W57" s="1000">
        <f>U57*V57</f>
        <v>0</v>
      </c>
      <c r="X57" s="957"/>
      <c r="Y57" s="622">
        <v>0</v>
      </c>
      <c r="Z57" s="626">
        <v>0</v>
      </c>
      <c r="AA57" s="1000">
        <f>Y57*Z57</f>
        <v>0</v>
      </c>
      <c r="AB57" s="975"/>
      <c r="AC57" s="957"/>
      <c r="AD57" s="1000">
        <f>G57+K57+O57+S57+W57+AA57</f>
        <v>0</v>
      </c>
      <c r="AE57" s="971"/>
    </row>
    <row r="58" spans="1:515" ht="15" customHeight="1" x14ac:dyDescent="0.25">
      <c r="A58" s="1349" t="s">
        <v>366</v>
      </c>
      <c r="B58" s="1350"/>
      <c r="C58" s="1350"/>
      <c r="D58" s="957"/>
      <c r="E58" s="622">
        <v>0</v>
      </c>
      <c r="F58" s="626">
        <v>0</v>
      </c>
      <c r="G58" s="1000">
        <f>E58*F58</f>
        <v>0</v>
      </c>
      <c r="H58" s="957"/>
      <c r="I58" s="622">
        <v>0</v>
      </c>
      <c r="J58" s="626">
        <v>0</v>
      </c>
      <c r="K58" s="1000">
        <f>I58*J58</f>
        <v>0</v>
      </c>
      <c r="L58" s="957"/>
      <c r="M58" s="622">
        <v>0</v>
      </c>
      <c r="N58" s="626">
        <v>0</v>
      </c>
      <c r="O58" s="1000">
        <f>M58*N58</f>
        <v>0</v>
      </c>
      <c r="P58" s="957"/>
      <c r="Q58" s="622">
        <v>0</v>
      </c>
      <c r="R58" s="626">
        <v>0</v>
      </c>
      <c r="S58" s="1000">
        <f>Q58*R58</f>
        <v>0</v>
      </c>
      <c r="T58" s="957"/>
      <c r="U58" s="622">
        <v>0</v>
      </c>
      <c r="V58" s="626">
        <v>0</v>
      </c>
      <c r="W58" s="1000">
        <f>U58*V58</f>
        <v>0</v>
      </c>
      <c r="X58" s="957"/>
      <c r="Y58" s="622">
        <v>0</v>
      </c>
      <c r="Z58" s="626">
        <v>0</v>
      </c>
      <c r="AA58" s="1000">
        <f>Y58*Z58</f>
        <v>0</v>
      </c>
      <c r="AB58" s="975"/>
      <c r="AC58" s="957"/>
      <c r="AD58" s="1000">
        <f>G58+K58+O58+S58+W58+AA58</f>
        <v>0</v>
      </c>
      <c r="AE58" s="971"/>
    </row>
    <row r="59" spans="1:515" s="478" customFormat="1" ht="23.15" customHeight="1" x14ac:dyDescent="0.25">
      <c r="A59" s="1366" t="s">
        <v>138</v>
      </c>
      <c r="B59" s="1367"/>
      <c r="C59" s="1367"/>
      <c r="D59" s="962"/>
      <c r="E59" s="960"/>
      <c r="F59" s="994"/>
      <c r="G59" s="788">
        <f>SUM(G56:G58)</f>
        <v>0</v>
      </c>
      <c r="H59" s="957"/>
      <c r="I59" s="960"/>
      <c r="J59" s="993"/>
      <c r="K59" s="788">
        <f>SUM(K56:K58)</f>
        <v>0</v>
      </c>
      <c r="L59" s="957"/>
      <c r="M59" s="960"/>
      <c r="N59" s="997"/>
      <c r="O59" s="788">
        <f>SUM(O56:O58)</f>
        <v>0</v>
      </c>
      <c r="P59" s="957"/>
      <c r="Q59" s="960"/>
      <c r="R59" s="993"/>
      <c r="S59" s="788">
        <f>SUM(S56:S58)</f>
        <v>0</v>
      </c>
      <c r="T59" s="957"/>
      <c r="U59" s="957"/>
      <c r="V59" s="957"/>
      <c r="W59" s="788">
        <f>SUM(W56:W58)</f>
        <v>0</v>
      </c>
      <c r="X59" s="957"/>
      <c r="Y59" s="957"/>
      <c r="Z59" s="957"/>
      <c r="AA59" s="788">
        <f>SUM(AA56:AA58)</f>
        <v>0</v>
      </c>
      <c r="AB59" s="976"/>
      <c r="AC59" s="957"/>
      <c r="AD59" s="786">
        <f>G59+K59+O59+S59+W59+AA59</f>
        <v>0</v>
      </c>
      <c r="AE59" s="971"/>
      <c r="AF59" s="292"/>
      <c r="AG59" s="292"/>
      <c r="AH59" s="292"/>
      <c r="AI59" s="292"/>
      <c r="AJ59" s="292"/>
      <c r="AK59" s="292"/>
      <c r="AL59" s="292"/>
      <c r="AM59" s="292"/>
      <c r="AN59" s="292"/>
      <c r="AO59" s="292"/>
      <c r="AP59" s="292"/>
      <c r="AQ59" s="292"/>
      <c r="AR59" s="292"/>
      <c r="AS59" s="292"/>
      <c r="AT59" s="292"/>
      <c r="AU59" s="292"/>
      <c r="AV59" s="292"/>
      <c r="AW59" s="292"/>
      <c r="AX59" s="292"/>
      <c r="AY59" s="292"/>
      <c r="AZ59" s="292"/>
      <c r="BA59" s="292"/>
      <c r="BB59" s="292"/>
      <c r="BC59" s="292"/>
      <c r="BD59" s="292"/>
      <c r="BE59" s="292"/>
      <c r="BF59" s="292"/>
      <c r="BG59" s="292"/>
      <c r="BH59" s="292"/>
      <c r="BI59" s="292"/>
      <c r="BJ59" s="292"/>
      <c r="BK59" s="292"/>
      <c r="BL59" s="292"/>
      <c r="BM59" s="292"/>
      <c r="BN59" s="292"/>
      <c r="BO59" s="292"/>
      <c r="BP59" s="292"/>
      <c r="BQ59" s="292"/>
      <c r="BR59" s="292"/>
      <c r="BS59" s="292"/>
      <c r="BT59" s="292"/>
      <c r="BU59" s="292"/>
      <c r="BV59" s="292"/>
      <c r="BW59" s="292"/>
      <c r="BX59" s="292"/>
      <c r="BY59" s="292"/>
      <c r="BZ59" s="292"/>
      <c r="CA59" s="292"/>
      <c r="CB59" s="292"/>
      <c r="CC59" s="292"/>
      <c r="CD59" s="292"/>
      <c r="CE59" s="292"/>
      <c r="CF59" s="292"/>
      <c r="CG59" s="292"/>
      <c r="CH59" s="292"/>
      <c r="CI59" s="292"/>
      <c r="CJ59" s="292"/>
      <c r="CK59" s="292"/>
      <c r="CL59" s="292"/>
      <c r="CM59" s="292"/>
      <c r="CN59" s="292"/>
      <c r="CO59" s="292"/>
      <c r="CP59" s="292"/>
      <c r="CQ59" s="292"/>
      <c r="CR59" s="292"/>
      <c r="CS59" s="292"/>
      <c r="CT59" s="292"/>
      <c r="CU59" s="292"/>
      <c r="CV59" s="292"/>
      <c r="CW59" s="292"/>
      <c r="CX59" s="292"/>
      <c r="CY59" s="292"/>
      <c r="CZ59" s="292"/>
      <c r="DA59" s="292"/>
      <c r="DB59" s="292"/>
      <c r="DC59" s="292"/>
      <c r="DD59" s="292"/>
      <c r="DE59" s="292"/>
      <c r="DF59" s="292"/>
      <c r="DG59" s="292"/>
      <c r="DH59" s="292"/>
      <c r="DI59" s="292"/>
      <c r="DJ59" s="292"/>
      <c r="DK59" s="292"/>
      <c r="DL59" s="292"/>
      <c r="DM59" s="292"/>
      <c r="DN59" s="292"/>
      <c r="DO59" s="292"/>
      <c r="DP59" s="292"/>
      <c r="DQ59" s="292"/>
      <c r="DR59" s="292"/>
      <c r="DS59" s="292"/>
      <c r="DT59" s="292"/>
      <c r="DU59" s="292"/>
      <c r="DV59" s="292"/>
      <c r="DW59" s="292"/>
      <c r="DX59" s="292"/>
      <c r="DY59" s="292"/>
      <c r="DZ59" s="292"/>
      <c r="EA59" s="292"/>
      <c r="EB59" s="292"/>
      <c r="EC59" s="292"/>
      <c r="ED59" s="292"/>
      <c r="EE59" s="292"/>
      <c r="EF59" s="292"/>
      <c r="EG59" s="292"/>
      <c r="EH59" s="292"/>
      <c r="EI59" s="292"/>
      <c r="EJ59" s="292"/>
      <c r="EK59" s="292"/>
      <c r="EL59" s="292"/>
      <c r="EM59" s="292"/>
      <c r="EN59" s="292"/>
      <c r="EO59" s="292"/>
      <c r="EP59" s="292"/>
      <c r="EQ59" s="292"/>
      <c r="ER59" s="292"/>
      <c r="ES59" s="292"/>
      <c r="ET59" s="292"/>
      <c r="EU59" s="292"/>
      <c r="EV59" s="292"/>
      <c r="EW59" s="292"/>
      <c r="EX59" s="292"/>
      <c r="EY59" s="292"/>
      <c r="EZ59" s="292"/>
      <c r="FA59" s="292"/>
      <c r="FB59" s="292"/>
      <c r="FC59" s="292"/>
      <c r="FD59" s="292"/>
      <c r="FE59" s="292"/>
      <c r="FF59" s="292"/>
      <c r="FG59" s="292"/>
      <c r="FH59" s="292"/>
      <c r="FI59" s="292"/>
      <c r="FJ59" s="292"/>
      <c r="FK59" s="292"/>
      <c r="FL59" s="292"/>
      <c r="FM59" s="292"/>
      <c r="FN59" s="292"/>
      <c r="FO59" s="292"/>
      <c r="FP59" s="292"/>
      <c r="FQ59" s="292"/>
      <c r="FR59" s="292"/>
      <c r="FS59" s="292"/>
      <c r="FT59" s="292"/>
      <c r="FU59" s="292"/>
      <c r="FV59" s="292"/>
      <c r="FW59" s="292"/>
      <c r="FX59" s="292"/>
      <c r="FY59" s="292"/>
      <c r="FZ59" s="292"/>
      <c r="GA59" s="292"/>
      <c r="GB59" s="292"/>
      <c r="GC59" s="292"/>
      <c r="GD59" s="292"/>
      <c r="GE59" s="292"/>
      <c r="GF59" s="292"/>
      <c r="GG59" s="292"/>
      <c r="GH59" s="292"/>
      <c r="GI59" s="292"/>
      <c r="GJ59" s="292"/>
      <c r="GK59" s="292"/>
      <c r="GL59" s="292"/>
      <c r="GM59" s="292"/>
      <c r="GN59" s="292"/>
      <c r="GO59" s="292"/>
      <c r="GP59" s="292"/>
      <c r="GQ59" s="292"/>
      <c r="GR59" s="292"/>
      <c r="GS59" s="292"/>
      <c r="GT59" s="292"/>
      <c r="GU59" s="292"/>
      <c r="GV59" s="292"/>
      <c r="GW59" s="292"/>
      <c r="GX59" s="292"/>
      <c r="GY59" s="292"/>
      <c r="GZ59" s="292"/>
      <c r="HA59" s="292"/>
      <c r="HB59" s="292"/>
      <c r="HC59" s="292"/>
      <c r="HD59" s="292"/>
      <c r="HE59" s="292"/>
      <c r="HF59" s="292"/>
      <c r="HG59" s="292"/>
      <c r="HH59" s="292"/>
      <c r="HI59" s="292"/>
      <c r="HJ59" s="292"/>
      <c r="HK59" s="292"/>
      <c r="HL59" s="292"/>
      <c r="HM59" s="292"/>
      <c r="HN59" s="292"/>
      <c r="HO59" s="292"/>
      <c r="HP59" s="292"/>
      <c r="HQ59" s="292"/>
      <c r="HR59" s="292"/>
      <c r="HS59" s="292"/>
      <c r="HT59" s="292"/>
      <c r="HU59" s="292"/>
      <c r="HV59" s="292"/>
      <c r="HW59" s="292"/>
      <c r="HX59" s="292"/>
      <c r="HY59" s="292"/>
      <c r="HZ59" s="292"/>
      <c r="IA59" s="292"/>
      <c r="IB59" s="292"/>
      <c r="IC59" s="292"/>
      <c r="ID59" s="292"/>
      <c r="IE59" s="292"/>
      <c r="IF59" s="292"/>
      <c r="IG59" s="292"/>
      <c r="IH59" s="292"/>
      <c r="II59" s="292"/>
      <c r="IJ59" s="292"/>
      <c r="IK59" s="292"/>
      <c r="IL59" s="292"/>
      <c r="IM59" s="292"/>
      <c r="IN59" s="292"/>
      <c r="IO59" s="292"/>
      <c r="IP59" s="292"/>
      <c r="IQ59" s="292"/>
      <c r="IR59" s="292"/>
      <c r="IS59" s="292"/>
      <c r="IT59" s="292"/>
      <c r="IU59" s="292"/>
      <c r="IV59" s="292"/>
      <c r="IW59" s="292"/>
      <c r="IX59" s="292"/>
      <c r="IY59" s="292"/>
      <c r="IZ59" s="292"/>
      <c r="JA59" s="292"/>
      <c r="JB59" s="292"/>
      <c r="JC59" s="292"/>
      <c r="JD59" s="292"/>
      <c r="JE59" s="292"/>
      <c r="JF59" s="292"/>
      <c r="JG59" s="292"/>
      <c r="JH59" s="292"/>
      <c r="JI59" s="292"/>
      <c r="JJ59" s="292"/>
      <c r="JK59" s="292"/>
      <c r="JL59" s="292"/>
      <c r="JM59" s="292"/>
      <c r="JN59" s="292"/>
      <c r="JO59" s="292"/>
      <c r="JP59" s="292"/>
      <c r="JQ59" s="292"/>
      <c r="JR59" s="292"/>
      <c r="JS59" s="292"/>
      <c r="JT59" s="292"/>
      <c r="JU59" s="292"/>
      <c r="JV59" s="292"/>
      <c r="JW59" s="292"/>
      <c r="JX59" s="292"/>
      <c r="JY59" s="292"/>
      <c r="JZ59" s="292"/>
      <c r="KA59" s="292"/>
      <c r="KB59" s="292"/>
      <c r="KC59" s="292"/>
      <c r="KD59" s="292"/>
      <c r="KE59" s="292"/>
      <c r="KF59" s="292"/>
      <c r="KG59" s="292"/>
      <c r="KH59" s="292"/>
      <c r="KI59" s="292"/>
      <c r="KJ59" s="292"/>
      <c r="KK59" s="292"/>
      <c r="KL59" s="292"/>
      <c r="KM59" s="292"/>
      <c r="KN59" s="292"/>
      <c r="KO59" s="292"/>
      <c r="KP59" s="292"/>
      <c r="KQ59" s="292"/>
      <c r="KR59" s="292"/>
      <c r="KS59" s="292"/>
      <c r="KT59" s="292"/>
      <c r="KU59" s="292"/>
      <c r="KV59" s="292"/>
      <c r="KW59" s="292"/>
      <c r="KX59" s="292"/>
      <c r="KY59" s="292"/>
      <c r="KZ59" s="292"/>
      <c r="LA59" s="292"/>
      <c r="LB59" s="292"/>
      <c r="LC59" s="292"/>
      <c r="LD59" s="292"/>
      <c r="LE59" s="292"/>
      <c r="LF59" s="292"/>
      <c r="LG59" s="292"/>
      <c r="LH59" s="292"/>
      <c r="LI59" s="292"/>
      <c r="LJ59" s="292"/>
      <c r="LK59" s="292"/>
      <c r="LL59" s="292"/>
      <c r="LM59" s="292"/>
      <c r="LN59" s="292"/>
      <c r="LO59" s="292"/>
      <c r="LP59" s="292"/>
      <c r="LQ59" s="292"/>
      <c r="LR59" s="292"/>
      <c r="LS59" s="292"/>
      <c r="LT59" s="292"/>
      <c r="LU59" s="292"/>
      <c r="LV59" s="292"/>
      <c r="LW59" s="292"/>
      <c r="LX59" s="292"/>
      <c r="LY59" s="292"/>
      <c r="LZ59" s="292"/>
      <c r="MA59" s="292"/>
      <c r="MB59" s="292"/>
      <c r="MC59" s="292"/>
      <c r="MD59" s="292"/>
      <c r="ME59" s="292"/>
      <c r="MF59" s="292"/>
      <c r="MG59" s="292"/>
      <c r="MH59" s="292"/>
      <c r="MI59" s="292"/>
      <c r="MJ59" s="292"/>
      <c r="MK59" s="292"/>
      <c r="ML59" s="292"/>
      <c r="MM59" s="292"/>
      <c r="MN59" s="292"/>
      <c r="MO59" s="292"/>
      <c r="MP59" s="292"/>
      <c r="MQ59" s="292"/>
      <c r="MR59" s="292"/>
      <c r="MS59" s="292"/>
      <c r="MT59" s="292"/>
      <c r="MU59" s="292"/>
      <c r="MV59" s="292"/>
      <c r="MW59" s="292"/>
      <c r="MX59" s="292"/>
      <c r="MY59" s="292"/>
      <c r="MZ59" s="292"/>
      <c r="NA59" s="292"/>
      <c r="NB59" s="292"/>
      <c r="NC59" s="292"/>
      <c r="ND59" s="292"/>
      <c r="NE59" s="292"/>
      <c r="NF59" s="292"/>
      <c r="NG59" s="292"/>
      <c r="NH59" s="292"/>
      <c r="NI59" s="292"/>
      <c r="NJ59" s="292"/>
      <c r="NK59" s="292"/>
      <c r="NL59" s="292"/>
      <c r="NM59" s="292"/>
      <c r="NN59" s="292"/>
      <c r="NO59" s="292"/>
      <c r="NP59" s="292"/>
      <c r="NQ59" s="292"/>
      <c r="NR59" s="292"/>
      <c r="NS59" s="292"/>
      <c r="NT59" s="292"/>
      <c r="NU59" s="292"/>
      <c r="NV59" s="292"/>
      <c r="NW59" s="292"/>
      <c r="NX59" s="292"/>
      <c r="NY59" s="292"/>
      <c r="NZ59" s="292"/>
      <c r="OA59" s="292"/>
      <c r="OB59" s="292"/>
      <c r="OC59" s="292"/>
      <c r="OD59" s="292"/>
      <c r="OE59" s="292"/>
      <c r="OF59" s="292"/>
      <c r="OG59" s="292"/>
      <c r="OH59" s="292"/>
      <c r="OI59" s="292"/>
      <c r="OJ59" s="292"/>
      <c r="OK59" s="292"/>
      <c r="OL59" s="292"/>
      <c r="OM59" s="292"/>
      <c r="ON59" s="292"/>
      <c r="OO59" s="292"/>
      <c r="OP59" s="292"/>
      <c r="OQ59" s="292"/>
      <c r="OR59" s="292"/>
      <c r="OS59" s="292"/>
      <c r="OT59" s="292"/>
      <c r="OU59" s="292"/>
      <c r="OV59" s="292"/>
      <c r="OW59" s="292"/>
      <c r="OX59" s="292"/>
      <c r="OY59" s="292"/>
      <c r="OZ59" s="292"/>
      <c r="PA59" s="292"/>
      <c r="PB59" s="292"/>
      <c r="PC59" s="292"/>
      <c r="PD59" s="292"/>
      <c r="PE59" s="292"/>
      <c r="PF59" s="292"/>
      <c r="PG59" s="292"/>
      <c r="PH59" s="292"/>
      <c r="PI59" s="292"/>
      <c r="PJ59" s="292"/>
      <c r="PK59" s="292"/>
      <c r="PL59" s="292"/>
      <c r="PM59" s="292"/>
      <c r="PN59" s="292"/>
      <c r="PO59" s="292"/>
      <c r="PP59" s="292"/>
      <c r="PQ59" s="292"/>
      <c r="PR59" s="292"/>
      <c r="PS59" s="292"/>
      <c r="PT59" s="292"/>
      <c r="PU59" s="292"/>
      <c r="PV59" s="292"/>
      <c r="PW59" s="292"/>
      <c r="PX59" s="292"/>
      <c r="PY59" s="292"/>
      <c r="PZ59" s="292"/>
      <c r="QA59" s="292"/>
      <c r="QB59" s="292"/>
      <c r="QC59" s="292"/>
      <c r="QD59" s="292"/>
      <c r="QE59" s="292"/>
      <c r="QF59" s="292"/>
      <c r="QG59" s="292"/>
      <c r="QH59" s="292"/>
      <c r="QI59" s="292"/>
      <c r="QJ59" s="292"/>
      <c r="QK59" s="292"/>
      <c r="QL59" s="292"/>
      <c r="QM59" s="292"/>
      <c r="QN59" s="292"/>
      <c r="QO59" s="292"/>
      <c r="QP59" s="292"/>
      <c r="QQ59" s="292"/>
      <c r="QR59" s="292"/>
      <c r="QS59" s="292"/>
      <c r="QT59" s="292"/>
      <c r="QU59" s="292"/>
      <c r="QV59" s="292"/>
      <c r="QW59" s="292"/>
      <c r="QX59" s="292"/>
      <c r="QY59" s="292"/>
      <c r="QZ59" s="292"/>
      <c r="RA59" s="292"/>
      <c r="RB59" s="292"/>
      <c r="RC59" s="292"/>
      <c r="RD59" s="292"/>
      <c r="RE59" s="292"/>
      <c r="RF59" s="292"/>
      <c r="RG59" s="292"/>
      <c r="RH59" s="292"/>
      <c r="RI59" s="292"/>
      <c r="RJ59" s="292"/>
      <c r="RK59" s="292"/>
      <c r="RL59" s="292"/>
      <c r="RM59" s="292"/>
      <c r="RN59" s="292"/>
      <c r="RO59" s="292"/>
      <c r="RP59" s="292"/>
      <c r="RQ59" s="292"/>
      <c r="RR59" s="292"/>
      <c r="RS59" s="292"/>
      <c r="RT59" s="292"/>
      <c r="RU59" s="292"/>
      <c r="RV59" s="292"/>
      <c r="RW59" s="292"/>
      <c r="RX59" s="292"/>
      <c r="RY59" s="292"/>
      <c r="RZ59" s="292"/>
      <c r="SA59" s="292"/>
      <c r="SB59" s="292"/>
      <c r="SC59" s="292"/>
      <c r="SD59" s="292"/>
      <c r="SE59" s="292"/>
      <c r="SF59" s="292"/>
      <c r="SG59" s="292"/>
      <c r="SH59" s="292"/>
      <c r="SI59" s="292"/>
      <c r="SJ59" s="292"/>
      <c r="SK59" s="292"/>
      <c r="SL59" s="292"/>
      <c r="SM59" s="292"/>
      <c r="SN59" s="292"/>
      <c r="SO59" s="292"/>
      <c r="SP59" s="292"/>
      <c r="SQ59" s="292"/>
      <c r="SR59" s="292"/>
      <c r="SS59" s="292"/>
      <c r="ST59" s="292"/>
      <c r="SU59" s="292"/>
    </row>
    <row r="60" spans="1:515" s="478" customFormat="1" ht="13" customHeight="1" x14ac:dyDescent="0.25">
      <c r="A60" s="986"/>
      <c r="B60" s="984"/>
      <c r="C60" s="984"/>
      <c r="D60" s="962"/>
      <c r="E60" s="960"/>
      <c r="F60" s="976"/>
      <c r="G60" s="981"/>
      <c r="H60" s="957"/>
      <c r="I60" s="960"/>
      <c r="J60" s="981"/>
      <c r="K60" s="981"/>
      <c r="L60" s="957"/>
      <c r="M60" s="960"/>
      <c r="N60" s="985"/>
      <c r="O60" s="981"/>
      <c r="P60" s="957"/>
      <c r="Q60" s="960"/>
      <c r="R60" s="981"/>
      <c r="S60" s="981"/>
      <c r="T60" s="957"/>
      <c r="U60" s="957"/>
      <c r="V60" s="957"/>
      <c r="W60" s="981"/>
      <c r="X60" s="957"/>
      <c r="Y60" s="957"/>
      <c r="Z60" s="957"/>
      <c r="AA60" s="981"/>
      <c r="AB60" s="976"/>
      <c r="AC60" s="957"/>
      <c r="AD60" s="976"/>
      <c r="AE60" s="971"/>
      <c r="AF60" s="292"/>
      <c r="AG60" s="292"/>
      <c r="AH60" s="292"/>
      <c r="AI60" s="292"/>
      <c r="AJ60" s="292"/>
      <c r="AK60" s="292"/>
      <c r="AL60" s="292"/>
      <c r="AM60" s="292"/>
      <c r="AN60" s="292"/>
      <c r="AO60" s="292"/>
      <c r="AP60" s="292"/>
      <c r="AQ60" s="292"/>
      <c r="AR60" s="292"/>
      <c r="AS60" s="292"/>
      <c r="AT60" s="292"/>
      <c r="AU60" s="292"/>
      <c r="AV60" s="292"/>
      <c r="AW60" s="292"/>
      <c r="AX60" s="292"/>
      <c r="AY60" s="292"/>
      <c r="AZ60" s="292"/>
      <c r="BA60" s="292"/>
      <c r="BB60" s="292"/>
      <c r="BC60" s="292"/>
      <c r="BD60" s="292"/>
      <c r="BE60" s="292"/>
      <c r="BF60" s="292"/>
      <c r="BG60" s="292"/>
      <c r="BH60" s="292"/>
      <c r="BI60" s="292"/>
      <c r="BJ60" s="292"/>
      <c r="BK60" s="292"/>
      <c r="BL60" s="292"/>
      <c r="BM60" s="292"/>
      <c r="BN60" s="292"/>
      <c r="BO60" s="292"/>
      <c r="BP60" s="292"/>
      <c r="BQ60" s="292"/>
      <c r="BR60" s="292"/>
      <c r="BS60" s="292"/>
      <c r="BT60" s="292"/>
      <c r="BU60" s="292"/>
      <c r="BV60" s="292"/>
      <c r="BW60" s="292"/>
      <c r="BX60" s="292"/>
      <c r="BY60" s="292"/>
      <c r="BZ60" s="292"/>
      <c r="CA60" s="292"/>
      <c r="CB60" s="292"/>
      <c r="CC60" s="292"/>
      <c r="CD60" s="292"/>
      <c r="CE60" s="292"/>
      <c r="CF60" s="292"/>
      <c r="CG60" s="292"/>
      <c r="CH60" s="292"/>
      <c r="CI60" s="292"/>
      <c r="CJ60" s="292"/>
      <c r="CK60" s="292"/>
      <c r="CL60" s="292"/>
      <c r="CM60" s="292"/>
      <c r="CN60" s="292"/>
      <c r="CO60" s="292"/>
      <c r="CP60" s="292"/>
      <c r="CQ60" s="292"/>
      <c r="CR60" s="292"/>
      <c r="CS60" s="292"/>
      <c r="CT60" s="292"/>
      <c r="CU60" s="292"/>
      <c r="CV60" s="292"/>
      <c r="CW60" s="292"/>
      <c r="CX60" s="292"/>
      <c r="CY60" s="292"/>
      <c r="CZ60" s="292"/>
      <c r="DA60" s="292"/>
      <c r="DB60" s="292"/>
      <c r="DC60" s="292"/>
      <c r="DD60" s="292"/>
      <c r="DE60" s="292"/>
      <c r="DF60" s="292"/>
      <c r="DG60" s="292"/>
      <c r="DH60" s="292"/>
      <c r="DI60" s="292"/>
      <c r="DJ60" s="292"/>
      <c r="DK60" s="292"/>
      <c r="DL60" s="292"/>
      <c r="DM60" s="292"/>
      <c r="DN60" s="292"/>
      <c r="DO60" s="292"/>
      <c r="DP60" s="292"/>
      <c r="DQ60" s="292"/>
      <c r="DR60" s="292"/>
      <c r="DS60" s="292"/>
      <c r="DT60" s="292"/>
      <c r="DU60" s="292"/>
      <c r="DV60" s="292"/>
      <c r="DW60" s="292"/>
      <c r="DX60" s="292"/>
      <c r="DY60" s="292"/>
      <c r="DZ60" s="292"/>
      <c r="EA60" s="292"/>
      <c r="EB60" s="292"/>
      <c r="EC60" s="292"/>
      <c r="ED60" s="292"/>
      <c r="EE60" s="292"/>
      <c r="EF60" s="292"/>
      <c r="EG60" s="292"/>
      <c r="EH60" s="292"/>
      <c r="EI60" s="292"/>
      <c r="EJ60" s="292"/>
      <c r="EK60" s="292"/>
      <c r="EL60" s="292"/>
      <c r="EM60" s="292"/>
      <c r="EN60" s="292"/>
      <c r="EO60" s="292"/>
      <c r="EP60" s="292"/>
      <c r="EQ60" s="292"/>
      <c r="ER60" s="292"/>
      <c r="ES60" s="292"/>
      <c r="ET60" s="292"/>
      <c r="EU60" s="292"/>
      <c r="EV60" s="292"/>
      <c r="EW60" s="292"/>
      <c r="EX60" s="292"/>
      <c r="EY60" s="292"/>
      <c r="EZ60" s="292"/>
      <c r="FA60" s="292"/>
      <c r="FB60" s="292"/>
      <c r="FC60" s="292"/>
      <c r="FD60" s="292"/>
      <c r="FE60" s="292"/>
      <c r="FF60" s="292"/>
      <c r="FG60" s="292"/>
      <c r="FH60" s="292"/>
      <c r="FI60" s="292"/>
      <c r="FJ60" s="292"/>
      <c r="FK60" s="292"/>
      <c r="FL60" s="292"/>
      <c r="FM60" s="292"/>
      <c r="FN60" s="292"/>
      <c r="FO60" s="292"/>
      <c r="FP60" s="292"/>
      <c r="FQ60" s="292"/>
      <c r="FR60" s="292"/>
      <c r="FS60" s="292"/>
      <c r="FT60" s="292"/>
      <c r="FU60" s="292"/>
      <c r="FV60" s="292"/>
      <c r="FW60" s="292"/>
      <c r="FX60" s="292"/>
      <c r="FY60" s="292"/>
      <c r="FZ60" s="292"/>
      <c r="GA60" s="292"/>
      <c r="GB60" s="292"/>
      <c r="GC60" s="292"/>
      <c r="GD60" s="292"/>
      <c r="GE60" s="292"/>
      <c r="GF60" s="292"/>
      <c r="GG60" s="292"/>
      <c r="GH60" s="292"/>
      <c r="GI60" s="292"/>
      <c r="GJ60" s="292"/>
      <c r="GK60" s="292"/>
      <c r="GL60" s="292"/>
      <c r="GM60" s="292"/>
      <c r="GN60" s="292"/>
      <c r="GO60" s="292"/>
      <c r="GP60" s="292"/>
      <c r="GQ60" s="292"/>
      <c r="GR60" s="292"/>
      <c r="GS60" s="292"/>
      <c r="GT60" s="292"/>
      <c r="GU60" s="292"/>
      <c r="GV60" s="292"/>
      <c r="GW60" s="292"/>
      <c r="GX60" s="292"/>
      <c r="GY60" s="292"/>
      <c r="GZ60" s="292"/>
      <c r="HA60" s="292"/>
      <c r="HB60" s="292"/>
      <c r="HC60" s="292"/>
      <c r="HD60" s="292"/>
      <c r="HE60" s="292"/>
      <c r="HF60" s="292"/>
      <c r="HG60" s="292"/>
      <c r="HH60" s="292"/>
      <c r="HI60" s="292"/>
      <c r="HJ60" s="292"/>
      <c r="HK60" s="292"/>
      <c r="HL60" s="292"/>
      <c r="HM60" s="292"/>
      <c r="HN60" s="292"/>
      <c r="HO60" s="292"/>
      <c r="HP60" s="292"/>
      <c r="HQ60" s="292"/>
      <c r="HR60" s="292"/>
      <c r="HS60" s="292"/>
      <c r="HT60" s="292"/>
      <c r="HU60" s="292"/>
      <c r="HV60" s="292"/>
      <c r="HW60" s="292"/>
      <c r="HX60" s="292"/>
      <c r="HY60" s="292"/>
      <c r="HZ60" s="292"/>
      <c r="IA60" s="292"/>
      <c r="IB60" s="292"/>
      <c r="IC60" s="292"/>
      <c r="ID60" s="292"/>
      <c r="IE60" s="292"/>
      <c r="IF60" s="292"/>
      <c r="IG60" s="292"/>
      <c r="IH60" s="292"/>
      <c r="II60" s="292"/>
      <c r="IJ60" s="292"/>
      <c r="IK60" s="292"/>
      <c r="IL60" s="292"/>
      <c r="IM60" s="292"/>
      <c r="IN60" s="292"/>
      <c r="IO60" s="292"/>
      <c r="IP60" s="292"/>
      <c r="IQ60" s="292"/>
      <c r="IR60" s="292"/>
      <c r="IS60" s="292"/>
      <c r="IT60" s="292"/>
      <c r="IU60" s="292"/>
      <c r="IV60" s="292"/>
      <c r="IW60" s="292"/>
      <c r="IX60" s="292"/>
      <c r="IY60" s="292"/>
      <c r="IZ60" s="292"/>
      <c r="JA60" s="292"/>
      <c r="JB60" s="292"/>
      <c r="JC60" s="292"/>
      <c r="JD60" s="292"/>
      <c r="JE60" s="292"/>
      <c r="JF60" s="292"/>
      <c r="JG60" s="292"/>
      <c r="JH60" s="292"/>
      <c r="JI60" s="292"/>
      <c r="JJ60" s="292"/>
      <c r="JK60" s="292"/>
      <c r="JL60" s="292"/>
      <c r="JM60" s="292"/>
      <c r="JN60" s="292"/>
      <c r="JO60" s="292"/>
      <c r="JP60" s="292"/>
      <c r="JQ60" s="292"/>
      <c r="JR60" s="292"/>
      <c r="JS60" s="292"/>
      <c r="JT60" s="292"/>
      <c r="JU60" s="292"/>
      <c r="JV60" s="292"/>
      <c r="JW60" s="292"/>
      <c r="JX60" s="292"/>
      <c r="JY60" s="292"/>
      <c r="JZ60" s="292"/>
      <c r="KA60" s="292"/>
      <c r="KB60" s="292"/>
      <c r="KC60" s="292"/>
      <c r="KD60" s="292"/>
      <c r="KE60" s="292"/>
      <c r="KF60" s="292"/>
      <c r="KG60" s="292"/>
      <c r="KH60" s="292"/>
      <c r="KI60" s="292"/>
      <c r="KJ60" s="292"/>
      <c r="KK60" s="292"/>
      <c r="KL60" s="292"/>
      <c r="KM60" s="292"/>
      <c r="KN60" s="292"/>
      <c r="KO60" s="292"/>
      <c r="KP60" s="292"/>
      <c r="KQ60" s="292"/>
      <c r="KR60" s="292"/>
      <c r="KS60" s="292"/>
      <c r="KT60" s="292"/>
      <c r="KU60" s="292"/>
      <c r="KV60" s="292"/>
      <c r="KW60" s="292"/>
      <c r="KX60" s="292"/>
      <c r="KY60" s="292"/>
      <c r="KZ60" s="292"/>
      <c r="LA60" s="292"/>
      <c r="LB60" s="292"/>
      <c r="LC60" s="292"/>
      <c r="LD60" s="292"/>
      <c r="LE60" s="292"/>
      <c r="LF60" s="292"/>
      <c r="LG60" s="292"/>
      <c r="LH60" s="292"/>
      <c r="LI60" s="292"/>
      <c r="LJ60" s="292"/>
      <c r="LK60" s="292"/>
      <c r="LL60" s="292"/>
      <c r="LM60" s="292"/>
      <c r="LN60" s="292"/>
      <c r="LO60" s="292"/>
      <c r="LP60" s="292"/>
      <c r="LQ60" s="292"/>
      <c r="LR60" s="292"/>
      <c r="LS60" s="292"/>
      <c r="LT60" s="292"/>
      <c r="LU60" s="292"/>
      <c r="LV60" s="292"/>
      <c r="LW60" s="292"/>
      <c r="LX60" s="292"/>
      <c r="LY60" s="292"/>
      <c r="LZ60" s="292"/>
      <c r="MA60" s="292"/>
      <c r="MB60" s="292"/>
      <c r="MC60" s="292"/>
      <c r="MD60" s="292"/>
      <c r="ME60" s="292"/>
      <c r="MF60" s="292"/>
      <c r="MG60" s="292"/>
      <c r="MH60" s="292"/>
      <c r="MI60" s="292"/>
      <c r="MJ60" s="292"/>
      <c r="MK60" s="292"/>
      <c r="ML60" s="292"/>
      <c r="MM60" s="292"/>
      <c r="MN60" s="292"/>
      <c r="MO60" s="292"/>
      <c r="MP60" s="292"/>
      <c r="MQ60" s="292"/>
      <c r="MR60" s="292"/>
      <c r="MS60" s="292"/>
      <c r="MT60" s="292"/>
      <c r="MU60" s="292"/>
      <c r="MV60" s="292"/>
      <c r="MW60" s="292"/>
      <c r="MX60" s="292"/>
      <c r="MY60" s="292"/>
      <c r="MZ60" s="292"/>
      <c r="NA60" s="292"/>
      <c r="NB60" s="292"/>
      <c r="NC60" s="292"/>
      <c r="ND60" s="292"/>
      <c r="NE60" s="292"/>
      <c r="NF60" s="292"/>
      <c r="NG60" s="292"/>
      <c r="NH60" s="292"/>
      <c r="NI60" s="292"/>
      <c r="NJ60" s="292"/>
      <c r="NK60" s="292"/>
      <c r="NL60" s="292"/>
      <c r="NM60" s="292"/>
      <c r="NN60" s="292"/>
      <c r="NO60" s="292"/>
      <c r="NP60" s="292"/>
      <c r="NQ60" s="292"/>
      <c r="NR60" s="292"/>
      <c r="NS60" s="292"/>
      <c r="NT60" s="292"/>
      <c r="NU60" s="292"/>
      <c r="NV60" s="292"/>
      <c r="NW60" s="292"/>
      <c r="NX60" s="292"/>
      <c r="NY60" s="292"/>
      <c r="NZ60" s="292"/>
      <c r="OA60" s="292"/>
      <c r="OB60" s="292"/>
      <c r="OC60" s="292"/>
      <c r="OD60" s="292"/>
      <c r="OE60" s="292"/>
      <c r="OF60" s="292"/>
      <c r="OG60" s="292"/>
      <c r="OH60" s="292"/>
      <c r="OI60" s="292"/>
      <c r="OJ60" s="292"/>
      <c r="OK60" s="292"/>
      <c r="OL60" s="292"/>
      <c r="OM60" s="292"/>
      <c r="ON60" s="292"/>
      <c r="OO60" s="292"/>
      <c r="OP60" s="292"/>
      <c r="OQ60" s="292"/>
      <c r="OR60" s="292"/>
      <c r="OS60" s="292"/>
      <c r="OT60" s="292"/>
      <c r="OU60" s="292"/>
      <c r="OV60" s="292"/>
      <c r="OW60" s="292"/>
      <c r="OX60" s="292"/>
      <c r="OY60" s="292"/>
      <c r="OZ60" s="292"/>
      <c r="PA60" s="292"/>
      <c r="PB60" s="292"/>
      <c r="PC60" s="292"/>
      <c r="PD60" s="292"/>
      <c r="PE60" s="292"/>
      <c r="PF60" s="292"/>
      <c r="PG60" s="292"/>
      <c r="PH60" s="292"/>
      <c r="PI60" s="292"/>
      <c r="PJ60" s="292"/>
      <c r="PK60" s="292"/>
      <c r="PL60" s="292"/>
      <c r="PM60" s="292"/>
      <c r="PN60" s="292"/>
      <c r="PO60" s="292"/>
      <c r="PP60" s="292"/>
      <c r="PQ60" s="292"/>
      <c r="PR60" s="292"/>
      <c r="PS60" s="292"/>
      <c r="PT60" s="292"/>
      <c r="PU60" s="292"/>
      <c r="PV60" s="292"/>
      <c r="PW60" s="292"/>
      <c r="PX60" s="292"/>
      <c r="PY60" s="292"/>
      <c r="PZ60" s="292"/>
      <c r="QA60" s="292"/>
      <c r="QB60" s="292"/>
      <c r="QC60" s="292"/>
      <c r="QD60" s="292"/>
      <c r="QE60" s="292"/>
      <c r="QF60" s="292"/>
      <c r="QG60" s="292"/>
      <c r="QH60" s="292"/>
      <c r="QI60" s="292"/>
      <c r="QJ60" s="292"/>
      <c r="QK60" s="292"/>
      <c r="QL60" s="292"/>
      <c r="QM60" s="292"/>
      <c r="QN60" s="292"/>
      <c r="QO60" s="292"/>
      <c r="QP60" s="292"/>
      <c r="QQ60" s="292"/>
      <c r="QR60" s="292"/>
      <c r="QS60" s="292"/>
      <c r="QT60" s="292"/>
      <c r="QU60" s="292"/>
      <c r="QV60" s="292"/>
      <c r="QW60" s="292"/>
      <c r="QX60" s="292"/>
      <c r="QY60" s="292"/>
      <c r="QZ60" s="292"/>
      <c r="RA60" s="292"/>
      <c r="RB60" s="292"/>
      <c r="RC60" s="292"/>
      <c r="RD60" s="292"/>
      <c r="RE60" s="292"/>
      <c r="RF60" s="292"/>
      <c r="RG60" s="292"/>
      <c r="RH60" s="292"/>
      <c r="RI60" s="292"/>
      <c r="RJ60" s="292"/>
      <c r="RK60" s="292"/>
      <c r="RL60" s="292"/>
      <c r="RM60" s="292"/>
      <c r="RN60" s="292"/>
      <c r="RO60" s="292"/>
      <c r="RP60" s="292"/>
      <c r="RQ60" s="292"/>
      <c r="RR60" s="292"/>
      <c r="RS60" s="292"/>
      <c r="RT60" s="292"/>
      <c r="RU60" s="292"/>
      <c r="RV60" s="292"/>
      <c r="RW60" s="292"/>
      <c r="RX60" s="292"/>
      <c r="RY60" s="292"/>
      <c r="RZ60" s="292"/>
      <c r="SA60" s="292"/>
      <c r="SB60" s="292"/>
      <c r="SC60" s="292"/>
      <c r="SD60" s="292"/>
      <c r="SE60" s="292"/>
      <c r="SF60" s="292"/>
      <c r="SG60" s="292"/>
      <c r="SH60" s="292"/>
      <c r="SI60" s="292"/>
      <c r="SJ60" s="292"/>
      <c r="SK60" s="292"/>
      <c r="SL60" s="292"/>
      <c r="SM60" s="292"/>
      <c r="SN60" s="292"/>
      <c r="SO60" s="292"/>
      <c r="SP60" s="292"/>
      <c r="SQ60" s="292"/>
      <c r="SR60" s="292"/>
      <c r="SS60" s="292"/>
      <c r="ST60" s="292"/>
      <c r="SU60" s="292"/>
    </row>
    <row r="61" spans="1:515" s="478" customFormat="1" ht="13" customHeight="1" x14ac:dyDescent="0.25">
      <c r="A61" s="986"/>
      <c r="B61" s="984"/>
      <c r="C61" s="984"/>
      <c r="D61" s="962"/>
      <c r="E61" s="960"/>
      <c r="F61" s="976"/>
      <c r="G61" s="981"/>
      <c r="H61" s="957"/>
      <c r="I61" s="960"/>
      <c r="J61" s="981"/>
      <c r="K61" s="981"/>
      <c r="L61" s="957"/>
      <c r="M61" s="960"/>
      <c r="N61" s="985"/>
      <c r="O61" s="981"/>
      <c r="P61" s="957"/>
      <c r="Q61" s="960"/>
      <c r="R61" s="981"/>
      <c r="S61" s="981"/>
      <c r="T61" s="957"/>
      <c r="U61" s="957"/>
      <c r="V61" s="957"/>
      <c r="W61" s="981"/>
      <c r="X61" s="957"/>
      <c r="Y61" s="957"/>
      <c r="Z61" s="957"/>
      <c r="AA61" s="981"/>
      <c r="AB61" s="976"/>
      <c r="AC61" s="957"/>
      <c r="AD61" s="976"/>
      <c r="AE61" s="971"/>
      <c r="AF61" s="292"/>
      <c r="AG61" s="292"/>
      <c r="AH61" s="292"/>
      <c r="AI61" s="292"/>
      <c r="AJ61" s="292"/>
      <c r="AK61" s="292"/>
      <c r="AL61" s="292"/>
      <c r="AM61" s="292"/>
      <c r="AN61" s="292"/>
      <c r="AO61" s="292"/>
      <c r="AP61" s="292"/>
      <c r="AQ61" s="292"/>
      <c r="AR61" s="292"/>
      <c r="AS61" s="292"/>
      <c r="AT61" s="292"/>
      <c r="AU61" s="292"/>
      <c r="AV61" s="292"/>
      <c r="AW61" s="292"/>
      <c r="AX61" s="292"/>
      <c r="AY61" s="292"/>
      <c r="AZ61" s="292"/>
      <c r="BA61" s="292"/>
      <c r="BB61" s="292"/>
      <c r="BC61" s="292"/>
      <c r="BD61" s="292"/>
      <c r="BE61" s="292"/>
      <c r="BF61" s="292"/>
      <c r="BG61" s="292"/>
      <c r="BH61" s="292"/>
      <c r="BI61" s="292"/>
      <c r="BJ61" s="292"/>
      <c r="BK61" s="292"/>
      <c r="BL61" s="292"/>
      <c r="BM61" s="292"/>
      <c r="BN61" s="292"/>
      <c r="BO61" s="292"/>
      <c r="BP61" s="292"/>
      <c r="BQ61" s="292"/>
      <c r="BR61" s="292"/>
      <c r="BS61" s="292"/>
      <c r="BT61" s="292"/>
      <c r="BU61" s="292"/>
      <c r="BV61" s="292"/>
      <c r="BW61" s="292"/>
      <c r="BX61" s="292"/>
      <c r="BY61" s="292"/>
      <c r="BZ61" s="292"/>
      <c r="CA61" s="292"/>
      <c r="CB61" s="292"/>
      <c r="CC61" s="292"/>
      <c r="CD61" s="292"/>
      <c r="CE61" s="292"/>
      <c r="CF61" s="292"/>
      <c r="CG61" s="292"/>
      <c r="CH61" s="292"/>
      <c r="CI61" s="292"/>
      <c r="CJ61" s="292"/>
      <c r="CK61" s="292"/>
      <c r="CL61" s="292"/>
      <c r="CM61" s="292"/>
      <c r="CN61" s="292"/>
      <c r="CO61" s="292"/>
      <c r="CP61" s="292"/>
      <c r="CQ61" s="292"/>
      <c r="CR61" s="292"/>
      <c r="CS61" s="292"/>
      <c r="CT61" s="292"/>
      <c r="CU61" s="292"/>
      <c r="CV61" s="292"/>
      <c r="CW61" s="292"/>
      <c r="CX61" s="292"/>
      <c r="CY61" s="292"/>
      <c r="CZ61" s="292"/>
      <c r="DA61" s="292"/>
      <c r="DB61" s="292"/>
      <c r="DC61" s="292"/>
      <c r="DD61" s="292"/>
      <c r="DE61" s="292"/>
      <c r="DF61" s="292"/>
      <c r="DG61" s="292"/>
      <c r="DH61" s="292"/>
      <c r="DI61" s="292"/>
      <c r="DJ61" s="292"/>
      <c r="DK61" s="292"/>
      <c r="DL61" s="292"/>
      <c r="DM61" s="292"/>
      <c r="DN61" s="292"/>
      <c r="DO61" s="292"/>
      <c r="DP61" s="292"/>
      <c r="DQ61" s="292"/>
      <c r="DR61" s="292"/>
      <c r="DS61" s="292"/>
      <c r="DT61" s="292"/>
      <c r="DU61" s="292"/>
      <c r="DV61" s="292"/>
      <c r="DW61" s="292"/>
      <c r="DX61" s="292"/>
      <c r="DY61" s="292"/>
      <c r="DZ61" s="292"/>
      <c r="EA61" s="292"/>
      <c r="EB61" s="292"/>
      <c r="EC61" s="292"/>
      <c r="ED61" s="292"/>
      <c r="EE61" s="292"/>
      <c r="EF61" s="292"/>
      <c r="EG61" s="292"/>
      <c r="EH61" s="292"/>
      <c r="EI61" s="292"/>
      <c r="EJ61" s="292"/>
      <c r="EK61" s="292"/>
      <c r="EL61" s="292"/>
      <c r="EM61" s="292"/>
      <c r="EN61" s="292"/>
      <c r="EO61" s="292"/>
      <c r="EP61" s="292"/>
      <c r="EQ61" s="292"/>
      <c r="ER61" s="292"/>
      <c r="ES61" s="292"/>
      <c r="ET61" s="292"/>
      <c r="EU61" s="292"/>
      <c r="EV61" s="292"/>
      <c r="EW61" s="292"/>
      <c r="EX61" s="292"/>
      <c r="EY61" s="292"/>
      <c r="EZ61" s="292"/>
      <c r="FA61" s="292"/>
      <c r="FB61" s="292"/>
      <c r="FC61" s="292"/>
      <c r="FD61" s="292"/>
      <c r="FE61" s="292"/>
      <c r="FF61" s="292"/>
      <c r="FG61" s="292"/>
      <c r="FH61" s="292"/>
      <c r="FI61" s="292"/>
      <c r="FJ61" s="292"/>
      <c r="FK61" s="292"/>
      <c r="FL61" s="292"/>
      <c r="FM61" s="292"/>
      <c r="FN61" s="292"/>
      <c r="FO61" s="292"/>
      <c r="FP61" s="292"/>
      <c r="FQ61" s="292"/>
      <c r="FR61" s="292"/>
      <c r="FS61" s="292"/>
      <c r="FT61" s="292"/>
      <c r="FU61" s="292"/>
      <c r="FV61" s="292"/>
      <c r="FW61" s="292"/>
      <c r="FX61" s="292"/>
      <c r="FY61" s="292"/>
      <c r="FZ61" s="292"/>
      <c r="GA61" s="292"/>
      <c r="GB61" s="292"/>
      <c r="GC61" s="292"/>
      <c r="GD61" s="292"/>
      <c r="GE61" s="292"/>
      <c r="GF61" s="292"/>
      <c r="GG61" s="292"/>
      <c r="GH61" s="292"/>
      <c r="GI61" s="292"/>
      <c r="GJ61" s="292"/>
      <c r="GK61" s="292"/>
      <c r="GL61" s="292"/>
      <c r="GM61" s="292"/>
      <c r="GN61" s="292"/>
      <c r="GO61" s="292"/>
      <c r="GP61" s="292"/>
      <c r="GQ61" s="292"/>
      <c r="GR61" s="292"/>
      <c r="GS61" s="292"/>
      <c r="GT61" s="292"/>
      <c r="GU61" s="292"/>
      <c r="GV61" s="292"/>
      <c r="GW61" s="292"/>
      <c r="GX61" s="292"/>
      <c r="GY61" s="292"/>
      <c r="GZ61" s="292"/>
      <c r="HA61" s="292"/>
      <c r="HB61" s="292"/>
      <c r="HC61" s="292"/>
      <c r="HD61" s="292"/>
      <c r="HE61" s="292"/>
      <c r="HF61" s="292"/>
      <c r="HG61" s="292"/>
      <c r="HH61" s="292"/>
      <c r="HI61" s="292"/>
      <c r="HJ61" s="292"/>
      <c r="HK61" s="292"/>
      <c r="HL61" s="292"/>
      <c r="HM61" s="292"/>
      <c r="HN61" s="292"/>
      <c r="HO61" s="292"/>
      <c r="HP61" s="292"/>
      <c r="HQ61" s="292"/>
      <c r="HR61" s="292"/>
      <c r="HS61" s="292"/>
      <c r="HT61" s="292"/>
      <c r="HU61" s="292"/>
      <c r="HV61" s="292"/>
      <c r="HW61" s="292"/>
      <c r="HX61" s="292"/>
      <c r="HY61" s="292"/>
      <c r="HZ61" s="292"/>
      <c r="IA61" s="292"/>
      <c r="IB61" s="292"/>
      <c r="IC61" s="292"/>
      <c r="ID61" s="292"/>
      <c r="IE61" s="292"/>
      <c r="IF61" s="292"/>
      <c r="IG61" s="292"/>
      <c r="IH61" s="292"/>
      <c r="II61" s="292"/>
      <c r="IJ61" s="292"/>
      <c r="IK61" s="292"/>
      <c r="IL61" s="292"/>
      <c r="IM61" s="292"/>
      <c r="IN61" s="292"/>
      <c r="IO61" s="292"/>
      <c r="IP61" s="292"/>
      <c r="IQ61" s="292"/>
      <c r="IR61" s="292"/>
      <c r="IS61" s="292"/>
      <c r="IT61" s="292"/>
      <c r="IU61" s="292"/>
      <c r="IV61" s="292"/>
      <c r="IW61" s="292"/>
      <c r="IX61" s="292"/>
      <c r="IY61" s="292"/>
      <c r="IZ61" s="292"/>
      <c r="JA61" s="292"/>
      <c r="JB61" s="292"/>
      <c r="JC61" s="292"/>
      <c r="JD61" s="292"/>
      <c r="JE61" s="292"/>
      <c r="JF61" s="292"/>
      <c r="JG61" s="292"/>
      <c r="JH61" s="292"/>
      <c r="JI61" s="292"/>
      <c r="JJ61" s="292"/>
      <c r="JK61" s="292"/>
      <c r="JL61" s="292"/>
      <c r="JM61" s="292"/>
      <c r="JN61" s="292"/>
      <c r="JO61" s="292"/>
      <c r="JP61" s="292"/>
      <c r="JQ61" s="292"/>
      <c r="JR61" s="292"/>
      <c r="JS61" s="292"/>
      <c r="JT61" s="292"/>
      <c r="JU61" s="292"/>
      <c r="JV61" s="292"/>
      <c r="JW61" s="292"/>
      <c r="JX61" s="292"/>
      <c r="JY61" s="292"/>
      <c r="JZ61" s="292"/>
      <c r="KA61" s="292"/>
      <c r="KB61" s="292"/>
      <c r="KC61" s="292"/>
      <c r="KD61" s="292"/>
      <c r="KE61" s="292"/>
      <c r="KF61" s="292"/>
      <c r="KG61" s="292"/>
      <c r="KH61" s="292"/>
      <c r="KI61" s="292"/>
      <c r="KJ61" s="292"/>
      <c r="KK61" s="292"/>
      <c r="KL61" s="292"/>
      <c r="KM61" s="292"/>
      <c r="KN61" s="292"/>
      <c r="KO61" s="292"/>
      <c r="KP61" s="292"/>
      <c r="KQ61" s="292"/>
      <c r="KR61" s="292"/>
      <c r="KS61" s="292"/>
      <c r="KT61" s="292"/>
      <c r="KU61" s="292"/>
      <c r="KV61" s="292"/>
      <c r="KW61" s="292"/>
      <c r="KX61" s="292"/>
      <c r="KY61" s="292"/>
      <c r="KZ61" s="292"/>
      <c r="LA61" s="292"/>
      <c r="LB61" s="292"/>
      <c r="LC61" s="292"/>
      <c r="LD61" s="292"/>
      <c r="LE61" s="292"/>
      <c r="LF61" s="292"/>
      <c r="LG61" s="292"/>
      <c r="LH61" s="292"/>
      <c r="LI61" s="292"/>
      <c r="LJ61" s="292"/>
      <c r="LK61" s="292"/>
      <c r="LL61" s="292"/>
      <c r="LM61" s="292"/>
      <c r="LN61" s="292"/>
      <c r="LO61" s="292"/>
      <c r="LP61" s="292"/>
      <c r="LQ61" s="292"/>
      <c r="LR61" s="292"/>
      <c r="LS61" s="292"/>
      <c r="LT61" s="292"/>
      <c r="LU61" s="292"/>
      <c r="LV61" s="292"/>
      <c r="LW61" s="292"/>
      <c r="LX61" s="292"/>
      <c r="LY61" s="292"/>
      <c r="LZ61" s="292"/>
      <c r="MA61" s="292"/>
      <c r="MB61" s="292"/>
      <c r="MC61" s="292"/>
      <c r="MD61" s="292"/>
      <c r="ME61" s="292"/>
      <c r="MF61" s="292"/>
      <c r="MG61" s="292"/>
      <c r="MH61" s="292"/>
      <c r="MI61" s="292"/>
      <c r="MJ61" s="292"/>
      <c r="MK61" s="292"/>
      <c r="ML61" s="292"/>
      <c r="MM61" s="292"/>
      <c r="MN61" s="292"/>
      <c r="MO61" s="292"/>
      <c r="MP61" s="292"/>
      <c r="MQ61" s="292"/>
      <c r="MR61" s="292"/>
      <c r="MS61" s="292"/>
      <c r="MT61" s="292"/>
      <c r="MU61" s="292"/>
      <c r="MV61" s="292"/>
      <c r="MW61" s="292"/>
      <c r="MX61" s="292"/>
      <c r="MY61" s="292"/>
      <c r="MZ61" s="292"/>
      <c r="NA61" s="292"/>
      <c r="NB61" s="292"/>
      <c r="NC61" s="292"/>
      <c r="ND61" s="292"/>
      <c r="NE61" s="292"/>
      <c r="NF61" s="292"/>
      <c r="NG61" s="292"/>
      <c r="NH61" s="292"/>
      <c r="NI61" s="292"/>
      <c r="NJ61" s="292"/>
      <c r="NK61" s="292"/>
      <c r="NL61" s="292"/>
      <c r="NM61" s="292"/>
      <c r="NN61" s="292"/>
      <c r="NO61" s="292"/>
      <c r="NP61" s="292"/>
      <c r="NQ61" s="292"/>
      <c r="NR61" s="292"/>
      <c r="NS61" s="292"/>
      <c r="NT61" s="292"/>
      <c r="NU61" s="292"/>
      <c r="NV61" s="292"/>
      <c r="NW61" s="292"/>
      <c r="NX61" s="292"/>
      <c r="NY61" s="292"/>
      <c r="NZ61" s="292"/>
      <c r="OA61" s="292"/>
      <c r="OB61" s="292"/>
      <c r="OC61" s="292"/>
      <c r="OD61" s="292"/>
      <c r="OE61" s="292"/>
      <c r="OF61" s="292"/>
      <c r="OG61" s="292"/>
      <c r="OH61" s="292"/>
      <c r="OI61" s="292"/>
      <c r="OJ61" s="292"/>
      <c r="OK61" s="292"/>
      <c r="OL61" s="292"/>
      <c r="OM61" s="292"/>
      <c r="ON61" s="292"/>
      <c r="OO61" s="292"/>
      <c r="OP61" s="292"/>
      <c r="OQ61" s="292"/>
      <c r="OR61" s="292"/>
      <c r="OS61" s="292"/>
      <c r="OT61" s="292"/>
      <c r="OU61" s="292"/>
      <c r="OV61" s="292"/>
      <c r="OW61" s="292"/>
      <c r="OX61" s="292"/>
      <c r="OY61" s="292"/>
      <c r="OZ61" s="292"/>
      <c r="PA61" s="292"/>
      <c r="PB61" s="292"/>
      <c r="PC61" s="292"/>
      <c r="PD61" s="292"/>
      <c r="PE61" s="292"/>
      <c r="PF61" s="292"/>
      <c r="PG61" s="292"/>
      <c r="PH61" s="292"/>
      <c r="PI61" s="292"/>
      <c r="PJ61" s="292"/>
      <c r="PK61" s="292"/>
      <c r="PL61" s="292"/>
      <c r="PM61" s="292"/>
      <c r="PN61" s="292"/>
      <c r="PO61" s="292"/>
      <c r="PP61" s="292"/>
      <c r="PQ61" s="292"/>
      <c r="PR61" s="292"/>
      <c r="PS61" s="292"/>
      <c r="PT61" s="292"/>
      <c r="PU61" s="292"/>
      <c r="PV61" s="292"/>
      <c r="PW61" s="292"/>
      <c r="PX61" s="292"/>
      <c r="PY61" s="292"/>
      <c r="PZ61" s="292"/>
      <c r="QA61" s="292"/>
      <c r="QB61" s="292"/>
      <c r="QC61" s="292"/>
      <c r="QD61" s="292"/>
      <c r="QE61" s="292"/>
      <c r="QF61" s="292"/>
      <c r="QG61" s="292"/>
      <c r="QH61" s="292"/>
      <c r="QI61" s="292"/>
      <c r="QJ61" s="292"/>
      <c r="QK61" s="292"/>
      <c r="QL61" s="292"/>
      <c r="QM61" s="292"/>
      <c r="QN61" s="292"/>
      <c r="QO61" s="292"/>
      <c r="QP61" s="292"/>
      <c r="QQ61" s="292"/>
      <c r="QR61" s="292"/>
      <c r="QS61" s="292"/>
      <c r="QT61" s="292"/>
      <c r="QU61" s="292"/>
      <c r="QV61" s="292"/>
      <c r="QW61" s="292"/>
      <c r="QX61" s="292"/>
      <c r="QY61" s="292"/>
      <c r="QZ61" s="292"/>
      <c r="RA61" s="292"/>
      <c r="RB61" s="292"/>
      <c r="RC61" s="292"/>
      <c r="RD61" s="292"/>
      <c r="RE61" s="292"/>
      <c r="RF61" s="292"/>
      <c r="RG61" s="292"/>
      <c r="RH61" s="292"/>
      <c r="RI61" s="292"/>
      <c r="RJ61" s="292"/>
      <c r="RK61" s="292"/>
      <c r="RL61" s="292"/>
      <c r="RM61" s="292"/>
      <c r="RN61" s="292"/>
      <c r="RO61" s="292"/>
      <c r="RP61" s="292"/>
      <c r="RQ61" s="292"/>
      <c r="RR61" s="292"/>
      <c r="RS61" s="292"/>
      <c r="RT61" s="292"/>
      <c r="RU61" s="292"/>
      <c r="RV61" s="292"/>
      <c r="RW61" s="292"/>
      <c r="RX61" s="292"/>
      <c r="RY61" s="292"/>
      <c r="RZ61" s="292"/>
      <c r="SA61" s="292"/>
      <c r="SB61" s="292"/>
      <c r="SC61" s="292"/>
      <c r="SD61" s="292"/>
      <c r="SE61" s="292"/>
      <c r="SF61" s="292"/>
      <c r="SG61" s="292"/>
      <c r="SH61" s="292"/>
      <c r="SI61" s="292"/>
      <c r="SJ61" s="292"/>
      <c r="SK61" s="292"/>
      <c r="SL61" s="292"/>
      <c r="SM61" s="292"/>
      <c r="SN61" s="292"/>
      <c r="SO61" s="292"/>
      <c r="SP61" s="292"/>
      <c r="SQ61" s="292"/>
      <c r="SR61" s="292"/>
      <c r="SS61" s="292"/>
      <c r="ST61" s="292"/>
      <c r="SU61" s="292"/>
    </row>
    <row r="62" spans="1:515" s="478" customFormat="1" ht="28.5" customHeight="1" x14ac:dyDescent="0.25">
      <c r="A62" s="986"/>
      <c r="B62" s="984"/>
      <c r="C62" s="984"/>
      <c r="D62" s="962"/>
      <c r="E62" s="1294" t="s">
        <v>367</v>
      </c>
      <c r="F62" s="1294"/>
      <c r="G62" s="1294"/>
      <c r="H62" s="957"/>
      <c r="I62" s="1294" t="s">
        <v>367</v>
      </c>
      <c r="J62" s="1294"/>
      <c r="K62" s="1294"/>
      <c r="L62" s="957"/>
      <c r="M62" s="1294" t="s">
        <v>367</v>
      </c>
      <c r="N62" s="1294"/>
      <c r="O62" s="1294"/>
      <c r="P62" s="957"/>
      <c r="Q62" s="1294" t="s">
        <v>367</v>
      </c>
      <c r="R62" s="1294"/>
      <c r="S62" s="1294"/>
      <c r="T62" s="957"/>
      <c r="U62" s="1294" t="s">
        <v>367</v>
      </c>
      <c r="V62" s="1294"/>
      <c r="W62" s="1294"/>
      <c r="X62" s="957"/>
      <c r="Y62" s="1294" t="s">
        <v>367</v>
      </c>
      <c r="Z62" s="1294"/>
      <c r="AA62" s="1294"/>
      <c r="AB62" s="976"/>
      <c r="AC62" s="957"/>
      <c r="AD62" s="1181" t="s">
        <v>367</v>
      </c>
      <c r="AE62" s="971"/>
      <c r="AF62" s="292"/>
      <c r="AG62" s="292"/>
      <c r="AH62" s="292"/>
      <c r="AI62" s="292"/>
      <c r="AJ62" s="292"/>
      <c r="AK62" s="292"/>
      <c r="AL62" s="292"/>
      <c r="AM62" s="292"/>
      <c r="AN62" s="292"/>
      <c r="AO62" s="292"/>
      <c r="AP62" s="292"/>
      <c r="AQ62" s="292"/>
      <c r="AR62" s="292"/>
      <c r="AS62" s="292"/>
      <c r="AT62" s="292"/>
      <c r="AU62" s="292"/>
      <c r="AV62" s="292"/>
      <c r="AW62" s="292"/>
      <c r="AX62" s="292"/>
      <c r="AY62" s="292"/>
      <c r="AZ62" s="292"/>
      <c r="BA62" s="292"/>
      <c r="BB62" s="292"/>
      <c r="BC62" s="292"/>
      <c r="BD62" s="292"/>
      <c r="BE62" s="292"/>
      <c r="BF62" s="292"/>
      <c r="BG62" s="292"/>
      <c r="BH62" s="292"/>
      <c r="BI62" s="292"/>
      <c r="BJ62" s="292"/>
      <c r="BK62" s="292"/>
      <c r="BL62" s="292"/>
      <c r="BM62" s="292"/>
      <c r="BN62" s="292"/>
      <c r="BO62" s="292"/>
      <c r="BP62" s="292"/>
      <c r="BQ62" s="292"/>
      <c r="BR62" s="292"/>
      <c r="BS62" s="292"/>
      <c r="BT62" s="292"/>
      <c r="BU62" s="292"/>
      <c r="BV62" s="292"/>
      <c r="BW62" s="292"/>
      <c r="BX62" s="292"/>
      <c r="BY62" s="292"/>
      <c r="BZ62" s="292"/>
      <c r="CA62" s="292"/>
      <c r="CB62" s="292"/>
      <c r="CC62" s="292"/>
      <c r="CD62" s="292"/>
      <c r="CE62" s="292"/>
      <c r="CF62" s="292"/>
      <c r="CG62" s="292"/>
      <c r="CH62" s="292"/>
      <c r="CI62" s="292"/>
      <c r="CJ62" s="292"/>
      <c r="CK62" s="292"/>
      <c r="CL62" s="292"/>
      <c r="CM62" s="292"/>
      <c r="CN62" s="292"/>
      <c r="CO62" s="292"/>
      <c r="CP62" s="292"/>
      <c r="CQ62" s="292"/>
      <c r="CR62" s="292"/>
      <c r="CS62" s="292"/>
      <c r="CT62" s="292"/>
      <c r="CU62" s="292"/>
      <c r="CV62" s="292"/>
      <c r="CW62" s="292"/>
      <c r="CX62" s="292"/>
      <c r="CY62" s="292"/>
      <c r="CZ62" s="292"/>
      <c r="DA62" s="292"/>
      <c r="DB62" s="292"/>
      <c r="DC62" s="292"/>
      <c r="DD62" s="292"/>
      <c r="DE62" s="292"/>
      <c r="DF62" s="292"/>
      <c r="DG62" s="292"/>
      <c r="DH62" s="292"/>
      <c r="DI62" s="292"/>
      <c r="DJ62" s="292"/>
      <c r="DK62" s="292"/>
      <c r="DL62" s="292"/>
      <c r="DM62" s="292"/>
      <c r="DN62" s="292"/>
      <c r="DO62" s="292"/>
      <c r="DP62" s="292"/>
      <c r="DQ62" s="292"/>
      <c r="DR62" s="292"/>
      <c r="DS62" s="292"/>
      <c r="DT62" s="292"/>
      <c r="DU62" s="292"/>
      <c r="DV62" s="292"/>
      <c r="DW62" s="292"/>
      <c r="DX62" s="292"/>
      <c r="DY62" s="292"/>
      <c r="DZ62" s="292"/>
      <c r="EA62" s="292"/>
      <c r="EB62" s="292"/>
      <c r="EC62" s="292"/>
      <c r="ED62" s="292"/>
      <c r="EE62" s="292"/>
      <c r="EF62" s="292"/>
      <c r="EG62" s="292"/>
      <c r="EH62" s="292"/>
      <c r="EI62" s="292"/>
      <c r="EJ62" s="292"/>
      <c r="EK62" s="292"/>
      <c r="EL62" s="292"/>
      <c r="EM62" s="292"/>
      <c r="EN62" s="292"/>
      <c r="EO62" s="292"/>
      <c r="EP62" s="292"/>
      <c r="EQ62" s="292"/>
      <c r="ER62" s="292"/>
      <c r="ES62" s="292"/>
      <c r="ET62" s="292"/>
      <c r="EU62" s="292"/>
      <c r="EV62" s="292"/>
      <c r="EW62" s="292"/>
      <c r="EX62" s="292"/>
      <c r="EY62" s="292"/>
      <c r="EZ62" s="292"/>
      <c r="FA62" s="292"/>
      <c r="FB62" s="292"/>
      <c r="FC62" s="292"/>
      <c r="FD62" s="292"/>
      <c r="FE62" s="292"/>
      <c r="FF62" s="292"/>
      <c r="FG62" s="292"/>
      <c r="FH62" s="292"/>
      <c r="FI62" s="292"/>
      <c r="FJ62" s="292"/>
      <c r="FK62" s="292"/>
      <c r="FL62" s="292"/>
      <c r="FM62" s="292"/>
      <c r="FN62" s="292"/>
      <c r="FO62" s="292"/>
      <c r="FP62" s="292"/>
      <c r="FQ62" s="292"/>
      <c r="FR62" s="292"/>
      <c r="FS62" s="292"/>
      <c r="FT62" s="292"/>
      <c r="FU62" s="292"/>
      <c r="FV62" s="292"/>
      <c r="FW62" s="292"/>
      <c r="FX62" s="292"/>
      <c r="FY62" s="292"/>
      <c r="FZ62" s="292"/>
      <c r="GA62" s="292"/>
      <c r="GB62" s="292"/>
      <c r="GC62" s="292"/>
      <c r="GD62" s="292"/>
      <c r="GE62" s="292"/>
      <c r="GF62" s="292"/>
      <c r="GG62" s="292"/>
      <c r="GH62" s="292"/>
      <c r="GI62" s="292"/>
      <c r="GJ62" s="292"/>
      <c r="GK62" s="292"/>
      <c r="GL62" s="292"/>
      <c r="GM62" s="292"/>
      <c r="GN62" s="292"/>
      <c r="GO62" s="292"/>
      <c r="GP62" s="292"/>
      <c r="GQ62" s="292"/>
      <c r="GR62" s="292"/>
      <c r="GS62" s="292"/>
      <c r="GT62" s="292"/>
      <c r="GU62" s="292"/>
      <c r="GV62" s="292"/>
      <c r="GW62" s="292"/>
      <c r="GX62" s="292"/>
      <c r="GY62" s="292"/>
      <c r="GZ62" s="292"/>
      <c r="HA62" s="292"/>
      <c r="HB62" s="292"/>
      <c r="HC62" s="292"/>
      <c r="HD62" s="292"/>
      <c r="HE62" s="292"/>
      <c r="HF62" s="292"/>
      <c r="HG62" s="292"/>
      <c r="HH62" s="292"/>
      <c r="HI62" s="292"/>
      <c r="HJ62" s="292"/>
      <c r="HK62" s="292"/>
      <c r="HL62" s="292"/>
      <c r="HM62" s="292"/>
      <c r="HN62" s="292"/>
      <c r="HO62" s="292"/>
      <c r="HP62" s="292"/>
      <c r="HQ62" s="292"/>
      <c r="HR62" s="292"/>
      <c r="HS62" s="292"/>
      <c r="HT62" s="292"/>
      <c r="HU62" s="292"/>
      <c r="HV62" s="292"/>
      <c r="HW62" s="292"/>
      <c r="HX62" s="292"/>
      <c r="HY62" s="292"/>
      <c r="HZ62" s="292"/>
      <c r="IA62" s="292"/>
      <c r="IB62" s="292"/>
      <c r="IC62" s="292"/>
      <c r="ID62" s="292"/>
      <c r="IE62" s="292"/>
      <c r="IF62" s="292"/>
      <c r="IG62" s="292"/>
      <c r="IH62" s="292"/>
      <c r="II62" s="292"/>
      <c r="IJ62" s="292"/>
      <c r="IK62" s="292"/>
      <c r="IL62" s="292"/>
      <c r="IM62" s="292"/>
      <c r="IN62" s="292"/>
      <c r="IO62" s="292"/>
      <c r="IP62" s="292"/>
      <c r="IQ62" s="292"/>
      <c r="IR62" s="292"/>
      <c r="IS62" s="292"/>
      <c r="IT62" s="292"/>
      <c r="IU62" s="292"/>
      <c r="IV62" s="292"/>
      <c r="IW62" s="292"/>
      <c r="IX62" s="292"/>
      <c r="IY62" s="292"/>
      <c r="IZ62" s="292"/>
      <c r="JA62" s="292"/>
      <c r="JB62" s="292"/>
      <c r="JC62" s="292"/>
      <c r="JD62" s="292"/>
      <c r="JE62" s="292"/>
      <c r="JF62" s="292"/>
      <c r="JG62" s="292"/>
      <c r="JH62" s="292"/>
      <c r="JI62" s="292"/>
      <c r="JJ62" s="292"/>
      <c r="JK62" s="292"/>
      <c r="JL62" s="292"/>
      <c r="JM62" s="292"/>
      <c r="JN62" s="292"/>
      <c r="JO62" s="292"/>
      <c r="JP62" s="292"/>
      <c r="JQ62" s="292"/>
      <c r="JR62" s="292"/>
      <c r="JS62" s="292"/>
      <c r="JT62" s="292"/>
      <c r="JU62" s="292"/>
      <c r="JV62" s="292"/>
      <c r="JW62" s="292"/>
      <c r="JX62" s="292"/>
      <c r="JY62" s="292"/>
      <c r="JZ62" s="292"/>
      <c r="KA62" s="292"/>
      <c r="KB62" s="292"/>
      <c r="KC62" s="292"/>
      <c r="KD62" s="292"/>
      <c r="KE62" s="292"/>
      <c r="KF62" s="292"/>
      <c r="KG62" s="292"/>
      <c r="KH62" s="292"/>
      <c r="KI62" s="292"/>
      <c r="KJ62" s="292"/>
      <c r="KK62" s="292"/>
      <c r="KL62" s="292"/>
      <c r="KM62" s="292"/>
      <c r="KN62" s="292"/>
      <c r="KO62" s="292"/>
      <c r="KP62" s="292"/>
      <c r="KQ62" s="292"/>
      <c r="KR62" s="292"/>
      <c r="KS62" s="292"/>
      <c r="KT62" s="292"/>
      <c r="KU62" s="292"/>
      <c r="KV62" s="292"/>
      <c r="KW62" s="292"/>
      <c r="KX62" s="292"/>
      <c r="KY62" s="292"/>
      <c r="KZ62" s="292"/>
      <c r="LA62" s="292"/>
      <c r="LB62" s="292"/>
      <c r="LC62" s="292"/>
      <c r="LD62" s="292"/>
      <c r="LE62" s="292"/>
      <c r="LF62" s="292"/>
      <c r="LG62" s="292"/>
      <c r="LH62" s="292"/>
      <c r="LI62" s="292"/>
      <c r="LJ62" s="292"/>
      <c r="LK62" s="292"/>
      <c r="LL62" s="292"/>
      <c r="LM62" s="292"/>
      <c r="LN62" s="292"/>
      <c r="LO62" s="292"/>
      <c r="LP62" s="292"/>
      <c r="LQ62" s="292"/>
      <c r="LR62" s="292"/>
      <c r="LS62" s="292"/>
      <c r="LT62" s="292"/>
      <c r="LU62" s="292"/>
      <c r="LV62" s="292"/>
      <c r="LW62" s="292"/>
      <c r="LX62" s="292"/>
      <c r="LY62" s="292"/>
      <c r="LZ62" s="292"/>
      <c r="MA62" s="292"/>
      <c r="MB62" s="292"/>
      <c r="MC62" s="292"/>
      <c r="MD62" s="292"/>
      <c r="ME62" s="292"/>
      <c r="MF62" s="292"/>
      <c r="MG62" s="292"/>
      <c r="MH62" s="292"/>
      <c r="MI62" s="292"/>
      <c r="MJ62" s="292"/>
      <c r="MK62" s="292"/>
      <c r="ML62" s="292"/>
      <c r="MM62" s="292"/>
      <c r="MN62" s="292"/>
      <c r="MO62" s="292"/>
      <c r="MP62" s="292"/>
      <c r="MQ62" s="292"/>
      <c r="MR62" s="292"/>
      <c r="MS62" s="292"/>
      <c r="MT62" s="292"/>
      <c r="MU62" s="292"/>
      <c r="MV62" s="292"/>
      <c r="MW62" s="292"/>
      <c r="MX62" s="292"/>
      <c r="MY62" s="292"/>
      <c r="MZ62" s="292"/>
      <c r="NA62" s="292"/>
      <c r="NB62" s="292"/>
      <c r="NC62" s="292"/>
      <c r="ND62" s="292"/>
      <c r="NE62" s="292"/>
      <c r="NF62" s="292"/>
      <c r="NG62" s="292"/>
      <c r="NH62" s="292"/>
      <c r="NI62" s="292"/>
      <c r="NJ62" s="292"/>
      <c r="NK62" s="292"/>
      <c r="NL62" s="292"/>
      <c r="NM62" s="292"/>
      <c r="NN62" s="292"/>
      <c r="NO62" s="292"/>
      <c r="NP62" s="292"/>
      <c r="NQ62" s="292"/>
      <c r="NR62" s="292"/>
      <c r="NS62" s="292"/>
      <c r="NT62" s="292"/>
      <c r="NU62" s="292"/>
      <c r="NV62" s="292"/>
      <c r="NW62" s="292"/>
      <c r="NX62" s="292"/>
      <c r="NY62" s="292"/>
      <c r="NZ62" s="292"/>
      <c r="OA62" s="292"/>
      <c r="OB62" s="292"/>
      <c r="OC62" s="292"/>
      <c r="OD62" s="292"/>
      <c r="OE62" s="292"/>
      <c r="OF62" s="292"/>
      <c r="OG62" s="292"/>
      <c r="OH62" s="292"/>
      <c r="OI62" s="292"/>
      <c r="OJ62" s="292"/>
      <c r="OK62" s="292"/>
      <c r="OL62" s="292"/>
      <c r="OM62" s="292"/>
      <c r="ON62" s="292"/>
      <c r="OO62" s="292"/>
      <c r="OP62" s="292"/>
      <c r="OQ62" s="292"/>
      <c r="OR62" s="292"/>
      <c r="OS62" s="292"/>
      <c r="OT62" s="292"/>
      <c r="OU62" s="292"/>
      <c r="OV62" s="292"/>
      <c r="OW62" s="292"/>
      <c r="OX62" s="292"/>
      <c r="OY62" s="292"/>
      <c r="OZ62" s="292"/>
      <c r="PA62" s="292"/>
      <c r="PB62" s="292"/>
      <c r="PC62" s="292"/>
      <c r="PD62" s="292"/>
      <c r="PE62" s="292"/>
      <c r="PF62" s="292"/>
      <c r="PG62" s="292"/>
      <c r="PH62" s="292"/>
      <c r="PI62" s="292"/>
      <c r="PJ62" s="292"/>
      <c r="PK62" s="292"/>
      <c r="PL62" s="292"/>
      <c r="PM62" s="292"/>
      <c r="PN62" s="292"/>
      <c r="PO62" s="292"/>
      <c r="PP62" s="292"/>
      <c r="PQ62" s="292"/>
      <c r="PR62" s="292"/>
      <c r="PS62" s="292"/>
      <c r="PT62" s="292"/>
      <c r="PU62" s="292"/>
      <c r="PV62" s="292"/>
      <c r="PW62" s="292"/>
      <c r="PX62" s="292"/>
      <c r="PY62" s="292"/>
      <c r="PZ62" s="292"/>
      <c r="QA62" s="292"/>
      <c r="QB62" s="292"/>
      <c r="QC62" s="292"/>
      <c r="QD62" s="292"/>
      <c r="QE62" s="292"/>
      <c r="QF62" s="292"/>
      <c r="QG62" s="292"/>
      <c r="QH62" s="292"/>
      <c r="QI62" s="292"/>
      <c r="QJ62" s="292"/>
      <c r="QK62" s="292"/>
      <c r="QL62" s="292"/>
      <c r="QM62" s="292"/>
      <c r="QN62" s="292"/>
      <c r="QO62" s="292"/>
      <c r="QP62" s="292"/>
      <c r="QQ62" s="292"/>
      <c r="QR62" s="292"/>
      <c r="QS62" s="292"/>
      <c r="QT62" s="292"/>
      <c r="QU62" s="292"/>
      <c r="QV62" s="292"/>
      <c r="QW62" s="292"/>
      <c r="QX62" s="292"/>
      <c r="QY62" s="292"/>
      <c r="QZ62" s="292"/>
      <c r="RA62" s="292"/>
      <c r="RB62" s="292"/>
      <c r="RC62" s="292"/>
      <c r="RD62" s="292"/>
      <c r="RE62" s="292"/>
      <c r="RF62" s="292"/>
      <c r="RG62" s="292"/>
      <c r="RH62" s="292"/>
      <c r="RI62" s="292"/>
      <c r="RJ62" s="292"/>
      <c r="RK62" s="292"/>
      <c r="RL62" s="292"/>
      <c r="RM62" s="292"/>
      <c r="RN62" s="292"/>
      <c r="RO62" s="292"/>
      <c r="RP62" s="292"/>
      <c r="RQ62" s="292"/>
      <c r="RR62" s="292"/>
      <c r="RS62" s="292"/>
      <c r="RT62" s="292"/>
      <c r="RU62" s="292"/>
      <c r="RV62" s="292"/>
      <c r="RW62" s="292"/>
      <c r="RX62" s="292"/>
      <c r="RY62" s="292"/>
      <c r="RZ62" s="292"/>
      <c r="SA62" s="292"/>
      <c r="SB62" s="292"/>
      <c r="SC62" s="292"/>
      <c r="SD62" s="292"/>
      <c r="SE62" s="292"/>
      <c r="SF62" s="292"/>
      <c r="SG62" s="292"/>
      <c r="SH62" s="292"/>
      <c r="SI62" s="292"/>
      <c r="SJ62" s="292"/>
      <c r="SK62" s="292"/>
      <c r="SL62" s="292"/>
      <c r="SM62" s="292"/>
      <c r="SN62" s="292"/>
      <c r="SO62" s="292"/>
      <c r="SP62" s="292"/>
      <c r="SQ62" s="292"/>
      <c r="SR62" s="292"/>
      <c r="SS62" s="292"/>
      <c r="ST62" s="292"/>
      <c r="SU62" s="292"/>
    </row>
    <row r="63" spans="1:515" s="603" customFormat="1" ht="23.15" customHeight="1" x14ac:dyDescent="0.25">
      <c r="A63" s="1323" t="s">
        <v>368</v>
      </c>
      <c r="B63" s="1324"/>
      <c r="C63" s="1324"/>
      <c r="D63" s="962"/>
      <c r="E63" s="1296">
        <f>G33+G40+G47+G54+G59</f>
        <v>0</v>
      </c>
      <c r="F63" s="1296"/>
      <c r="G63" s="1296"/>
      <c r="H63" s="962"/>
      <c r="I63" s="1296">
        <f>K33+K40+K47+K54+K59</f>
        <v>0</v>
      </c>
      <c r="J63" s="1296"/>
      <c r="K63" s="1296"/>
      <c r="L63" s="962"/>
      <c r="M63" s="1296">
        <f>O33+O40+O47+O54+O59</f>
        <v>0</v>
      </c>
      <c r="N63" s="1296"/>
      <c r="O63" s="1296"/>
      <c r="P63" s="962"/>
      <c r="Q63" s="1296">
        <f>S33+S40+S47+S54+S59</f>
        <v>0</v>
      </c>
      <c r="R63" s="1296"/>
      <c r="S63" s="1296"/>
      <c r="T63" s="962"/>
      <c r="U63" s="1296">
        <f>W33+W40+W47+W54+W59</f>
        <v>0</v>
      </c>
      <c r="V63" s="1296"/>
      <c r="W63" s="1296"/>
      <c r="X63" s="962"/>
      <c r="Y63" s="1296">
        <f>AA33+AA40+AA47+AA54+AA59</f>
        <v>0</v>
      </c>
      <c r="Z63" s="1296"/>
      <c r="AA63" s="1296"/>
      <c r="AB63" s="976"/>
      <c r="AC63" s="1144"/>
      <c r="AD63" s="1176">
        <f>E63+I63+M63+Q63+U63+Y63</f>
        <v>0</v>
      </c>
      <c r="AE63" s="971"/>
      <c r="AF63" s="613"/>
      <c r="AG63" s="613"/>
      <c r="AH63" s="613"/>
      <c r="AI63" s="613"/>
      <c r="AJ63" s="613"/>
      <c r="AK63" s="613"/>
      <c r="AL63" s="613"/>
      <c r="AM63" s="613"/>
      <c r="AN63" s="613"/>
      <c r="AO63" s="613"/>
      <c r="AP63" s="613"/>
      <c r="AQ63" s="613"/>
      <c r="AR63" s="613"/>
      <c r="AS63" s="613"/>
      <c r="AT63" s="613"/>
      <c r="AU63" s="613"/>
      <c r="AV63" s="613"/>
      <c r="AW63" s="613"/>
      <c r="AX63" s="613"/>
      <c r="AY63" s="613"/>
      <c r="AZ63" s="613"/>
      <c r="BA63" s="613"/>
      <c r="BB63" s="613"/>
      <c r="BC63" s="613"/>
      <c r="BD63" s="613"/>
      <c r="BE63" s="613"/>
      <c r="BF63" s="613"/>
      <c r="BG63" s="613"/>
      <c r="BH63" s="613"/>
      <c r="BI63" s="613"/>
      <c r="BJ63" s="613"/>
      <c r="BK63" s="613"/>
      <c r="BL63" s="613"/>
      <c r="BM63" s="613"/>
      <c r="BN63" s="613"/>
      <c r="BO63" s="613"/>
      <c r="BP63" s="613"/>
      <c r="BQ63" s="613"/>
      <c r="BR63" s="613"/>
      <c r="BS63" s="613"/>
      <c r="BT63" s="613"/>
      <c r="BU63" s="613"/>
      <c r="BV63" s="613"/>
      <c r="BW63" s="613"/>
      <c r="BX63" s="613"/>
      <c r="BY63" s="613"/>
      <c r="BZ63" s="613"/>
      <c r="CA63" s="613"/>
      <c r="CB63" s="613"/>
      <c r="CC63" s="613"/>
      <c r="CD63" s="613"/>
      <c r="CE63" s="613"/>
      <c r="CF63" s="613"/>
      <c r="CG63" s="613"/>
      <c r="CH63" s="613"/>
      <c r="CI63" s="613"/>
      <c r="CJ63" s="613"/>
      <c r="CK63" s="613"/>
      <c r="CL63" s="613"/>
      <c r="CM63" s="613"/>
      <c r="CN63" s="613"/>
      <c r="CO63" s="613"/>
      <c r="CP63" s="613"/>
      <c r="CQ63" s="613"/>
      <c r="CR63" s="613"/>
      <c r="CS63" s="613"/>
      <c r="CT63" s="613"/>
      <c r="CU63" s="613"/>
      <c r="CV63" s="613"/>
      <c r="CW63" s="613"/>
      <c r="CX63" s="613"/>
      <c r="CY63" s="613"/>
      <c r="CZ63" s="613"/>
      <c r="DA63" s="613"/>
      <c r="DB63" s="613"/>
      <c r="DC63" s="613"/>
      <c r="DD63" s="613"/>
      <c r="DE63" s="613"/>
      <c r="DF63" s="613"/>
      <c r="DG63" s="613"/>
      <c r="DH63" s="613"/>
      <c r="DI63" s="613"/>
      <c r="DJ63" s="613"/>
      <c r="DK63" s="613"/>
      <c r="DL63" s="613"/>
      <c r="DM63" s="613"/>
      <c r="DN63" s="613"/>
      <c r="DO63" s="613"/>
      <c r="DP63" s="613"/>
      <c r="DQ63" s="613"/>
      <c r="DR63" s="613"/>
      <c r="DS63" s="613"/>
      <c r="DT63" s="613"/>
      <c r="DU63" s="613"/>
      <c r="DV63" s="613"/>
      <c r="DW63" s="613"/>
      <c r="DX63" s="613"/>
      <c r="DY63" s="613"/>
      <c r="DZ63" s="613"/>
      <c r="EA63" s="613"/>
      <c r="EB63" s="613"/>
      <c r="EC63" s="613"/>
      <c r="ED63" s="613"/>
      <c r="EE63" s="613"/>
      <c r="EF63" s="613"/>
      <c r="EG63" s="613"/>
      <c r="EH63" s="613"/>
      <c r="EI63" s="613"/>
      <c r="EJ63" s="613"/>
      <c r="EK63" s="613"/>
      <c r="EL63" s="613"/>
      <c r="EM63" s="613"/>
      <c r="EN63" s="613"/>
      <c r="EO63" s="613"/>
      <c r="EP63" s="613"/>
      <c r="EQ63" s="613"/>
      <c r="ER63" s="613"/>
      <c r="ES63" s="613"/>
      <c r="ET63" s="613"/>
      <c r="EU63" s="613"/>
      <c r="EV63" s="613"/>
      <c r="EW63" s="613"/>
      <c r="EX63" s="613"/>
      <c r="EY63" s="613"/>
      <c r="EZ63" s="613"/>
      <c r="FA63" s="613"/>
      <c r="FB63" s="613"/>
      <c r="FC63" s="613"/>
      <c r="FD63" s="613"/>
      <c r="FE63" s="613"/>
      <c r="FF63" s="613"/>
      <c r="FG63" s="613"/>
      <c r="FH63" s="613"/>
      <c r="FI63" s="613"/>
      <c r="FJ63" s="613"/>
      <c r="FK63" s="613"/>
      <c r="FL63" s="613"/>
      <c r="FM63" s="613"/>
      <c r="FN63" s="613"/>
      <c r="FO63" s="613"/>
      <c r="FP63" s="613"/>
      <c r="FQ63" s="613"/>
      <c r="FR63" s="613"/>
      <c r="FS63" s="613"/>
      <c r="FT63" s="613"/>
      <c r="FU63" s="613"/>
      <c r="FV63" s="613"/>
      <c r="FW63" s="613"/>
      <c r="FX63" s="613"/>
      <c r="FY63" s="613"/>
      <c r="FZ63" s="613"/>
      <c r="GA63" s="613"/>
      <c r="GB63" s="613"/>
      <c r="GC63" s="613"/>
      <c r="GD63" s="613"/>
      <c r="GE63" s="613"/>
      <c r="GF63" s="613"/>
      <c r="GG63" s="613"/>
      <c r="GH63" s="613"/>
      <c r="GI63" s="613"/>
      <c r="GJ63" s="613"/>
      <c r="GK63" s="613"/>
      <c r="GL63" s="613"/>
      <c r="GM63" s="613"/>
      <c r="GN63" s="613"/>
      <c r="GO63" s="613"/>
      <c r="GP63" s="613"/>
      <c r="GQ63" s="613"/>
      <c r="GR63" s="613"/>
      <c r="GS63" s="613"/>
      <c r="GT63" s="613"/>
      <c r="GU63" s="613"/>
      <c r="GV63" s="613"/>
      <c r="GW63" s="613"/>
      <c r="GX63" s="613"/>
      <c r="GY63" s="613"/>
      <c r="GZ63" s="613"/>
      <c r="HA63" s="613"/>
      <c r="HB63" s="613"/>
      <c r="HC63" s="613"/>
      <c r="HD63" s="613"/>
      <c r="HE63" s="613"/>
      <c r="HF63" s="613"/>
      <c r="HG63" s="613"/>
      <c r="HH63" s="613"/>
      <c r="HI63" s="613"/>
      <c r="HJ63" s="613"/>
      <c r="HK63" s="613"/>
      <c r="HL63" s="613"/>
      <c r="HM63" s="613"/>
      <c r="HN63" s="613"/>
      <c r="HO63" s="613"/>
      <c r="HP63" s="613"/>
      <c r="HQ63" s="613"/>
      <c r="HR63" s="613"/>
      <c r="HS63" s="613"/>
      <c r="HT63" s="613"/>
      <c r="HU63" s="613"/>
      <c r="HV63" s="613"/>
      <c r="HW63" s="613"/>
      <c r="HX63" s="613"/>
      <c r="HY63" s="613"/>
      <c r="HZ63" s="613"/>
      <c r="IA63" s="613"/>
      <c r="IB63" s="613"/>
      <c r="IC63" s="613"/>
      <c r="ID63" s="613"/>
      <c r="IE63" s="613"/>
      <c r="IF63" s="613"/>
      <c r="IG63" s="613"/>
      <c r="IH63" s="613"/>
      <c r="II63" s="613"/>
      <c r="IJ63" s="613"/>
      <c r="IK63" s="613"/>
      <c r="IL63" s="613"/>
      <c r="IM63" s="613"/>
      <c r="IN63" s="613"/>
      <c r="IO63" s="613"/>
      <c r="IP63" s="613"/>
      <c r="IQ63" s="613"/>
      <c r="IR63" s="613"/>
      <c r="IS63" s="613"/>
      <c r="IT63" s="613"/>
      <c r="IU63" s="613"/>
      <c r="IV63" s="613"/>
      <c r="IW63" s="613"/>
      <c r="IX63" s="613"/>
      <c r="IY63" s="613"/>
      <c r="IZ63" s="613"/>
      <c r="JA63" s="613"/>
      <c r="JB63" s="613"/>
      <c r="JC63" s="613"/>
      <c r="JD63" s="613"/>
      <c r="JE63" s="613"/>
      <c r="JF63" s="613"/>
      <c r="JG63" s="613"/>
      <c r="JH63" s="613"/>
      <c r="JI63" s="613"/>
      <c r="JJ63" s="613"/>
      <c r="JK63" s="613"/>
      <c r="JL63" s="613"/>
      <c r="JM63" s="613"/>
      <c r="JN63" s="613"/>
      <c r="JO63" s="613"/>
      <c r="JP63" s="613"/>
      <c r="JQ63" s="613"/>
      <c r="JR63" s="613"/>
      <c r="JS63" s="613"/>
      <c r="JT63" s="613"/>
      <c r="JU63" s="613"/>
      <c r="JV63" s="613"/>
      <c r="JW63" s="613"/>
      <c r="JX63" s="613"/>
      <c r="JY63" s="613"/>
      <c r="JZ63" s="613"/>
      <c r="KA63" s="613"/>
      <c r="KB63" s="613"/>
      <c r="KC63" s="613"/>
      <c r="KD63" s="613"/>
      <c r="KE63" s="613"/>
      <c r="KF63" s="613"/>
      <c r="KG63" s="613"/>
      <c r="KH63" s="613"/>
      <c r="KI63" s="613"/>
      <c r="KJ63" s="613"/>
      <c r="KK63" s="613"/>
      <c r="KL63" s="613"/>
      <c r="KM63" s="613"/>
      <c r="KN63" s="613"/>
      <c r="KO63" s="613"/>
      <c r="KP63" s="613"/>
      <c r="KQ63" s="613"/>
      <c r="KR63" s="613"/>
      <c r="KS63" s="613"/>
      <c r="KT63" s="613"/>
      <c r="KU63" s="613"/>
      <c r="KV63" s="613"/>
      <c r="KW63" s="613"/>
      <c r="KX63" s="613"/>
      <c r="KY63" s="613"/>
      <c r="KZ63" s="613"/>
      <c r="LA63" s="613"/>
      <c r="LB63" s="613"/>
      <c r="LC63" s="613"/>
      <c r="LD63" s="613"/>
      <c r="LE63" s="613"/>
      <c r="LF63" s="613"/>
      <c r="LG63" s="613"/>
      <c r="LH63" s="613"/>
      <c r="LI63" s="613"/>
      <c r="LJ63" s="613"/>
      <c r="LK63" s="613"/>
      <c r="LL63" s="613"/>
      <c r="LM63" s="613"/>
      <c r="LN63" s="613"/>
      <c r="LO63" s="613"/>
      <c r="LP63" s="613"/>
      <c r="LQ63" s="613"/>
      <c r="LR63" s="613"/>
      <c r="LS63" s="613"/>
      <c r="LT63" s="613"/>
      <c r="LU63" s="613"/>
      <c r="LV63" s="613"/>
      <c r="LW63" s="613"/>
      <c r="LX63" s="613"/>
      <c r="LY63" s="613"/>
      <c r="LZ63" s="613"/>
      <c r="MA63" s="613"/>
      <c r="MB63" s="613"/>
      <c r="MC63" s="613"/>
      <c r="MD63" s="613"/>
      <c r="ME63" s="613"/>
      <c r="MF63" s="613"/>
      <c r="MG63" s="613"/>
      <c r="MH63" s="613"/>
      <c r="MI63" s="613"/>
      <c r="MJ63" s="613"/>
      <c r="MK63" s="613"/>
      <c r="ML63" s="613"/>
      <c r="MM63" s="613"/>
      <c r="MN63" s="613"/>
      <c r="MO63" s="613"/>
      <c r="MP63" s="613"/>
      <c r="MQ63" s="613"/>
      <c r="MR63" s="613"/>
      <c r="MS63" s="613"/>
      <c r="MT63" s="613"/>
      <c r="MU63" s="613"/>
      <c r="MV63" s="613"/>
      <c r="MW63" s="613"/>
      <c r="MX63" s="613"/>
      <c r="MY63" s="613"/>
      <c r="MZ63" s="613"/>
      <c r="NA63" s="613"/>
      <c r="NB63" s="613"/>
      <c r="NC63" s="613"/>
      <c r="ND63" s="613"/>
      <c r="NE63" s="613"/>
      <c r="NF63" s="613"/>
      <c r="NG63" s="613"/>
      <c r="NH63" s="613"/>
      <c r="NI63" s="613"/>
      <c r="NJ63" s="613"/>
      <c r="NK63" s="613"/>
      <c r="NL63" s="613"/>
      <c r="NM63" s="613"/>
      <c r="NN63" s="613"/>
      <c r="NO63" s="613"/>
      <c r="NP63" s="613"/>
      <c r="NQ63" s="613"/>
      <c r="NR63" s="613"/>
      <c r="NS63" s="613"/>
      <c r="NT63" s="613"/>
      <c r="NU63" s="613"/>
      <c r="NV63" s="613"/>
      <c r="NW63" s="613"/>
      <c r="NX63" s="613"/>
      <c r="NY63" s="613"/>
      <c r="NZ63" s="613"/>
      <c r="OA63" s="613"/>
      <c r="OB63" s="613"/>
      <c r="OC63" s="613"/>
      <c r="OD63" s="613"/>
      <c r="OE63" s="613"/>
      <c r="OF63" s="613"/>
      <c r="OG63" s="613"/>
      <c r="OH63" s="613"/>
      <c r="OI63" s="613"/>
      <c r="OJ63" s="613"/>
      <c r="OK63" s="613"/>
      <c r="OL63" s="613"/>
      <c r="OM63" s="613"/>
      <c r="ON63" s="613"/>
      <c r="OO63" s="613"/>
      <c r="OP63" s="613"/>
      <c r="OQ63" s="613"/>
      <c r="OR63" s="613"/>
      <c r="OS63" s="613"/>
      <c r="OT63" s="613"/>
      <c r="OU63" s="613"/>
      <c r="OV63" s="613"/>
      <c r="OW63" s="613"/>
      <c r="OX63" s="613"/>
      <c r="OY63" s="613"/>
      <c r="OZ63" s="613"/>
      <c r="PA63" s="613"/>
      <c r="PB63" s="613"/>
      <c r="PC63" s="613"/>
      <c r="PD63" s="613"/>
      <c r="PE63" s="613"/>
      <c r="PF63" s="613"/>
      <c r="PG63" s="613"/>
      <c r="PH63" s="613"/>
      <c r="PI63" s="613"/>
      <c r="PJ63" s="613"/>
      <c r="PK63" s="613"/>
      <c r="PL63" s="613"/>
      <c r="PM63" s="613"/>
      <c r="PN63" s="613"/>
      <c r="PO63" s="613"/>
      <c r="PP63" s="613"/>
      <c r="PQ63" s="613"/>
      <c r="PR63" s="613"/>
      <c r="PS63" s="613"/>
      <c r="PT63" s="613"/>
      <c r="PU63" s="613"/>
      <c r="PV63" s="613"/>
      <c r="PW63" s="613"/>
      <c r="PX63" s="613"/>
      <c r="PY63" s="613"/>
      <c r="PZ63" s="613"/>
      <c r="QA63" s="613"/>
      <c r="QB63" s="613"/>
      <c r="QC63" s="613"/>
      <c r="QD63" s="613"/>
      <c r="QE63" s="613"/>
      <c r="QF63" s="613"/>
      <c r="QG63" s="613"/>
      <c r="QH63" s="613"/>
      <c r="QI63" s="613"/>
      <c r="QJ63" s="613"/>
      <c r="QK63" s="613"/>
      <c r="QL63" s="613"/>
      <c r="QM63" s="613"/>
      <c r="QN63" s="613"/>
      <c r="QO63" s="613"/>
      <c r="QP63" s="613"/>
      <c r="QQ63" s="613"/>
      <c r="QR63" s="613"/>
      <c r="QS63" s="613"/>
      <c r="QT63" s="613"/>
      <c r="QU63" s="613"/>
      <c r="QV63" s="613"/>
      <c r="QW63" s="613"/>
      <c r="QX63" s="613"/>
      <c r="QY63" s="613"/>
      <c r="QZ63" s="613"/>
      <c r="RA63" s="613"/>
      <c r="RB63" s="613"/>
      <c r="RC63" s="613"/>
      <c r="RD63" s="613"/>
      <c r="RE63" s="613"/>
      <c r="RF63" s="613"/>
      <c r="RG63" s="613"/>
      <c r="RH63" s="613"/>
      <c r="RI63" s="613"/>
      <c r="RJ63" s="613"/>
      <c r="RK63" s="613"/>
      <c r="RL63" s="613"/>
      <c r="RM63" s="613"/>
      <c r="RN63" s="613"/>
      <c r="RO63" s="613"/>
      <c r="RP63" s="613"/>
      <c r="RQ63" s="613"/>
      <c r="RR63" s="613"/>
      <c r="RS63" s="613"/>
      <c r="RT63" s="613"/>
      <c r="RU63" s="613"/>
      <c r="RV63" s="613"/>
      <c r="RW63" s="613"/>
      <c r="RX63" s="613"/>
      <c r="RY63" s="613"/>
      <c r="RZ63" s="613"/>
      <c r="SA63" s="613"/>
      <c r="SB63" s="613"/>
      <c r="SC63" s="613"/>
      <c r="SD63" s="613"/>
      <c r="SE63" s="613"/>
      <c r="SF63" s="613"/>
      <c r="SG63" s="613"/>
      <c r="SH63" s="613"/>
      <c r="SI63" s="613"/>
      <c r="SJ63" s="613"/>
      <c r="SK63" s="613"/>
      <c r="SL63" s="613"/>
      <c r="SM63" s="613"/>
      <c r="SN63" s="613"/>
      <c r="SO63" s="613"/>
      <c r="SP63" s="613"/>
      <c r="SQ63" s="613"/>
      <c r="SR63" s="613"/>
      <c r="SS63" s="613"/>
      <c r="ST63" s="613"/>
      <c r="SU63" s="613"/>
    </row>
    <row r="64" spans="1:515" s="801" customFormat="1" ht="15" customHeight="1" x14ac:dyDescent="0.25">
      <c r="A64" s="986"/>
      <c r="B64" s="984"/>
      <c r="C64" s="984"/>
      <c r="D64" s="962"/>
      <c r="E64" s="981"/>
      <c r="F64" s="981"/>
      <c r="G64" s="981"/>
      <c r="H64" s="962"/>
      <c r="I64" s="981"/>
      <c r="J64" s="981"/>
      <c r="K64" s="981"/>
      <c r="L64" s="962"/>
      <c r="M64" s="981"/>
      <c r="N64" s="981"/>
      <c r="O64" s="981"/>
      <c r="P64" s="962"/>
      <c r="Q64" s="981"/>
      <c r="R64" s="981"/>
      <c r="S64" s="981"/>
      <c r="T64" s="962"/>
      <c r="U64" s="981"/>
      <c r="V64" s="981"/>
      <c r="W64" s="981"/>
      <c r="X64" s="962"/>
      <c r="Y64" s="981"/>
      <c r="Z64" s="981"/>
      <c r="AA64" s="981"/>
      <c r="AB64" s="976"/>
      <c r="AC64" s="1144"/>
      <c r="AD64" s="981"/>
      <c r="AE64" s="971"/>
      <c r="AF64" s="613"/>
      <c r="AG64" s="613"/>
      <c r="AH64" s="613"/>
      <c r="AI64" s="613"/>
      <c r="AJ64" s="613"/>
      <c r="AK64" s="613"/>
      <c r="AL64" s="613"/>
      <c r="AM64" s="613"/>
      <c r="AN64" s="613"/>
      <c r="AO64" s="613"/>
      <c r="AP64" s="613"/>
      <c r="AQ64" s="613"/>
      <c r="AR64" s="613"/>
      <c r="AS64" s="613"/>
      <c r="AT64" s="613"/>
      <c r="AU64" s="613"/>
      <c r="AV64" s="613"/>
      <c r="AW64" s="613"/>
      <c r="AX64" s="613"/>
      <c r="AY64" s="613"/>
      <c r="AZ64" s="613"/>
      <c r="BA64" s="613"/>
      <c r="BB64" s="613"/>
      <c r="BC64" s="613"/>
      <c r="BD64" s="613"/>
      <c r="BE64" s="613"/>
      <c r="BF64" s="613"/>
      <c r="BG64" s="613"/>
      <c r="BH64" s="613"/>
      <c r="BI64" s="613"/>
      <c r="BJ64" s="613"/>
      <c r="BK64" s="613"/>
      <c r="BL64" s="613"/>
    </row>
    <row r="65" spans="1:515" s="624" customFormat="1" ht="23.15" customHeight="1" x14ac:dyDescent="0.25">
      <c r="A65" s="1347" t="s">
        <v>369</v>
      </c>
      <c r="B65" s="1348"/>
      <c r="C65" s="1348"/>
      <c r="D65" s="957"/>
      <c r="E65" s="1173" t="s">
        <v>15</v>
      </c>
      <c r="F65" s="1173" t="s">
        <v>363</v>
      </c>
      <c r="G65" s="1136" t="s">
        <v>370</v>
      </c>
      <c r="H65" s="957"/>
      <c r="I65" s="1173" t="s">
        <v>15</v>
      </c>
      <c r="J65" s="1173" t="s">
        <v>363</v>
      </c>
      <c r="K65" s="1136" t="s">
        <v>370</v>
      </c>
      <c r="L65" s="957"/>
      <c r="M65" s="1173" t="s">
        <v>15</v>
      </c>
      <c r="N65" s="1173" t="s">
        <v>363</v>
      </c>
      <c r="O65" s="1136" t="s">
        <v>370</v>
      </c>
      <c r="P65" s="957"/>
      <c r="Q65" s="1173" t="s">
        <v>15</v>
      </c>
      <c r="R65" s="1173" t="s">
        <v>363</v>
      </c>
      <c r="S65" s="1136" t="s">
        <v>370</v>
      </c>
      <c r="T65" s="957"/>
      <c r="U65" s="1173" t="s">
        <v>15</v>
      </c>
      <c r="V65" s="1173" t="s">
        <v>363</v>
      </c>
      <c r="W65" s="1136" t="s">
        <v>370</v>
      </c>
      <c r="X65" s="957"/>
      <c r="Y65" s="1173" t="s">
        <v>15</v>
      </c>
      <c r="Z65" s="1173" t="s">
        <v>363</v>
      </c>
      <c r="AA65" s="1136" t="s">
        <v>370</v>
      </c>
      <c r="AB65" s="957"/>
      <c r="AC65" s="957"/>
      <c r="AD65" s="1136" t="s">
        <v>370</v>
      </c>
      <c r="AE65" s="971"/>
      <c r="AF65" s="292"/>
      <c r="AG65" s="292"/>
      <c r="AH65" s="292"/>
      <c r="AI65" s="292"/>
      <c r="AJ65" s="292"/>
      <c r="AK65" s="292"/>
      <c r="AL65" s="292"/>
      <c r="AM65" s="292"/>
      <c r="AN65" s="292"/>
      <c r="AO65" s="292"/>
      <c r="AP65" s="292"/>
      <c r="AQ65" s="292"/>
      <c r="AR65" s="292"/>
      <c r="AS65" s="292"/>
      <c r="AT65" s="292"/>
      <c r="AU65" s="292"/>
      <c r="AV65" s="292"/>
      <c r="AW65" s="292"/>
      <c r="AX65" s="292"/>
      <c r="AY65" s="292"/>
      <c r="AZ65" s="292"/>
      <c r="BA65" s="292"/>
      <c r="BB65" s="292"/>
      <c r="BC65" s="292"/>
      <c r="BD65" s="292"/>
      <c r="BE65" s="292"/>
      <c r="BF65" s="292"/>
      <c r="BG65" s="292"/>
      <c r="BH65" s="292"/>
      <c r="BI65" s="292"/>
      <c r="BJ65" s="292"/>
      <c r="BK65" s="292"/>
      <c r="BL65" s="292"/>
      <c r="BM65" s="292"/>
      <c r="BN65" s="292"/>
      <c r="BO65" s="292"/>
      <c r="BP65" s="292"/>
      <c r="BQ65" s="292"/>
      <c r="BR65" s="292"/>
      <c r="BS65" s="292"/>
      <c r="BT65" s="292"/>
      <c r="BU65" s="292"/>
      <c r="BV65" s="292"/>
      <c r="BW65" s="292"/>
      <c r="BX65" s="292"/>
      <c r="BY65" s="292"/>
      <c r="BZ65" s="292"/>
      <c r="CA65" s="292"/>
      <c r="CB65" s="292"/>
      <c r="CC65" s="292"/>
      <c r="CD65" s="292"/>
      <c r="CE65" s="292"/>
      <c r="CF65" s="292"/>
      <c r="CG65" s="292"/>
      <c r="CH65" s="292"/>
      <c r="CI65" s="292"/>
      <c r="CJ65" s="292"/>
      <c r="CK65" s="292"/>
      <c r="CL65" s="292"/>
      <c r="CM65" s="292"/>
      <c r="CN65" s="292"/>
      <c r="CO65" s="292"/>
      <c r="CP65" s="292"/>
      <c r="CQ65" s="292"/>
      <c r="CR65" s="292"/>
      <c r="CS65" s="292"/>
      <c r="CT65" s="292"/>
      <c r="CU65" s="292"/>
      <c r="CV65" s="292"/>
      <c r="CW65" s="292"/>
      <c r="CX65" s="292"/>
      <c r="CY65" s="292"/>
      <c r="CZ65" s="292"/>
      <c r="DA65" s="292"/>
      <c r="DB65" s="292"/>
      <c r="DC65" s="292"/>
      <c r="DD65" s="292"/>
      <c r="DE65" s="292"/>
      <c r="DF65" s="292"/>
      <c r="DG65" s="292"/>
      <c r="DH65" s="292"/>
      <c r="DI65" s="292"/>
      <c r="DJ65" s="292"/>
      <c r="DK65" s="292"/>
      <c r="DL65" s="292"/>
      <c r="DM65" s="292"/>
      <c r="DN65" s="292"/>
      <c r="DO65" s="292"/>
      <c r="DP65" s="292"/>
      <c r="DQ65" s="292"/>
      <c r="DR65" s="292"/>
      <c r="DS65" s="292"/>
      <c r="DT65" s="292"/>
      <c r="DU65" s="292"/>
      <c r="DV65" s="292"/>
      <c r="DW65" s="292"/>
      <c r="DX65" s="292"/>
      <c r="DY65" s="292"/>
      <c r="DZ65" s="292"/>
      <c r="EA65" s="292"/>
      <c r="EB65" s="292"/>
      <c r="EC65" s="292"/>
      <c r="ED65" s="292"/>
      <c r="EE65" s="292"/>
      <c r="EF65" s="292"/>
      <c r="EG65" s="292"/>
      <c r="EH65" s="292"/>
      <c r="EI65" s="292"/>
      <c r="EJ65" s="292"/>
      <c r="EK65" s="292"/>
      <c r="EL65" s="292"/>
      <c r="EM65" s="292"/>
      <c r="EN65" s="292"/>
      <c r="EO65" s="292"/>
      <c r="EP65" s="292"/>
      <c r="EQ65" s="292"/>
      <c r="ER65" s="292"/>
      <c r="ES65" s="292"/>
      <c r="ET65" s="292"/>
      <c r="EU65" s="292"/>
      <c r="EV65" s="292"/>
      <c r="EW65" s="292"/>
      <c r="EX65" s="292"/>
      <c r="EY65" s="292"/>
      <c r="EZ65" s="292"/>
      <c r="FA65" s="292"/>
      <c r="FB65" s="292"/>
      <c r="FC65" s="292"/>
      <c r="FD65" s="292"/>
      <c r="FE65" s="292"/>
      <c r="FF65" s="292"/>
      <c r="FG65" s="292"/>
      <c r="FH65" s="292"/>
      <c r="FI65" s="292"/>
      <c r="FJ65" s="292"/>
      <c r="FK65" s="292"/>
      <c r="FL65" s="292"/>
      <c r="FM65" s="292"/>
      <c r="FN65" s="292"/>
      <c r="FO65" s="292"/>
      <c r="FP65" s="292"/>
      <c r="FQ65" s="292"/>
      <c r="FR65" s="292"/>
      <c r="FS65" s="292"/>
      <c r="FT65" s="292"/>
      <c r="FU65" s="292"/>
      <c r="FV65" s="292"/>
      <c r="FW65" s="292"/>
      <c r="FX65" s="292"/>
      <c r="FY65" s="292"/>
      <c r="FZ65" s="292"/>
      <c r="GA65" s="292"/>
      <c r="GB65" s="292"/>
      <c r="GC65" s="292"/>
      <c r="GD65" s="292"/>
      <c r="GE65" s="292"/>
      <c r="GF65" s="292"/>
      <c r="GG65" s="292"/>
      <c r="GH65" s="292"/>
      <c r="GI65" s="292"/>
      <c r="GJ65" s="292"/>
      <c r="GK65" s="292"/>
      <c r="GL65" s="292"/>
      <c r="GM65" s="292"/>
      <c r="GN65" s="292"/>
      <c r="GO65" s="292"/>
      <c r="GP65" s="292"/>
      <c r="GQ65" s="292"/>
      <c r="GR65" s="292"/>
      <c r="GS65" s="292"/>
      <c r="GT65" s="292"/>
      <c r="GU65" s="292"/>
      <c r="GV65" s="292"/>
      <c r="GW65" s="292"/>
      <c r="GX65" s="292"/>
      <c r="GY65" s="292"/>
      <c r="GZ65" s="292"/>
      <c r="HA65" s="292"/>
      <c r="HB65" s="292"/>
      <c r="HC65" s="292"/>
      <c r="HD65" s="292"/>
      <c r="HE65" s="292"/>
      <c r="HF65" s="292"/>
      <c r="HG65" s="292"/>
      <c r="HH65" s="292"/>
      <c r="HI65" s="292"/>
      <c r="HJ65" s="292"/>
      <c r="HK65" s="292"/>
      <c r="HL65" s="292"/>
      <c r="HM65" s="292"/>
      <c r="HN65" s="292"/>
      <c r="HO65" s="292"/>
      <c r="HP65" s="292"/>
      <c r="HQ65" s="292"/>
      <c r="HR65" s="292"/>
      <c r="HS65" s="292"/>
      <c r="HT65" s="292"/>
      <c r="HU65" s="292"/>
      <c r="HV65" s="292"/>
      <c r="HW65" s="292"/>
      <c r="HX65" s="292"/>
      <c r="HY65" s="292"/>
      <c r="HZ65" s="292"/>
      <c r="IA65" s="292"/>
      <c r="IB65" s="292"/>
      <c r="IC65" s="292"/>
      <c r="ID65" s="292"/>
      <c r="IE65" s="292"/>
      <c r="IF65" s="292"/>
      <c r="IG65" s="292"/>
      <c r="IH65" s="292"/>
      <c r="II65" s="292"/>
      <c r="IJ65" s="292"/>
      <c r="IK65" s="292"/>
      <c r="IL65" s="292"/>
      <c r="IM65" s="292"/>
      <c r="IN65" s="292"/>
      <c r="IO65" s="292"/>
      <c r="IP65" s="292"/>
      <c r="IQ65" s="292"/>
      <c r="IR65" s="292"/>
      <c r="IS65" s="292"/>
      <c r="IT65" s="292"/>
      <c r="IU65" s="292"/>
      <c r="IV65" s="292"/>
      <c r="IW65" s="292"/>
      <c r="IX65" s="292"/>
      <c r="IY65" s="292"/>
      <c r="IZ65" s="292"/>
      <c r="JA65" s="292"/>
      <c r="JB65" s="292"/>
      <c r="JC65" s="292"/>
      <c r="JD65" s="292"/>
      <c r="JE65" s="292"/>
      <c r="JF65" s="292"/>
      <c r="JG65" s="292"/>
      <c r="JH65" s="292"/>
      <c r="JI65" s="292"/>
      <c r="JJ65" s="292"/>
      <c r="JK65" s="292"/>
      <c r="JL65" s="292"/>
      <c r="JM65" s="292"/>
      <c r="JN65" s="292"/>
      <c r="JO65" s="292"/>
      <c r="JP65" s="292"/>
      <c r="JQ65" s="292"/>
      <c r="JR65" s="292"/>
      <c r="JS65" s="292"/>
      <c r="JT65" s="292"/>
      <c r="JU65" s="292"/>
      <c r="JV65" s="292"/>
      <c r="JW65" s="292"/>
      <c r="JX65" s="292"/>
      <c r="JY65" s="292"/>
      <c r="JZ65" s="292"/>
      <c r="KA65" s="292"/>
      <c r="KB65" s="292"/>
      <c r="KC65" s="292"/>
      <c r="KD65" s="292"/>
      <c r="KE65" s="292"/>
      <c r="KF65" s="292"/>
      <c r="KG65" s="292"/>
      <c r="KH65" s="292"/>
      <c r="KI65" s="292"/>
      <c r="KJ65" s="292"/>
      <c r="KK65" s="292"/>
      <c r="KL65" s="292"/>
      <c r="KM65" s="292"/>
      <c r="KN65" s="292"/>
      <c r="KO65" s="292"/>
      <c r="KP65" s="292"/>
      <c r="KQ65" s="292"/>
      <c r="KR65" s="292"/>
      <c r="KS65" s="292"/>
      <c r="KT65" s="292"/>
      <c r="KU65" s="292"/>
      <c r="KV65" s="292"/>
      <c r="KW65" s="292"/>
      <c r="KX65" s="292"/>
      <c r="KY65" s="292"/>
      <c r="KZ65" s="292"/>
      <c r="LA65" s="292"/>
      <c r="LB65" s="292"/>
      <c r="LC65" s="292"/>
      <c r="LD65" s="292"/>
      <c r="LE65" s="292"/>
      <c r="LF65" s="292"/>
      <c r="LG65" s="292"/>
      <c r="LH65" s="292"/>
      <c r="LI65" s="292"/>
      <c r="LJ65" s="292"/>
      <c r="LK65" s="292"/>
      <c r="LL65" s="292"/>
      <c r="LM65" s="292"/>
      <c r="LN65" s="292"/>
      <c r="LO65" s="292"/>
      <c r="LP65" s="292"/>
      <c r="LQ65" s="292"/>
      <c r="LR65" s="292"/>
      <c r="LS65" s="292"/>
      <c r="LT65" s="292"/>
      <c r="LU65" s="292"/>
      <c r="LV65" s="292"/>
      <c r="LW65" s="292"/>
      <c r="LX65" s="292"/>
      <c r="LY65" s="292"/>
      <c r="LZ65" s="292"/>
      <c r="MA65" s="292"/>
      <c r="MB65" s="292"/>
      <c r="MC65" s="292"/>
      <c r="MD65" s="292"/>
      <c r="ME65" s="292"/>
      <c r="MF65" s="292"/>
      <c r="MG65" s="292"/>
      <c r="MH65" s="292"/>
      <c r="MI65" s="292"/>
      <c r="MJ65" s="292"/>
      <c r="MK65" s="292"/>
      <c r="ML65" s="292"/>
      <c r="MM65" s="292"/>
      <c r="MN65" s="292"/>
      <c r="MO65" s="292"/>
      <c r="MP65" s="292"/>
      <c r="MQ65" s="292"/>
      <c r="MR65" s="292"/>
      <c r="MS65" s="292"/>
      <c r="MT65" s="292"/>
      <c r="MU65" s="292"/>
      <c r="MV65" s="292"/>
      <c r="MW65" s="292"/>
      <c r="MX65" s="292"/>
      <c r="MY65" s="292"/>
      <c r="MZ65" s="292"/>
      <c r="NA65" s="292"/>
      <c r="NB65" s="292"/>
      <c r="NC65" s="292"/>
      <c r="ND65" s="292"/>
      <c r="NE65" s="292"/>
      <c r="NF65" s="292"/>
      <c r="NG65" s="292"/>
      <c r="NH65" s="292"/>
      <c r="NI65" s="292"/>
      <c r="NJ65" s="292"/>
      <c r="NK65" s="292"/>
      <c r="NL65" s="292"/>
      <c r="NM65" s="292"/>
      <c r="NN65" s="292"/>
      <c r="NO65" s="292"/>
      <c r="NP65" s="292"/>
      <c r="NQ65" s="292"/>
      <c r="NR65" s="292"/>
      <c r="NS65" s="292"/>
      <c r="NT65" s="292"/>
      <c r="NU65" s="292"/>
      <c r="NV65" s="292"/>
      <c r="NW65" s="292"/>
      <c r="NX65" s="292"/>
      <c r="NY65" s="292"/>
      <c r="NZ65" s="292"/>
      <c r="OA65" s="292"/>
      <c r="OB65" s="292"/>
      <c r="OC65" s="292"/>
      <c r="OD65" s="292"/>
      <c r="OE65" s="292"/>
      <c r="OF65" s="292"/>
      <c r="OG65" s="292"/>
      <c r="OH65" s="292"/>
      <c r="OI65" s="292"/>
      <c r="OJ65" s="292"/>
      <c r="OK65" s="292"/>
      <c r="OL65" s="292"/>
      <c r="OM65" s="292"/>
      <c r="ON65" s="292"/>
      <c r="OO65" s="292"/>
      <c r="OP65" s="292"/>
      <c r="OQ65" s="292"/>
      <c r="OR65" s="292"/>
      <c r="OS65" s="292"/>
      <c r="OT65" s="292"/>
      <c r="OU65" s="292"/>
      <c r="OV65" s="292"/>
      <c r="OW65" s="292"/>
      <c r="OX65" s="292"/>
      <c r="OY65" s="292"/>
      <c r="OZ65" s="292"/>
      <c r="PA65" s="292"/>
      <c r="PB65" s="292"/>
      <c r="PC65" s="292"/>
      <c r="PD65" s="292"/>
      <c r="PE65" s="292"/>
      <c r="PF65" s="292"/>
      <c r="PG65" s="292"/>
      <c r="PH65" s="292"/>
      <c r="PI65" s="292"/>
      <c r="PJ65" s="292"/>
      <c r="PK65" s="292"/>
      <c r="PL65" s="292"/>
      <c r="PM65" s="292"/>
      <c r="PN65" s="292"/>
      <c r="PO65" s="292"/>
      <c r="PP65" s="292"/>
      <c r="PQ65" s="292"/>
      <c r="PR65" s="292"/>
      <c r="PS65" s="292"/>
      <c r="PT65" s="292"/>
      <c r="PU65" s="292"/>
      <c r="PV65" s="292"/>
      <c r="PW65" s="292"/>
      <c r="PX65" s="292"/>
      <c r="PY65" s="292"/>
      <c r="PZ65" s="292"/>
      <c r="QA65" s="292"/>
      <c r="QB65" s="292"/>
      <c r="QC65" s="292"/>
      <c r="QD65" s="292"/>
      <c r="QE65" s="292"/>
      <c r="QF65" s="292"/>
      <c r="QG65" s="292"/>
      <c r="QH65" s="292"/>
      <c r="QI65" s="292"/>
      <c r="QJ65" s="292"/>
      <c r="QK65" s="292"/>
      <c r="QL65" s="292"/>
      <c r="QM65" s="292"/>
      <c r="QN65" s="292"/>
      <c r="QO65" s="292"/>
      <c r="QP65" s="292"/>
      <c r="QQ65" s="292"/>
      <c r="QR65" s="292"/>
      <c r="QS65" s="292"/>
      <c r="QT65" s="292"/>
      <c r="QU65" s="292"/>
      <c r="QV65" s="292"/>
      <c r="QW65" s="292"/>
      <c r="QX65" s="292"/>
      <c r="QY65" s="292"/>
      <c r="QZ65" s="292"/>
      <c r="RA65" s="292"/>
      <c r="RB65" s="292"/>
      <c r="RC65" s="292"/>
      <c r="RD65" s="292"/>
      <c r="RE65" s="292"/>
      <c r="RF65" s="292"/>
      <c r="RG65" s="292"/>
      <c r="RH65" s="292"/>
      <c r="RI65" s="292"/>
      <c r="RJ65" s="292"/>
      <c r="RK65" s="292"/>
      <c r="RL65" s="292"/>
      <c r="RM65" s="292"/>
      <c r="RN65" s="292"/>
      <c r="RO65" s="292"/>
      <c r="RP65" s="292"/>
      <c r="RQ65" s="292"/>
      <c r="RR65" s="292"/>
      <c r="RS65" s="292"/>
      <c r="RT65" s="292"/>
      <c r="RU65" s="292"/>
      <c r="RV65" s="292"/>
      <c r="RW65" s="292"/>
      <c r="RX65" s="292"/>
      <c r="RY65" s="292"/>
      <c r="RZ65" s="292"/>
      <c r="SA65" s="292"/>
      <c r="SB65" s="292"/>
      <c r="SC65" s="292"/>
      <c r="SD65" s="292"/>
      <c r="SE65" s="292"/>
      <c r="SF65" s="292"/>
      <c r="SG65" s="292"/>
      <c r="SH65" s="292"/>
      <c r="SI65" s="292"/>
      <c r="SJ65" s="292"/>
      <c r="SK65" s="292"/>
      <c r="SL65" s="292"/>
      <c r="SM65" s="292"/>
      <c r="SN65" s="292"/>
      <c r="SO65" s="292"/>
      <c r="SP65" s="292"/>
      <c r="SQ65" s="292"/>
      <c r="SR65" s="292"/>
      <c r="SS65" s="292"/>
      <c r="ST65" s="292"/>
      <c r="SU65" s="292"/>
    </row>
    <row r="66" spans="1:515" ht="15" customHeight="1" x14ac:dyDescent="0.25">
      <c r="A66" s="1327" t="str">
        <f>IF(LaborCollection="Academia","F&amp;A","G&amp;A")</f>
        <v>G&amp;A</v>
      </c>
      <c r="B66" s="1328"/>
      <c r="C66" s="1368" t="s">
        <v>371</v>
      </c>
      <c r="D66" s="957" t="s">
        <v>358</v>
      </c>
      <c r="E66" s="622">
        <f>G33</f>
        <v>0</v>
      </c>
      <c r="F66" s="626">
        <v>0</v>
      </c>
      <c r="G66" s="999">
        <f>E66*F66</f>
        <v>0</v>
      </c>
      <c r="H66" s="957"/>
      <c r="I66" s="622">
        <f>K33</f>
        <v>0</v>
      </c>
      <c r="J66" s="626">
        <v>0</v>
      </c>
      <c r="K66" s="999">
        <f>I66*J66</f>
        <v>0</v>
      </c>
      <c r="L66" s="957"/>
      <c r="M66" s="622">
        <f>O33</f>
        <v>0</v>
      </c>
      <c r="N66" s="626">
        <v>0</v>
      </c>
      <c r="O66" s="999">
        <f>M66*N66</f>
        <v>0</v>
      </c>
      <c r="P66" s="957"/>
      <c r="Q66" s="622">
        <f>S33</f>
        <v>0</v>
      </c>
      <c r="R66" s="626">
        <v>0</v>
      </c>
      <c r="S66" s="999">
        <f>Q66*R66</f>
        <v>0</v>
      </c>
      <c r="T66" s="957"/>
      <c r="U66" s="622">
        <f>W33</f>
        <v>0</v>
      </c>
      <c r="V66" s="626">
        <v>0</v>
      </c>
      <c r="W66" s="999">
        <f>U66*V66</f>
        <v>0</v>
      </c>
      <c r="X66" s="957"/>
      <c r="Y66" s="622">
        <f>AA33</f>
        <v>0</v>
      </c>
      <c r="Z66" s="626">
        <v>0</v>
      </c>
      <c r="AA66" s="999">
        <f>Y66*Z66</f>
        <v>0</v>
      </c>
      <c r="AB66" s="975"/>
      <c r="AC66" s="957"/>
      <c r="AD66" s="999">
        <f>G66+K66+O66+S66+W66+AA66</f>
        <v>0</v>
      </c>
      <c r="AE66" s="971"/>
    </row>
    <row r="67" spans="1:515" ht="15" customHeight="1" x14ac:dyDescent="0.25">
      <c r="A67" s="1329" t="s">
        <v>372</v>
      </c>
      <c r="B67" s="1330"/>
      <c r="C67" s="1370"/>
      <c r="D67" s="957"/>
      <c r="E67" s="622">
        <v>0</v>
      </c>
      <c r="F67" s="626">
        <v>0</v>
      </c>
      <c r="G67" s="999">
        <f>E67*F67</f>
        <v>0</v>
      </c>
      <c r="H67" s="957"/>
      <c r="I67" s="622">
        <v>0</v>
      </c>
      <c r="J67" s="626">
        <v>0</v>
      </c>
      <c r="K67" s="999">
        <f>I67*J67</f>
        <v>0</v>
      </c>
      <c r="L67" s="957"/>
      <c r="M67" s="622">
        <v>0</v>
      </c>
      <c r="N67" s="626">
        <v>0</v>
      </c>
      <c r="O67" s="999">
        <f>M67*N67</f>
        <v>0</v>
      </c>
      <c r="P67" s="957"/>
      <c r="Q67" s="622">
        <v>0</v>
      </c>
      <c r="R67" s="626">
        <v>0</v>
      </c>
      <c r="S67" s="999">
        <f>Q67*R67</f>
        <v>0</v>
      </c>
      <c r="T67" s="957"/>
      <c r="U67" s="622">
        <v>0</v>
      </c>
      <c r="V67" s="626">
        <v>0</v>
      </c>
      <c r="W67" s="999">
        <f>U67*V67</f>
        <v>0</v>
      </c>
      <c r="X67" s="957"/>
      <c r="Y67" s="622">
        <v>0</v>
      </c>
      <c r="Z67" s="626">
        <v>0</v>
      </c>
      <c r="AA67" s="999">
        <f>Y67*Z67</f>
        <v>0</v>
      </c>
      <c r="AB67" s="975"/>
      <c r="AC67" s="957"/>
      <c r="AD67" s="999">
        <f>G67+K67+O67+S67+W67+AA67</f>
        <v>0</v>
      </c>
      <c r="AE67" s="971"/>
    </row>
    <row r="68" spans="1:515" s="624" customFormat="1" ht="23.15" customHeight="1" x14ac:dyDescent="0.25">
      <c r="A68" s="1319" t="s">
        <v>373</v>
      </c>
      <c r="B68" s="1320"/>
      <c r="C68" s="1320"/>
      <c r="D68" s="957"/>
      <c r="E68" s="960"/>
      <c r="F68" s="989"/>
      <c r="G68" s="792">
        <f>SUM(G65:G67)</f>
        <v>0</v>
      </c>
      <c r="H68" s="957"/>
      <c r="I68" s="990"/>
      <c r="J68" s="991"/>
      <c r="K68" s="792">
        <f>SUM(K66:K67)</f>
        <v>0</v>
      </c>
      <c r="L68" s="957"/>
      <c r="M68" s="990"/>
      <c r="N68" s="991"/>
      <c r="O68" s="792">
        <f>SUM(O66:O67)</f>
        <v>0</v>
      </c>
      <c r="P68" s="957"/>
      <c r="Q68" s="957"/>
      <c r="R68" s="957"/>
      <c r="S68" s="792">
        <f>SUM(S66:S67)</f>
        <v>0</v>
      </c>
      <c r="T68" s="957"/>
      <c r="U68" s="1295"/>
      <c r="V68" s="1295"/>
      <c r="W68" s="792">
        <f>SUM(W66:W67)</f>
        <v>0</v>
      </c>
      <c r="X68" s="957"/>
      <c r="Y68" s="1297"/>
      <c r="Z68" s="1298"/>
      <c r="AA68" s="792">
        <f>SUM(AA66:AA67)</f>
        <v>0</v>
      </c>
      <c r="AB68" s="976"/>
      <c r="AC68" s="957"/>
      <c r="AD68" s="787">
        <f>G68+K68+O68+S68+W68+AA68</f>
        <v>0</v>
      </c>
      <c r="AE68" s="971"/>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292"/>
      <c r="BH68" s="292"/>
      <c r="BI68" s="292"/>
      <c r="BJ68" s="292"/>
      <c r="BK68" s="292"/>
      <c r="BL68" s="292"/>
      <c r="BM68" s="292"/>
      <c r="BN68" s="292"/>
      <c r="BO68" s="292"/>
      <c r="BP68" s="292"/>
      <c r="BQ68" s="292"/>
      <c r="BR68" s="292"/>
      <c r="BS68" s="292"/>
      <c r="BT68" s="292"/>
      <c r="BU68" s="292"/>
      <c r="BV68" s="292"/>
      <c r="BW68" s="292"/>
      <c r="BX68" s="292"/>
      <c r="BY68" s="292"/>
      <c r="BZ68" s="292"/>
      <c r="CA68" s="292"/>
      <c r="CB68" s="292"/>
      <c r="CC68" s="292"/>
      <c r="CD68" s="292"/>
      <c r="CE68" s="292"/>
      <c r="CF68" s="292"/>
      <c r="CG68" s="292"/>
      <c r="CH68" s="292"/>
      <c r="CI68" s="292"/>
      <c r="CJ68" s="292"/>
      <c r="CK68" s="292"/>
      <c r="CL68" s="292"/>
      <c r="CM68" s="292"/>
      <c r="CN68" s="292"/>
      <c r="CO68" s="292"/>
      <c r="CP68" s="292"/>
      <c r="CQ68" s="292"/>
      <c r="CR68" s="292"/>
      <c r="CS68" s="292"/>
      <c r="CT68" s="292"/>
      <c r="CU68" s="292"/>
      <c r="CV68" s="292"/>
      <c r="CW68" s="292"/>
      <c r="CX68" s="292"/>
      <c r="CY68" s="292"/>
      <c r="CZ68" s="292"/>
      <c r="DA68" s="292"/>
      <c r="DB68" s="292"/>
      <c r="DC68" s="292"/>
      <c r="DD68" s="292"/>
      <c r="DE68" s="292"/>
      <c r="DF68" s="292"/>
      <c r="DG68" s="292"/>
      <c r="DH68" s="292"/>
      <c r="DI68" s="292"/>
      <c r="DJ68" s="292"/>
      <c r="DK68" s="292"/>
      <c r="DL68" s="292"/>
      <c r="DM68" s="292"/>
      <c r="DN68" s="292"/>
      <c r="DO68" s="292"/>
      <c r="DP68" s="292"/>
      <c r="DQ68" s="292"/>
      <c r="DR68" s="292"/>
      <c r="DS68" s="292"/>
      <c r="DT68" s="292"/>
      <c r="DU68" s="292"/>
      <c r="DV68" s="292"/>
      <c r="DW68" s="292"/>
      <c r="DX68" s="292"/>
      <c r="DY68" s="292"/>
      <c r="DZ68" s="292"/>
      <c r="EA68" s="292"/>
      <c r="EB68" s="292"/>
      <c r="EC68" s="292"/>
      <c r="ED68" s="292"/>
      <c r="EE68" s="292"/>
      <c r="EF68" s="292"/>
      <c r="EG68" s="292"/>
      <c r="EH68" s="292"/>
      <c r="EI68" s="292"/>
      <c r="EJ68" s="292"/>
      <c r="EK68" s="292"/>
      <c r="EL68" s="292"/>
      <c r="EM68" s="292"/>
      <c r="EN68" s="292"/>
      <c r="EO68" s="292"/>
      <c r="EP68" s="292"/>
      <c r="EQ68" s="292"/>
      <c r="ER68" s="292"/>
      <c r="ES68" s="292"/>
      <c r="ET68" s="292"/>
      <c r="EU68" s="292"/>
      <c r="EV68" s="292"/>
      <c r="EW68" s="292"/>
      <c r="EX68" s="292"/>
      <c r="EY68" s="292"/>
      <c r="EZ68" s="292"/>
      <c r="FA68" s="292"/>
      <c r="FB68" s="292"/>
      <c r="FC68" s="292"/>
      <c r="FD68" s="292"/>
      <c r="FE68" s="292"/>
      <c r="FF68" s="292"/>
      <c r="FG68" s="292"/>
      <c r="FH68" s="292"/>
      <c r="FI68" s="292"/>
      <c r="FJ68" s="292"/>
      <c r="FK68" s="292"/>
      <c r="FL68" s="292"/>
      <c r="FM68" s="292"/>
      <c r="FN68" s="292"/>
      <c r="FO68" s="292"/>
      <c r="FP68" s="292"/>
      <c r="FQ68" s="292"/>
      <c r="FR68" s="292"/>
      <c r="FS68" s="292"/>
      <c r="FT68" s="292"/>
      <c r="FU68" s="292"/>
      <c r="FV68" s="292"/>
      <c r="FW68" s="292"/>
      <c r="FX68" s="292"/>
      <c r="FY68" s="292"/>
      <c r="FZ68" s="292"/>
      <c r="GA68" s="292"/>
      <c r="GB68" s="292"/>
      <c r="GC68" s="292"/>
      <c r="GD68" s="292"/>
      <c r="GE68" s="292"/>
      <c r="GF68" s="292"/>
      <c r="GG68" s="292"/>
      <c r="GH68" s="292"/>
      <c r="GI68" s="292"/>
      <c r="GJ68" s="292"/>
      <c r="GK68" s="292"/>
      <c r="GL68" s="292"/>
      <c r="GM68" s="292"/>
      <c r="GN68" s="292"/>
      <c r="GO68" s="292"/>
      <c r="GP68" s="292"/>
      <c r="GQ68" s="292"/>
      <c r="GR68" s="292"/>
      <c r="GS68" s="292"/>
      <c r="GT68" s="292"/>
      <c r="GU68" s="292"/>
      <c r="GV68" s="292"/>
      <c r="GW68" s="292"/>
      <c r="GX68" s="292"/>
      <c r="GY68" s="292"/>
      <c r="GZ68" s="292"/>
      <c r="HA68" s="292"/>
      <c r="HB68" s="292"/>
      <c r="HC68" s="292"/>
      <c r="HD68" s="292"/>
      <c r="HE68" s="292"/>
      <c r="HF68" s="292"/>
      <c r="HG68" s="292"/>
      <c r="HH68" s="292"/>
      <c r="HI68" s="292"/>
      <c r="HJ68" s="292"/>
      <c r="HK68" s="292"/>
      <c r="HL68" s="292"/>
      <c r="HM68" s="292"/>
      <c r="HN68" s="292"/>
      <c r="HO68" s="292"/>
      <c r="HP68" s="292"/>
      <c r="HQ68" s="292"/>
      <c r="HR68" s="292"/>
      <c r="HS68" s="292"/>
      <c r="HT68" s="292"/>
      <c r="HU68" s="292"/>
      <c r="HV68" s="292"/>
      <c r="HW68" s="292"/>
      <c r="HX68" s="292"/>
      <c r="HY68" s="292"/>
      <c r="HZ68" s="292"/>
      <c r="IA68" s="292"/>
      <c r="IB68" s="292"/>
      <c r="IC68" s="292"/>
      <c r="ID68" s="292"/>
      <c r="IE68" s="292"/>
      <c r="IF68" s="292"/>
      <c r="IG68" s="292"/>
      <c r="IH68" s="292"/>
      <c r="II68" s="292"/>
      <c r="IJ68" s="292"/>
      <c r="IK68" s="292"/>
      <c r="IL68" s="292"/>
      <c r="IM68" s="292"/>
      <c r="IN68" s="292"/>
      <c r="IO68" s="292"/>
      <c r="IP68" s="292"/>
      <c r="IQ68" s="292"/>
      <c r="IR68" s="292"/>
      <c r="IS68" s="292"/>
      <c r="IT68" s="292"/>
      <c r="IU68" s="292"/>
      <c r="IV68" s="292"/>
      <c r="IW68" s="292"/>
      <c r="IX68" s="292"/>
      <c r="IY68" s="292"/>
      <c r="IZ68" s="292"/>
      <c r="JA68" s="292"/>
      <c r="JB68" s="292"/>
      <c r="JC68" s="292"/>
      <c r="JD68" s="292"/>
      <c r="JE68" s="292"/>
      <c r="JF68" s="292"/>
      <c r="JG68" s="292"/>
      <c r="JH68" s="292"/>
      <c r="JI68" s="292"/>
      <c r="JJ68" s="292"/>
      <c r="JK68" s="292"/>
      <c r="JL68" s="292"/>
      <c r="JM68" s="292"/>
      <c r="JN68" s="292"/>
      <c r="JO68" s="292"/>
      <c r="JP68" s="292"/>
      <c r="JQ68" s="292"/>
      <c r="JR68" s="292"/>
      <c r="JS68" s="292"/>
      <c r="JT68" s="292"/>
      <c r="JU68" s="292"/>
      <c r="JV68" s="292"/>
      <c r="JW68" s="292"/>
      <c r="JX68" s="292"/>
      <c r="JY68" s="292"/>
      <c r="JZ68" s="292"/>
      <c r="KA68" s="292"/>
      <c r="KB68" s="292"/>
      <c r="KC68" s="292"/>
      <c r="KD68" s="292"/>
      <c r="KE68" s="292"/>
      <c r="KF68" s="292"/>
      <c r="KG68" s="292"/>
      <c r="KH68" s="292"/>
      <c r="KI68" s="292"/>
      <c r="KJ68" s="292"/>
      <c r="KK68" s="292"/>
      <c r="KL68" s="292"/>
      <c r="KM68" s="292"/>
      <c r="KN68" s="292"/>
      <c r="KO68" s="292"/>
      <c r="KP68" s="292"/>
      <c r="KQ68" s="292"/>
      <c r="KR68" s="292"/>
      <c r="KS68" s="292"/>
      <c r="KT68" s="292"/>
      <c r="KU68" s="292"/>
      <c r="KV68" s="292"/>
      <c r="KW68" s="292"/>
      <c r="KX68" s="292"/>
      <c r="KY68" s="292"/>
      <c r="KZ68" s="292"/>
      <c r="LA68" s="292"/>
      <c r="LB68" s="292"/>
      <c r="LC68" s="292"/>
      <c r="LD68" s="292"/>
      <c r="LE68" s="292"/>
      <c r="LF68" s="292"/>
      <c r="LG68" s="292"/>
      <c r="LH68" s="292"/>
      <c r="LI68" s="292"/>
      <c r="LJ68" s="292"/>
      <c r="LK68" s="292"/>
      <c r="LL68" s="292"/>
      <c r="LM68" s="292"/>
      <c r="LN68" s="292"/>
      <c r="LO68" s="292"/>
      <c r="LP68" s="292"/>
      <c r="LQ68" s="292"/>
      <c r="LR68" s="292"/>
      <c r="LS68" s="292"/>
      <c r="LT68" s="292"/>
      <c r="LU68" s="292"/>
      <c r="LV68" s="292"/>
      <c r="LW68" s="292"/>
      <c r="LX68" s="292"/>
      <c r="LY68" s="292"/>
      <c r="LZ68" s="292"/>
      <c r="MA68" s="292"/>
      <c r="MB68" s="292"/>
      <c r="MC68" s="292"/>
      <c r="MD68" s="292"/>
      <c r="ME68" s="292"/>
      <c r="MF68" s="292"/>
      <c r="MG68" s="292"/>
      <c r="MH68" s="292"/>
      <c r="MI68" s="292"/>
      <c r="MJ68" s="292"/>
      <c r="MK68" s="292"/>
      <c r="ML68" s="292"/>
      <c r="MM68" s="292"/>
      <c r="MN68" s="292"/>
      <c r="MO68" s="292"/>
      <c r="MP68" s="292"/>
      <c r="MQ68" s="292"/>
      <c r="MR68" s="292"/>
      <c r="MS68" s="292"/>
      <c r="MT68" s="292"/>
      <c r="MU68" s="292"/>
      <c r="MV68" s="292"/>
      <c r="MW68" s="292"/>
      <c r="MX68" s="292"/>
      <c r="MY68" s="292"/>
      <c r="MZ68" s="292"/>
      <c r="NA68" s="292"/>
      <c r="NB68" s="292"/>
      <c r="NC68" s="292"/>
      <c r="ND68" s="292"/>
      <c r="NE68" s="292"/>
      <c r="NF68" s="292"/>
      <c r="NG68" s="292"/>
      <c r="NH68" s="292"/>
      <c r="NI68" s="292"/>
      <c r="NJ68" s="292"/>
      <c r="NK68" s="292"/>
      <c r="NL68" s="292"/>
      <c r="NM68" s="292"/>
      <c r="NN68" s="292"/>
      <c r="NO68" s="292"/>
      <c r="NP68" s="292"/>
      <c r="NQ68" s="292"/>
      <c r="NR68" s="292"/>
      <c r="NS68" s="292"/>
      <c r="NT68" s="292"/>
      <c r="NU68" s="292"/>
      <c r="NV68" s="292"/>
      <c r="NW68" s="292"/>
      <c r="NX68" s="292"/>
      <c r="NY68" s="292"/>
      <c r="NZ68" s="292"/>
      <c r="OA68" s="292"/>
      <c r="OB68" s="292"/>
      <c r="OC68" s="292"/>
      <c r="OD68" s="292"/>
      <c r="OE68" s="292"/>
      <c r="OF68" s="292"/>
      <c r="OG68" s="292"/>
      <c r="OH68" s="292"/>
      <c r="OI68" s="292"/>
      <c r="OJ68" s="292"/>
      <c r="OK68" s="292"/>
      <c r="OL68" s="292"/>
      <c r="OM68" s="292"/>
      <c r="ON68" s="292"/>
      <c r="OO68" s="292"/>
      <c r="OP68" s="292"/>
      <c r="OQ68" s="292"/>
      <c r="OR68" s="292"/>
      <c r="OS68" s="292"/>
      <c r="OT68" s="292"/>
      <c r="OU68" s="292"/>
      <c r="OV68" s="292"/>
      <c r="OW68" s="292"/>
      <c r="OX68" s="292"/>
      <c r="OY68" s="292"/>
      <c r="OZ68" s="292"/>
      <c r="PA68" s="292"/>
      <c r="PB68" s="292"/>
      <c r="PC68" s="292"/>
      <c r="PD68" s="292"/>
      <c r="PE68" s="292"/>
      <c r="PF68" s="292"/>
      <c r="PG68" s="292"/>
      <c r="PH68" s="292"/>
      <c r="PI68" s="292"/>
      <c r="PJ68" s="292"/>
      <c r="PK68" s="292"/>
      <c r="PL68" s="292"/>
      <c r="PM68" s="292"/>
      <c r="PN68" s="292"/>
      <c r="PO68" s="292"/>
      <c r="PP68" s="292"/>
      <c r="PQ68" s="292"/>
      <c r="PR68" s="292"/>
      <c r="PS68" s="292"/>
      <c r="PT68" s="292"/>
      <c r="PU68" s="292"/>
      <c r="PV68" s="292"/>
      <c r="PW68" s="292"/>
      <c r="PX68" s="292"/>
      <c r="PY68" s="292"/>
      <c r="PZ68" s="292"/>
      <c r="QA68" s="292"/>
      <c r="QB68" s="292"/>
      <c r="QC68" s="292"/>
      <c r="QD68" s="292"/>
      <c r="QE68" s="292"/>
      <c r="QF68" s="292"/>
      <c r="QG68" s="292"/>
      <c r="QH68" s="292"/>
      <c r="QI68" s="292"/>
      <c r="QJ68" s="292"/>
      <c r="QK68" s="292"/>
      <c r="QL68" s="292"/>
      <c r="QM68" s="292"/>
      <c r="QN68" s="292"/>
      <c r="QO68" s="292"/>
      <c r="QP68" s="292"/>
      <c r="QQ68" s="292"/>
      <c r="QR68" s="292"/>
      <c r="QS68" s="292"/>
      <c r="QT68" s="292"/>
      <c r="QU68" s="292"/>
      <c r="QV68" s="292"/>
      <c r="QW68" s="292"/>
      <c r="QX68" s="292"/>
      <c r="QY68" s="292"/>
      <c r="QZ68" s="292"/>
      <c r="RA68" s="292"/>
      <c r="RB68" s="292"/>
      <c r="RC68" s="292"/>
      <c r="RD68" s="292"/>
      <c r="RE68" s="292"/>
      <c r="RF68" s="292"/>
      <c r="RG68" s="292"/>
      <c r="RH68" s="292"/>
      <c r="RI68" s="292"/>
      <c r="RJ68" s="292"/>
      <c r="RK68" s="292"/>
      <c r="RL68" s="292"/>
      <c r="RM68" s="292"/>
      <c r="RN68" s="292"/>
      <c r="RO68" s="292"/>
      <c r="RP68" s="292"/>
      <c r="RQ68" s="292"/>
      <c r="RR68" s="292"/>
      <c r="RS68" s="292"/>
      <c r="RT68" s="292"/>
      <c r="RU68" s="292"/>
      <c r="RV68" s="292"/>
      <c r="RW68" s="292"/>
      <c r="RX68" s="292"/>
      <c r="RY68" s="292"/>
      <c r="RZ68" s="292"/>
      <c r="SA68" s="292"/>
      <c r="SB68" s="292"/>
      <c r="SC68" s="292"/>
      <c r="SD68" s="292"/>
      <c r="SE68" s="292"/>
      <c r="SF68" s="292"/>
      <c r="SG68" s="292"/>
      <c r="SH68" s="292"/>
      <c r="SI68" s="292"/>
      <c r="SJ68" s="292"/>
      <c r="SK68" s="292"/>
      <c r="SL68" s="292"/>
      <c r="SM68" s="292"/>
      <c r="SN68" s="292"/>
      <c r="SO68" s="292"/>
      <c r="SP68" s="292"/>
      <c r="SQ68" s="292"/>
      <c r="SR68" s="292"/>
      <c r="SS68" s="292"/>
      <c r="ST68" s="292"/>
      <c r="SU68" s="292"/>
    </row>
    <row r="69" spans="1:515" s="624" customFormat="1" ht="11.5" customHeight="1" x14ac:dyDescent="0.25">
      <c r="A69" s="986"/>
      <c r="B69" s="984"/>
      <c r="C69" s="984"/>
      <c r="D69" s="957"/>
      <c r="E69" s="960"/>
      <c r="F69" s="960"/>
      <c r="G69" s="981"/>
      <c r="H69" s="957"/>
      <c r="I69" s="957"/>
      <c r="J69" s="957"/>
      <c r="K69" s="981"/>
      <c r="L69" s="957"/>
      <c r="M69" s="957"/>
      <c r="N69" s="957"/>
      <c r="O69" s="981"/>
      <c r="P69" s="957"/>
      <c r="Q69" s="957"/>
      <c r="R69" s="957"/>
      <c r="S69" s="981"/>
      <c r="T69" s="957"/>
      <c r="U69" s="1180"/>
      <c r="V69" s="1180"/>
      <c r="W69" s="981"/>
      <c r="X69" s="957"/>
      <c r="Y69" s="1180"/>
      <c r="Z69" s="1180"/>
      <c r="AA69" s="981"/>
      <c r="AB69" s="976"/>
      <c r="AC69" s="957"/>
      <c r="AD69" s="976"/>
      <c r="AE69" s="971"/>
      <c r="AF69" s="292"/>
      <c r="AG69" s="292"/>
      <c r="AH69" s="292"/>
      <c r="AI69" s="292"/>
      <c r="AJ69" s="292"/>
      <c r="AK69" s="292"/>
      <c r="AL69" s="292"/>
      <c r="AM69" s="292"/>
      <c r="AN69" s="292"/>
      <c r="AO69" s="292"/>
      <c r="AP69" s="292"/>
      <c r="AQ69" s="292"/>
      <c r="AR69" s="292"/>
      <c r="AS69" s="292"/>
      <c r="AT69" s="292"/>
      <c r="AU69" s="292"/>
      <c r="AV69" s="292"/>
      <c r="AW69" s="292"/>
      <c r="AX69" s="292"/>
      <c r="AY69" s="292"/>
      <c r="AZ69" s="292"/>
      <c r="BA69" s="292"/>
      <c r="BB69" s="292"/>
      <c r="BC69" s="292"/>
      <c r="BD69" s="292"/>
      <c r="BE69" s="292"/>
      <c r="BF69" s="292"/>
      <c r="BG69" s="292"/>
      <c r="BH69" s="292"/>
      <c r="BI69" s="292"/>
      <c r="BJ69" s="292"/>
      <c r="BK69" s="292"/>
      <c r="BL69" s="292"/>
      <c r="BM69" s="292"/>
      <c r="BN69" s="292"/>
      <c r="BO69" s="292"/>
      <c r="BP69" s="292"/>
      <c r="BQ69" s="292"/>
      <c r="BR69" s="292"/>
      <c r="BS69" s="292"/>
      <c r="BT69" s="292"/>
      <c r="BU69" s="292"/>
      <c r="BV69" s="292"/>
      <c r="BW69" s="292"/>
      <c r="BX69" s="292"/>
      <c r="BY69" s="292"/>
      <c r="BZ69" s="292"/>
      <c r="CA69" s="292"/>
      <c r="CB69" s="292"/>
      <c r="CC69" s="292"/>
      <c r="CD69" s="292"/>
      <c r="CE69" s="292"/>
      <c r="CF69" s="292"/>
      <c r="CG69" s="292"/>
      <c r="CH69" s="292"/>
      <c r="CI69" s="292"/>
      <c r="CJ69" s="292"/>
      <c r="CK69" s="292"/>
      <c r="CL69" s="292"/>
      <c r="CM69" s="292"/>
      <c r="CN69" s="292"/>
      <c r="CO69" s="292"/>
      <c r="CP69" s="292"/>
      <c r="CQ69" s="292"/>
      <c r="CR69" s="292"/>
      <c r="CS69" s="292"/>
      <c r="CT69" s="292"/>
      <c r="CU69" s="292"/>
      <c r="CV69" s="292"/>
      <c r="CW69" s="292"/>
      <c r="CX69" s="292"/>
      <c r="CY69" s="292"/>
      <c r="CZ69" s="292"/>
      <c r="DA69" s="292"/>
      <c r="DB69" s="292"/>
      <c r="DC69" s="292"/>
      <c r="DD69" s="292"/>
      <c r="DE69" s="292"/>
      <c r="DF69" s="292"/>
      <c r="DG69" s="292"/>
      <c r="DH69" s="292"/>
      <c r="DI69" s="292"/>
      <c r="DJ69" s="292"/>
      <c r="DK69" s="292"/>
      <c r="DL69" s="292"/>
      <c r="DM69" s="292"/>
      <c r="DN69" s="292"/>
      <c r="DO69" s="292"/>
      <c r="DP69" s="292"/>
      <c r="DQ69" s="292"/>
      <c r="DR69" s="292"/>
      <c r="DS69" s="292"/>
      <c r="DT69" s="292"/>
      <c r="DU69" s="292"/>
      <c r="DV69" s="292"/>
      <c r="DW69" s="292"/>
      <c r="DX69" s="292"/>
      <c r="DY69" s="292"/>
      <c r="DZ69" s="292"/>
      <c r="EA69" s="292"/>
      <c r="EB69" s="292"/>
      <c r="EC69" s="292"/>
      <c r="ED69" s="292"/>
      <c r="EE69" s="292"/>
      <c r="EF69" s="292"/>
      <c r="EG69" s="292"/>
      <c r="EH69" s="292"/>
      <c r="EI69" s="292"/>
      <c r="EJ69" s="292"/>
      <c r="EK69" s="292"/>
      <c r="EL69" s="292"/>
      <c r="EM69" s="292"/>
      <c r="EN69" s="292"/>
      <c r="EO69" s="292"/>
      <c r="EP69" s="292"/>
      <c r="EQ69" s="292"/>
      <c r="ER69" s="292"/>
      <c r="ES69" s="292"/>
      <c r="ET69" s="292"/>
      <c r="EU69" s="292"/>
      <c r="EV69" s="292"/>
      <c r="EW69" s="292"/>
      <c r="EX69" s="292"/>
      <c r="EY69" s="292"/>
      <c r="EZ69" s="292"/>
      <c r="FA69" s="292"/>
      <c r="FB69" s="292"/>
      <c r="FC69" s="292"/>
      <c r="FD69" s="292"/>
      <c r="FE69" s="292"/>
      <c r="FF69" s="292"/>
      <c r="FG69" s="292"/>
      <c r="FH69" s="292"/>
      <c r="FI69" s="292"/>
      <c r="FJ69" s="292"/>
      <c r="FK69" s="292"/>
      <c r="FL69" s="292"/>
      <c r="FM69" s="292"/>
      <c r="FN69" s="292"/>
      <c r="FO69" s="292"/>
      <c r="FP69" s="292"/>
      <c r="FQ69" s="292"/>
      <c r="FR69" s="292"/>
      <c r="FS69" s="292"/>
      <c r="FT69" s="292"/>
      <c r="FU69" s="292"/>
      <c r="FV69" s="292"/>
      <c r="FW69" s="292"/>
      <c r="FX69" s="292"/>
      <c r="FY69" s="292"/>
      <c r="FZ69" s="292"/>
      <c r="GA69" s="292"/>
      <c r="GB69" s="292"/>
      <c r="GC69" s="292"/>
      <c r="GD69" s="292"/>
      <c r="GE69" s="292"/>
      <c r="GF69" s="292"/>
      <c r="GG69" s="292"/>
      <c r="GH69" s="292"/>
      <c r="GI69" s="292"/>
      <c r="GJ69" s="292"/>
      <c r="GK69" s="292"/>
      <c r="GL69" s="292"/>
      <c r="GM69" s="292"/>
      <c r="GN69" s="292"/>
      <c r="GO69" s="292"/>
      <c r="GP69" s="292"/>
      <c r="GQ69" s="292"/>
      <c r="GR69" s="292"/>
      <c r="GS69" s="292"/>
      <c r="GT69" s="292"/>
      <c r="GU69" s="292"/>
      <c r="GV69" s="292"/>
      <c r="GW69" s="292"/>
      <c r="GX69" s="292"/>
      <c r="GY69" s="292"/>
      <c r="GZ69" s="292"/>
      <c r="HA69" s="292"/>
      <c r="HB69" s="292"/>
      <c r="HC69" s="292"/>
      <c r="HD69" s="292"/>
      <c r="HE69" s="292"/>
      <c r="HF69" s="292"/>
      <c r="HG69" s="292"/>
      <c r="HH69" s="292"/>
      <c r="HI69" s="292"/>
      <c r="HJ69" s="292"/>
      <c r="HK69" s="292"/>
      <c r="HL69" s="292"/>
      <c r="HM69" s="292"/>
      <c r="HN69" s="292"/>
      <c r="HO69" s="292"/>
      <c r="HP69" s="292"/>
      <c r="HQ69" s="292"/>
      <c r="HR69" s="292"/>
      <c r="HS69" s="292"/>
      <c r="HT69" s="292"/>
      <c r="HU69" s="292"/>
      <c r="HV69" s="292"/>
      <c r="HW69" s="292"/>
      <c r="HX69" s="292"/>
      <c r="HY69" s="292"/>
      <c r="HZ69" s="292"/>
      <c r="IA69" s="292"/>
      <c r="IB69" s="292"/>
      <c r="IC69" s="292"/>
      <c r="ID69" s="292"/>
      <c r="IE69" s="292"/>
      <c r="IF69" s="292"/>
      <c r="IG69" s="292"/>
      <c r="IH69" s="292"/>
      <c r="II69" s="292"/>
      <c r="IJ69" s="292"/>
      <c r="IK69" s="292"/>
      <c r="IL69" s="292"/>
      <c r="IM69" s="292"/>
      <c r="IN69" s="292"/>
      <c r="IO69" s="292"/>
      <c r="IP69" s="292"/>
      <c r="IQ69" s="292"/>
      <c r="IR69" s="292"/>
      <c r="IS69" s="292"/>
      <c r="IT69" s="292"/>
      <c r="IU69" s="292"/>
      <c r="IV69" s="292"/>
      <c r="IW69" s="292"/>
      <c r="IX69" s="292"/>
      <c r="IY69" s="292"/>
      <c r="IZ69" s="292"/>
      <c r="JA69" s="292"/>
      <c r="JB69" s="292"/>
      <c r="JC69" s="292"/>
      <c r="JD69" s="292"/>
      <c r="JE69" s="292"/>
      <c r="JF69" s="292"/>
      <c r="JG69" s="292"/>
      <c r="JH69" s="292"/>
      <c r="JI69" s="292"/>
      <c r="JJ69" s="292"/>
      <c r="JK69" s="292"/>
      <c r="JL69" s="292"/>
      <c r="JM69" s="292"/>
      <c r="JN69" s="292"/>
      <c r="JO69" s="292"/>
      <c r="JP69" s="292"/>
      <c r="JQ69" s="292"/>
      <c r="JR69" s="292"/>
      <c r="JS69" s="292"/>
      <c r="JT69" s="292"/>
      <c r="JU69" s="292"/>
      <c r="JV69" s="292"/>
      <c r="JW69" s="292"/>
      <c r="JX69" s="292"/>
      <c r="JY69" s="292"/>
      <c r="JZ69" s="292"/>
      <c r="KA69" s="292"/>
      <c r="KB69" s="292"/>
      <c r="KC69" s="292"/>
      <c r="KD69" s="292"/>
      <c r="KE69" s="292"/>
      <c r="KF69" s="292"/>
      <c r="KG69" s="292"/>
      <c r="KH69" s="292"/>
      <c r="KI69" s="292"/>
      <c r="KJ69" s="292"/>
      <c r="KK69" s="292"/>
      <c r="KL69" s="292"/>
      <c r="KM69" s="292"/>
      <c r="KN69" s="292"/>
      <c r="KO69" s="292"/>
      <c r="KP69" s="292"/>
      <c r="KQ69" s="292"/>
      <c r="KR69" s="292"/>
      <c r="KS69" s="292"/>
      <c r="KT69" s="292"/>
      <c r="KU69" s="292"/>
      <c r="KV69" s="292"/>
      <c r="KW69" s="292"/>
      <c r="KX69" s="292"/>
      <c r="KY69" s="292"/>
      <c r="KZ69" s="292"/>
      <c r="LA69" s="292"/>
      <c r="LB69" s="292"/>
      <c r="LC69" s="292"/>
      <c r="LD69" s="292"/>
      <c r="LE69" s="292"/>
      <c r="LF69" s="292"/>
      <c r="LG69" s="292"/>
      <c r="LH69" s="292"/>
      <c r="LI69" s="292"/>
      <c r="LJ69" s="292"/>
      <c r="LK69" s="292"/>
      <c r="LL69" s="292"/>
      <c r="LM69" s="292"/>
      <c r="LN69" s="292"/>
      <c r="LO69" s="292"/>
      <c r="LP69" s="292"/>
      <c r="LQ69" s="292"/>
      <c r="LR69" s="292"/>
      <c r="LS69" s="292"/>
      <c r="LT69" s="292"/>
      <c r="LU69" s="292"/>
      <c r="LV69" s="292"/>
      <c r="LW69" s="292"/>
      <c r="LX69" s="292"/>
      <c r="LY69" s="292"/>
      <c r="LZ69" s="292"/>
      <c r="MA69" s="292"/>
      <c r="MB69" s="292"/>
      <c r="MC69" s="292"/>
      <c r="MD69" s="292"/>
      <c r="ME69" s="292"/>
      <c r="MF69" s="292"/>
      <c r="MG69" s="292"/>
      <c r="MH69" s="292"/>
      <c r="MI69" s="292"/>
      <c r="MJ69" s="292"/>
      <c r="MK69" s="292"/>
      <c r="ML69" s="292"/>
      <c r="MM69" s="292"/>
      <c r="MN69" s="292"/>
      <c r="MO69" s="292"/>
      <c r="MP69" s="292"/>
      <c r="MQ69" s="292"/>
      <c r="MR69" s="292"/>
      <c r="MS69" s="292"/>
      <c r="MT69" s="292"/>
      <c r="MU69" s="292"/>
      <c r="MV69" s="292"/>
      <c r="MW69" s="292"/>
      <c r="MX69" s="292"/>
      <c r="MY69" s="292"/>
      <c r="MZ69" s="292"/>
      <c r="NA69" s="292"/>
      <c r="NB69" s="292"/>
      <c r="NC69" s="292"/>
      <c r="ND69" s="292"/>
      <c r="NE69" s="292"/>
      <c r="NF69" s="292"/>
      <c r="NG69" s="292"/>
      <c r="NH69" s="292"/>
      <c r="NI69" s="292"/>
      <c r="NJ69" s="292"/>
      <c r="NK69" s="292"/>
      <c r="NL69" s="292"/>
      <c r="NM69" s="292"/>
      <c r="NN69" s="292"/>
      <c r="NO69" s="292"/>
      <c r="NP69" s="292"/>
      <c r="NQ69" s="292"/>
      <c r="NR69" s="292"/>
      <c r="NS69" s="292"/>
      <c r="NT69" s="292"/>
      <c r="NU69" s="292"/>
      <c r="NV69" s="292"/>
      <c r="NW69" s="292"/>
      <c r="NX69" s="292"/>
      <c r="NY69" s="292"/>
      <c r="NZ69" s="292"/>
      <c r="OA69" s="292"/>
      <c r="OB69" s="292"/>
      <c r="OC69" s="292"/>
      <c r="OD69" s="292"/>
      <c r="OE69" s="292"/>
      <c r="OF69" s="292"/>
      <c r="OG69" s="292"/>
      <c r="OH69" s="292"/>
      <c r="OI69" s="292"/>
      <c r="OJ69" s="292"/>
      <c r="OK69" s="292"/>
      <c r="OL69" s="292"/>
      <c r="OM69" s="292"/>
      <c r="ON69" s="292"/>
      <c r="OO69" s="292"/>
      <c r="OP69" s="292"/>
      <c r="OQ69" s="292"/>
      <c r="OR69" s="292"/>
      <c r="OS69" s="292"/>
      <c r="OT69" s="292"/>
      <c r="OU69" s="292"/>
      <c r="OV69" s="292"/>
      <c r="OW69" s="292"/>
      <c r="OX69" s="292"/>
      <c r="OY69" s="292"/>
      <c r="OZ69" s="292"/>
      <c r="PA69" s="292"/>
      <c r="PB69" s="292"/>
      <c r="PC69" s="292"/>
      <c r="PD69" s="292"/>
      <c r="PE69" s="292"/>
      <c r="PF69" s="292"/>
      <c r="PG69" s="292"/>
      <c r="PH69" s="292"/>
      <c r="PI69" s="292"/>
      <c r="PJ69" s="292"/>
      <c r="PK69" s="292"/>
      <c r="PL69" s="292"/>
      <c r="PM69" s="292"/>
      <c r="PN69" s="292"/>
      <c r="PO69" s="292"/>
      <c r="PP69" s="292"/>
      <c r="PQ69" s="292"/>
      <c r="PR69" s="292"/>
      <c r="PS69" s="292"/>
      <c r="PT69" s="292"/>
      <c r="PU69" s="292"/>
      <c r="PV69" s="292"/>
      <c r="PW69" s="292"/>
      <c r="PX69" s="292"/>
      <c r="PY69" s="292"/>
      <c r="PZ69" s="292"/>
      <c r="QA69" s="292"/>
      <c r="QB69" s="292"/>
      <c r="QC69" s="292"/>
      <c r="QD69" s="292"/>
      <c r="QE69" s="292"/>
      <c r="QF69" s="292"/>
      <c r="QG69" s="292"/>
      <c r="QH69" s="292"/>
      <c r="QI69" s="292"/>
      <c r="QJ69" s="292"/>
      <c r="QK69" s="292"/>
      <c r="QL69" s="292"/>
      <c r="QM69" s="292"/>
      <c r="QN69" s="292"/>
      <c r="QO69" s="292"/>
      <c r="QP69" s="292"/>
      <c r="QQ69" s="292"/>
      <c r="QR69" s="292"/>
      <c r="QS69" s="292"/>
      <c r="QT69" s="292"/>
      <c r="QU69" s="292"/>
      <c r="QV69" s="292"/>
      <c r="QW69" s="292"/>
      <c r="QX69" s="292"/>
      <c r="QY69" s="292"/>
      <c r="QZ69" s="292"/>
      <c r="RA69" s="292"/>
      <c r="RB69" s="292"/>
      <c r="RC69" s="292"/>
      <c r="RD69" s="292"/>
      <c r="RE69" s="292"/>
      <c r="RF69" s="292"/>
      <c r="RG69" s="292"/>
      <c r="RH69" s="292"/>
      <c r="RI69" s="292"/>
      <c r="RJ69" s="292"/>
      <c r="RK69" s="292"/>
      <c r="RL69" s="292"/>
      <c r="RM69" s="292"/>
      <c r="RN69" s="292"/>
      <c r="RO69" s="292"/>
      <c r="RP69" s="292"/>
      <c r="RQ69" s="292"/>
      <c r="RR69" s="292"/>
      <c r="RS69" s="292"/>
      <c r="RT69" s="292"/>
      <c r="RU69" s="292"/>
      <c r="RV69" s="292"/>
      <c r="RW69" s="292"/>
      <c r="RX69" s="292"/>
      <c r="RY69" s="292"/>
      <c r="RZ69" s="292"/>
      <c r="SA69" s="292"/>
      <c r="SB69" s="292"/>
      <c r="SC69" s="292"/>
      <c r="SD69" s="292"/>
      <c r="SE69" s="292"/>
      <c r="SF69" s="292"/>
      <c r="SG69" s="292"/>
      <c r="SH69" s="292"/>
      <c r="SI69" s="292"/>
      <c r="SJ69" s="292"/>
      <c r="SK69" s="292"/>
      <c r="SL69" s="292"/>
      <c r="SM69" s="292"/>
      <c r="SN69" s="292"/>
      <c r="SO69" s="292"/>
      <c r="SP69" s="292"/>
      <c r="SQ69" s="292"/>
      <c r="SR69" s="292"/>
      <c r="SS69" s="292"/>
      <c r="ST69" s="292"/>
      <c r="SU69" s="292"/>
    </row>
    <row r="70" spans="1:515" s="624" customFormat="1" ht="11.5" customHeight="1" x14ac:dyDescent="0.25">
      <c r="A70" s="986"/>
      <c r="B70" s="984"/>
      <c r="C70" s="984"/>
      <c r="D70" s="957"/>
      <c r="E70" s="960"/>
      <c r="F70" s="960"/>
      <c r="G70" s="981"/>
      <c r="H70" s="957"/>
      <c r="I70" s="957"/>
      <c r="J70" s="957"/>
      <c r="K70" s="981"/>
      <c r="L70" s="957"/>
      <c r="M70" s="957"/>
      <c r="N70" s="957"/>
      <c r="O70" s="981"/>
      <c r="P70" s="957"/>
      <c r="Q70" s="957"/>
      <c r="R70" s="957"/>
      <c r="S70" s="981"/>
      <c r="T70" s="957"/>
      <c r="U70" s="1180"/>
      <c r="V70" s="1180"/>
      <c r="W70" s="981"/>
      <c r="X70" s="957"/>
      <c r="Y70" s="1180"/>
      <c r="Z70" s="1180"/>
      <c r="AA70" s="981"/>
      <c r="AB70" s="976"/>
      <c r="AC70" s="957"/>
      <c r="AD70" s="976"/>
      <c r="AE70" s="971"/>
      <c r="AF70" s="292"/>
      <c r="AG70" s="292"/>
      <c r="AH70" s="292"/>
      <c r="AI70" s="292"/>
      <c r="AJ70" s="292"/>
      <c r="AK70" s="292"/>
      <c r="AL70" s="292"/>
      <c r="AM70" s="292"/>
      <c r="AN70" s="292"/>
      <c r="AO70" s="292"/>
      <c r="AP70" s="292"/>
      <c r="AQ70" s="292"/>
      <c r="AR70" s="292"/>
      <c r="AS70" s="292"/>
      <c r="AT70" s="292"/>
      <c r="AU70" s="292"/>
      <c r="AV70" s="292"/>
      <c r="AW70" s="292"/>
      <c r="AX70" s="292"/>
      <c r="AY70" s="292"/>
      <c r="AZ70" s="292"/>
      <c r="BA70" s="292"/>
      <c r="BB70" s="292"/>
      <c r="BC70" s="292"/>
      <c r="BD70" s="292"/>
      <c r="BE70" s="292"/>
      <c r="BF70" s="292"/>
      <c r="BG70" s="292"/>
      <c r="BH70" s="292"/>
      <c r="BI70" s="292"/>
      <c r="BJ70" s="292"/>
      <c r="BK70" s="292"/>
      <c r="BL70" s="292"/>
      <c r="BM70" s="292"/>
      <c r="BN70" s="292"/>
      <c r="BO70" s="292"/>
      <c r="BP70" s="292"/>
      <c r="BQ70" s="292"/>
      <c r="BR70" s="292"/>
      <c r="BS70" s="292"/>
      <c r="BT70" s="292"/>
      <c r="BU70" s="292"/>
      <c r="BV70" s="292"/>
      <c r="BW70" s="292"/>
      <c r="BX70" s="292"/>
      <c r="BY70" s="292"/>
      <c r="BZ70" s="292"/>
      <c r="CA70" s="292"/>
      <c r="CB70" s="292"/>
      <c r="CC70" s="292"/>
      <c r="CD70" s="292"/>
      <c r="CE70" s="292"/>
      <c r="CF70" s="292"/>
      <c r="CG70" s="292"/>
      <c r="CH70" s="292"/>
      <c r="CI70" s="292"/>
      <c r="CJ70" s="292"/>
      <c r="CK70" s="292"/>
      <c r="CL70" s="292"/>
      <c r="CM70" s="292"/>
      <c r="CN70" s="292"/>
      <c r="CO70" s="292"/>
      <c r="CP70" s="292"/>
      <c r="CQ70" s="292"/>
      <c r="CR70" s="292"/>
      <c r="CS70" s="292"/>
      <c r="CT70" s="292"/>
      <c r="CU70" s="292"/>
      <c r="CV70" s="292"/>
      <c r="CW70" s="292"/>
      <c r="CX70" s="292"/>
      <c r="CY70" s="292"/>
      <c r="CZ70" s="292"/>
      <c r="DA70" s="292"/>
      <c r="DB70" s="292"/>
      <c r="DC70" s="292"/>
      <c r="DD70" s="292"/>
      <c r="DE70" s="292"/>
      <c r="DF70" s="292"/>
      <c r="DG70" s="292"/>
      <c r="DH70" s="292"/>
      <c r="DI70" s="292"/>
      <c r="DJ70" s="292"/>
      <c r="DK70" s="292"/>
      <c r="DL70" s="292"/>
      <c r="DM70" s="292"/>
      <c r="DN70" s="292"/>
      <c r="DO70" s="292"/>
      <c r="DP70" s="292"/>
      <c r="DQ70" s="292"/>
      <c r="DR70" s="292"/>
      <c r="DS70" s="292"/>
      <c r="DT70" s="292"/>
      <c r="DU70" s="292"/>
      <c r="DV70" s="292"/>
      <c r="DW70" s="292"/>
      <c r="DX70" s="292"/>
      <c r="DY70" s="292"/>
      <c r="DZ70" s="292"/>
      <c r="EA70" s="292"/>
      <c r="EB70" s="292"/>
      <c r="EC70" s="292"/>
      <c r="ED70" s="292"/>
      <c r="EE70" s="292"/>
      <c r="EF70" s="292"/>
      <c r="EG70" s="292"/>
      <c r="EH70" s="292"/>
      <c r="EI70" s="292"/>
      <c r="EJ70" s="292"/>
      <c r="EK70" s="292"/>
      <c r="EL70" s="292"/>
      <c r="EM70" s="292"/>
      <c r="EN70" s="292"/>
      <c r="EO70" s="292"/>
      <c r="EP70" s="292"/>
      <c r="EQ70" s="292"/>
      <c r="ER70" s="292"/>
      <c r="ES70" s="292"/>
      <c r="ET70" s="292"/>
      <c r="EU70" s="292"/>
      <c r="EV70" s="292"/>
      <c r="EW70" s="292"/>
      <c r="EX70" s="292"/>
      <c r="EY70" s="292"/>
      <c r="EZ70" s="292"/>
      <c r="FA70" s="292"/>
      <c r="FB70" s="292"/>
      <c r="FC70" s="292"/>
      <c r="FD70" s="292"/>
      <c r="FE70" s="292"/>
      <c r="FF70" s="292"/>
      <c r="FG70" s="292"/>
      <c r="FH70" s="292"/>
      <c r="FI70" s="292"/>
      <c r="FJ70" s="292"/>
      <c r="FK70" s="292"/>
      <c r="FL70" s="292"/>
      <c r="FM70" s="292"/>
      <c r="FN70" s="292"/>
      <c r="FO70" s="292"/>
      <c r="FP70" s="292"/>
      <c r="FQ70" s="292"/>
      <c r="FR70" s="292"/>
      <c r="FS70" s="292"/>
      <c r="FT70" s="292"/>
      <c r="FU70" s="292"/>
      <c r="FV70" s="292"/>
      <c r="FW70" s="292"/>
      <c r="FX70" s="292"/>
      <c r="FY70" s="292"/>
      <c r="FZ70" s="292"/>
      <c r="GA70" s="292"/>
      <c r="GB70" s="292"/>
      <c r="GC70" s="292"/>
      <c r="GD70" s="292"/>
      <c r="GE70" s="292"/>
      <c r="GF70" s="292"/>
      <c r="GG70" s="292"/>
      <c r="GH70" s="292"/>
      <c r="GI70" s="292"/>
      <c r="GJ70" s="292"/>
      <c r="GK70" s="292"/>
      <c r="GL70" s="292"/>
      <c r="GM70" s="292"/>
      <c r="GN70" s="292"/>
      <c r="GO70" s="292"/>
      <c r="GP70" s="292"/>
      <c r="GQ70" s="292"/>
      <c r="GR70" s="292"/>
      <c r="GS70" s="292"/>
      <c r="GT70" s="292"/>
      <c r="GU70" s="292"/>
      <c r="GV70" s="292"/>
      <c r="GW70" s="292"/>
      <c r="GX70" s="292"/>
      <c r="GY70" s="292"/>
      <c r="GZ70" s="292"/>
      <c r="HA70" s="292"/>
      <c r="HB70" s="292"/>
      <c r="HC70" s="292"/>
      <c r="HD70" s="292"/>
      <c r="HE70" s="292"/>
      <c r="HF70" s="292"/>
      <c r="HG70" s="292"/>
      <c r="HH70" s="292"/>
      <c r="HI70" s="292"/>
      <c r="HJ70" s="292"/>
      <c r="HK70" s="292"/>
      <c r="HL70" s="292"/>
      <c r="HM70" s="292"/>
      <c r="HN70" s="292"/>
      <c r="HO70" s="292"/>
      <c r="HP70" s="292"/>
      <c r="HQ70" s="292"/>
      <c r="HR70" s="292"/>
      <c r="HS70" s="292"/>
      <c r="HT70" s="292"/>
      <c r="HU70" s="292"/>
      <c r="HV70" s="292"/>
      <c r="HW70" s="292"/>
      <c r="HX70" s="292"/>
      <c r="HY70" s="292"/>
      <c r="HZ70" s="292"/>
      <c r="IA70" s="292"/>
      <c r="IB70" s="292"/>
      <c r="IC70" s="292"/>
      <c r="ID70" s="292"/>
      <c r="IE70" s="292"/>
      <c r="IF70" s="292"/>
      <c r="IG70" s="292"/>
      <c r="IH70" s="292"/>
      <c r="II70" s="292"/>
      <c r="IJ70" s="292"/>
      <c r="IK70" s="292"/>
      <c r="IL70" s="292"/>
      <c r="IM70" s="292"/>
      <c r="IN70" s="292"/>
      <c r="IO70" s="292"/>
      <c r="IP70" s="292"/>
      <c r="IQ70" s="292"/>
      <c r="IR70" s="292"/>
      <c r="IS70" s="292"/>
      <c r="IT70" s="292"/>
      <c r="IU70" s="292"/>
      <c r="IV70" s="292"/>
      <c r="IW70" s="292"/>
      <c r="IX70" s="292"/>
      <c r="IY70" s="292"/>
      <c r="IZ70" s="292"/>
      <c r="JA70" s="292"/>
      <c r="JB70" s="292"/>
      <c r="JC70" s="292"/>
      <c r="JD70" s="292"/>
      <c r="JE70" s="292"/>
      <c r="JF70" s="292"/>
      <c r="JG70" s="292"/>
      <c r="JH70" s="292"/>
      <c r="JI70" s="292"/>
      <c r="JJ70" s="292"/>
      <c r="JK70" s="292"/>
      <c r="JL70" s="292"/>
      <c r="JM70" s="292"/>
      <c r="JN70" s="292"/>
      <c r="JO70" s="292"/>
      <c r="JP70" s="292"/>
      <c r="JQ70" s="292"/>
      <c r="JR70" s="292"/>
      <c r="JS70" s="292"/>
      <c r="JT70" s="292"/>
      <c r="JU70" s="292"/>
      <c r="JV70" s="292"/>
      <c r="JW70" s="292"/>
      <c r="JX70" s="292"/>
      <c r="JY70" s="292"/>
      <c r="JZ70" s="292"/>
      <c r="KA70" s="292"/>
      <c r="KB70" s="292"/>
      <c r="KC70" s="292"/>
      <c r="KD70" s="292"/>
      <c r="KE70" s="292"/>
      <c r="KF70" s="292"/>
      <c r="KG70" s="292"/>
      <c r="KH70" s="292"/>
      <c r="KI70" s="292"/>
      <c r="KJ70" s="292"/>
      <c r="KK70" s="292"/>
      <c r="KL70" s="292"/>
      <c r="KM70" s="292"/>
      <c r="KN70" s="292"/>
      <c r="KO70" s="292"/>
      <c r="KP70" s="292"/>
      <c r="KQ70" s="292"/>
      <c r="KR70" s="292"/>
      <c r="KS70" s="292"/>
      <c r="KT70" s="292"/>
      <c r="KU70" s="292"/>
      <c r="KV70" s="292"/>
      <c r="KW70" s="292"/>
      <c r="KX70" s="292"/>
      <c r="KY70" s="292"/>
      <c r="KZ70" s="292"/>
      <c r="LA70" s="292"/>
      <c r="LB70" s="292"/>
      <c r="LC70" s="292"/>
      <c r="LD70" s="292"/>
      <c r="LE70" s="292"/>
      <c r="LF70" s="292"/>
      <c r="LG70" s="292"/>
      <c r="LH70" s="292"/>
      <c r="LI70" s="292"/>
      <c r="LJ70" s="292"/>
      <c r="LK70" s="292"/>
      <c r="LL70" s="292"/>
      <c r="LM70" s="292"/>
      <c r="LN70" s="292"/>
      <c r="LO70" s="292"/>
      <c r="LP70" s="292"/>
      <c r="LQ70" s="292"/>
      <c r="LR70" s="292"/>
      <c r="LS70" s="292"/>
      <c r="LT70" s="292"/>
      <c r="LU70" s="292"/>
      <c r="LV70" s="292"/>
      <c r="LW70" s="292"/>
      <c r="LX70" s="292"/>
      <c r="LY70" s="292"/>
      <c r="LZ70" s="292"/>
      <c r="MA70" s="292"/>
      <c r="MB70" s="292"/>
      <c r="MC70" s="292"/>
      <c r="MD70" s="292"/>
      <c r="ME70" s="292"/>
      <c r="MF70" s="292"/>
      <c r="MG70" s="292"/>
      <c r="MH70" s="292"/>
      <c r="MI70" s="292"/>
      <c r="MJ70" s="292"/>
      <c r="MK70" s="292"/>
      <c r="ML70" s="292"/>
      <c r="MM70" s="292"/>
      <c r="MN70" s="292"/>
      <c r="MO70" s="292"/>
      <c r="MP70" s="292"/>
      <c r="MQ70" s="292"/>
      <c r="MR70" s="292"/>
      <c r="MS70" s="292"/>
      <c r="MT70" s="292"/>
      <c r="MU70" s="292"/>
      <c r="MV70" s="292"/>
      <c r="MW70" s="292"/>
      <c r="MX70" s="292"/>
      <c r="MY70" s="292"/>
      <c r="MZ70" s="292"/>
      <c r="NA70" s="292"/>
      <c r="NB70" s="292"/>
      <c r="NC70" s="292"/>
      <c r="ND70" s="292"/>
      <c r="NE70" s="292"/>
      <c r="NF70" s="292"/>
      <c r="NG70" s="292"/>
      <c r="NH70" s="292"/>
      <c r="NI70" s="292"/>
      <c r="NJ70" s="292"/>
      <c r="NK70" s="292"/>
      <c r="NL70" s="292"/>
      <c r="NM70" s="292"/>
      <c r="NN70" s="292"/>
      <c r="NO70" s="292"/>
      <c r="NP70" s="292"/>
      <c r="NQ70" s="292"/>
      <c r="NR70" s="292"/>
      <c r="NS70" s="292"/>
      <c r="NT70" s="292"/>
      <c r="NU70" s="292"/>
      <c r="NV70" s="292"/>
      <c r="NW70" s="292"/>
      <c r="NX70" s="292"/>
      <c r="NY70" s="292"/>
      <c r="NZ70" s="292"/>
      <c r="OA70" s="292"/>
      <c r="OB70" s="292"/>
      <c r="OC70" s="292"/>
      <c r="OD70" s="292"/>
      <c r="OE70" s="292"/>
      <c r="OF70" s="292"/>
      <c r="OG70" s="292"/>
      <c r="OH70" s="292"/>
      <c r="OI70" s="292"/>
      <c r="OJ70" s="292"/>
      <c r="OK70" s="292"/>
      <c r="OL70" s="292"/>
      <c r="OM70" s="292"/>
      <c r="ON70" s="292"/>
      <c r="OO70" s="292"/>
      <c r="OP70" s="292"/>
      <c r="OQ70" s="292"/>
      <c r="OR70" s="292"/>
      <c r="OS70" s="292"/>
      <c r="OT70" s="292"/>
      <c r="OU70" s="292"/>
      <c r="OV70" s="292"/>
      <c r="OW70" s="292"/>
      <c r="OX70" s="292"/>
      <c r="OY70" s="292"/>
      <c r="OZ70" s="292"/>
      <c r="PA70" s="292"/>
      <c r="PB70" s="292"/>
      <c r="PC70" s="292"/>
      <c r="PD70" s="292"/>
      <c r="PE70" s="292"/>
      <c r="PF70" s="292"/>
      <c r="PG70" s="292"/>
      <c r="PH70" s="292"/>
      <c r="PI70" s="292"/>
      <c r="PJ70" s="292"/>
      <c r="PK70" s="292"/>
      <c r="PL70" s="292"/>
      <c r="PM70" s="292"/>
      <c r="PN70" s="292"/>
      <c r="PO70" s="292"/>
      <c r="PP70" s="292"/>
      <c r="PQ70" s="292"/>
      <c r="PR70" s="292"/>
      <c r="PS70" s="292"/>
      <c r="PT70" s="292"/>
      <c r="PU70" s="292"/>
      <c r="PV70" s="292"/>
      <c r="PW70" s="292"/>
      <c r="PX70" s="292"/>
      <c r="PY70" s="292"/>
      <c r="PZ70" s="292"/>
      <c r="QA70" s="292"/>
      <c r="QB70" s="292"/>
      <c r="QC70" s="292"/>
      <c r="QD70" s="292"/>
      <c r="QE70" s="292"/>
      <c r="QF70" s="292"/>
      <c r="QG70" s="292"/>
      <c r="QH70" s="292"/>
      <c r="QI70" s="292"/>
      <c r="QJ70" s="292"/>
      <c r="QK70" s="292"/>
      <c r="QL70" s="292"/>
      <c r="QM70" s="292"/>
      <c r="QN70" s="292"/>
      <c r="QO70" s="292"/>
      <c r="QP70" s="292"/>
      <c r="QQ70" s="292"/>
      <c r="QR70" s="292"/>
      <c r="QS70" s="292"/>
      <c r="QT70" s="292"/>
      <c r="QU70" s="292"/>
      <c r="QV70" s="292"/>
      <c r="QW70" s="292"/>
      <c r="QX70" s="292"/>
      <c r="QY70" s="292"/>
      <c r="QZ70" s="292"/>
      <c r="RA70" s="292"/>
      <c r="RB70" s="292"/>
      <c r="RC70" s="292"/>
      <c r="RD70" s="292"/>
      <c r="RE70" s="292"/>
      <c r="RF70" s="292"/>
      <c r="RG70" s="292"/>
      <c r="RH70" s="292"/>
      <c r="RI70" s="292"/>
      <c r="RJ70" s="292"/>
      <c r="RK70" s="292"/>
      <c r="RL70" s="292"/>
      <c r="RM70" s="292"/>
      <c r="RN70" s="292"/>
      <c r="RO70" s="292"/>
      <c r="RP70" s="292"/>
      <c r="RQ70" s="292"/>
      <c r="RR70" s="292"/>
      <c r="RS70" s="292"/>
      <c r="RT70" s="292"/>
      <c r="RU70" s="292"/>
      <c r="RV70" s="292"/>
      <c r="RW70" s="292"/>
      <c r="RX70" s="292"/>
      <c r="RY70" s="292"/>
      <c r="RZ70" s="292"/>
      <c r="SA70" s="292"/>
      <c r="SB70" s="292"/>
      <c r="SC70" s="292"/>
      <c r="SD70" s="292"/>
      <c r="SE70" s="292"/>
      <c r="SF70" s="292"/>
      <c r="SG70" s="292"/>
      <c r="SH70" s="292"/>
      <c r="SI70" s="292"/>
      <c r="SJ70" s="292"/>
      <c r="SK70" s="292"/>
      <c r="SL70" s="292"/>
      <c r="SM70" s="292"/>
      <c r="SN70" s="292"/>
      <c r="SO70" s="292"/>
      <c r="SP70" s="292"/>
      <c r="SQ70" s="292"/>
      <c r="SR70" s="292"/>
      <c r="SS70" s="292"/>
      <c r="ST70" s="292"/>
      <c r="SU70" s="292"/>
    </row>
    <row r="71" spans="1:515" s="624" customFormat="1" ht="20.5" customHeight="1" x14ac:dyDescent="0.25">
      <c r="A71" s="986"/>
      <c r="B71" s="984"/>
      <c r="C71" s="984"/>
      <c r="D71" s="957"/>
      <c r="E71" s="1294" t="s">
        <v>374</v>
      </c>
      <c r="F71" s="1294"/>
      <c r="G71" s="1294"/>
      <c r="H71" s="957"/>
      <c r="I71" s="1294" t="s">
        <v>374</v>
      </c>
      <c r="J71" s="1294"/>
      <c r="K71" s="1294"/>
      <c r="L71" s="957"/>
      <c r="M71" s="1294" t="s">
        <v>374</v>
      </c>
      <c r="N71" s="1294"/>
      <c r="O71" s="1294"/>
      <c r="P71" s="957"/>
      <c r="Q71" s="1294" t="s">
        <v>374</v>
      </c>
      <c r="R71" s="1294"/>
      <c r="S71" s="1294"/>
      <c r="T71" s="957"/>
      <c r="U71" s="1294" t="s">
        <v>374</v>
      </c>
      <c r="V71" s="1294"/>
      <c r="W71" s="1294"/>
      <c r="X71" s="957"/>
      <c r="Y71" s="1294" t="s">
        <v>374</v>
      </c>
      <c r="Z71" s="1294"/>
      <c r="AA71" s="1294"/>
      <c r="AB71" s="976"/>
      <c r="AC71" s="957"/>
      <c r="AD71" s="1145" t="s">
        <v>374</v>
      </c>
      <c r="AE71" s="971"/>
      <c r="AF71" s="292"/>
      <c r="AG71" s="292"/>
      <c r="AH71" s="292"/>
      <c r="AI71" s="292"/>
      <c r="AJ71" s="292"/>
      <c r="AK71" s="292"/>
      <c r="AL71" s="292"/>
      <c r="AM71" s="292"/>
      <c r="AN71" s="292"/>
      <c r="AO71" s="292"/>
      <c r="AP71" s="292"/>
      <c r="AQ71" s="292"/>
      <c r="AR71" s="292"/>
      <c r="AS71" s="292"/>
      <c r="AT71" s="292"/>
      <c r="AU71" s="292"/>
      <c r="AV71" s="292"/>
      <c r="AW71" s="292"/>
      <c r="AX71" s="292"/>
      <c r="AY71" s="292"/>
      <c r="AZ71" s="292"/>
      <c r="BA71" s="292"/>
      <c r="BB71" s="292"/>
      <c r="BC71" s="292"/>
      <c r="BD71" s="292"/>
      <c r="BE71" s="292"/>
      <c r="BF71" s="292"/>
      <c r="BG71" s="292"/>
      <c r="BH71" s="292"/>
      <c r="BI71" s="292"/>
      <c r="BJ71" s="292"/>
      <c r="BK71" s="292"/>
      <c r="BL71" s="292"/>
      <c r="BM71" s="292"/>
      <c r="BN71" s="292"/>
      <c r="BO71" s="292"/>
      <c r="BP71" s="292"/>
      <c r="BQ71" s="292"/>
      <c r="BR71" s="292"/>
      <c r="BS71" s="292"/>
      <c r="BT71" s="292"/>
      <c r="BU71" s="292"/>
      <c r="BV71" s="292"/>
      <c r="BW71" s="292"/>
      <c r="BX71" s="292"/>
      <c r="BY71" s="292"/>
      <c r="BZ71" s="292"/>
      <c r="CA71" s="292"/>
      <c r="CB71" s="292"/>
      <c r="CC71" s="292"/>
      <c r="CD71" s="292"/>
      <c r="CE71" s="292"/>
      <c r="CF71" s="292"/>
      <c r="CG71" s="292"/>
      <c r="CH71" s="292"/>
      <c r="CI71" s="292"/>
      <c r="CJ71" s="292"/>
      <c r="CK71" s="292"/>
      <c r="CL71" s="292"/>
      <c r="CM71" s="292"/>
      <c r="CN71" s="292"/>
      <c r="CO71" s="292"/>
      <c r="CP71" s="292"/>
      <c r="CQ71" s="292"/>
      <c r="CR71" s="292"/>
      <c r="CS71" s="292"/>
      <c r="CT71" s="292"/>
      <c r="CU71" s="292"/>
      <c r="CV71" s="292"/>
      <c r="CW71" s="292"/>
      <c r="CX71" s="292"/>
      <c r="CY71" s="292"/>
      <c r="CZ71" s="292"/>
      <c r="DA71" s="292"/>
      <c r="DB71" s="292"/>
      <c r="DC71" s="292"/>
      <c r="DD71" s="292"/>
      <c r="DE71" s="292"/>
      <c r="DF71" s="292"/>
      <c r="DG71" s="292"/>
      <c r="DH71" s="292"/>
      <c r="DI71" s="292"/>
      <c r="DJ71" s="292"/>
      <c r="DK71" s="292"/>
      <c r="DL71" s="292"/>
      <c r="DM71" s="292"/>
      <c r="DN71" s="292"/>
      <c r="DO71" s="292"/>
      <c r="DP71" s="292"/>
      <c r="DQ71" s="292"/>
      <c r="DR71" s="292"/>
      <c r="DS71" s="292"/>
      <c r="DT71" s="292"/>
      <c r="DU71" s="292"/>
      <c r="DV71" s="292"/>
      <c r="DW71" s="292"/>
      <c r="DX71" s="292"/>
      <c r="DY71" s="292"/>
      <c r="DZ71" s="292"/>
      <c r="EA71" s="292"/>
      <c r="EB71" s="292"/>
      <c r="EC71" s="292"/>
      <c r="ED71" s="292"/>
      <c r="EE71" s="292"/>
      <c r="EF71" s="292"/>
      <c r="EG71" s="292"/>
      <c r="EH71" s="292"/>
      <c r="EI71" s="292"/>
      <c r="EJ71" s="292"/>
      <c r="EK71" s="292"/>
      <c r="EL71" s="292"/>
      <c r="EM71" s="292"/>
      <c r="EN71" s="292"/>
      <c r="EO71" s="292"/>
      <c r="EP71" s="292"/>
      <c r="EQ71" s="292"/>
      <c r="ER71" s="292"/>
      <c r="ES71" s="292"/>
      <c r="ET71" s="292"/>
      <c r="EU71" s="292"/>
      <c r="EV71" s="292"/>
      <c r="EW71" s="292"/>
      <c r="EX71" s="292"/>
      <c r="EY71" s="292"/>
      <c r="EZ71" s="292"/>
      <c r="FA71" s="292"/>
      <c r="FB71" s="292"/>
      <c r="FC71" s="292"/>
      <c r="FD71" s="292"/>
      <c r="FE71" s="292"/>
      <c r="FF71" s="292"/>
      <c r="FG71" s="292"/>
      <c r="FH71" s="292"/>
      <c r="FI71" s="292"/>
      <c r="FJ71" s="292"/>
      <c r="FK71" s="292"/>
      <c r="FL71" s="292"/>
      <c r="FM71" s="292"/>
      <c r="FN71" s="292"/>
      <c r="FO71" s="292"/>
      <c r="FP71" s="292"/>
      <c r="FQ71" s="292"/>
      <c r="FR71" s="292"/>
      <c r="FS71" s="292"/>
      <c r="FT71" s="292"/>
      <c r="FU71" s="292"/>
      <c r="FV71" s="292"/>
      <c r="FW71" s="292"/>
      <c r="FX71" s="292"/>
      <c r="FY71" s="292"/>
      <c r="FZ71" s="292"/>
      <c r="GA71" s="292"/>
      <c r="GB71" s="292"/>
      <c r="GC71" s="292"/>
      <c r="GD71" s="292"/>
      <c r="GE71" s="292"/>
      <c r="GF71" s="292"/>
      <c r="GG71" s="292"/>
      <c r="GH71" s="292"/>
      <c r="GI71" s="292"/>
      <c r="GJ71" s="292"/>
      <c r="GK71" s="292"/>
      <c r="GL71" s="292"/>
      <c r="GM71" s="292"/>
      <c r="GN71" s="292"/>
      <c r="GO71" s="292"/>
      <c r="GP71" s="292"/>
      <c r="GQ71" s="292"/>
      <c r="GR71" s="292"/>
      <c r="GS71" s="292"/>
      <c r="GT71" s="292"/>
      <c r="GU71" s="292"/>
      <c r="GV71" s="292"/>
      <c r="GW71" s="292"/>
      <c r="GX71" s="292"/>
      <c r="GY71" s="292"/>
      <c r="GZ71" s="292"/>
      <c r="HA71" s="292"/>
      <c r="HB71" s="292"/>
      <c r="HC71" s="292"/>
      <c r="HD71" s="292"/>
      <c r="HE71" s="292"/>
      <c r="HF71" s="292"/>
      <c r="HG71" s="292"/>
      <c r="HH71" s="292"/>
      <c r="HI71" s="292"/>
      <c r="HJ71" s="292"/>
      <c r="HK71" s="292"/>
      <c r="HL71" s="292"/>
      <c r="HM71" s="292"/>
      <c r="HN71" s="292"/>
      <c r="HO71" s="292"/>
      <c r="HP71" s="292"/>
      <c r="HQ71" s="292"/>
      <c r="HR71" s="292"/>
      <c r="HS71" s="292"/>
      <c r="HT71" s="292"/>
      <c r="HU71" s="292"/>
      <c r="HV71" s="292"/>
      <c r="HW71" s="292"/>
      <c r="HX71" s="292"/>
      <c r="HY71" s="292"/>
      <c r="HZ71" s="292"/>
      <c r="IA71" s="292"/>
      <c r="IB71" s="292"/>
      <c r="IC71" s="292"/>
      <c r="ID71" s="292"/>
      <c r="IE71" s="292"/>
      <c r="IF71" s="292"/>
      <c r="IG71" s="292"/>
      <c r="IH71" s="292"/>
      <c r="II71" s="292"/>
      <c r="IJ71" s="292"/>
      <c r="IK71" s="292"/>
      <c r="IL71" s="292"/>
      <c r="IM71" s="292"/>
      <c r="IN71" s="292"/>
      <c r="IO71" s="292"/>
      <c r="IP71" s="292"/>
      <c r="IQ71" s="292"/>
      <c r="IR71" s="292"/>
      <c r="IS71" s="292"/>
      <c r="IT71" s="292"/>
      <c r="IU71" s="292"/>
      <c r="IV71" s="292"/>
      <c r="IW71" s="292"/>
      <c r="IX71" s="292"/>
      <c r="IY71" s="292"/>
      <c r="IZ71" s="292"/>
      <c r="JA71" s="292"/>
      <c r="JB71" s="292"/>
      <c r="JC71" s="292"/>
      <c r="JD71" s="292"/>
      <c r="JE71" s="292"/>
      <c r="JF71" s="292"/>
      <c r="JG71" s="292"/>
      <c r="JH71" s="292"/>
      <c r="JI71" s="292"/>
      <c r="JJ71" s="292"/>
      <c r="JK71" s="292"/>
      <c r="JL71" s="292"/>
      <c r="JM71" s="292"/>
      <c r="JN71" s="292"/>
      <c r="JO71" s="292"/>
      <c r="JP71" s="292"/>
      <c r="JQ71" s="292"/>
      <c r="JR71" s="292"/>
      <c r="JS71" s="292"/>
      <c r="JT71" s="292"/>
      <c r="JU71" s="292"/>
      <c r="JV71" s="292"/>
      <c r="JW71" s="292"/>
      <c r="JX71" s="292"/>
      <c r="JY71" s="292"/>
      <c r="JZ71" s="292"/>
      <c r="KA71" s="292"/>
      <c r="KB71" s="292"/>
      <c r="KC71" s="292"/>
      <c r="KD71" s="292"/>
      <c r="KE71" s="292"/>
      <c r="KF71" s="292"/>
      <c r="KG71" s="292"/>
      <c r="KH71" s="292"/>
      <c r="KI71" s="292"/>
      <c r="KJ71" s="292"/>
      <c r="KK71" s="292"/>
      <c r="KL71" s="292"/>
      <c r="KM71" s="292"/>
      <c r="KN71" s="292"/>
      <c r="KO71" s="292"/>
      <c r="KP71" s="292"/>
      <c r="KQ71" s="292"/>
      <c r="KR71" s="292"/>
      <c r="KS71" s="292"/>
      <c r="KT71" s="292"/>
      <c r="KU71" s="292"/>
      <c r="KV71" s="292"/>
      <c r="KW71" s="292"/>
      <c r="KX71" s="292"/>
      <c r="KY71" s="292"/>
      <c r="KZ71" s="292"/>
      <c r="LA71" s="292"/>
      <c r="LB71" s="292"/>
      <c r="LC71" s="292"/>
      <c r="LD71" s="292"/>
      <c r="LE71" s="292"/>
      <c r="LF71" s="292"/>
      <c r="LG71" s="292"/>
      <c r="LH71" s="292"/>
      <c r="LI71" s="292"/>
      <c r="LJ71" s="292"/>
      <c r="LK71" s="292"/>
      <c r="LL71" s="292"/>
      <c r="LM71" s="292"/>
      <c r="LN71" s="292"/>
      <c r="LO71" s="292"/>
      <c r="LP71" s="292"/>
      <c r="LQ71" s="292"/>
      <c r="LR71" s="292"/>
      <c r="LS71" s="292"/>
      <c r="LT71" s="292"/>
      <c r="LU71" s="292"/>
      <c r="LV71" s="292"/>
      <c r="LW71" s="292"/>
      <c r="LX71" s="292"/>
      <c r="LY71" s="292"/>
      <c r="LZ71" s="292"/>
      <c r="MA71" s="292"/>
      <c r="MB71" s="292"/>
      <c r="MC71" s="292"/>
      <c r="MD71" s="292"/>
      <c r="ME71" s="292"/>
      <c r="MF71" s="292"/>
      <c r="MG71" s="292"/>
      <c r="MH71" s="292"/>
      <c r="MI71" s="292"/>
      <c r="MJ71" s="292"/>
      <c r="MK71" s="292"/>
      <c r="ML71" s="292"/>
      <c r="MM71" s="292"/>
      <c r="MN71" s="292"/>
      <c r="MO71" s="292"/>
      <c r="MP71" s="292"/>
      <c r="MQ71" s="292"/>
      <c r="MR71" s="292"/>
      <c r="MS71" s="292"/>
      <c r="MT71" s="292"/>
      <c r="MU71" s="292"/>
      <c r="MV71" s="292"/>
      <c r="MW71" s="292"/>
      <c r="MX71" s="292"/>
      <c r="MY71" s="292"/>
      <c r="MZ71" s="292"/>
      <c r="NA71" s="292"/>
      <c r="NB71" s="292"/>
      <c r="NC71" s="292"/>
      <c r="ND71" s="292"/>
      <c r="NE71" s="292"/>
      <c r="NF71" s="292"/>
      <c r="NG71" s="292"/>
      <c r="NH71" s="292"/>
      <c r="NI71" s="292"/>
      <c r="NJ71" s="292"/>
      <c r="NK71" s="292"/>
      <c r="NL71" s="292"/>
      <c r="NM71" s="292"/>
      <c r="NN71" s="292"/>
      <c r="NO71" s="292"/>
      <c r="NP71" s="292"/>
      <c r="NQ71" s="292"/>
      <c r="NR71" s="292"/>
      <c r="NS71" s="292"/>
      <c r="NT71" s="292"/>
      <c r="NU71" s="292"/>
      <c r="NV71" s="292"/>
      <c r="NW71" s="292"/>
      <c r="NX71" s="292"/>
      <c r="NY71" s="292"/>
      <c r="NZ71" s="292"/>
      <c r="OA71" s="292"/>
      <c r="OB71" s="292"/>
      <c r="OC71" s="292"/>
      <c r="OD71" s="292"/>
      <c r="OE71" s="292"/>
      <c r="OF71" s="292"/>
      <c r="OG71" s="292"/>
      <c r="OH71" s="292"/>
      <c r="OI71" s="292"/>
      <c r="OJ71" s="292"/>
      <c r="OK71" s="292"/>
      <c r="OL71" s="292"/>
      <c r="OM71" s="292"/>
      <c r="ON71" s="292"/>
      <c r="OO71" s="292"/>
      <c r="OP71" s="292"/>
      <c r="OQ71" s="292"/>
      <c r="OR71" s="292"/>
      <c r="OS71" s="292"/>
      <c r="OT71" s="292"/>
      <c r="OU71" s="292"/>
      <c r="OV71" s="292"/>
      <c r="OW71" s="292"/>
      <c r="OX71" s="292"/>
      <c r="OY71" s="292"/>
      <c r="OZ71" s="292"/>
      <c r="PA71" s="292"/>
      <c r="PB71" s="292"/>
      <c r="PC71" s="292"/>
      <c r="PD71" s="292"/>
      <c r="PE71" s="292"/>
      <c r="PF71" s="292"/>
      <c r="PG71" s="292"/>
      <c r="PH71" s="292"/>
      <c r="PI71" s="292"/>
      <c r="PJ71" s="292"/>
      <c r="PK71" s="292"/>
      <c r="PL71" s="292"/>
      <c r="PM71" s="292"/>
      <c r="PN71" s="292"/>
      <c r="PO71" s="292"/>
      <c r="PP71" s="292"/>
      <c r="PQ71" s="292"/>
      <c r="PR71" s="292"/>
      <c r="PS71" s="292"/>
      <c r="PT71" s="292"/>
      <c r="PU71" s="292"/>
      <c r="PV71" s="292"/>
      <c r="PW71" s="292"/>
      <c r="PX71" s="292"/>
      <c r="PY71" s="292"/>
      <c r="PZ71" s="292"/>
      <c r="QA71" s="292"/>
      <c r="QB71" s="292"/>
      <c r="QC71" s="292"/>
      <c r="QD71" s="292"/>
      <c r="QE71" s="292"/>
      <c r="QF71" s="292"/>
      <c r="QG71" s="292"/>
      <c r="QH71" s="292"/>
      <c r="QI71" s="292"/>
      <c r="QJ71" s="292"/>
      <c r="QK71" s="292"/>
      <c r="QL71" s="292"/>
      <c r="QM71" s="292"/>
      <c r="QN71" s="292"/>
      <c r="QO71" s="292"/>
      <c r="QP71" s="292"/>
      <c r="QQ71" s="292"/>
      <c r="QR71" s="292"/>
      <c r="QS71" s="292"/>
      <c r="QT71" s="292"/>
      <c r="QU71" s="292"/>
      <c r="QV71" s="292"/>
      <c r="QW71" s="292"/>
      <c r="QX71" s="292"/>
      <c r="QY71" s="292"/>
      <c r="QZ71" s="292"/>
      <c r="RA71" s="292"/>
      <c r="RB71" s="292"/>
      <c r="RC71" s="292"/>
      <c r="RD71" s="292"/>
      <c r="RE71" s="292"/>
      <c r="RF71" s="292"/>
      <c r="RG71" s="292"/>
      <c r="RH71" s="292"/>
      <c r="RI71" s="292"/>
      <c r="RJ71" s="292"/>
      <c r="RK71" s="292"/>
      <c r="RL71" s="292"/>
      <c r="RM71" s="292"/>
      <c r="RN71" s="292"/>
      <c r="RO71" s="292"/>
      <c r="RP71" s="292"/>
      <c r="RQ71" s="292"/>
      <c r="RR71" s="292"/>
      <c r="RS71" s="292"/>
      <c r="RT71" s="292"/>
      <c r="RU71" s="292"/>
      <c r="RV71" s="292"/>
      <c r="RW71" s="292"/>
      <c r="RX71" s="292"/>
      <c r="RY71" s="292"/>
      <c r="RZ71" s="292"/>
      <c r="SA71" s="292"/>
      <c r="SB71" s="292"/>
      <c r="SC71" s="292"/>
      <c r="SD71" s="292"/>
      <c r="SE71" s="292"/>
      <c r="SF71" s="292"/>
      <c r="SG71" s="292"/>
      <c r="SH71" s="292"/>
      <c r="SI71" s="292"/>
      <c r="SJ71" s="292"/>
      <c r="SK71" s="292"/>
      <c r="SL71" s="292"/>
      <c r="SM71" s="292"/>
      <c r="SN71" s="292"/>
      <c r="SO71" s="292"/>
      <c r="SP71" s="292"/>
      <c r="SQ71" s="292"/>
      <c r="SR71" s="292"/>
      <c r="SS71" s="292"/>
      <c r="ST71" s="292"/>
      <c r="SU71" s="292"/>
    </row>
    <row r="72" spans="1:515" s="538" customFormat="1" ht="23.15" customHeight="1" x14ac:dyDescent="0.25">
      <c r="A72" s="1323" t="s">
        <v>375</v>
      </c>
      <c r="B72" s="1324"/>
      <c r="C72" s="1324"/>
      <c r="D72" s="957"/>
      <c r="E72" s="1296">
        <f>E63+G68</f>
        <v>0</v>
      </c>
      <c r="F72" s="1296"/>
      <c r="G72" s="1296"/>
      <c r="H72" s="957"/>
      <c r="I72" s="1296">
        <f>I63+K68</f>
        <v>0</v>
      </c>
      <c r="J72" s="1296"/>
      <c r="K72" s="1296"/>
      <c r="L72" s="957"/>
      <c r="M72" s="1296">
        <f>M63+O68</f>
        <v>0</v>
      </c>
      <c r="N72" s="1296"/>
      <c r="O72" s="1296"/>
      <c r="P72" s="957"/>
      <c r="Q72" s="1296">
        <f>Q63+S68</f>
        <v>0</v>
      </c>
      <c r="R72" s="1296"/>
      <c r="S72" s="1296"/>
      <c r="T72" s="957"/>
      <c r="U72" s="1296">
        <f>U63+W68</f>
        <v>0</v>
      </c>
      <c r="V72" s="1296"/>
      <c r="W72" s="1296"/>
      <c r="X72" s="957"/>
      <c r="Y72" s="1296">
        <f>Y63+AA68</f>
        <v>0</v>
      </c>
      <c r="Z72" s="1296"/>
      <c r="AA72" s="1296"/>
      <c r="AB72" s="976"/>
      <c r="AC72" s="1144"/>
      <c r="AD72" s="1176">
        <f>E72+I72+M72+Q72+U72+Y72</f>
        <v>0</v>
      </c>
      <c r="AE72" s="971"/>
      <c r="AF72" s="292"/>
      <c r="AG72" s="292"/>
      <c r="AH72" s="292"/>
      <c r="AI72" s="292"/>
      <c r="AJ72" s="292"/>
      <c r="AK72" s="292"/>
      <c r="AL72" s="292"/>
      <c r="AM72" s="292"/>
      <c r="AN72" s="292"/>
      <c r="AO72" s="292"/>
      <c r="AP72" s="292"/>
      <c r="AQ72" s="292"/>
      <c r="AR72" s="292"/>
      <c r="AS72" s="292"/>
      <c r="AT72" s="292"/>
      <c r="AU72" s="292"/>
      <c r="AV72" s="292"/>
      <c r="AW72" s="292"/>
      <c r="AX72" s="292"/>
      <c r="AY72" s="292"/>
      <c r="AZ72" s="292"/>
      <c r="BA72" s="292"/>
      <c r="BB72" s="292"/>
      <c r="BC72" s="292"/>
      <c r="BD72" s="292"/>
      <c r="BE72" s="292"/>
      <c r="BF72" s="292"/>
      <c r="BG72" s="292"/>
      <c r="BH72" s="292"/>
      <c r="BI72" s="292"/>
      <c r="BJ72" s="292"/>
      <c r="BK72" s="292"/>
      <c r="BL72" s="292"/>
      <c r="BM72" s="292"/>
      <c r="BN72" s="292"/>
      <c r="BO72" s="292"/>
      <c r="BP72" s="292"/>
      <c r="BQ72" s="292"/>
      <c r="BR72" s="292"/>
      <c r="BS72" s="292"/>
      <c r="BT72" s="292"/>
      <c r="BU72" s="292"/>
      <c r="BV72" s="292"/>
      <c r="BW72" s="292"/>
      <c r="BX72" s="292"/>
      <c r="BY72" s="292"/>
      <c r="BZ72" s="292"/>
      <c r="CA72" s="292"/>
      <c r="CB72" s="292"/>
      <c r="CC72" s="292"/>
      <c r="CD72" s="292"/>
      <c r="CE72" s="292"/>
      <c r="CF72" s="292"/>
      <c r="CG72" s="292"/>
      <c r="CH72" s="292"/>
      <c r="CI72" s="292"/>
      <c r="CJ72" s="292"/>
      <c r="CK72" s="292"/>
      <c r="CL72" s="292"/>
      <c r="CM72" s="292"/>
      <c r="CN72" s="292"/>
      <c r="CO72" s="292"/>
      <c r="CP72" s="292"/>
      <c r="CQ72" s="292"/>
      <c r="CR72" s="292"/>
      <c r="CS72" s="292"/>
      <c r="CT72" s="292"/>
      <c r="CU72" s="292"/>
      <c r="CV72" s="292"/>
      <c r="CW72" s="292"/>
      <c r="CX72" s="292"/>
      <c r="CY72" s="292"/>
      <c r="CZ72" s="292"/>
      <c r="DA72" s="292"/>
      <c r="DB72" s="292"/>
      <c r="DC72" s="292"/>
      <c r="DD72" s="292"/>
      <c r="DE72" s="292"/>
      <c r="DF72" s="292"/>
      <c r="DG72" s="292"/>
      <c r="DH72" s="292"/>
      <c r="DI72" s="292"/>
      <c r="DJ72" s="292"/>
      <c r="DK72" s="292"/>
      <c r="DL72" s="292"/>
      <c r="DM72" s="292"/>
      <c r="DN72" s="292"/>
      <c r="DO72" s="292"/>
      <c r="DP72" s="292"/>
      <c r="DQ72" s="292"/>
      <c r="DR72" s="292"/>
      <c r="DS72" s="292"/>
      <c r="DT72" s="292"/>
      <c r="DU72" s="292"/>
      <c r="DV72" s="292"/>
      <c r="DW72" s="292"/>
      <c r="DX72" s="292"/>
      <c r="DY72" s="292"/>
      <c r="DZ72" s="292"/>
      <c r="EA72" s="292"/>
      <c r="EB72" s="292"/>
      <c r="EC72" s="292"/>
      <c r="ED72" s="292"/>
      <c r="EE72" s="292"/>
      <c r="EF72" s="292"/>
      <c r="EG72" s="292"/>
      <c r="EH72" s="292"/>
      <c r="EI72" s="292"/>
      <c r="EJ72" s="292"/>
      <c r="EK72" s="292"/>
      <c r="EL72" s="292"/>
      <c r="EM72" s="292"/>
      <c r="EN72" s="292"/>
      <c r="EO72" s="292"/>
      <c r="EP72" s="292"/>
      <c r="EQ72" s="292"/>
      <c r="ER72" s="292"/>
      <c r="ES72" s="292"/>
      <c r="ET72" s="292"/>
      <c r="EU72" s="292"/>
      <c r="EV72" s="292"/>
      <c r="EW72" s="292"/>
      <c r="EX72" s="292"/>
      <c r="EY72" s="292"/>
      <c r="EZ72" s="292"/>
      <c r="FA72" s="292"/>
      <c r="FB72" s="292"/>
      <c r="FC72" s="292"/>
      <c r="FD72" s="292"/>
      <c r="FE72" s="292"/>
      <c r="FF72" s="292"/>
      <c r="FG72" s="292"/>
      <c r="FH72" s="292"/>
      <c r="FI72" s="292"/>
      <c r="FJ72" s="292"/>
      <c r="FK72" s="292"/>
      <c r="FL72" s="292"/>
      <c r="FM72" s="292"/>
      <c r="FN72" s="292"/>
      <c r="FO72" s="292"/>
      <c r="FP72" s="292"/>
      <c r="FQ72" s="292"/>
      <c r="FR72" s="292"/>
      <c r="FS72" s="292"/>
      <c r="FT72" s="292"/>
      <c r="FU72" s="292"/>
      <c r="FV72" s="292"/>
      <c r="FW72" s="292"/>
      <c r="FX72" s="292"/>
      <c r="FY72" s="292"/>
      <c r="FZ72" s="292"/>
      <c r="GA72" s="292"/>
      <c r="GB72" s="292"/>
      <c r="GC72" s="292"/>
      <c r="GD72" s="292"/>
      <c r="GE72" s="292"/>
      <c r="GF72" s="292"/>
      <c r="GG72" s="292"/>
      <c r="GH72" s="292"/>
      <c r="GI72" s="292"/>
      <c r="GJ72" s="292"/>
      <c r="GK72" s="292"/>
      <c r="GL72" s="292"/>
      <c r="GM72" s="292"/>
      <c r="GN72" s="292"/>
      <c r="GO72" s="292"/>
      <c r="GP72" s="292"/>
      <c r="GQ72" s="292"/>
      <c r="GR72" s="292"/>
      <c r="GS72" s="292"/>
      <c r="GT72" s="292"/>
      <c r="GU72" s="292"/>
      <c r="GV72" s="292"/>
      <c r="GW72" s="292"/>
      <c r="GX72" s="292"/>
      <c r="GY72" s="292"/>
      <c r="GZ72" s="292"/>
      <c r="HA72" s="292"/>
      <c r="HB72" s="292"/>
      <c r="HC72" s="292"/>
      <c r="HD72" s="292"/>
      <c r="HE72" s="292"/>
      <c r="HF72" s="292"/>
      <c r="HG72" s="292"/>
      <c r="HH72" s="292"/>
      <c r="HI72" s="292"/>
      <c r="HJ72" s="292"/>
      <c r="HK72" s="292"/>
      <c r="HL72" s="292"/>
      <c r="HM72" s="292"/>
      <c r="HN72" s="292"/>
      <c r="HO72" s="292"/>
      <c r="HP72" s="292"/>
      <c r="HQ72" s="292"/>
      <c r="HR72" s="292"/>
      <c r="HS72" s="292"/>
      <c r="HT72" s="292"/>
      <c r="HU72" s="292"/>
      <c r="HV72" s="292"/>
      <c r="HW72" s="292"/>
      <c r="HX72" s="292"/>
      <c r="HY72" s="292"/>
      <c r="HZ72" s="292"/>
      <c r="IA72" s="292"/>
      <c r="IB72" s="292"/>
      <c r="IC72" s="292"/>
      <c r="ID72" s="292"/>
      <c r="IE72" s="292"/>
      <c r="IF72" s="292"/>
      <c r="IG72" s="292"/>
      <c r="IH72" s="292"/>
      <c r="II72" s="292"/>
      <c r="IJ72" s="292"/>
      <c r="IK72" s="292"/>
      <c r="IL72" s="292"/>
      <c r="IM72" s="292"/>
      <c r="IN72" s="292"/>
      <c r="IO72" s="292"/>
      <c r="IP72" s="292"/>
      <c r="IQ72" s="292"/>
      <c r="IR72" s="292"/>
      <c r="IS72" s="292"/>
      <c r="IT72" s="292"/>
      <c r="IU72" s="292"/>
      <c r="IV72" s="292"/>
      <c r="IW72" s="292"/>
      <c r="IX72" s="292"/>
      <c r="IY72" s="292"/>
      <c r="IZ72" s="292"/>
      <c r="JA72" s="292"/>
      <c r="JB72" s="292"/>
      <c r="JC72" s="292"/>
      <c r="JD72" s="292"/>
      <c r="JE72" s="292"/>
      <c r="JF72" s="292"/>
      <c r="JG72" s="292"/>
      <c r="JH72" s="292"/>
      <c r="JI72" s="292"/>
      <c r="JJ72" s="292"/>
      <c r="JK72" s="292"/>
      <c r="JL72" s="292"/>
      <c r="JM72" s="292"/>
      <c r="JN72" s="292"/>
      <c r="JO72" s="292"/>
      <c r="JP72" s="292"/>
      <c r="JQ72" s="292"/>
      <c r="JR72" s="292"/>
      <c r="JS72" s="292"/>
      <c r="JT72" s="292"/>
      <c r="JU72" s="292"/>
      <c r="JV72" s="292"/>
      <c r="JW72" s="292"/>
      <c r="JX72" s="292"/>
      <c r="JY72" s="292"/>
      <c r="JZ72" s="292"/>
      <c r="KA72" s="292"/>
      <c r="KB72" s="292"/>
      <c r="KC72" s="292"/>
      <c r="KD72" s="292"/>
      <c r="KE72" s="292"/>
      <c r="KF72" s="292"/>
      <c r="KG72" s="292"/>
      <c r="KH72" s="292"/>
      <c r="KI72" s="292"/>
      <c r="KJ72" s="292"/>
      <c r="KK72" s="292"/>
      <c r="KL72" s="292"/>
      <c r="KM72" s="292"/>
      <c r="KN72" s="292"/>
      <c r="KO72" s="292"/>
      <c r="KP72" s="292"/>
      <c r="KQ72" s="292"/>
      <c r="KR72" s="292"/>
      <c r="KS72" s="292"/>
      <c r="KT72" s="292"/>
      <c r="KU72" s="292"/>
      <c r="KV72" s="292"/>
      <c r="KW72" s="292"/>
      <c r="KX72" s="292"/>
      <c r="KY72" s="292"/>
      <c r="KZ72" s="292"/>
      <c r="LA72" s="292"/>
      <c r="LB72" s="292"/>
      <c r="LC72" s="292"/>
      <c r="LD72" s="292"/>
      <c r="LE72" s="292"/>
      <c r="LF72" s="292"/>
      <c r="LG72" s="292"/>
      <c r="LH72" s="292"/>
      <c r="LI72" s="292"/>
      <c r="LJ72" s="292"/>
      <c r="LK72" s="292"/>
      <c r="LL72" s="292"/>
      <c r="LM72" s="292"/>
      <c r="LN72" s="292"/>
      <c r="LO72" s="292"/>
      <c r="LP72" s="292"/>
      <c r="LQ72" s="292"/>
      <c r="LR72" s="292"/>
      <c r="LS72" s="292"/>
      <c r="LT72" s="292"/>
      <c r="LU72" s="292"/>
      <c r="LV72" s="292"/>
      <c r="LW72" s="292"/>
      <c r="LX72" s="292"/>
      <c r="LY72" s="292"/>
      <c r="LZ72" s="292"/>
      <c r="MA72" s="292"/>
      <c r="MB72" s="292"/>
      <c r="MC72" s="292"/>
      <c r="MD72" s="292"/>
      <c r="ME72" s="292"/>
      <c r="MF72" s="292"/>
      <c r="MG72" s="292"/>
      <c r="MH72" s="292"/>
      <c r="MI72" s="292"/>
      <c r="MJ72" s="292"/>
      <c r="MK72" s="292"/>
      <c r="ML72" s="292"/>
      <c r="MM72" s="292"/>
      <c r="MN72" s="292"/>
      <c r="MO72" s="292"/>
      <c r="MP72" s="292"/>
      <c r="MQ72" s="292"/>
      <c r="MR72" s="292"/>
      <c r="MS72" s="292"/>
      <c r="MT72" s="292"/>
      <c r="MU72" s="292"/>
      <c r="MV72" s="292"/>
      <c r="MW72" s="292"/>
      <c r="MX72" s="292"/>
      <c r="MY72" s="292"/>
      <c r="MZ72" s="292"/>
      <c r="NA72" s="292"/>
      <c r="NB72" s="292"/>
      <c r="NC72" s="292"/>
      <c r="ND72" s="292"/>
      <c r="NE72" s="292"/>
      <c r="NF72" s="292"/>
      <c r="NG72" s="292"/>
      <c r="NH72" s="292"/>
      <c r="NI72" s="292"/>
      <c r="NJ72" s="292"/>
      <c r="NK72" s="292"/>
      <c r="NL72" s="292"/>
      <c r="NM72" s="292"/>
      <c r="NN72" s="292"/>
      <c r="NO72" s="292"/>
      <c r="NP72" s="292"/>
      <c r="NQ72" s="292"/>
      <c r="NR72" s="292"/>
      <c r="NS72" s="292"/>
      <c r="NT72" s="292"/>
      <c r="NU72" s="292"/>
      <c r="NV72" s="292"/>
      <c r="NW72" s="292"/>
      <c r="NX72" s="292"/>
      <c r="NY72" s="292"/>
      <c r="NZ72" s="292"/>
      <c r="OA72" s="292"/>
      <c r="OB72" s="292"/>
      <c r="OC72" s="292"/>
      <c r="OD72" s="292"/>
      <c r="OE72" s="292"/>
      <c r="OF72" s="292"/>
      <c r="OG72" s="292"/>
      <c r="OH72" s="292"/>
      <c r="OI72" s="292"/>
      <c r="OJ72" s="292"/>
      <c r="OK72" s="292"/>
      <c r="OL72" s="292"/>
      <c r="OM72" s="292"/>
      <c r="ON72" s="292"/>
      <c r="OO72" s="292"/>
      <c r="OP72" s="292"/>
      <c r="OQ72" s="292"/>
      <c r="OR72" s="292"/>
      <c r="OS72" s="292"/>
      <c r="OT72" s="292"/>
      <c r="OU72" s="292"/>
      <c r="OV72" s="292"/>
      <c r="OW72" s="292"/>
      <c r="OX72" s="292"/>
      <c r="OY72" s="292"/>
      <c r="OZ72" s="292"/>
      <c r="PA72" s="292"/>
      <c r="PB72" s="292"/>
      <c r="PC72" s="292"/>
      <c r="PD72" s="292"/>
      <c r="PE72" s="292"/>
      <c r="PF72" s="292"/>
      <c r="PG72" s="292"/>
      <c r="PH72" s="292"/>
      <c r="PI72" s="292"/>
      <c r="PJ72" s="292"/>
      <c r="PK72" s="292"/>
      <c r="PL72" s="292"/>
      <c r="PM72" s="292"/>
      <c r="PN72" s="292"/>
      <c r="PO72" s="292"/>
      <c r="PP72" s="292"/>
      <c r="PQ72" s="292"/>
      <c r="PR72" s="292"/>
      <c r="PS72" s="292"/>
      <c r="PT72" s="292"/>
      <c r="PU72" s="292"/>
      <c r="PV72" s="292"/>
      <c r="PW72" s="292"/>
      <c r="PX72" s="292"/>
      <c r="PY72" s="292"/>
      <c r="PZ72" s="292"/>
      <c r="QA72" s="292"/>
      <c r="QB72" s="292"/>
      <c r="QC72" s="292"/>
      <c r="QD72" s="292"/>
      <c r="QE72" s="292"/>
      <c r="QF72" s="292"/>
      <c r="QG72" s="292"/>
      <c r="QH72" s="292"/>
      <c r="QI72" s="292"/>
      <c r="QJ72" s="292"/>
      <c r="QK72" s="292"/>
      <c r="QL72" s="292"/>
      <c r="QM72" s="292"/>
      <c r="QN72" s="292"/>
      <c r="QO72" s="292"/>
      <c r="QP72" s="292"/>
      <c r="QQ72" s="292"/>
      <c r="QR72" s="292"/>
      <c r="QS72" s="292"/>
      <c r="QT72" s="292"/>
      <c r="QU72" s="292"/>
      <c r="QV72" s="292"/>
      <c r="QW72" s="292"/>
      <c r="QX72" s="292"/>
      <c r="QY72" s="292"/>
      <c r="QZ72" s="292"/>
      <c r="RA72" s="292"/>
      <c r="RB72" s="292"/>
      <c r="RC72" s="292"/>
      <c r="RD72" s="292"/>
      <c r="RE72" s="292"/>
      <c r="RF72" s="292"/>
      <c r="RG72" s="292"/>
      <c r="RH72" s="292"/>
      <c r="RI72" s="292"/>
      <c r="RJ72" s="292"/>
      <c r="RK72" s="292"/>
      <c r="RL72" s="292"/>
      <c r="RM72" s="292"/>
      <c r="RN72" s="292"/>
      <c r="RO72" s="292"/>
      <c r="RP72" s="292"/>
      <c r="RQ72" s="292"/>
      <c r="RR72" s="292"/>
      <c r="RS72" s="292"/>
      <c r="RT72" s="292"/>
      <c r="RU72" s="292"/>
      <c r="RV72" s="292"/>
      <c r="RW72" s="292"/>
      <c r="RX72" s="292"/>
      <c r="RY72" s="292"/>
      <c r="RZ72" s="292"/>
      <c r="SA72" s="292"/>
      <c r="SB72" s="292"/>
      <c r="SC72" s="292"/>
      <c r="SD72" s="292"/>
      <c r="SE72" s="292"/>
      <c r="SF72" s="292"/>
      <c r="SG72" s="292"/>
      <c r="SH72" s="292"/>
      <c r="SI72" s="292"/>
      <c r="SJ72" s="292"/>
      <c r="SK72" s="292"/>
      <c r="SL72" s="292"/>
      <c r="SM72" s="292"/>
      <c r="SN72" s="292"/>
      <c r="SO72" s="292"/>
      <c r="SP72" s="292"/>
      <c r="SQ72" s="292"/>
      <c r="SR72" s="292"/>
      <c r="SS72" s="292"/>
      <c r="ST72" s="292"/>
      <c r="SU72" s="292"/>
    </row>
    <row r="73" spans="1:515" s="538" customFormat="1" ht="15" customHeight="1" x14ac:dyDescent="0.25">
      <c r="A73" s="986"/>
      <c r="B73" s="984"/>
      <c r="C73" s="984"/>
      <c r="D73" s="957"/>
      <c r="E73" s="981"/>
      <c r="F73" s="981"/>
      <c r="G73" s="981"/>
      <c r="H73" s="957"/>
      <c r="I73" s="981"/>
      <c r="J73" s="981"/>
      <c r="K73" s="981"/>
      <c r="L73" s="957"/>
      <c r="M73" s="981"/>
      <c r="N73" s="981"/>
      <c r="O73" s="981"/>
      <c r="P73" s="957"/>
      <c r="Q73" s="981"/>
      <c r="R73" s="981"/>
      <c r="S73" s="981"/>
      <c r="T73" s="957"/>
      <c r="U73" s="981"/>
      <c r="V73" s="981"/>
      <c r="W73" s="981"/>
      <c r="X73" s="957"/>
      <c r="Y73" s="981"/>
      <c r="Z73" s="981"/>
      <c r="AA73" s="981"/>
      <c r="AB73" s="976"/>
      <c r="AC73" s="1144"/>
      <c r="AD73" s="981"/>
      <c r="AE73" s="971"/>
      <c r="AF73" s="292"/>
      <c r="AG73" s="292"/>
      <c r="AH73" s="292"/>
      <c r="AI73" s="292"/>
      <c r="AJ73" s="292"/>
      <c r="AK73" s="292"/>
      <c r="AL73" s="292"/>
      <c r="AM73" s="292"/>
      <c r="AN73" s="292"/>
      <c r="AO73" s="292"/>
      <c r="AP73" s="292"/>
      <c r="AQ73" s="292"/>
      <c r="AR73" s="292"/>
      <c r="AS73" s="292"/>
      <c r="AT73" s="292"/>
      <c r="AU73" s="292"/>
      <c r="AV73" s="292"/>
      <c r="AW73" s="292"/>
      <c r="AX73" s="292"/>
      <c r="AY73" s="292"/>
      <c r="AZ73" s="292"/>
      <c r="BA73" s="292"/>
      <c r="BB73" s="292"/>
      <c r="BC73" s="292"/>
      <c r="BD73" s="292"/>
      <c r="BE73" s="292"/>
      <c r="BF73" s="292"/>
      <c r="BG73" s="292"/>
      <c r="BH73" s="292"/>
      <c r="BI73" s="292"/>
      <c r="BJ73" s="292"/>
      <c r="BK73" s="292"/>
      <c r="BL73" s="292"/>
      <c r="BM73" s="292"/>
      <c r="BN73" s="292"/>
      <c r="BO73" s="292"/>
      <c r="BP73" s="292"/>
      <c r="BQ73" s="292"/>
      <c r="BR73" s="292"/>
      <c r="BS73" s="292"/>
      <c r="BT73" s="292"/>
      <c r="BU73" s="292"/>
      <c r="BV73" s="292"/>
      <c r="BW73" s="292"/>
      <c r="BX73" s="292"/>
      <c r="BY73" s="292"/>
      <c r="BZ73" s="292"/>
      <c r="CA73" s="292"/>
      <c r="CB73" s="292"/>
      <c r="CC73" s="292"/>
      <c r="CD73" s="292"/>
      <c r="CE73" s="292"/>
      <c r="CF73" s="292"/>
      <c r="CG73" s="292"/>
      <c r="CH73" s="292"/>
      <c r="CI73" s="292"/>
      <c r="CJ73" s="292"/>
      <c r="CK73" s="292"/>
      <c r="CL73" s="292"/>
      <c r="CM73" s="292"/>
      <c r="CN73" s="292"/>
      <c r="CO73" s="292"/>
      <c r="CP73" s="292"/>
      <c r="CQ73" s="292"/>
      <c r="CR73" s="292"/>
      <c r="CS73" s="292"/>
      <c r="CT73" s="292"/>
      <c r="CU73" s="292"/>
      <c r="CV73" s="292"/>
      <c r="CW73" s="292"/>
      <c r="CX73" s="292"/>
      <c r="CY73" s="292"/>
      <c r="CZ73" s="292"/>
      <c r="DA73" s="292"/>
      <c r="DB73" s="292"/>
      <c r="DC73" s="292"/>
      <c r="DD73" s="292"/>
      <c r="DE73" s="292"/>
      <c r="DF73" s="292"/>
      <c r="DG73" s="292"/>
      <c r="DH73" s="292"/>
      <c r="DI73" s="292"/>
      <c r="DJ73" s="292"/>
      <c r="DK73" s="292"/>
      <c r="DL73" s="292"/>
      <c r="DM73" s="292"/>
      <c r="DN73" s="292"/>
      <c r="DO73" s="292"/>
      <c r="DP73" s="292"/>
      <c r="DQ73" s="292"/>
      <c r="DR73" s="292"/>
      <c r="DS73" s="292"/>
      <c r="DT73" s="292"/>
      <c r="DU73" s="292"/>
      <c r="DV73" s="292"/>
      <c r="DW73" s="292"/>
      <c r="DX73" s="292"/>
      <c r="DY73" s="292"/>
      <c r="DZ73" s="292"/>
      <c r="EA73" s="292"/>
      <c r="EB73" s="292"/>
      <c r="EC73" s="292"/>
      <c r="ED73" s="292"/>
      <c r="EE73" s="292"/>
      <c r="EF73" s="292"/>
      <c r="EG73" s="292"/>
      <c r="EH73" s="292"/>
      <c r="EI73" s="292"/>
      <c r="EJ73" s="292"/>
      <c r="EK73" s="292"/>
      <c r="EL73" s="292"/>
      <c r="EM73" s="292"/>
      <c r="EN73" s="292"/>
      <c r="EO73" s="292"/>
      <c r="EP73" s="292"/>
      <c r="EQ73" s="292"/>
      <c r="ER73" s="292"/>
      <c r="ES73" s="292"/>
      <c r="ET73" s="292"/>
      <c r="EU73" s="292"/>
      <c r="EV73" s="292"/>
      <c r="EW73" s="292"/>
      <c r="EX73" s="292"/>
      <c r="EY73" s="292"/>
      <c r="EZ73" s="292"/>
      <c r="FA73" s="292"/>
      <c r="FB73" s="292"/>
      <c r="FC73" s="292"/>
      <c r="FD73" s="292"/>
      <c r="FE73" s="292"/>
      <c r="FF73" s="292"/>
      <c r="FG73" s="292"/>
      <c r="FH73" s="292"/>
      <c r="FI73" s="292"/>
      <c r="FJ73" s="292"/>
      <c r="FK73" s="292"/>
      <c r="FL73" s="292"/>
      <c r="FM73" s="292"/>
      <c r="FN73" s="292"/>
      <c r="FO73" s="292"/>
      <c r="FP73" s="292"/>
      <c r="FQ73" s="292"/>
      <c r="FR73" s="292"/>
      <c r="FS73" s="292"/>
      <c r="FT73" s="292"/>
      <c r="FU73" s="292"/>
      <c r="FV73" s="292"/>
      <c r="FW73" s="292"/>
      <c r="FX73" s="292"/>
      <c r="FY73" s="292"/>
      <c r="FZ73" s="292"/>
      <c r="GA73" s="292"/>
      <c r="GB73" s="292"/>
      <c r="GC73" s="292"/>
      <c r="GD73" s="292"/>
      <c r="GE73" s="292"/>
      <c r="GF73" s="292"/>
      <c r="GG73" s="292"/>
      <c r="GH73" s="292"/>
      <c r="GI73" s="292"/>
      <c r="GJ73" s="292"/>
      <c r="GK73" s="292"/>
      <c r="GL73" s="292"/>
      <c r="GM73" s="292"/>
      <c r="GN73" s="292"/>
      <c r="GO73" s="292"/>
      <c r="GP73" s="292"/>
      <c r="GQ73" s="292"/>
      <c r="GR73" s="292"/>
      <c r="GS73" s="292"/>
      <c r="GT73" s="292"/>
      <c r="GU73" s="292"/>
      <c r="GV73" s="292"/>
      <c r="GW73" s="292"/>
      <c r="GX73" s="292"/>
      <c r="GY73" s="292"/>
      <c r="GZ73" s="292"/>
      <c r="HA73" s="292"/>
      <c r="HB73" s="292"/>
      <c r="HC73" s="292"/>
      <c r="HD73" s="292"/>
      <c r="HE73" s="292"/>
      <c r="HF73" s="292"/>
      <c r="HG73" s="292"/>
      <c r="HH73" s="292"/>
      <c r="HI73" s="292"/>
      <c r="HJ73" s="292"/>
      <c r="HK73" s="292"/>
      <c r="HL73" s="292"/>
      <c r="HM73" s="292"/>
      <c r="HN73" s="292"/>
      <c r="HO73" s="292"/>
      <c r="HP73" s="292"/>
      <c r="HQ73" s="292"/>
      <c r="HR73" s="292"/>
      <c r="HS73" s="292"/>
      <c r="HT73" s="292"/>
      <c r="HU73" s="292"/>
      <c r="HV73" s="292"/>
      <c r="HW73" s="292"/>
      <c r="HX73" s="292"/>
      <c r="HY73" s="292"/>
      <c r="HZ73" s="292"/>
      <c r="IA73" s="292"/>
      <c r="IB73" s="292"/>
      <c r="IC73" s="292"/>
      <c r="ID73" s="292"/>
      <c r="IE73" s="292"/>
      <c r="IF73" s="292"/>
      <c r="IG73" s="292"/>
      <c r="IH73" s="292"/>
      <c r="II73" s="292"/>
      <c r="IJ73" s="292"/>
      <c r="IK73" s="292"/>
      <c r="IL73" s="292"/>
      <c r="IM73" s="292"/>
      <c r="IN73" s="292"/>
      <c r="IO73" s="292"/>
      <c r="IP73" s="292"/>
      <c r="IQ73" s="292"/>
      <c r="IR73" s="292"/>
      <c r="IS73" s="292"/>
      <c r="IT73" s="292"/>
      <c r="IU73" s="292"/>
      <c r="IV73" s="292"/>
      <c r="IW73" s="292"/>
      <c r="IX73" s="292"/>
      <c r="IY73" s="292"/>
      <c r="IZ73" s="292"/>
      <c r="JA73" s="292"/>
      <c r="JB73" s="292"/>
      <c r="JC73" s="292"/>
      <c r="JD73" s="292"/>
      <c r="JE73" s="292"/>
      <c r="JF73" s="292"/>
      <c r="JG73" s="292"/>
      <c r="JH73" s="292"/>
      <c r="JI73" s="292"/>
      <c r="JJ73" s="292"/>
      <c r="JK73" s="292"/>
      <c r="JL73" s="292"/>
      <c r="JM73" s="292"/>
      <c r="JN73" s="292"/>
      <c r="JO73" s="292"/>
      <c r="JP73" s="292"/>
      <c r="JQ73" s="292"/>
      <c r="JR73" s="292"/>
      <c r="JS73" s="292"/>
      <c r="JT73" s="292"/>
      <c r="JU73" s="292"/>
      <c r="JV73" s="292"/>
      <c r="JW73" s="292"/>
      <c r="JX73" s="292"/>
      <c r="JY73" s="292"/>
      <c r="JZ73" s="292"/>
      <c r="KA73" s="292"/>
      <c r="KB73" s="292"/>
      <c r="KC73" s="292"/>
      <c r="KD73" s="292"/>
      <c r="KE73" s="292"/>
      <c r="KF73" s="292"/>
      <c r="KG73" s="292"/>
      <c r="KH73" s="292"/>
      <c r="KI73" s="292"/>
      <c r="KJ73" s="292"/>
      <c r="KK73" s="292"/>
      <c r="KL73" s="292"/>
      <c r="KM73" s="292"/>
      <c r="KN73" s="292"/>
      <c r="KO73" s="292"/>
      <c r="KP73" s="292"/>
      <c r="KQ73" s="292"/>
      <c r="KR73" s="292"/>
      <c r="KS73" s="292"/>
      <c r="KT73" s="292"/>
      <c r="KU73" s="292"/>
      <c r="KV73" s="292"/>
      <c r="KW73" s="292"/>
      <c r="KX73" s="292"/>
      <c r="KY73" s="292"/>
      <c r="KZ73" s="292"/>
      <c r="LA73" s="292"/>
      <c r="LB73" s="292"/>
      <c r="LC73" s="292"/>
      <c r="LD73" s="292"/>
      <c r="LE73" s="292"/>
      <c r="LF73" s="292"/>
      <c r="LG73" s="292"/>
      <c r="LH73" s="292"/>
      <c r="LI73" s="292"/>
      <c r="LJ73" s="292"/>
      <c r="LK73" s="292"/>
      <c r="LL73" s="292"/>
      <c r="LM73" s="292"/>
      <c r="LN73" s="292"/>
      <c r="LO73" s="292"/>
      <c r="LP73" s="292"/>
      <c r="LQ73" s="292"/>
      <c r="LR73" s="292"/>
      <c r="LS73" s="292"/>
      <c r="LT73" s="292"/>
      <c r="LU73" s="292"/>
      <c r="LV73" s="292"/>
      <c r="LW73" s="292"/>
      <c r="LX73" s="292"/>
      <c r="LY73" s="292"/>
      <c r="LZ73" s="292"/>
      <c r="MA73" s="292"/>
      <c r="MB73" s="292"/>
      <c r="MC73" s="292"/>
      <c r="MD73" s="292"/>
      <c r="ME73" s="292"/>
      <c r="MF73" s="292"/>
      <c r="MG73" s="292"/>
      <c r="MH73" s="292"/>
      <c r="MI73" s="292"/>
      <c r="MJ73" s="292"/>
      <c r="MK73" s="292"/>
      <c r="ML73" s="292"/>
      <c r="MM73" s="292"/>
      <c r="MN73" s="292"/>
      <c r="MO73" s="292"/>
      <c r="MP73" s="292"/>
      <c r="MQ73" s="292"/>
      <c r="MR73" s="292"/>
      <c r="MS73" s="292"/>
      <c r="MT73" s="292"/>
      <c r="MU73" s="292"/>
      <c r="MV73" s="292"/>
      <c r="MW73" s="292"/>
      <c r="MX73" s="292"/>
      <c r="MY73" s="292"/>
      <c r="MZ73" s="292"/>
      <c r="NA73" s="292"/>
      <c r="NB73" s="292"/>
      <c r="NC73" s="292"/>
      <c r="ND73" s="292"/>
      <c r="NE73" s="292"/>
      <c r="NF73" s="292"/>
      <c r="NG73" s="292"/>
      <c r="NH73" s="292"/>
      <c r="NI73" s="292"/>
      <c r="NJ73" s="292"/>
      <c r="NK73" s="292"/>
      <c r="NL73" s="292"/>
      <c r="NM73" s="292"/>
      <c r="NN73" s="292"/>
      <c r="NO73" s="292"/>
      <c r="NP73" s="292"/>
      <c r="NQ73" s="292"/>
      <c r="NR73" s="292"/>
      <c r="NS73" s="292"/>
      <c r="NT73" s="292"/>
      <c r="NU73" s="292"/>
      <c r="NV73" s="292"/>
      <c r="NW73" s="292"/>
      <c r="NX73" s="292"/>
      <c r="NY73" s="292"/>
      <c r="NZ73" s="292"/>
      <c r="OA73" s="292"/>
      <c r="OB73" s="292"/>
      <c r="OC73" s="292"/>
      <c r="OD73" s="292"/>
      <c r="OE73" s="292"/>
      <c r="OF73" s="292"/>
      <c r="OG73" s="292"/>
      <c r="OH73" s="292"/>
      <c r="OI73" s="292"/>
      <c r="OJ73" s="292"/>
      <c r="OK73" s="292"/>
      <c r="OL73" s="292"/>
      <c r="OM73" s="292"/>
      <c r="ON73" s="292"/>
      <c r="OO73" s="292"/>
      <c r="OP73" s="292"/>
      <c r="OQ73" s="292"/>
      <c r="OR73" s="292"/>
      <c r="OS73" s="292"/>
      <c r="OT73" s="292"/>
      <c r="OU73" s="292"/>
      <c r="OV73" s="292"/>
      <c r="OW73" s="292"/>
      <c r="OX73" s="292"/>
      <c r="OY73" s="292"/>
      <c r="OZ73" s="292"/>
      <c r="PA73" s="292"/>
      <c r="PB73" s="292"/>
      <c r="PC73" s="292"/>
      <c r="PD73" s="292"/>
      <c r="PE73" s="292"/>
      <c r="PF73" s="292"/>
      <c r="PG73" s="292"/>
      <c r="PH73" s="292"/>
      <c r="PI73" s="292"/>
      <c r="PJ73" s="292"/>
      <c r="PK73" s="292"/>
      <c r="PL73" s="292"/>
      <c r="PM73" s="292"/>
      <c r="PN73" s="292"/>
      <c r="PO73" s="292"/>
      <c r="PP73" s="292"/>
      <c r="PQ73" s="292"/>
      <c r="PR73" s="292"/>
      <c r="PS73" s="292"/>
      <c r="PT73" s="292"/>
      <c r="PU73" s="292"/>
      <c r="PV73" s="292"/>
      <c r="PW73" s="292"/>
      <c r="PX73" s="292"/>
      <c r="PY73" s="292"/>
      <c r="PZ73" s="292"/>
      <c r="QA73" s="292"/>
      <c r="QB73" s="292"/>
      <c r="QC73" s="292"/>
      <c r="QD73" s="292"/>
      <c r="QE73" s="292"/>
      <c r="QF73" s="292"/>
      <c r="QG73" s="292"/>
      <c r="QH73" s="292"/>
      <c r="QI73" s="292"/>
      <c r="QJ73" s="292"/>
      <c r="QK73" s="292"/>
      <c r="QL73" s="292"/>
      <c r="QM73" s="292"/>
      <c r="QN73" s="292"/>
      <c r="QO73" s="292"/>
      <c r="QP73" s="292"/>
      <c r="QQ73" s="292"/>
      <c r="QR73" s="292"/>
      <c r="QS73" s="292"/>
      <c r="QT73" s="292"/>
      <c r="QU73" s="292"/>
      <c r="QV73" s="292"/>
      <c r="QW73" s="292"/>
      <c r="QX73" s="292"/>
      <c r="QY73" s="292"/>
      <c r="QZ73" s="292"/>
      <c r="RA73" s="292"/>
      <c r="RB73" s="292"/>
      <c r="RC73" s="292"/>
      <c r="RD73" s="292"/>
      <c r="RE73" s="292"/>
      <c r="RF73" s="292"/>
      <c r="RG73" s="292"/>
      <c r="RH73" s="292"/>
      <c r="RI73" s="292"/>
      <c r="RJ73" s="292"/>
      <c r="RK73" s="292"/>
      <c r="RL73" s="292"/>
      <c r="RM73" s="292"/>
      <c r="RN73" s="292"/>
      <c r="RO73" s="292"/>
      <c r="RP73" s="292"/>
      <c r="RQ73" s="292"/>
      <c r="RR73" s="292"/>
      <c r="RS73" s="292"/>
      <c r="RT73" s="292"/>
      <c r="RU73" s="292"/>
      <c r="RV73" s="292"/>
      <c r="RW73" s="292"/>
      <c r="RX73" s="292"/>
      <c r="RY73" s="292"/>
      <c r="RZ73" s="292"/>
      <c r="SA73" s="292"/>
      <c r="SB73" s="292"/>
      <c r="SC73" s="292"/>
      <c r="SD73" s="292"/>
      <c r="SE73" s="292"/>
      <c r="SF73" s="292"/>
      <c r="SG73" s="292"/>
      <c r="SH73" s="292"/>
      <c r="SI73" s="292"/>
      <c r="SJ73" s="292"/>
      <c r="SK73" s="292"/>
      <c r="SL73" s="292"/>
      <c r="SM73" s="292"/>
      <c r="SN73" s="292"/>
      <c r="SO73" s="292"/>
      <c r="SP73" s="292"/>
      <c r="SQ73" s="292"/>
      <c r="SR73" s="292"/>
      <c r="SS73" s="292"/>
      <c r="ST73" s="292"/>
      <c r="SU73" s="292"/>
    </row>
    <row r="74" spans="1:515" s="627" customFormat="1" ht="23.15" customHeight="1" x14ac:dyDescent="0.25">
      <c r="A74" s="1353" t="s">
        <v>376</v>
      </c>
      <c r="B74" s="1354"/>
      <c r="C74" s="1354"/>
      <c r="D74" s="957"/>
      <c r="E74" s="1174" t="s">
        <v>15</v>
      </c>
      <c r="F74" s="1174" t="s">
        <v>363</v>
      </c>
      <c r="G74" s="1174" t="s">
        <v>377</v>
      </c>
      <c r="H74" s="957"/>
      <c r="I74" s="1174" t="s">
        <v>15</v>
      </c>
      <c r="J74" s="1174" t="s">
        <v>363</v>
      </c>
      <c r="K74" s="1174" t="s">
        <v>377</v>
      </c>
      <c r="L74" s="957"/>
      <c r="M74" s="1174" t="s">
        <v>15</v>
      </c>
      <c r="N74" s="1174" t="s">
        <v>363</v>
      </c>
      <c r="O74" s="1174" t="s">
        <v>377</v>
      </c>
      <c r="P74" s="957"/>
      <c r="Q74" s="1174" t="s">
        <v>15</v>
      </c>
      <c r="R74" s="1174" t="s">
        <v>363</v>
      </c>
      <c r="S74" s="1174" t="s">
        <v>377</v>
      </c>
      <c r="T74" s="957"/>
      <c r="U74" s="1174" t="s">
        <v>15</v>
      </c>
      <c r="V74" s="1174" t="s">
        <v>363</v>
      </c>
      <c r="W74" s="1174" t="s">
        <v>377</v>
      </c>
      <c r="X74" s="960"/>
      <c r="Y74" s="1174" t="s">
        <v>15</v>
      </c>
      <c r="Z74" s="1174" t="s">
        <v>363</v>
      </c>
      <c r="AA74" s="1174" t="s">
        <v>377</v>
      </c>
      <c r="AB74" s="957"/>
      <c r="AC74" s="957"/>
      <c r="AD74" s="1174" t="s">
        <v>377</v>
      </c>
      <c r="AE74" s="971"/>
      <c r="AF74" s="292"/>
      <c r="AG74" s="292"/>
      <c r="AH74" s="292"/>
      <c r="AI74" s="292"/>
      <c r="AJ74" s="292"/>
      <c r="AK74" s="292"/>
      <c r="AL74" s="292"/>
      <c r="AM74" s="292"/>
      <c r="AN74" s="292"/>
      <c r="AO74" s="292"/>
      <c r="AP74" s="292"/>
      <c r="AQ74" s="292"/>
      <c r="AR74" s="292"/>
      <c r="AS74" s="292"/>
      <c r="AT74" s="292"/>
      <c r="AU74" s="292"/>
      <c r="AV74" s="292"/>
      <c r="AW74" s="292"/>
      <c r="AX74" s="292"/>
      <c r="AY74" s="292"/>
      <c r="AZ74" s="292"/>
      <c r="BA74" s="292"/>
      <c r="BB74" s="292"/>
      <c r="BC74" s="292"/>
      <c r="BD74" s="292"/>
      <c r="BE74" s="292"/>
      <c r="BF74" s="292"/>
      <c r="BG74" s="292"/>
      <c r="BH74" s="292"/>
      <c r="BI74" s="292"/>
      <c r="BJ74" s="292"/>
      <c r="BK74" s="292"/>
      <c r="BL74" s="292"/>
      <c r="BM74" s="292"/>
      <c r="BN74" s="292"/>
      <c r="BO74" s="292"/>
      <c r="BP74" s="292"/>
      <c r="BQ74" s="292"/>
      <c r="BR74" s="292"/>
      <c r="BS74" s="292"/>
      <c r="BT74" s="292"/>
      <c r="BU74" s="292"/>
      <c r="BV74" s="292"/>
      <c r="BW74" s="292"/>
      <c r="BX74" s="292"/>
      <c r="BY74" s="292"/>
      <c r="BZ74" s="292"/>
      <c r="CA74" s="292"/>
      <c r="CB74" s="292"/>
      <c r="CC74" s="292"/>
      <c r="CD74" s="292"/>
      <c r="CE74" s="292"/>
      <c r="CF74" s="292"/>
      <c r="CG74" s="292"/>
      <c r="CH74" s="292"/>
      <c r="CI74" s="292"/>
      <c r="CJ74" s="292"/>
      <c r="CK74" s="292"/>
      <c r="CL74" s="292"/>
      <c r="CM74" s="292"/>
      <c r="CN74" s="292"/>
      <c r="CO74" s="292"/>
      <c r="CP74" s="292"/>
      <c r="CQ74" s="292"/>
      <c r="CR74" s="292"/>
      <c r="CS74" s="292"/>
      <c r="CT74" s="292"/>
      <c r="CU74" s="292"/>
      <c r="CV74" s="292"/>
      <c r="CW74" s="292"/>
      <c r="CX74" s="292"/>
      <c r="CY74" s="292"/>
      <c r="CZ74" s="292"/>
      <c r="DA74" s="292"/>
      <c r="DB74" s="292"/>
      <c r="DC74" s="292"/>
      <c r="DD74" s="292"/>
      <c r="DE74" s="292"/>
      <c r="DF74" s="292"/>
      <c r="DG74" s="292"/>
      <c r="DH74" s="292"/>
      <c r="DI74" s="292"/>
      <c r="DJ74" s="292"/>
      <c r="DK74" s="292"/>
      <c r="DL74" s="292"/>
      <c r="DM74" s="292"/>
      <c r="DN74" s="292"/>
      <c r="DO74" s="292"/>
      <c r="DP74" s="292"/>
      <c r="DQ74" s="292"/>
      <c r="DR74" s="292"/>
      <c r="DS74" s="292"/>
      <c r="DT74" s="292"/>
      <c r="DU74" s="292"/>
      <c r="DV74" s="292"/>
      <c r="DW74" s="292"/>
      <c r="DX74" s="292"/>
      <c r="DY74" s="292"/>
      <c r="DZ74" s="292"/>
      <c r="EA74" s="292"/>
      <c r="EB74" s="292"/>
      <c r="EC74" s="292"/>
      <c r="ED74" s="292"/>
      <c r="EE74" s="292"/>
      <c r="EF74" s="292"/>
      <c r="EG74" s="292"/>
      <c r="EH74" s="292"/>
      <c r="EI74" s="292"/>
      <c r="EJ74" s="292"/>
      <c r="EK74" s="292"/>
      <c r="EL74" s="292"/>
      <c r="EM74" s="292"/>
      <c r="EN74" s="292"/>
      <c r="EO74" s="292"/>
      <c r="EP74" s="292"/>
      <c r="EQ74" s="292"/>
      <c r="ER74" s="292"/>
      <c r="ES74" s="292"/>
      <c r="ET74" s="292"/>
      <c r="EU74" s="292"/>
      <c r="EV74" s="292"/>
      <c r="EW74" s="292"/>
      <c r="EX74" s="292"/>
      <c r="EY74" s="292"/>
      <c r="EZ74" s="292"/>
      <c r="FA74" s="292"/>
      <c r="FB74" s="292"/>
      <c r="FC74" s="292"/>
      <c r="FD74" s="292"/>
      <c r="FE74" s="292"/>
      <c r="FF74" s="292"/>
      <c r="FG74" s="292"/>
      <c r="FH74" s="292"/>
      <c r="FI74" s="292"/>
      <c r="FJ74" s="292"/>
      <c r="FK74" s="292"/>
      <c r="FL74" s="292"/>
      <c r="FM74" s="292"/>
      <c r="FN74" s="292"/>
      <c r="FO74" s="292"/>
      <c r="FP74" s="292"/>
      <c r="FQ74" s="292"/>
      <c r="FR74" s="292"/>
      <c r="FS74" s="292"/>
      <c r="FT74" s="292"/>
      <c r="FU74" s="292"/>
      <c r="FV74" s="292"/>
      <c r="FW74" s="292"/>
      <c r="FX74" s="292"/>
      <c r="FY74" s="292"/>
      <c r="FZ74" s="292"/>
      <c r="GA74" s="292"/>
      <c r="GB74" s="292"/>
      <c r="GC74" s="292"/>
      <c r="GD74" s="292"/>
      <c r="GE74" s="292"/>
      <c r="GF74" s="292"/>
      <c r="GG74" s="292"/>
      <c r="GH74" s="292"/>
      <c r="GI74" s="292"/>
      <c r="GJ74" s="292"/>
      <c r="GK74" s="292"/>
      <c r="GL74" s="292"/>
      <c r="GM74" s="292"/>
      <c r="GN74" s="292"/>
      <c r="GO74" s="292"/>
      <c r="GP74" s="292"/>
      <c r="GQ74" s="292"/>
      <c r="GR74" s="292"/>
      <c r="GS74" s="292"/>
      <c r="GT74" s="292"/>
      <c r="GU74" s="292"/>
      <c r="GV74" s="292"/>
      <c r="GW74" s="292"/>
      <c r="GX74" s="292"/>
      <c r="GY74" s="292"/>
      <c r="GZ74" s="292"/>
      <c r="HA74" s="292"/>
      <c r="HB74" s="292"/>
      <c r="HC74" s="292"/>
      <c r="HD74" s="292"/>
      <c r="HE74" s="292"/>
      <c r="HF74" s="292"/>
      <c r="HG74" s="292"/>
      <c r="HH74" s="292"/>
      <c r="HI74" s="292"/>
      <c r="HJ74" s="292"/>
      <c r="HK74" s="292"/>
      <c r="HL74" s="292"/>
      <c r="HM74" s="292"/>
      <c r="HN74" s="292"/>
      <c r="HO74" s="292"/>
      <c r="HP74" s="292"/>
      <c r="HQ74" s="292"/>
      <c r="HR74" s="292"/>
      <c r="HS74" s="292"/>
      <c r="HT74" s="292"/>
      <c r="HU74" s="292"/>
      <c r="HV74" s="292"/>
      <c r="HW74" s="292"/>
      <c r="HX74" s="292"/>
      <c r="HY74" s="292"/>
      <c r="HZ74" s="292"/>
      <c r="IA74" s="292"/>
      <c r="IB74" s="292"/>
      <c r="IC74" s="292"/>
      <c r="ID74" s="292"/>
      <c r="IE74" s="292"/>
      <c r="IF74" s="292"/>
      <c r="IG74" s="292"/>
      <c r="IH74" s="292"/>
      <c r="II74" s="292"/>
      <c r="IJ74" s="292"/>
      <c r="IK74" s="292"/>
      <c r="IL74" s="292"/>
      <c r="IM74" s="292"/>
      <c r="IN74" s="292"/>
      <c r="IO74" s="292"/>
      <c r="IP74" s="292"/>
      <c r="IQ74" s="292"/>
      <c r="IR74" s="292"/>
      <c r="IS74" s="292"/>
      <c r="IT74" s="292"/>
      <c r="IU74" s="292"/>
      <c r="IV74" s="292"/>
      <c r="IW74" s="292"/>
      <c r="IX74" s="292"/>
      <c r="IY74" s="292"/>
      <c r="IZ74" s="292"/>
      <c r="JA74" s="292"/>
      <c r="JB74" s="292"/>
      <c r="JC74" s="292"/>
      <c r="JD74" s="292"/>
      <c r="JE74" s="292"/>
      <c r="JF74" s="292"/>
      <c r="JG74" s="292"/>
      <c r="JH74" s="292"/>
      <c r="JI74" s="292"/>
      <c r="JJ74" s="292"/>
      <c r="JK74" s="292"/>
      <c r="JL74" s="292"/>
      <c r="JM74" s="292"/>
      <c r="JN74" s="292"/>
      <c r="JO74" s="292"/>
      <c r="JP74" s="292"/>
      <c r="JQ74" s="292"/>
      <c r="JR74" s="292"/>
      <c r="JS74" s="292"/>
      <c r="JT74" s="292"/>
      <c r="JU74" s="292"/>
      <c r="JV74" s="292"/>
      <c r="JW74" s="292"/>
      <c r="JX74" s="292"/>
      <c r="JY74" s="292"/>
      <c r="JZ74" s="292"/>
      <c r="KA74" s="292"/>
      <c r="KB74" s="292"/>
      <c r="KC74" s="292"/>
      <c r="KD74" s="292"/>
      <c r="KE74" s="292"/>
      <c r="KF74" s="292"/>
      <c r="KG74" s="292"/>
      <c r="KH74" s="292"/>
      <c r="KI74" s="292"/>
      <c r="KJ74" s="292"/>
      <c r="KK74" s="292"/>
      <c r="KL74" s="292"/>
      <c r="KM74" s="292"/>
      <c r="KN74" s="292"/>
      <c r="KO74" s="292"/>
      <c r="KP74" s="292"/>
      <c r="KQ74" s="292"/>
      <c r="KR74" s="292"/>
      <c r="KS74" s="292"/>
      <c r="KT74" s="292"/>
      <c r="KU74" s="292"/>
      <c r="KV74" s="292"/>
      <c r="KW74" s="292"/>
      <c r="KX74" s="292"/>
      <c r="KY74" s="292"/>
      <c r="KZ74" s="292"/>
      <c r="LA74" s="292"/>
      <c r="LB74" s="292"/>
      <c r="LC74" s="292"/>
      <c r="LD74" s="292"/>
      <c r="LE74" s="292"/>
      <c r="LF74" s="292"/>
      <c r="LG74" s="292"/>
      <c r="LH74" s="292"/>
      <c r="LI74" s="292"/>
      <c r="LJ74" s="292"/>
      <c r="LK74" s="292"/>
      <c r="LL74" s="292"/>
      <c r="LM74" s="292"/>
      <c r="LN74" s="292"/>
      <c r="LO74" s="292"/>
      <c r="LP74" s="292"/>
      <c r="LQ74" s="292"/>
      <c r="LR74" s="292"/>
      <c r="LS74" s="292"/>
      <c r="LT74" s="292"/>
      <c r="LU74" s="292"/>
      <c r="LV74" s="292"/>
      <c r="LW74" s="292"/>
      <c r="LX74" s="292"/>
      <c r="LY74" s="292"/>
      <c r="LZ74" s="292"/>
      <c r="MA74" s="292"/>
      <c r="MB74" s="292"/>
      <c r="MC74" s="292"/>
      <c r="MD74" s="292"/>
      <c r="ME74" s="292"/>
      <c r="MF74" s="292"/>
      <c r="MG74" s="292"/>
      <c r="MH74" s="292"/>
      <c r="MI74" s="292"/>
      <c r="MJ74" s="292"/>
      <c r="MK74" s="292"/>
      <c r="ML74" s="292"/>
      <c r="MM74" s="292"/>
      <c r="MN74" s="292"/>
      <c r="MO74" s="292"/>
      <c r="MP74" s="292"/>
      <c r="MQ74" s="292"/>
      <c r="MR74" s="292"/>
      <c r="MS74" s="292"/>
      <c r="MT74" s="292"/>
      <c r="MU74" s="292"/>
      <c r="MV74" s="292"/>
      <c r="MW74" s="292"/>
      <c r="MX74" s="292"/>
      <c r="MY74" s="292"/>
      <c r="MZ74" s="292"/>
      <c r="NA74" s="292"/>
      <c r="NB74" s="292"/>
      <c r="NC74" s="292"/>
      <c r="ND74" s="292"/>
      <c r="NE74" s="292"/>
      <c r="NF74" s="292"/>
      <c r="NG74" s="292"/>
      <c r="NH74" s="292"/>
      <c r="NI74" s="292"/>
      <c r="NJ74" s="292"/>
      <c r="NK74" s="292"/>
      <c r="NL74" s="292"/>
      <c r="NM74" s="292"/>
      <c r="NN74" s="292"/>
      <c r="NO74" s="292"/>
      <c r="NP74" s="292"/>
      <c r="NQ74" s="292"/>
      <c r="NR74" s="292"/>
      <c r="NS74" s="292"/>
      <c r="NT74" s="292"/>
      <c r="NU74" s="292"/>
      <c r="NV74" s="292"/>
      <c r="NW74" s="292"/>
      <c r="NX74" s="292"/>
      <c r="NY74" s="292"/>
      <c r="NZ74" s="292"/>
      <c r="OA74" s="292"/>
      <c r="OB74" s="292"/>
      <c r="OC74" s="292"/>
      <c r="OD74" s="292"/>
      <c r="OE74" s="292"/>
      <c r="OF74" s="292"/>
      <c r="OG74" s="292"/>
      <c r="OH74" s="292"/>
      <c r="OI74" s="292"/>
      <c r="OJ74" s="292"/>
      <c r="OK74" s="292"/>
      <c r="OL74" s="292"/>
      <c r="OM74" s="292"/>
      <c r="ON74" s="292"/>
      <c r="OO74" s="292"/>
      <c r="OP74" s="292"/>
      <c r="OQ74" s="292"/>
      <c r="OR74" s="292"/>
      <c r="OS74" s="292"/>
      <c r="OT74" s="292"/>
      <c r="OU74" s="292"/>
      <c r="OV74" s="292"/>
      <c r="OW74" s="292"/>
      <c r="OX74" s="292"/>
      <c r="OY74" s="292"/>
      <c r="OZ74" s="292"/>
      <c r="PA74" s="292"/>
      <c r="PB74" s="292"/>
      <c r="PC74" s="292"/>
      <c r="PD74" s="292"/>
      <c r="PE74" s="292"/>
      <c r="PF74" s="292"/>
      <c r="PG74" s="292"/>
      <c r="PH74" s="292"/>
      <c r="PI74" s="292"/>
      <c r="PJ74" s="292"/>
      <c r="PK74" s="292"/>
      <c r="PL74" s="292"/>
      <c r="PM74" s="292"/>
      <c r="PN74" s="292"/>
      <c r="PO74" s="292"/>
      <c r="PP74" s="292"/>
      <c r="PQ74" s="292"/>
      <c r="PR74" s="292"/>
      <c r="PS74" s="292"/>
      <c r="PT74" s="292"/>
      <c r="PU74" s="292"/>
      <c r="PV74" s="292"/>
      <c r="PW74" s="292"/>
      <c r="PX74" s="292"/>
      <c r="PY74" s="292"/>
      <c r="PZ74" s="292"/>
      <c r="QA74" s="292"/>
      <c r="QB74" s="292"/>
      <c r="QC74" s="292"/>
      <c r="QD74" s="292"/>
      <c r="QE74" s="292"/>
      <c r="QF74" s="292"/>
      <c r="QG74" s="292"/>
      <c r="QH74" s="292"/>
      <c r="QI74" s="292"/>
      <c r="QJ74" s="292"/>
      <c r="QK74" s="292"/>
      <c r="QL74" s="292"/>
      <c r="QM74" s="292"/>
      <c r="QN74" s="292"/>
      <c r="QO74" s="292"/>
      <c r="QP74" s="292"/>
      <c r="QQ74" s="292"/>
      <c r="QR74" s="292"/>
      <c r="QS74" s="292"/>
      <c r="QT74" s="292"/>
      <c r="QU74" s="292"/>
      <c r="QV74" s="292"/>
      <c r="QW74" s="292"/>
      <c r="QX74" s="292"/>
      <c r="QY74" s="292"/>
      <c r="QZ74" s="292"/>
      <c r="RA74" s="292"/>
      <c r="RB74" s="292"/>
      <c r="RC74" s="292"/>
      <c r="RD74" s="292"/>
      <c r="RE74" s="292"/>
      <c r="RF74" s="292"/>
      <c r="RG74" s="292"/>
      <c r="RH74" s="292"/>
      <c r="RI74" s="292"/>
      <c r="RJ74" s="292"/>
      <c r="RK74" s="292"/>
      <c r="RL74" s="292"/>
      <c r="RM74" s="292"/>
      <c r="RN74" s="292"/>
      <c r="RO74" s="292"/>
      <c r="RP74" s="292"/>
      <c r="RQ74" s="292"/>
      <c r="RR74" s="292"/>
      <c r="RS74" s="292"/>
      <c r="RT74" s="292"/>
      <c r="RU74" s="292"/>
      <c r="RV74" s="292"/>
      <c r="RW74" s="292"/>
      <c r="RX74" s="292"/>
      <c r="RY74" s="292"/>
      <c r="RZ74" s="292"/>
      <c r="SA74" s="292"/>
      <c r="SB74" s="292"/>
      <c r="SC74" s="292"/>
      <c r="SD74" s="292"/>
      <c r="SE74" s="292"/>
      <c r="SF74" s="292"/>
      <c r="SG74" s="292"/>
      <c r="SH74" s="292"/>
      <c r="SI74" s="292"/>
      <c r="SJ74" s="292"/>
      <c r="SK74" s="292"/>
      <c r="SL74" s="292"/>
      <c r="SM74" s="292"/>
      <c r="SN74" s="292"/>
      <c r="SO74" s="292"/>
      <c r="SP74" s="292"/>
      <c r="SQ74" s="292"/>
      <c r="SR74" s="292"/>
      <c r="SS74" s="292"/>
      <c r="ST74" s="292"/>
      <c r="SU74" s="292"/>
    </row>
    <row r="75" spans="1:515" ht="15" customHeight="1" x14ac:dyDescent="0.25">
      <c r="A75" s="1349" t="s">
        <v>378</v>
      </c>
      <c r="B75" s="1350"/>
      <c r="C75" s="1350"/>
      <c r="D75" s="957"/>
      <c r="E75" s="622">
        <v>0</v>
      </c>
      <c r="F75" s="626">
        <v>0</v>
      </c>
      <c r="G75" s="1003">
        <f>E75*F75</f>
        <v>0</v>
      </c>
      <c r="H75" s="957"/>
      <c r="I75" s="622">
        <v>0</v>
      </c>
      <c r="J75" s="626">
        <v>0</v>
      </c>
      <c r="K75" s="1003">
        <f>I75*J75</f>
        <v>0</v>
      </c>
      <c r="L75" s="957"/>
      <c r="M75" s="622">
        <v>0</v>
      </c>
      <c r="N75" s="626">
        <v>0</v>
      </c>
      <c r="O75" s="1003">
        <f>M75*N75</f>
        <v>0</v>
      </c>
      <c r="P75" s="957"/>
      <c r="Q75" s="622">
        <v>0</v>
      </c>
      <c r="R75" s="626">
        <v>0.01</v>
      </c>
      <c r="S75" s="1003">
        <f>Q75*R75</f>
        <v>0</v>
      </c>
      <c r="T75" s="957"/>
      <c r="U75" s="622">
        <v>0</v>
      </c>
      <c r="V75" s="626">
        <v>0</v>
      </c>
      <c r="W75" s="1003">
        <f>U75*V75</f>
        <v>0</v>
      </c>
      <c r="X75" s="960"/>
      <c r="Y75" s="622">
        <v>0</v>
      </c>
      <c r="Z75" s="626">
        <v>0</v>
      </c>
      <c r="AA75" s="1003">
        <f>Y75*Z75</f>
        <v>0</v>
      </c>
      <c r="AB75" s="975"/>
      <c r="AC75" s="957"/>
      <c r="AD75" s="1003">
        <f>G75+K75+O75+S75+W75+AA75</f>
        <v>0</v>
      </c>
      <c r="AE75" s="971"/>
    </row>
    <row r="76" spans="1:515" ht="15" customHeight="1" x14ac:dyDescent="0.25">
      <c r="A76" s="1351" t="s">
        <v>379</v>
      </c>
      <c r="B76" s="1352"/>
      <c r="C76" s="1352"/>
      <c r="D76" s="957"/>
      <c r="E76" s="622">
        <v>0</v>
      </c>
      <c r="F76" s="626">
        <v>0</v>
      </c>
      <c r="G76" s="1003">
        <f>E76*F76</f>
        <v>0</v>
      </c>
      <c r="H76" s="957"/>
      <c r="I76" s="622">
        <v>0</v>
      </c>
      <c r="J76" s="626">
        <v>0</v>
      </c>
      <c r="K76" s="1003">
        <f>I76*J76</f>
        <v>0</v>
      </c>
      <c r="L76" s="957"/>
      <c r="M76" s="622">
        <v>0</v>
      </c>
      <c r="N76" s="626">
        <v>0</v>
      </c>
      <c r="O76" s="1003">
        <f>M76*N76</f>
        <v>0</v>
      </c>
      <c r="P76" s="957"/>
      <c r="Q76" s="622">
        <v>0</v>
      </c>
      <c r="R76" s="626">
        <v>0.01</v>
      </c>
      <c r="S76" s="1003">
        <f>Q76*R76</f>
        <v>0</v>
      </c>
      <c r="T76" s="957"/>
      <c r="U76" s="622">
        <v>0</v>
      </c>
      <c r="V76" s="626">
        <v>0</v>
      </c>
      <c r="W76" s="1003">
        <f>U76*V76</f>
        <v>0</v>
      </c>
      <c r="X76" s="960"/>
      <c r="Y76" s="622">
        <v>0</v>
      </c>
      <c r="Z76" s="626">
        <v>0</v>
      </c>
      <c r="AA76" s="1003">
        <f>Y76*Z76</f>
        <v>0</v>
      </c>
      <c r="AB76" s="975"/>
      <c r="AC76" s="957"/>
      <c r="AD76" s="1003">
        <f>G76+K76+O76+S76+W76+AA76</f>
        <v>0</v>
      </c>
      <c r="AE76" s="971"/>
    </row>
    <row r="77" spans="1:515" s="627" customFormat="1" ht="23.15" customHeight="1" x14ac:dyDescent="0.25">
      <c r="A77" s="1325" t="s">
        <v>380</v>
      </c>
      <c r="B77" s="1326"/>
      <c r="C77" s="1326"/>
      <c r="D77" s="957"/>
      <c r="E77" s="957"/>
      <c r="F77" s="992"/>
      <c r="G77" s="793">
        <f>SUM(G74:G76)</f>
        <v>0</v>
      </c>
      <c r="H77" s="957"/>
      <c r="I77" s="990"/>
      <c r="J77" s="991"/>
      <c r="K77" s="793">
        <f>SUM(K75:K76)</f>
        <v>0</v>
      </c>
      <c r="L77" s="957"/>
      <c r="M77" s="960"/>
      <c r="N77" s="993"/>
      <c r="O77" s="793">
        <f>SUM(O75:O76)</f>
        <v>0</v>
      </c>
      <c r="P77" s="957"/>
      <c r="Q77" s="957"/>
      <c r="R77" s="957"/>
      <c r="S77" s="793">
        <f>SUM(S75:S76)</f>
        <v>0</v>
      </c>
      <c r="T77" s="957"/>
      <c r="U77" s="1295"/>
      <c r="V77" s="1295"/>
      <c r="W77" s="793">
        <f>SUM(W75:W76)</f>
        <v>0</v>
      </c>
      <c r="X77" s="960"/>
      <c r="Y77" s="1304"/>
      <c r="Z77" s="1304"/>
      <c r="AA77" s="793">
        <f>SUM(AA75:AA76)</f>
        <v>0</v>
      </c>
      <c r="AB77" s="976"/>
      <c r="AC77" s="957"/>
      <c r="AD77" s="793">
        <f>G77+K77+O77+S77+W77+AA77</f>
        <v>0</v>
      </c>
      <c r="AE77" s="971"/>
      <c r="AF77" s="292"/>
      <c r="AG77" s="292"/>
      <c r="AH77" s="292"/>
      <c r="AI77" s="292"/>
      <c r="AJ77" s="292"/>
      <c r="AK77" s="292"/>
      <c r="AL77" s="292"/>
      <c r="AM77" s="292"/>
      <c r="AN77" s="292"/>
      <c r="AO77" s="292"/>
      <c r="AP77" s="292"/>
      <c r="AQ77" s="292"/>
      <c r="AR77" s="292"/>
      <c r="AS77" s="292"/>
      <c r="AT77" s="292"/>
      <c r="AU77" s="292"/>
      <c r="AV77" s="292"/>
      <c r="AW77" s="292"/>
      <c r="AX77" s="292"/>
      <c r="AY77" s="292"/>
      <c r="AZ77" s="292"/>
      <c r="BA77" s="292"/>
      <c r="BB77" s="292"/>
      <c r="BC77" s="292"/>
      <c r="BD77" s="292"/>
      <c r="BE77" s="292"/>
      <c r="BF77" s="292"/>
      <c r="BG77" s="292"/>
      <c r="BH77" s="292"/>
      <c r="BI77" s="292"/>
      <c r="BJ77" s="292"/>
      <c r="BK77" s="292"/>
      <c r="BL77" s="292"/>
      <c r="BM77" s="292"/>
      <c r="BN77" s="292"/>
      <c r="BO77" s="292"/>
      <c r="BP77" s="292"/>
      <c r="BQ77" s="292"/>
      <c r="BR77" s="292"/>
      <c r="BS77" s="292"/>
      <c r="BT77" s="292"/>
      <c r="BU77" s="292"/>
      <c r="BV77" s="292"/>
      <c r="BW77" s="292"/>
      <c r="BX77" s="292"/>
      <c r="BY77" s="292"/>
      <c r="BZ77" s="292"/>
      <c r="CA77" s="292"/>
      <c r="CB77" s="292"/>
      <c r="CC77" s="292"/>
      <c r="CD77" s="292"/>
      <c r="CE77" s="292"/>
      <c r="CF77" s="292"/>
      <c r="CG77" s="292"/>
      <c r="CH77" s="292"/>
      <c r="CI77" s="292"/>
      <c r="CJ77" s="292"/>
      <c r="CK77" s="292"/>
      <c r="CL77" s="292"/>
      <c r="CM77" s="292"/>
      <c r="CN77" s="292"/>
      <c r="CO77" s="292"/>
      <c r="CP77" s="292"/>
      <c r="CQ77" s="292"/>
      <c r="CR77" s="292"/>
      <c r="CS77" s="292"/>
      <c r="CT77" s="292"/>
      <c r="CU77" s="292"/>
      <c r="CV77" s="292"/>
      <c r="CW77" s="292"/>
      <c r="CX77" s="292"/>
      <c r="CY77" s="292"/>
      <c r="CZ77" s="292"/>
      <c r="DA77" s="292"/>
      <c r="DB77" s="292"/>
      <c r="DC77" s="292"/>
      <c r="DD77" s="292"/>
      <c r="DE77" s="292"/>
      <c r="DF77" s="292"/>
      <c r="DG77" s="292"/>
      <c r="DH77" s="292"/>
      <c r="DI77" s="292"/>
      <c r="DJ77" s="292"/>
      <c r="DK77" s="292"/>
      <c r="DL77" s="292"/>
      <c r="DM77" s="292"/>
      <c r="DN77" s="292"/>
      <c r="DO77" s="292"/>
      <c r="DP77" s="292"/>
      <c r="DQ77" s="292"/>
      <c r="DR77" s="292"/>
      <c r="DS77" s="292"/>
      <c r="DT77" s="292"/>
      <c r="DU77" s="292"/>
      <c r="DV77" s="292"/>
      <c r="DW77" s="292"/>
      <c r="DX77" s="292"/>
      <c r="DY77" s="292"/>
      <c r="DZ77" s="292"/>
      <c r="EA77" s="292"/>
      <c r="EB77" s="292"/>
      <c r="EC77" s="292"/>
      <c r="ED77" s="292"/>
      <c r="EE77" s="292"/>
      <c r="EF77" s="292"/>
      <c r="EG77" s="292"/>
      <c r="EH77" s="292"/>
      <c r="EI77" s="292"/>
      <c r="EJ77" s="292"/>
      <c r="EK77" s="292"/>
      <c r="EL77" s="292"/>
      <c r="EM77" s="292"/>
      <c r="EN77" s="292"/>
      <c r="EO77" s="292"/>
      <c r="EP77" s="292"/>
      <c r="EQ77" s="292"/>
      <c r="ER77" s="292"/>
      <c r="ES77" s="292"/>
      <c r="ET77" s="292"/>
      <c r="EU77" s="292"/>
      <c r="EV77" s="292"/>
      <c r="EW77" s="292"/>
      <c r="EX77" s="292"/>
      <c r="EY77" s="292"/>
      <c r="EZ77" s="292"/>
      <c r="FA77" s="292"/>
      <c r="FB77" s="292"/>
      <c r="FC77" s="292"/>
      <c r="FD77" s="292"/>
      <c r="FE77" s="292"/>
      <c r="FF77" s="292"/>
      <c r="FG77" s="292"/>
      <c r="FH77" s="292"/>
      <c r="FI77" s="292"/>
      <c r="FJ77" s="292"/>
      <c r="FK77" s="292"/>
      <c r="FL77" s="292"/>
      <c r="FM77" s="292"/>
      <c r="FN77" s="292"/>
      <c r="FO77" s="292"/>
      <c r="FP77" s="292"/>
      <c r="FQ77" s="292"/>
      <c r="FR77" s="292"/>
      <c r="FS77" s="292"/>
      <c r="FT77" s="292"/>
      <c r="FU77" s="292"/>
      <c r="FV77" s="292"/>
      <c r="FW77" s="292"/>
      <c r="FX77" s="292"/>
      <c r="FY77" s="292"/>
      <c r="FZ77" s="292"/>
      <c r="GA77" s="292"/>
      <c r="GB77" s="292"/>
      <c r="GC77" s="292"/>
      <c r="GD77" s="292"/>
      <c r="GE77" s="292"/>
      <c r="GF77" s="292"/>
      <c r="GG77" s="292"/>
      <c r="GH77" s="292"/>
      <c r="GI77" s="292"/>
      <c r="GJ77" s="292"/>
      <c r="GK77" s="292"/>
      <c r="GL77" s="292"/>
      <c r="GM77" s="292"/>
      <c r="GN77" s="292"/>
      <c r="GO77" s="292"/>
      <c r="GP77" s="292"/>
      <c r="GQ77" s="292"/>
      <c r="GR77" s="292"/>
      <c r="GS77" s="292"/>
      <c r="GT77" s="292"/>
      <c r="GU77" s="292"/>
      <c r="GV77" s="292"/>
      <c r="GW77" s="292"/>
      <c r="GX77" s="292"/>
      <c r="GY77" s="292"/>
      <c r="GZ77" s="292"/>
      <c r="HA77" s="292"/>
      <c r="HB77" s="292"/>
      <c r="HC77" s="292"/>
      <c r="HD77" s="292"/>
      <c r="HE77" s="292"/>
      <c r="HF77" s="292"/>
      <c r="HG77" s="292"/>
      <c r="HH77" s="292"/>
      <c r="HI77" s="292"/>
      <c r="HJ77" s="292"/>
      <c r="HK77" s="292"/>
      <c r="HL77" s="292"/>
      <c r="HM77" s="292"/>
      <c r="HN77" s="292"/>
      <c r="HO77" s="292"/>
      <c r="HP77" s="292"/>
      <c r="HQ77" s="292"/>
      <c r="HR77" s="292"/>
      <c r="HS77" s="292"/>
      <c r="HT77" s="292"/>
      <c r="HU77" s="292"/>
      <c r="HV77" s="292"/>
      <c r="HW77" s="292"/>
      <c r="HX77" s="292"/>
      <c r="HY77" s="292"/>
      <c r="HZ77" s="292"/>
      <c r="IA77" s="292"/>
      <c r="IB77" s="292"/>
      <c r="IC77" s="292"/>
      <c r="ID77" s="292"/>
      <c r="IE77" s="292"/>
      <c r="IF77" s="292"/>
      <c r="IG77" s="292"/>
      <c r="IH77" s="292"/>
      <c r="II77" s="292"/>
      <c r="IJ77" s="292"/>
      <c r="IK77" s="292"/>
      <c r="IL77" s="292"/>
      <c r="IM77" s="292"/>
      <c r="IN77" s="292"/>
      <c r="IO77" s="292"/>
      <c r="IP77" s="292"/>
      <c r="IQ77" s="292"/>
      <c r="IR77" s="292"/>
      <c r="IS77" s="292"/>
      <c r="IT77" s="292"/>
      <c r="IU77" s="292"/>
      <c r="IV77" s="292"/>
      <c r="IW77" s="292"/>
      <c r="IX77" s="292"/>
      <c r="IY77" s="292"/>
      <c r="IZ77" s="292"/>
      <c r="JA77" s="292"/>
      <c r="JB77" s="292"/>
      <c r="JC77" s="292"/>
      <c r="JD77" s="292"/>
      <c r="JE77" s="292"/>
      <c r="JF77" s="292"/>
      <c r="JG77" s="292"/>
      <c r="JH77" s="292"/>
      <c r="JI77" s="292"/>
      <c r="JJ77" s="292"/>
      <c r="JK77" s="292"/>
      <c r="JL77" s="292"/>
      <c r="JM77" s="292"/>
      <c r="JN77" s="292"/>
      <c r="JO77" s="292"/>
      <c r="JP77" s="292"/>
      <c r="JQ77" s="292"/>
      <c r="JR77" s="292"/>
      <c r="JS77" s="292"/>
      <c r="JT77" s="292"/>
      <c r="JU77" s="292"/>
      <c r="JV77" s="292"/>
      <c r="JW77" s="292"/>
      <c r="JX77" s="292"/>
      <c r="JY77" s="292"/>
      <c r="JZ77" s="292"/>
      <c r="KA77" s="292"/>
      <c r="KB77" s="292"/>
      <c r="KC77" s="292"/>
      <c r="KD77" s="292"/>
      <c r="KE77" s="292"/>
      <c r="KF77" s="292"/>
      <c r="KG77" s="292"/>
      <c r="KH77" s="292"/>
      <c r="KI77" s="292"/>
      <c r="KJ77" s="292"/>
      <c r="KK77" s="292"/>
      <c r="KL77" s="292"/>
      <c r="KM77" s="292"/>
      <c r="KN77" s="292"/>
      <c r="KO77" s="292"/>
      <c r="KP77" s="292"/>
      <c r="KQ77" s="292"/>
      <c r="KR77" s="292"/>
      <c r="KS77" s="292"/>
      <c r="KT77" s="292"/>
      <c r="KU77" s="292"/>
      <c r="KV77" s="292"/>
      <c r="KW77" s="292"/>
      <c r="KX77" s="292"/>
      <c r="KY77" s="292"/>
      <c r="KZ77" s="292"/>
      <c r="LA77" s="292"/>
      <c r="LB77" s="292"/>
      <c r="LC77" s="292"/>
      <c r="LD77" s="292"/>
      <c r="LE77" s="292"/>
      <c r="LF77" s="292"/>
      <c r="LG77" s="292"/>
      <c r="LH77" s="292"/>
      <c r="LI77" s="292"/>
      <c r="LJ77" s="292"/>
      <c r="LK77" s="292"/>
      <c r="LL77" s="292"/>
      <c r="LM77" s="292"/>
      <c r="LN77" s="292"/>
      <c r="LO77" s="292"/>
      <c r="LP77" s="292"/>
      <c r="LQ77" s="292"/>
      <c r="LR77" s="292"/>
      <c r="LS77" s="292"/>
      <c r="LT77" s="292"/>
      <c r="LU77" s="292"/>
      <c r="LV77" s="292"/>
      <c r="LW77" s="292"/>
      <c r="LX77" s="292"/>
      <c r="LY77" s="292"/>
      <c r="LZ77" s="292"/>
      <c r="MA77" s="292"/>
      <c r="MB77" s="292"/>
      <c r="MC77" s="292"/>
      <c r="MD77" s="292"/>
      <c r="ME77" s="292"/>
      <c r="MF77" s="292"/>
      <c r="MG77" s="292"/>
      <c r="MH77" s="292"/>
      <c r="MI77" s="292"/>
      <c r="MJ77" s="292"/>
      <c r="MK77" s="292"/>
      <c r="ML77" s="292"/>
      <c r="MM77" s="292"/>
      <c r="MN77" s="292"/>
      <c r="MO77" s="292"/>
      <c r="MP77" s="292"/>
      <c r="MQ77" s="292"/>
      <c r="MR77" s="292"/>
      <c r="MS77" s="292"/>
      <c r="MT77" s="292"/>
      <c r="MU77" s="292"/>
      <c r="MV77" s="292"/>
      <c r="MW77" s="292"/>
      <c r="MX77" s="292"/>
      <c r="MY77" s="292"/>
      <c r="MZ77" s="292"/>
      <c r="NA77" s="292"/>
      <c r="NB77" s="292"/>
      <c r="NC77" s="292"/>
      <c r="ND77" s="292"/>
      <c r="NE77" s="292"/>
      <c r="NF77" s="292"/>
      <c r="NG77" s="292"/>
      <c r="NH77" s="292"/>
      <c r="NI77" s="292"/>
      <c r="NJ77" s="292"/>
      <c r="NK77" s="292"/>
      <c r="NL77" s="292"/>
      <c r="NM77" s="292"/>
      <c r="NN77" s="292"/>
      <c r="NO77" s="292"/>
      <c r="NP77" s="292"/>
      <c r="NQ77" s="292"/>
      <c r="NR77" s="292"/>
      <c r="NS77" s="292"/>
      <c r="NT77" s="292"/>
      <c r="NU77" s="292"/>
      <c r="NV77" s="292"/>
      <c r="NW77" s="292"/>
      <c r="NX77" s="292"/>
      <c r="NY77" s="292"/>
      <c r="NZ77" s="292"/>
      <c r="OA77" s="292"/>
      <c r="OB77" s="292"/>
      <c r="OC77" s="292"/>
      <c r="OD77" s="292"/>
      <c r="OE77" s="292"/>
      <c r="OF77" s="292"/>
      <c r="OG77" s="292"/>
      <c r="OH77" s="292"/>
      <c r="OI77" s="292"/>
      <c r="OJ77" s="292"/>
      <c r="OK77" s="292"/>
      <c r="OL77" s="292"/>
      <c r="OM77" s="292"/>
      <c r="ON77" s="292"/>
      <c r="OO77" s="292"/>
      <c r="OP77" s="292"/>
      <c r="OQ77" s="292"/>
      <c r="OR77" s="292"/>
      <c r="OS77" s="292"/>
      <c r="OT77" s="292"/>
      <c r="OU77" s="292"/>
      <c r="OV77" s="292"/>
      <c r="OW77" s="292"/>
      <c r="OX77" s="292"/>
      <c r="OY77" s="292"/>
      <c r="OZ77" s="292"/>
      <c r="PA77" s="292"/>
      <c r="PB77" s="292"/>
      <c r="PC77" s="292"/>
      <c r="PD77" s="292"/>
      <c r="PE77" s="292"/>
      <c r="PF77" s="292"/>
      <c r="PG77" s="292"/>
      <c r="PH77" s="292"/>
      <c r="PI77" s="292"/>
      <c r="PJ77" s="292"/>
      <c r="PK77" s="292"/>
      <c r="PL77" s="292"/>
      <c r="PM77" s="292"/>
      <c r="PN77" s="292"/>
      <c r="PO77" s="292"/>
      <c r="PP77" s="292"/>
      <c r="PQ77" s="292"/>
      <c r="PR77" s="292"/>
      <c r="PS77" s="292"/>
      <c r="PT77" s="292"/>
      <c r="PU77" s="292"/>
      <c r="PV77" s="292"/>
      <c r="PW77" s="292"/>
      <c r="PX77" s="292"/>
      <c r="PY77" s="292"/>
      <c r="PZ77" s="292"/>
      <c r="QA77" s="292"/>
      <c r="QB77" s="292"/>
      <c r="QC77" s="292"/>
      <c r="QD77" s="292"/>
      <c r="QE77" s="292"/>
      <c r="QF77" s="292"/>
      <c r="QG77" s="292"/>
      <c r="QH77" s="292"/>
      <c r="QI77" s="292"/>
      <c r="QJ77" s="292"/>
      <c r="QK77" s="292"/>
      <c r="QL77" s="292"/>
      <c r="QM77" s="292"/>
      <c r="QN77" s="292"/>
      <c r="QO77" s="292"/>
      <c r="QP77" s="292"/>
      <c r="QQ77" s="292"/>
      <c r="QR77" s="292"/>
      <c r="QS77" s="292"/>
      <c r="QT77" s="292"/>
      <c r="QU77" s="292"/>
      <c r="QV77" s="292"/>
      <c r="QW77" s="292"/>
      <c r="QX77" s="292"/>
      <c r="QY77" s="292"/>
      <c r="QZ77" s="292"/>
      <c r="RA77" s="292"/>
      <c r="RB77" s="292"/>
      <c r="RC77" s="292"/>
      <c r="RD77" s="292"/>
      <c r="RE77" s="292"/>
      <c r="RF77" s="292"/>
      <c r="RG77" s="292"/>
      <c r="RH77" s="292"/>
      <c r="RI77" s="292"/>
      <c r="RJ77" s="292"/>
      <c r="RK77" s="292"/>
      <c r="RL77" s="292"/>
      <c r="RM77" s="292"/>
      <c r="RN77" s="292"/>
      <c r="RO77" s="292"/>
      <c r="RP77" s="292"/>
      <c r="RQ77" s="292"/>
      <c r="RR77" s="292"/>
      <c r="RS77" s="292"/>
      <c r="RT77" s="292"/>
      <c r="RU77" s="292"/>
      <c r="RV77" s="292"/>
      <c r="RW77" s="292"/>
      <c r="RX77" s="292"/>
      <c r="RY77" s="292"/>
      <c r="RZ77" s="292"/>
      <c r="SA77" s="292"/>
      <c r="SB77" s="292"/>
      <c r="SC77" s="292"/>
      <c r="SD77" s="292"/>
      <c r="SE77" s="292"/>
      <c r="SF77" s="292"/>
      <c r="SG77" s="292"/>
      <c r="SH77" s="292"/>
      <c r="SI77" s="292"/>
      <c r="SJ77" s="292"/>
      <c r="SK77" s="292"/>
      <c r="SL77" s="292"/>
      <c r="SM77" s="292"/>
      <c r="SN77" s="292"/>
      <c r="SO77" s="292"/>
      <c r="SP77" s="292"/>
      <c r="SQ77" s="292"/>
      <c r="SR77" s="292"/>
      <c r="SS77" s="292"/>
      <c r="ST77" s="292"/>
      <c r="SU77" s="292"/>
    </row>
    <row r="78" spans="1:515" s="960" customFormat="1" ht="23.15" customHeight="1" x14ac:dyDescent="0.25">
      <c r="A78" s="986"/>
      <c r="B78" s="984"/>
      <c r="C78" s="984"/>
      <c r="D78" s="957"/>
      <c r="E78" s="981"/>
      <c r="F78" s="981"/>
      <c r="G78" s="981"/>
      <c r="H78" s="957"/>
      <c r="I78" s="981"/>
      <c r="J78" s="981"/>
      <c r="K78" s="981"/>
      <c r="L78" s="957"/>
      <c r="M78" s="981"/>
      <c r="N78" s="981"/>
      <c r="O78" s="981"/>
      <c r="P78" s="957"/>
      <c r="Q78" s="981"/>
      <c r="R78" s="981"/>
      <c r="S78" s="981"/>
      <c r="T78" s="957"/>
      <c r="U78" s="981"/>
      <c r="V78" s="981"/>
      <c r="W78" s="981"/>
      <c r="X78" s="957"/>
      <c r="Y78" s="981"/>
      <c r="Z78" s="981"/>
      <c r="AA78" s="981"/>
      <c r="AB78" s="976"/>
      <c r="AC78" s="1144"/>
      <c r="AD78" s="981"/>
      <c r="AE78" s="971"/>
    </row>
    <row r="79" spans="1:515" s="628" customFormat="1" ht="22.5" customHeight="1" x14ac:dyDescent="0.25">
      <c r="A79" s="1339" t="s">
        <v>381</v>
      </c>
      <c r="B79" s="1340"/>
      <c r="C79" s="1340"/>
      <c r="D79" s="964"/>
      <c r="E79" s="1306" t="s">
        <v>382</v>
      </c>
      <c r="F79" s="1306"/>
      <c r="G79" s="1306"/>
      <c r="H79" s="964"/>
      <c r="I79" s="1306" t="s">
        <v>383</v>
      </c>
      <c r="J79" s="1306"/>
      <c r="K79" s="1306"/>
      <c r="L79" s="964"/>
      <c r="M79" s="1306" t="s">
        <v>384</v>
      </c>
      <c r="N79" s="1306"/>
      <c r="O79" s="1306"/>
      <c r="P79" s="964"/>
      <c r="Q79" s="1306" t="s">
        <v>385</v>
      </c>
      <c r="R79" s="1306"/>
      <c r="S79" s="1306"/>
      <c r="T79" s="964"/>
      <c r="U79" s="1306" t="s">
        <v>386</v>
      </c>
      <c r="V79" s="1306"/>
      <c r="W79" s="1306"/>
      <c r="X79" s="978"/>
      <c r="Y79" s="1306" t="s">
        <v>387</v>
      </c>
      <c r="Z79" s="1306"/>
      <c r="AA79" s="1306"/>
      <c r="AB79" s="976"/>
      <c r="AC79" s="1145" t="s">
        <v>388</v>
      </c>
      <c r="AD79" s="1145" t="s">
        <v>389</v>
      </c>
      <c r="AE79" s="971"/>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292"/>
      <c r="BI79" s="292"/>
      <c r="BJ79" s="292"/>
      <c r="BK79" s="292"/>
      <c r="BL79" s="292"/>
      <c r="BM79" s="292"/>
      <c r="BN79" s="292"/>
      <c r="BO79" s="292"/>
      <c r="BP79" s="292"/>
      <c r="BQ79" s="292"/>
      <c r="BR79" s="292"/>
      <c r="BS79" s="292"/>
      <c r="BT79" s="292"/>
      <c r="BU79" s="292"/>
      <c r="BV79" s="292"/>
      <c r="BW79" s="292"/>
      <c r="BX79" s="292"/>
      <c r="BY79" s="292"/>
      <c r="BZ79" s="292"/>
      <c r="CA79" s="292"/>
      <c r="CB79" s="292"/>
      <c r="CC79" s="292"/>
      <c r="CD79" s="292"/>
      <c r="CE79" s="292"/>
      <c r="CF79" s="292"/>
      <c r="CG79" s="292"/>
      <c r="CH79" s="292"/>
      <c r="CI79" s="292"/>
      <c r="CJ79" s="292"/>
      <c r="CK79" s="292"/>
      <c r="CL79" s="292"/>
      <c r="CM79" s="292"/>
      <c r="CN79" s="292"/>
      <c r="CO79" s="292"/>
      <c r="CP79" s="292"/>
      <c r="CQ79" s="292"/>
      <c r="CR79" s="292"/>
      <c r="CS79" s="292"/>
      <c r="CT79" s="292"/>
      <c r="CU79" s="292"/>
      <c r="CV79" s="292"/>
      <c r="CW79" s="292"/>
      <c r="CX79" s="292"/>
      <c r="CY79" s="292"/>
      <c r="CZ79" s="292"/>
      <c r="DA79" s="292"/>
      <c r="DB79" s="292"/>
      <c r="DC79" s="292"/>
      <c r="DD79" s="292"/>
      <c r="DE79" s="292"/>
      <c r="DF79" s="292"/>
      <c r="DG79" s="292"/>
      <c r="DH79" s="292"/>
      <c r="DI79" s="292"/>
      <c r="DJ79" s="292"/>
      <c r="DK79" s="292"/>
      <c r="DL79" s="292"/>
      <c r="DM79" s="292"/>
      <c r="DN79" s="292"/>
      <c r="DO79" s="292"/>
      <c r="DP79" s="292"/>
      <c r="DQ79" s="292"/>
      <c r="DR79" s="292"/>
      <c r="DS79" s="292"/>
      <c r="DT79" s="292"/>
      <c r="DU79" s="292"/>
      <c r="DV79" s="292"/>
      <c r="DW79" s="292"/>
      <c r="DX79" s="292"/>
      <c r="DY79" s="292"/>
      <c r="DZ79" s="292"/>
      <c r="EA79" s="292"/>
      <c r="EB79" s="292"/>
      <c r="EC79" s="292"/>
      <c r="ED79" s="292"/>
      <c r="EE79" s="292"/>
      <c r="EF79" s="292"/>
      <c r="EG79" s="292"/>
      <c r="EH79" s="292"/>
      <c r="EI79" s="292"/>
      <c r="EJ79" s="292"/>
      <c r="EK79" s="292"/>
      <c r="EL79" s="292"/>
      <c r="EM79" s="292"/>
      <c r="EN79" s="292"/>
      <c r="EO79" s="292"/>
      <c r="EP79" s="292"/>
      <c r="EQ79" s="292"/>
      <c r="ER79" s="292"/>
      <c r="ES79" s="292"/>
      <c r="ET79" s="292"/>
      <c r="EU79" s="292"/>
      <c r="EV79" s="292"/>
      <c r="EW79" s="292"/>
      <c r="EX79" s="292"/>
      <c r="EY79" s="292"/>
      <c r="EZ79" s="292"/>
      <c r="FA79" s="292"/>
      <c r="FB79" s="292"/>
      <c r="FC79" s="292"/>
      <c r="FD79" s="292"/>
      <c r="FE79" s="292"/>
      <c r="FF79" s="292"/>
      <c r="FG79" s="292"/>
      <c r="FH79" s="292"/>
      <c r="FI79" s="292"/>
      <c r="FJ79" s="292"/>
      <c r="FK79" s="292"/>
      <c r="FL79" s="292"/>
      <c r="FM79" s="292"/>
      <c r="FN79" s="292"/>
      <c r="FO79" s="292"/>
      <c r="FP79" s="292"/>
      <c r="FQ79" s="292"/>
      <c r="FR79" s="292"/>
      <c r="FS79" s="292"/>
      <c r="FT79" s="292"/>
      <c r="FU79" s="292"/>
      <c r="FV79" s="292"/>
      <c r="FW79" s="292"/>
      <c r="FX79" s="292"/>
      <c r="FY79" s="292"/>
      <c r="FZ79" s="292"/>
      <c r="GA79" s="292"/>
      <c r="GB79" s="292"/>
      <c r="GC79" s="292"/>
      <c r="GD79" s="292"/>
      <c r="GE79" s="292"/>
      <c r="GF79" s="292"/>
      <c r="GG79" s="292"/>
      <c r="GH79" s="292"/>
      <c r="GI79" s="292"/>
      <c r="GJ79" s="292"/>
      <c r="GK79" s="292"/>
      <c r="GL79" s="292"/>
      <c r="GM79" s="292"/>
      <c r="GN79" s="292"/>
      <c r="GO79" s="292"/>
      <c r="GP79" s="292"/>
      <c r="GQ79" s="292"/>
      <c r="GR79" s="292"/>
      <c r="GS79" s="292"/>
      <c r="GT79" s="292"/>
      <c r="GU79" s="292"/>
      <c r="GV79" s="292"/>
      <c r="GW79" s="292"/>
      <c r="GX79" s="292"/>
      <c r="GY79" s="292"/>
      <c r="GZ79" s="292"/>
      <c r="HA79" s="292"/>
      <c r="HB79" s="292"/>
      <c r="HC79" s="292"/>
      <c r="HD79" s="292"/>
      <c r="HE79" s="292"/>
      <c r="HF79" s="292"/>
      <c r="HG79" s="292"/>
      <c r="HH79" s="292"/>
      <c r="HI79" s="292"/>
      <c r="HJ79" s="292"/>
      <c r="HK79" s="292"/>
      <c r="HL79" s="292"/>
      <c r="HM79" s="292"/>
      <c r="HN79" s="292"/>
      <c r="HO79" s="292"/>
      <c r="HP79" s="292"/>
      <c r="HQ79" s="292"/>
      <c r="HR79" s="292"/>
      <c r="HS79" s="292"/>
      <c r="HT79" s="292"/>
      <c r="HU79" s="292"/>
      <c r="HV79" s="292"/>
      <c r="HW79" s="292"/>
      <c r="HX79" s="292"/>
      <c r="HY79" s="292"/>
      <c r="HZ79" s="292"/>
      <c r="IA79" s="292"/>
      <c r="IB79" s="292"/>
      <c r="IC79" s="292"/>
      <c r="ID79" s="292"/>
      <c r="IE79" s="292"/>
      <c r="IF79" s="292"/>
      <c r="IG79" s="292"/>
      <c r="IH79" s="292"/>
      <c r="II79" s="292"/>
      <c r="IJ79" s="292"/>
      <c r="IK79" s="292"/>
      <c r="IL79" s="292"/>
      <c r="IM79" s="292"/>
      <c r="IN79" s="292"/>
      <c r="IO79" s="292"/>
      <c r="IP79" s="292"/>
      <c r="IQ79" s="292"/>
      <c r="IR79" s="292"/>
      <c r="IS79" s="292"/>
      <c r="IT79" s="292"/>
      <c r="IU79" s="292"/>
      <c r="IV79" s="292"/>
      <c r="IW79" s="292"/>
      <c r="IX79" s="292"/>
      <c r="IY79" s="292"/>
      <c r="IZ79" s="292"/>
      <c r="JA79" s="292"/>
      <c r="JB79" s="292"/>
      <c r="JC79" s="292"/>
      <c r="JD79" s="292"/>
      <c r="JE79" s="292"/>
      <c r="JF79" s="292"/>
      <c r="JG79" s="292"/>
      <c r="JH79" s="292"/>
      <c r="JI79" s="292"/>
      <c r="JJ79" s="292"/>
      <c r="JK79" s="292"/>
      <c r="JL79" s="292"/>
      <c r="JM79" s="292"/>
      <c r="JN79" s="292"/>
      <c r="JO79" s="292"/>
      <c r="JP79" s="292"/>
      <c r="JQ79" s="292"/>
      <c r="JR79" s="292"/>
      <c r="JS79" s="292"/>
      <c r="JT79" s="292"/>
      <c r="JU79" s="292"/>
      <c r="JV79" s="292"/>
      <c r="JW79" s="292"/>
      <c r="JX79" s="292"/>
      <c r="JY79" s="292"/>
      <c r="JZ79" s="292"/>
      <c r="KA79" s="292"/>
      <c r="KB79" s="292"/>
      <c r="KC79" s="292"/>
      <c r="KD79" s="292"/>
      <c r="KE79" s="292"/>
      <c r="KF79" s="292"/>
      <c r="KG79" s="292"/>
      <c r="KH79" s="292"/>
      <c r="KI79" s="292"/>
      <c r="KJ79" s="292"/>
      <c r="KK79" s="292"/>
      <c r="KL79" s="292"/>
      <c r="KM79" s="292"/>
      <c r="KN79" s="292"/>
      <c r="KO79" s="292"/>
      <c r="KP79" s="292"/>
      <c r="KQ79" s="292"/>
      <c r="KR79" s="292"/>
      <c r="KS79" s="292"/>
      <c r="KT79" s="292"/>
      <c r="KU79" s="292"/>
      <c r="KV79" s="292"/>
      <c r="KW79" s="292"/>
      <c r="KX79" s="292"/>
      <c r="KY79" s="292"/>
      <c r="KZ79" s="292"/>
      <c r="LA79" s="292"/>
      <c r="LB79" s="292"/>
      <c r="LC79" s="292"/>
      <c r="LD79" s="292"/>
      <c r="LE79" s="292"/>
      <c r="LF79" s="292"/>
      <c r="LG79" s="292"/>
      <c r="LH79" s="292"/>
      <c r="LI79" s="292"/>
      <c r="LJ79" s="292"/>
      <c r="LK79" s="292"/>
      <c r="LL79" s="292"/>
      <c r="LM79" s="292"/>
      <c r="LN79" s="292"/>
      <c r="LO79" s="292"/>
      <c r="LP79" s="292"/>
      <c r="LQ79" s="292"/>
      <c r="LR79" s="292"/>
      <c r="LS79" s="292"/>
      <c r="LT79" s="292"/>
      <c r="LU79" s="292"/>
      <c r="LV79" s="292"/>
      <c r="LW79" s="292"/>
      <c r="LX79" s="292"/>
      <c r="LY79" s="292"/>
      <c r="LZ79" s="292"/>
      <c r="MA79" s="292"/>
      <c r="MB79" s="292"/>
      <c r="MC79" s="292"/>
      <c r="MD79" s="292"/>
      <c r="ME79" s="292"/>
      <c r="MF79" s="292"/>
      <c r="MG79" s="292"/>
      <c r="MH79" s="292"/>
      <c r="MI79" s="292"/>
      <c r="MJ79" s="292"/>
      <c r="MK79" s="292"/>
      <c r="ML79" s="292"/>
      <c r="MM79" s="292"/>
      <c r="MN79" s="292"/>
      <c r="MO79" s="292"/>
      <c r="MP79" s="292"/>
      <c r="MQ79" s="292"/>
      <c r="MR79" s="292"/>
      <c r="MS79" s="292"/>
      <c r="MT79" s="292"/>
      <c r="MU79" s="292"/>
      <c r="MV79" s="292"/>
      <c r="MW79" s="292"/>
      <c r="MX79" s="292"/>
      <c r="MY79" s="292"/>
      <c r="MZ79" s="292"/>
      <c r="NA79" s="292"/>
      <c r="NB79" s="292"/>
      <c r="NC79" s="292"/>
      <c r="ND79" s="292"/>
      <c r="NE79" s="292"/>
      <c r="NF79" s="292"/>
      <c r="NG79" s="292"/>
      <c r="NH79" s="292"/>
      <c r="NI79" s="292"/>
      <c r="NJ79" s="292"/>
      <c r="NK79" s="292"/>
      <c r="NL79" s="292"/>
      <c r="NM79" s="292"/>
      <c r="NN79" s="292"/>
      <c r="NO79" s="292"/>
      <c r="NP79" s="292"/>
      <c r="NQ79" s="292"/>
      <c r="NR79" s="292"/>
      <c r="NS79" s="292"/>
      <c r="NT79" s="292"/>
      <c r="NU79" s="292"/>
      <c r="NV79" s="292"/>
      <c r="NW79" s="292"/>
      <c r="NX79" s="292"/>
      <c r="NY79" s="292"/>
      <c r="NZ79" s="292"/>
      <c r="OA79" s="292"/>
      <c r="OB79" s="292"/>
      <c r="OC79" s="292"/>
      <c r="OD79" s="292"/>
      <c r="OE79" s="292"/>
      <c r="OF79" s="292"/>
      <c r="OG79" s="292"/>
      <c r="OH79" s="292"/>
      <c r="OI79" s="292"/>
      <c r="OJ79" s="292"/>
      <c r="OK79" s="292"/>
      <c r="OL79" s="292"/>
      <c r="OM79" s="292"/>
      <c r="ON79" s="292"/>
      <c r="OO79" s="292"/>
      <c r="OP79" s="292"/>
      <c r="OQ79" s="292"/>
      <c r="OR79" s="292"/>
      <c r="OS79" s="292"/>
      <c r="OT79" s="292"/>
      <c r="OU79" s="292"/>
      <c r="OV79" s="292"/>
      <c r="OW79" s="292"/>
      <c r="OX79" s="292"/>
      <c r="OY79" s="292"/>
      <c r="OZ79" s="292"/>
      <c r="PA79" s="292"/>
      <c r="PB79" s="292"/>
      <c r="PC79" s="292"/>
      <c r="PD79" s="292"/>
      <c r="PE79" s="292"/>
      <c r="PF79" s="292"/>
      <c r="PG79" s="292"/>
      <c r="PH79" s="292"/>
      <c r="PI79" s="292"/>
      <c r="PJ79" s="292"/>
      <c r="PK79" s="292"/>
      <c r="PL79" s="292"/>
      <c r="PM79" s="292"/>
      <c r="PN79" s="292"/>
      <c r="PO79" s="292"/>
      <c r="PP79" s="292"/>
      <c r="PQ79" s="292"/>
      <c r="PR79" s="292"/>
      <c r="PS79" s="292"/>
      <c r="PT79" s="292"/>
      <c r="PU79" s="292"/>
      <c r="PV79" s="292"/>
      <c r="PW79" s="292"/>
      <c r="PX79" s="292"/>
      <c r="PY79" s="292"/>
      <c r="PZ79" s="292"/>
      <c r="QA79" s="292"/>
      <c r="QB79" s="292"/>
      <c r="QC79" s="292"/>
      <c r="QD79" s="292"/>
      <c r="QE79" s="292"/>
      <c r="QF79" s="292"/>
      <c r="QG79" s="292"/>
      <c r="QH79" s="292"/>
      <c r="QI79" s="292"/>
      <c r="QJ79" s="292"/>
      <c r="QK79" s="292"/>
      <c r="QL79" s="292"/>
      <c r="QM79" s="292"/>
      <c r="QN79" s="292"/>
      <c r="QO79" s="292"/>
      <c r="QP79" s="292"/>
      <c r="QQ79" s="292"/>
      <c r="QR79" s="292"/>
      <c r="QS79" s="292"/>
      <c r="QT79" s="292"/>
      <c r="QU79" s="292"/>
      <c r="QV79" s="292"/>
      <c r="QW79" s="292"/>
      <c r="QX79" s="292"/>
      <c r="QY79" s="292"/>
      <c r="QZ79" s="292"/>
      <c r="RA79" s="292"/>
      <c r="RB79" s="292"/>
      <c r="RC79" s="292"/>
      <c r="RD79" s="292"/>
      <c r="RE79" s="292"/>
      <c r="RF79" s="292"/>
      <c r="RG79" s="292"/>
      <c r="RH79" s="292"/>
      <c r="RI79" s="292"/>
      <c r="RJ79" s="292"/>
      <c r="RK79" s="292"/>
      <c r="RL79" s="292"/>
      <c r="RM79" s="292"/>
      <c r="RN79" s="292"/>
      <c r="RO79" s="292"/>
      <c r="RP79" s="292"/>
      <c r="RQ79" s="292"/>
      <c r="RR79" s="292"/>
      <c r="RS79" s="292"/>
      <c r="RT79" s="292"/>
      <c r="RU79" s="292"/>
      <c r="RV79" s="292"/>
      <c r="RW79" s="292"/>
      <c r="RX79" s="292"/>
      <c r="RY79" s="292"/>
      <c r="RZ79" s="292"/>
      <c r="SA79" s="292"/>
      <c r="SB79" s="292"/>
      <c r="SC79" s="292"/>
      <c r="SD79" s="292"/>
      <c r="SE79" s="292"/>
      <c r="SF79" s="292"/>
      <c r="SG79" s="292"/>
      <c r="SH79" s="292"/>
      <c r="SI79" s="292"/>
      <c r="SJ79" s="292"/>
      <c r="SK79" s="292"/>
      <c r="SL79" s="292"/>
      <c r="SM79" s="292"/>
      <c r="SN79" s="292"/>
      <c r="SO79" s="292"/>
      <c r="SP79" s="292"/>
      <c r="SQ79" s="292"/>
      <c r="SR79" s="292"/>
      <c r="SS79" s="292"/>
      <c r="ST79" s="292"/>
      <c r="SU79" s="292"/>
    </row>
    <row r="80" spans="1:515" s="629" customFormat="1" ht="23.15" customHeight="1" x14ac:dyDescent="0.25">
      <c r="A80" s="1341"/>
      <c r="B80" s="1342"/>
      <c r="C80" s="1342"/>
      <c r="D80" s="962"/>
      <c r="E80" s="1305">
        <f>E72+G77</f>
        <v>0</v>
      </c>
      <c r="F80" s="1305"/>
      <c r="G80" s="1305"/>
      <c r="H80" s="962"/>
      <c r="I80" s="1305">
        <f>I72+K77</f>
        <v>0</v>
      </c>
      <c r="J80" s="1305"/>
      <c r="K80" s="1305"/>
      <c r="L80" s="962"/>
      <c r="M80" s="1305">
        <f>M72+O77</f>
        <v>0</v>
      </c>
      <c r="N80" s="1305"/>
      <c r="O80" s="1305"/>
      <c r="P80" s="962"/>
      <c r="Q80" s="1305">
        <f>Q72+S77</f>
        <v>0</v>
      </c>
      <c r="R80" s="1305"/>
      <c r="S80" s="1305"/>
      <c r="T80" s="962"/>
      <c r="U80" s="1305">
        <f>U72+W77</f>
        <v>0</v>
      </c>
      <c r="V80" s="1305"/>
      <c r="W80" s="1305"/>
      <c r="X80" s="962"/>
      <c r="Y80" s="1305">
        <f>Y72+AA77</f>
        <v>0</v>
      </c>
      <c r="Z80" s="1305"/>
      <c r="AA80" s="1305"/>
      <c r="AB80" s="976"/>
      <c r="AC80" s="799">
        <f>AC47+AC33</f>
        <v>0</v>
      </c>
      <c r="AD80" s="790">
        <f>E80+I80+M80+Q80+U80+Y80</f>
        <v>0</v>
      </c>
      <c r="AE80" s="971"/>
      <c r="AF80" s="292"/>
      <c r="AG80" s="292"/>
      <c r="AH80" s="292"/>
      <c r="AI80" s="292"/>
      <c r="AJ80" s="292"/>
      <c r="AK80" s="292"/>
      <c r="AL80" s="292"/>
      <c r="AM80" s="292"/>
      <c r="AN80" s="292"/>
      <c r="AO80" s="292"/>
      <c r="AP80" s="292"/>
      <c r="AQ80" s="292"/>
      <c r="AR80" s="292"/>
      <c r="AS80" s="292"/>
      <c r="AT80" s="292"/>
      <c r="AU80" s="292"/>
      <c r="AV80" s="292"/>
      <c r="AW80" s="292"/>
      <c r="AX80" s="292"/>
      <c r="AY80" s="292"/>
      <c r="AZ80" s="292"/>
      <c r="BA80" s="292"/>
      <c r="BB80" s="292"/>
      <c r="BC80" s="292"/>
      <c r="BD80" s="292"/>
      <c r="BE80" s="292"/>
      <c r="BF80" s="292"/>
      <c r="BG80" s="292"/>
      <c r="BH80" s="292"/>
      <c r="BI80" s="292"/>
      <c r="BJ80" s="292"/>
      <c r="BK80" s="292"/>
      <c r="BL80" s="292"/>
      <c r="BM80" s="292"/>
      <c r="BN80" s="292"/>
      <c r="BO80" s="292"/>
      <c r="BP80" s="292"/>
      <c r="BQ80" s="292"/>
      <c r="BR80" s="292"/>
      <c r="BS80" s="292"/>
      <c r="BT80" s="292"/>
      <c r="BU80" s="292"/>
      <c r="BV80" s="292"/>
      <c r="BW80" s="292"/>
      <c r="BX80" s="292"/>
      <c r="BY80" s="292"/>
      <c r="BZ80" s="292"/>
      <c r="CA80" s="292"/>
      <c r="CB80" s="292"/>
      <c r="CC80" s="292"/>
      <c r="CD80" s="292"/>
      <c r="CE80" s="292"/>
      <c r="CF80" s="292"/>
      <c r="CG80" s="292"/>
      <c r="CH80" s="292"/>
      <c r="CI80" s="292"/>
      <c r="CJ80" s="292"/>
      <c r="CK80" s="292"/>
      <c r="CL80" s="292"/>
      <c r="CM80" s="292"/>
      <c r="CN80" s="292"/>
      <c r="CO80" s="292"/>
      <c r="CP80" s="292"/>
      <c r="CQ80" s="292"/>
      <c r="CR80" s="292"/>
      <c r="CS80" s="292"/>
      <c r="CT80" s="292"/>
      <c r="CU80" s="292"/>
      <c r="CV80" s="292"/>
      <c r="CW80" s="292"/>
      <c r="CX80" s="292"/>
      <c r="CY80" s="292"/>
      <c r="CZ80" s="292"/>
      <c r="DA80" s="292"/>
      <c r="DB80" s="292"/>
      <c r="DC80" s="292"/>
      <c r="DD80" s="292"/>
      <c r="DE80" s="292"/>
      <c r="DF80" s="292"/>
      <c r="DG80" s="292"/>
      <c r="DH80" s="292"/>
      <c r="DI80" s="292"/>
      <c r="DJ80" s="292"/>
      <c r="DK80" s="292"/>
      <c r="DL80" s="292"/>
      <c r="DM80" s="292"/>
      <c r="DN80" s="292"/>
      <c r="DO80" s="292"/>
      <c r="DP80" s="292"/>
      <c r="DQ80" s="292"/>
      <c r="DR80" s="292"/>
      <c r="DS80" s="292"/>
      <c r="DT80" s="292"/>
      <c r="DU80" s="292"/>
      <c r="DV80" s="292"/>
      <c r="DW80" s="292"/>
      <c r="DX80" s="292"/>
      <c r="DY80" s="292"/>
      <c r="DZ80" s="292"/>
      <c r="EA80" s="292"/>
      <c r="EB80" s="292"/>
      <c r="EC80" s="292"/>
      <c r="ED80" s="292"/>
      <c r="EE80" s="292"/>
      <c r="EF80" s="292"/>
      <c r="EG80" s="292"/>
      <c r="EH80" s="292"/>
      <c r="EI80" s="292"/>
      <c r="EJ80" s="292"/>
      <c r="EK80" s="292"/>
      <c r="EL80" s="292"/>
      <c r="EM80" s="292"/>
      <c r="EN80" s="292"/>
      <c r="EO80" s="292"/>
      <c r="EP80" s="292"/>
      <c r="EQ80" s="292"/>
      <c r="ER80" s="292"/>
      <c r="ES80" s="292"/>
      <c r="ET80" s="292"/>
      <c r="EU80" s="292"/>
      <c r="EV80" s="292"/>
      <c r="EW80" s="292"/>
      <c r="EX80" s="292"/>
      <c r="EY80" s="292"/>
      <c r="EZ80" s="292"/>
      <c r="FA80" s="292"/>
      <c r="FB80" s="292"/>
      <c r="FC80" s="292"/>
      <c r="FD80" s="292"/>
      <c r="FE80" s="292"/>
      <c r="FF80" s="292"/>
      <c r="FG80" s="292"/>
      <c r="FH80" s="292"/>
      <c r="FI80" s="292"/>
      <c r="FJ80" s="292"/>
      <c r="FK80" s="292"/>
      <c r="FL80" s="292"/>
      <c r="FM80" s="292"/>
      <c r="FN80" s="292"/>
      <c r="FO80" s="292"/>
      <c r="FP80" s="292"/>
      <c r="FQ80" s="292"/>
      <c r="FR80" s="292"/>
      <c r="FS80" s="292"/>
      <c r="FT80" s="292"/>
      <c r="FU80" s="292"/>
      <c r="FV80" s="292"/>
      <c r="FW80" s="292"/>
      <c r="FX80" s="292"/>
      <c r="FY80" s="292"/>
      <c r="FZ80" s="292"/>
      <c r="GA80" s="292"/>
      <c r="GB80" s="292"/>
      <c r="GC80" s="292"/>
      <c r="GD80" s="292"/>
      <c r="GE80" s="292"/>
      <c r="GF80" s="292"/>
      <c r="GG80" s="292"/>
      <c r="GH80" s="292"/>
      <c r="GI80" s="292"/>
      <c r="GJ80" s="292"/>
      <c r="GK80" s="292"/>
      <c r="GL80" s="292"/>
      <c r="GM80" s="292"/>
      <c r="GN80" s="292"/>
      <c r="GO80" s="292"/>
      <c r="GP80" s="292"/>
      <c r="GQ80" s="292"/>
      <c r="GR80" s="292"/>
      <c r="GS80" s="292"/>
      <c r="GT80" s="292"/>
      <c r="GU80" s="292"/>
      <c r="GV80" s="292"/>
      <c r="GW80" s="292"/>
      <c r="GX80" s="292"/>
      <c r="GY80" s="292"/>
      <c r="GZ80" s="292"/>
      <c r="HA80" s="292"/>
      <c r="HB80" s="292"/>
      <c r="HC80" s="292"/>
      <c r="HD80" s="292"/>
      <c r="HE80" s="292"/>
      <c r="HF80" s="292"/>
      <c r="HG80" s="292"/>
      <c r="HH80" s="292"/>
      <c r="HI80" s="292"/>
      <c r="HJ80" s="292"/>
      <c r="HK80" s="292"/>
      <c r="HL80" s="292"/>
      <c r="HM80" s="292"/>
      <c r="HN80" s="292"/>
      <c r="HO80" s="292"/>
      <c r="HP80" s="292"/>
      <c r="HQ80" s="292"/>
      <c r="HR80" s="292"/>
      <c r="HS80" s="292"/>
      <c r="HT80" s="292"/>
      <c r="HU80" s="292"/>
      <c r="HV80" s="292"/>
      <c r="HW80" s="292"/>
      <c r="HX80" s="292"/>
      <c r="HY80" s="292"/>
      <c r="HZ80" s="292"/>
      <c r="IA80" s="292"/>
      <c r="IB80" s="292"/>
      <c r="IC80" s="292"/>
      <c r="ID80" s="292"/>
      <c r="IE80" s="292"/>
      <c r="IF80" s="292"/>
      <c r="IG80" s="292"/>
      <c r="IH80" s="292"/>
      <c r="II80" s="292"/>
      <c r="IJ80" s="292"/>
      <c r="IK80" s="292"/>
      <c r="IL80" s="292"/>
      <c r="IM80" s="292"/>
      <c r="IN80" s="292"/>
      <c r="IO80" s="292"/>
      <c r="IP80" s="292"/>
      <c r="IQ80" s="292"/>
      <c r="IR80" s="292"/>
      <c r="IS80" s="292"/>
      <c r="IT80" s="292"/>
      <c r="IU80" s="292"/>
      <c r="IV80" s="292"/>
      <c r="IW80" s="292"/>
      <c r="IX80" s="292"/>
      <c r="IY80" s="292"/>
      <c r="IZ80" s="292"/>
      <c r="JA80" s="292"/>
      <c r="JB80" s="292"/>
      <c r="JC80" s="292"/>
      <c r="JD80" s="292"/>
      <c r="JE80" s="292"/>
      <c r="JF80" s="292"/>
      <c r="JG80" s="292"/>
      <c r="JH80" s="292"/>
      <c r="JI80" s="292"/>
      <c r="JJ80" s="292"/>
      <c r="JK80" s="292"/>
      <c r="JL80" s="292"/>
      <c r="JM80" s="292"/>
      <c r="JN80" s="292"/>
      <c r="JO80" s="292"/>
      <c r="JP80" s="292"/>
      <c r="JQ80" s="292"/>
      <c r="JR80" s="292"/>
      <c r="JS80" s="292"/>
      <c r="JT80" s="292"/>
      <c r="JU80" s="292"/>
      <c r="JV80" s="292"/>
      <c r="JW80" s="292"/>
      <c r="JX80" s="292"/>
      <c r="JY80" s="292"/>
      <c r="JZ80" s="292"/>
      <c r="KA80" s="292"/>
      <c r="KB80" s="292"/>
      <c r="KC80" s="292"/>
      <c r="KD80" s="292"/>
      <c r="KE80" s="292"/>
      <c r="KF80" s="292"/>
      <c r="KG80" s="292"/>
      <c r="KH80" s="292"/>
      <c r="KI80" s="292"/>
      <c r="KJ80" s="292"/>
      <c r="KK80" s="292"/>
      <c r="KL80" s="292"/>
      <c r="KM80" s="292"/>
      <c r="KN80" s="292"/>
      <c r="KO80" s="292"/>
      <c r="KP80" s="292"/>
      <c r="KQ80" s="292"/>
      <c r="KR80" s="292"/>
      <c r="KS80" s="292"/>
      <c r="KT80" s="292"/>
      <c r="KU80" s="292"/>
      <c r="KV80" s="292"/>
      <c r="KW80" s="292"/>
      <c r="KX80" s="292"/>
      <c r="KY80" s="292"/>
      <c r="KZ80" s="292"/>
      <c r="LA80" s="292"/>
      <c r="LB80" s="292"/>
      <c r="LC80" s="292"/>
      <c r="LD80" s="292"/>
      <c r="LE80" s="292"/>
      <c r="LF80" s="292"/>
      <c r="LG80" s="292"/>
      <c r="LH80" s="292"/>
      <c r="LI80" s="292"/>
      <c r="LJ80" s="292"/>
      <c r="LK80" s="292"/>
      <c r="LL80" s="292"/>
      <c r="LM80" s="292"/>
      <c r="LN80" s="292"/>
      <c r="LO80" s="292"/>
      <c r="LP80" s="292"/>
      <c r="LQ80" s="292"/>
      <c r="LR80" s="292"/>
      <c r="LS80" s="292"/>
      <c r="LT80" s="292"/>
      <c r="LU80" s="292"/>
      <c r="LV80" s="292"/>
      <c r="LW80" s="292"/>
      <c r="LX80" s="292"/>
      <c r="LY80" s="292"/>
      <c r="LZ80" s="292"/>
      <c r="MA80" s="292"/>
      <c r="MB80" s="292"/>
      <c r="MC80" s="292"/>
      <c r="MD80" s="292"/>
      <c r="ME80" s="292"/>
      <c r="MF80" s="292"/>
      <c r="MG80" s="292"/>
      <c r="MH80" s="292"/>
      <c r="MI80" s="292"/>
      <c r="MJ80" s="292"/>
      <c r="MK80" s="292"/>
      <c r="ML80" s="292"/>
      <c r="MM80" s="292"/>
      <c r="MN80" s="292"/>
      <c r="MO80" s="292"/>
      <c r="MP80" s="292"/>
      <c r="MQ80" s="292"/>
      <c r="MR80" s="292"/>
      <c r="MS80" s="292"/>
      <c r="MT80" s="292"/>
      <c r="MU80" s="292"/>
      <c r="MV80" s="292"/>
      <c r="MW80" s="292"/>
      <c r="MX80" s="292"/>
      <c r="MY80" s="292"/>
      <c r="MZ80" s="292"/>
      <c r="NA80" s="292"/>
      <c r="NB80" s="292"/>
      <c r="NC80" s="292"/>
      <c r="ND80" s="292"/>
      <c r="NE80" s="292"/>
      <c r="NF80" s="292"/>
      <c r="NG80" s="292"/>
      <c r="NH80" s="292"/>
      <c r="NI80" s="292"/>
      <c r="NJ80" s="292"/>
      <c r="NK80" s="292"/>
      <c r="NL80" s="292"/>
      <c r="NM80" s="292"/>
      <c r="NN80" s="292"/>
      <c r="NO80" s="292"/>
      <c r="NP80" s="292"/>
      <c r="NQ80" s="292"/>
      <c r="NR80" s="292"/>
      <c r="NS80" s="292"/>
      <c r="NT80" s="292"/>
      <c r="NU80" s="292"/>
      <c r="NV80" s="292"/>
      <c r="NW80" s="292"/>
      <c r="NX80" s="292"/>
      <c r="NY80" s="292"/>
      <c r="NZ80" s="292"/>
      <c r="OA80" s="292"/>
      <c r="OB80" s="292"/>
      <c r="OC80" s="292"/>
      <c r="OD80" s="292"/>
      <c r="OE80" s="292"/>
      <c r="OF80" s="292"/>
      <c r="OG80" s="292"/>
      <c r="OH80" s="292"/>
      <c r="OI80" s="292"/>
      <c r="OJ80" s="292"/>
      <c r="OK80" s="292"/>
      <c r="OL80" s="292"/>
      <c r="OM80" s="292"/>
      <c r="ON80" s="292"/>
      <c r="OO80" s="292"/>
      <c r="OP80" s="292"/>
      <c r="OQ80" s="292"/>
      <c r="OR80" s="292"/>
      <c r="OS80" s="292"/>
      <c r="OT80" s="292"/>
      <c r="OU80" s="292"/>
      <c r="OV80" s="292"/>
      <c r="OW80" s="292"/>
      <c r="OX80" s="292"/>
      <c r="OY80" s="292"/>
      <c r="OZ80" s="292"/>
      <c r="PA80" s="292"/>
      <c r="PB80" s="292"/>
      <c r="PC80" s="292"/>
      <c r="PD80" s="292"/>
      <c r="PE80" s="292"/>
      <c r="PF80" s="292"/>
      <c r="PG80" s="292"/>
      <c r="PH80" s="292"/>
      <c r="PI80" s="292"/>
      <c r="PJ80" s="292"/>
      <c r="PK80" s="292"/>
      <c r="PL80" s="292"/>
      <c r="PM80" s="292"/>
      <c r="PN80" s="292"/>
      <c r="PO80" s="292"/>
      <c r="PP80" s="292"/>
      <c r="PQ80" s="292"/>
      <c r="PR80" s="292"/>
      <c r="PS80" s="292"/>
      <c r="PT80" s="292"/>
      <c r="PU80" s="292"/>
      <c r="PV80" s="292"/>
      <c r="PW80" s="292"/>
      <c r="PX80" s="292"/>
      <c r="PY80" s="292"/>
      <c r="PZ80" s="292"/>
      <c r="QA80" s="292"/>
      <c r="QB80" s="292"/>
      <c r="QC80" s="292"/>
      <c r="QD80" s="292"/>
      <c r="QE80" s="292"/>
      <c r="QF80" s="292"/>
      <c r="QG80" s="292"/>
      <c r="QH80" s="292"/>
      <c r="QI80" s="292"/>
      <c r="QJ80" s="292"/>
      <c r="QK80" s="292"/>
      <c r="QL80" s="292"/>
      <c r="QM80" s="292"/>
      <c r="QN80" s="292"/>
      <c r="QO80" s="292"/>
      <c r="QP80" s="292"/>
      <c r="QQ80" s="292"/>
      <c r="QR80" s="292"/>
      <c r="QS80" s="292"/>
      <c r="QT80" s="292"/>
      <c r="QU80" s="292"/>
      <c r="QV80" s="292"/>
      <c r="QW80" s="292"/>
      <c r="QX80" s="292"/>
      <c r="QY80" s="292"/>
      <c r="QZ80" s="292"/>
      <c r="RA80" s="292"/>
      <c r="RB80" s="292"/>
      <c r="RC80" s="292"/>
      <c r="RD80" s="292"/>
      <c r="RE80" s="292"/>
      <c r="RF80" s="292"/>
      <c r="RG80" s="292"/>
      <c r="RH80" s="292"/>
      <c r="RI80" s="292"/>
      <c r="RJ80" s="292"/>
      <c r="RK80" s="292"/>
      <c r="RL80" s="292"/>
      <c r="RM80" s="292"/>
      <c r="RN80" s="292"/>
      <c r="RO80" s="292"/>
      <c r="RP80" s="292"/>
      <c r="RQ80" s="292"/>
      <c r="RR80" s="292"/>
      <c r="RS80" s="292"/>
      <c r="RT80" s="292"/>
      <c r="RU80" s="292"/>
      <c r="RV80" s="292"/>
      <c r="RW80" s="292"/>
      <c r="RX80" s="292"/>
      <c r="RY80" s="292"/>
      <c r="RZ80" s="292"/>
      <c r="SA80" s="292"/>
      <c r="SB80" s="292"/>
      <c r="SC80" s="292"/>
      <c r="SD80" s="292"/>
      <c r="SE80" s="292"/>
      <c r="SF80" s="292"/>
      <c r="SG80" s="292"/>
      <c r="SH80" s="292"/>
      <c r="SI80" s="292"/>
      <c r="SJ80" s="292"/>
      <c r="SK80" s="292"/>
      <c r="SL80" s="292"/>
      <c r="SM80" s="292"/>
      <c r="SN80" s="292"/>
      <c r="SO80" s="292"/>
      <c r="SP80" s="292"/>
      <c r="SQ80" s="292"/>
      <c r="SR80" s="292"/>
      <c r="SS80" s="292"/>
      <c r="ST80" s="292"/>
      <c r="SU80" s="292"/>
    </row>
    <row r="81" spans="1:31" ht="15" customHeight="1" x14ac:dyDescent="0.25">
      <c r="A81" s="959"/>
      <c r="B81" s="960"/>
      <c r="C81" s="960"/>
      <c r="D81" s="960"/>
      <c r="E81" s="960"/>
      <c r="F81" s="960"/>
      <c r="G81" s="960"/>
      <c r="H81" s="960"/>
      <c r="I81" s="960"/>
      <c r="J81" s="960"/>
      <c r="K81" s="960"/>
      <c r="L81" s="960"/>
      <c r="M81" s="960"/>
      <c r="N81" s="960"/>
      <c r="O81" s="960"/>
      <c r="P81" s="960"/>
      <c r="Q81" s="960"/>
      <c r="R81" s="960"/>
      <c r="S81" s="960"/>
      <c r="T81" s="960"/>
      <c r="U81" s="960"/>
      <c r="V81" s="960"/>
      <c r="W81" s="960"/>
      <c r="X81" s="960"/>
      <c r="Y81" s="960"/>
      <c r="Z81" s="960"/>
      <c r="AA81" s="960"/>
      <c r="AB81" s="960"/>
      <c r="AC81" s="960"/>
      <c r="AD81" s="960"/>
      <c r="AE81" s="967"/>
    </row>
    <row r="82" spans="1:31" ht="15" customHeight="1" x14ac:dyDescent="0.25">
      <c r="A82" s="960"/>
      <c r="B82" s="960"/>
      <c r="C82" s="960"/>
      <c r="D82" s="960"/>
      <c r="E82" s="960"/>
      <c r="F82" s="960"/>
      <c r="G82" s="960"/>
      <c r="H82" s="960"/>
      <c r="I82" s="960"/>
      <c r="J82" s="960"/>
      <c r="K82" s="960"/>
      <c r="L82" s="960"/>
      <c r="M82" s="960"/>
      <c r="N82" s="960"/>
      <c r="O82" s="960"/>
      <c r="P82" s="960"/>
      <c r="Q82" s="960"/>
      <c r="R82" s="960"/>
      <c r="S82" s="960"/>
      <c r="T82" s="960"/>
      <c r="U82" s="960"/>
      <c r="V82" s="960"/>
      <c r="W82" s="960"/>
      <c r="X82" s="960"/>
      <c r="Y82" s="960"/>
      <c r="Z82" s="960"/>
      <c r="AA82" s="960"/>
      <c r="AB82" s="960"/>
      <c r="AC82" s="960"/>
      <c r="AD82" s="960"/>
      <c r="AE82" s="967"/>
    </row>
    <row r="83" spans="1:31" ht="15" customHeight="1" x14ac:dyDescent="0.25">
      <c r="A83" s="960"/>
      <c r="B83" s="960"/>
      <c r="C83" s="960"/>
      <c r="D83" s="960"/>
      <c r="E83" s="1192" t="s">
        <v>15</v>
      </c>
      <c r="F83" s="1192" t="s">
        <v>390</v>
      </c>
      <c r="G83" s="1192" t="s">
        <v>345</v>
      </c>
      <c r="H83" s="960"/>
      <c r="I83" s="1192" t="s">
        <v>15</v>
      </c>
      <c r="J83" s="1192" t="s">
        <v>390</v>
      </c>
      <c r="K83" s="1192" t="s">
        <v>345</v>
      </c>
      <c r="L83" s="960"/>
      <c r="M83" s="1192" t="s">
        <v>15</v>
      </c>
      <c r="N83" s="1192" t="s">
        <v>390</v>
      </c>
      <c r="O83" s="1192" t="s">
        <v>345</v>
      </c>
      <c r="P83" s="960"/>
      <c r="Q83" s="1192" t="s">
        <v>15</v>
      </c>
      <c r="R83" s="1192" t="s">
        <v>390</v>
      </c>
      <c r="S83" s="1192" t="s">
        <v>345</v>
      </c>
      <c r="T83" s="960"/>
      <c r="U83" s="1192" t="s">
        <v>15</v>
      </c>
      <c r="V83" s="1192" t="s">
        <v>390</v>
      </c>
      <c r="W83" s="1192" t="s">
        <v>345</v>
      </c>
      <c r="X83" s="960"/>
      <c r="Y83" s="1192" t="s">
        <v>15</v>
      </c>
      <c r="Z83" s="1192" t="s">
        <v>390</v>
      </c>
      <c r="AA83" s="1192" t="s">
        <v>345</v>
      </c>
      <c r="AB83" s="960"/>
      <c r="AC83" s="1192" t="s">
        <v>390</v>
      </c>
      <c r="AD83" s="1192" t="s">
        <v>391</v>
      </c>
      <c r="AE83" s="967"/>
    </row>
    <row r="84" spans="1:31" ht="23.5" customHeight="1" x14ac:dyDescent="0.25">
      <c r="A84" s="1368" t="s">
        <v>392</v>
      </c>
      <c r="B84" s="1369"/>
      <c r="C84" s="1178" t="s">
        <v>393</v>
      </c>
      <c r="D84" s="960"/>
      <c r="E84" s="1302">
        <f>E80</f>
        <v>0</v>
      </c>
      <c r="F84" s="1161">
        <v>0</v>
      </c>
      <c r="G84" s="1160">
        <f>E84*F84</f>
        <v>0</v>
      </c>
      <c r="H84" s="960"/>
      <c r="I84" s="1302">
        <f>I80</f>
        <v>0</v>
      </c>
      <c r="J84" s="1161">
        <v>0</v>
      </c>
      <c r="K84" s="1160">
        <f>I84*J84</f>
        <v>0</v>
      </c>
      <c r="L84" s="960"/>
      <c r="M84" s="1302">
        <f>M80</f>
        <v>0</v>
      </c>
      <c r="N84" s="1161">
        <v>0</v>
      </c>
      <c r="O84" s="1160">
        <f>M84*N84</f>
        <v>0</v>
      </c>
      <c r="P84" s="960"/>
      <c r="Q84" s="1302">
        <f>Q80</f>
        <v>0</v>
      </c>
      <c r="R84" s="1161">
        <v>0</v>
      </c>
      <c r="S84" s="1160">
        <f>Q84*R84</f>
        <v>0</v>
      </c>
      <c r="T84" s="960"/>
      <c r="U84" s="1302">
        <f>U80</f>
        <v>0</v>
      </c>
      <c r="V84" s="1161">
        <v>0</v>
      </c>
      <c r="W84" s="1160">
        <f>U84*V84</f>
        <v>0</v>
      </c>
      <c r="X84" s="960"/>
      <c r="Y84" s="1302">
        <f>Y80</f>
        <v>0</v>
      </c>
      <c r="Z84" s="1161">
        <v>0</v>
      </c>
      <c r="AA84" s="1160">
        <f>Y84*Z84</f>
        <v>0</v>
      </c>
      <c r="AB84" s="960"/>
      <c r="AC84" s="1162">
        <f>AVERAGE(Z84,V84,R84,N84,J84,F84)</f>
        <v>0</v>
      </c>
      <c r="AD84" s="1200">
        <f>AA84+W84+S84+O84+K84+G84</f>
        <v>0</v>
      </c>
      <c r="AE84" s="967"/>
    </row>
    <row r="85" spans="1:31" ht="25.5" customHeight="1" x14ac:dyDescent="0.25">
      <c r="A85" s="1370"/>
      <c r="B85" s="1371"/>
      <c r="C85" s="1178" t="s">
        <v>394</v>
      </c>
      <c r="D85" s="960"/>
      <c r="E85" s="1303"/>
      <c r="F85" s="1161">
        <v>0</v>
      </c>
      <c r="G85" s="1160">
        <f>E85*F85</f>
        <v>0</v>
      </c>
      <c r="H85" s="960"/>
      <c r="I85" s="1303"/>
      <c r="J85" s="1161">
        <v>0</v>
      </c>
      <c r="K85" s="1160">
        <f>I85*J85</f>
        <v>0</v>
      </c>
      <c r="L85" s="960"/>
      <c r="M85" s="1303"/>
      <c r="N85" s="1161">
        <v>0</v>
      </c>
      <c r="O85" s="1160">
        <f>M85*N85</f>
        <v>0</v>
      </c>
      <c r="P85" s="960"/>
      <c r="Q85" s="1303"/>
      <c r="R85" s="1161">
        <v>0</v>
      </c>
      <c r="S85" s="1160">
        <f>Q85*R85</f>
        <v>0</v>
      </c>
      <c r="T85" s="960"/>
      <c r="U85" s="1303"/>
      <c r="V85" s="1161">
        <v>0</v>
      </c>
      <c r="W85" s="1160">
        <f>U85*V85</f>
        <v>0</v>
      </c>
      <c r="X85" s="960"/>
      <c r="Y85" s="1303"/>
      <c r="Z85" s="1161">
        <v>0</v>
      </c>
      <c r="AA85" s="1160">
        <f>Y85*Z85</f>
        <v>0</v>
      </c>
      <c r="AB85" s="960"/>
      <c r="AC85" s="1162">
        <f>AVERAGE(Z85,V85,R85,N85,J85,F85)</f>
        <v>0</v>
      </c>
      <c r="AD85" s="1200">
        <f>AA85+W85+S85+O85+K85+G85</f>
        <v>0</v>
      </c>
      <c r="AE85" s="967"/>
    </row>
    <row r="86" spans="1:31" ht="15" customHeight="1" x14ac:dyDescent="0.25">
      <c r="A86" s="960"/>
      <c r="B86" s="960"/>
      <c r="C86" s="960"/>
      <c r="D86" s="960"/>
      <c r="E86" s="960"/>
      <c r="F86" s="960"/>
      <c r="G86" s="960"/>
      <c r="H86" s="960"/>
      <c r="I86" s="960"/>
      <c r="J86" s="960"/>
      <c r="K86" s="960"/>
      <c r="L86" s="960"/>
      <c r="M86" s="960"/>
      <c r="N86" s="960"/>
      <c r="O86" s="960"/>
      <c r="P86" s="960"/>
      <c r="Q86" s="960"/>
      <c r="R86" s="960"/>
      <c r="S86" s="960"/>
      <c r="T86" s="960"/>
      <c r="U86" s="960"/>
      <c r="V86" s="960"/>
      <c r="W86" s="960"/>
      <c r="X86" s="960"/>
      <c r="Y86" s="960"/>
      <c r="Z86" s="960"/>
      <c r="AA86" s="960"/>
      <c r="AB86" s="960"/>
      <c r="AC86" s="960"/>
      <c r="AD86" s="960"/>
      <c r="AE86" s="967"/>
    </row>
    <row r="87" spans="1:31" ht="15" customHeight="1" thickBot="1" x14ac:dyDescent="0.3">
      <c r="A87" s="959"/>
      <c r="B87" s="960"/>
      <c r="C87" s="960"/>
      <c r="D87" s="960"/>
      <c r="E87" s="960"/>
      <c r="F87" s="960"/>
      <c r="G87" s="960"/>
      <c r="H87" s="960"/>
      <c r="I87" s="960"/>
      <c r="J87" s="960"/>
      <c r="K87" s="960"/>
      <c r="L87" s="960"/>
      <c r="M87" s="960"/>
      <c r="N87" s="960"/>
      <c r="O87" s="960"/>
      <c r="P87" s="960"/>
      <c r="Q87" s="960"/>
      <c r="R87" s="960"/>
      <c r="S87" s="960"/>
      <c r="T87" s="960"/>
      <c r="U87" s="960"/>
      <c r="V87" s="960"/>
      <c r="W87" s="960"/>
      <c r="X87" s="960"/>
      <c r="Y87" s="960"/>
      <c r="Z87" s="960"/>
      <c r="AA87" s="960"/>
      <c r="AB87" s="960"/>
      <c r="AC87" s="960"/>
      <c r="AD87" s="960"/>
      <c r="AE87" s="967"/>
    </row>
    <row r="88" spans="1:31" ht="25.5" customHeight="1" thickBot="1" x14ac:dyDescent="0.3">
      <c r="A88" s="1355" t="s">
        <v>395</v>
      </c>
      <c r="B88" s="1356"/>
      <c r="C88" s="1357"/>
      <c r="D88" s="960"/>
      <c r="E88" s="960"/>
      <c r="F88" s="960"/>
      <c r="G88" s="960"/>
      <c r="H88" s="960"/>
      <c r="I88" s="960"/>
      <c r="J88" s="960"/>
      <c r="K88" s="960"/>
      <c r="L88" s="960"/>
      <c r="M88" s="960"/>
      <c r="N88" s="960"/>
      <c r="O88" s="960"/>
      <c r="P88" s="960"/>
      <c r="Q88" s="960"/>
      <c r="R88" s="960"/>
      <c r="S88" s="960"/>
      <c r="T88" s="960"/>
      <c r="U88" s="960"/>
      <c r="V88" s="960"/>
      <c r="W88" s="960"/>
      <c r="X88" s="960"/>
      <c r="Y88" s="960"/>
      <c r="Z88" s="960"/>
      <c r="AA88" s="960"/>
      <c r="AB88" s="960"/>
      <c r="AC88" s="960"/>
      <c r="AD88" s="960"/>
      <c r="AE88" s="967"/>
    </row>
    <row r="89" spans="1:31" ht="38.5" customHeight="1" x14ac:dyDescent="0.25">
      <c r="A89" s="1372" t="s">
        <v>396</v>
      </c>
      <c r="B89" s="1373"/>
      <c r="C89" s="1374"/>
      <c r="D89" s="960"/>
      <c r="E89" s="960"/>
      <c r="F89" s="960"/>
      <c r="G89" s="960"/>
      <c r="H89" s="960"/>
      <c r="I89" s="960"/>
      <c r="J89" s="960"/>
      <c r="K89" s="960"/>
      <c r="L89" s="960"/>
      <c r="M89" s="960"/>
      <c r="N89" s="960"/>
      <c r="O89" s="960"/>
      <c r="P89" s="960"/>
      <c r="Q89" s="960"/>
      <c r="R89" s="960"/>
      <c r="S89" s="960"/>
      <c r="T89" s="960"/>
      <c r="U89" s="960"/>
      <c r="V89" s="960"/>
      <c r="W89" s="960"/>
      <c r="X89" s="960"/>
      <c r="Y89" s="960"/>
      <c r="Z89" s="960"/>
      <c r="AA89" s="960"/>
      <c r="AB89" s="960"/>
      <c r="AC89" s="960"/>
      <c r="AD89" s="960"/>
      <c r="AE89" s="967"/>
    </row>
    <row r="90" spans="1:31" ht="30" customHeight="1" x14ac:dyDescent="0.25">
      <c r="A90" s="1299" t="s">
        <v>397</v>
      </c>
      <c r="B90" s="1300"/>
      <c r="C90" s="1301"/>
      <c r="D90" s="965"/>
      <c r="E90" s="965"/>
      <c r="F90" s="965"/>
      <c r="G90" s="965"/>
      <c r="H90" s="965"/>
      <c r="I90" s="965"/>
      <c r="J90" s="965"/>
      <c r="K90" s="965"/>
      <c r="L90" s="960"/>
      <c r="M90" s="960"/>
      <c r="N90" s="960"/>
      <c r="O90" s="960"/>
      <c r="P90" s="960"/>
      <c r="Q90" s="960"/>
      <c r="R90" s="960"/>
      <c r="S90" s="960"/>
      <c r="T90" s="960"/>
      <c r="U90" s="960"/>
      <c r="V90" s="960"/>
      <c r="W90" s="960"/>
      <c r="X90" s="960"/>
      <c r="Y90" s="960"/>
      <c r="Z90" s="960"/>
      <c r="AA90" s="960"/>
      <c r="AB90" s="960"/>
      <c r="AC90" s="960"/>
      <c r="AD90" s="960"/>
      <c r="AE90" s="967"/>
    </row>
    <row r="91" spans="1:31" ht="63" customHeight="1" x14ac:dyDescent="0.25">
      <c r="A91" s="1343" t="s">
        <v>398</v>
      </c>
      <c r="B91" s="1343"/>
      <c r="C91" s="1343"/>
      <c r="D91" s="960"/>
      <c r="E91" s="960"/>
      <c r="F91" s="960"/>
      <c r="G91" s="960"/>
      <c r="H91" s="960"/>
      <c r="I91" s="960"/>
      <c r="J91" s="960"/>
      <c r="K91" s="960"/>
      <c r="L91" s="960"/>
      <c r="M91" s="960"/>
      <c r="N91" s="960"/>
      <c r="O91" s="960"/>
      <c r="P91" s="960"/>
      <c r="Q91" s="960"/>
      <c r="R91" s="960"/>
      <c r="S91" s="960"/>
      <c r="T91" s="960"/>
      <c r="U91" s="960"/>
      <c r="V91" s="960"/>
      <c r="W91" s="960"/>
      <c r="X91" s="960"/>
      <c r="Y91" s="960"/>
      <c r="Z91" s="960"/>
      <c r="AA91" s="960"/>
      <c r="AB91" s="960"/>
      <c r="AC91" s="960"/>
      <c r="AD91" s="960"/>
      <c r="AE91" s="967"/>
    </row>
    <row r="92" spans="1:31" ht="29.5" customHeight="1" x14ac:dyDescent="0.25">
      <c r="A92" s="1299" t="s">
        <v>399</v>
      </c>
      <c r="B92" s="1300"/>
      <c r="C92" s="1301"/>
      <c r="D92" s="960"/>
      <c r="E92" s="960"/>
      <c r="F92" s="960"/>
      <c r="G92" s="960"/>
      <c r="H92" s="960"/>
      <c r="I92" s="960"/>
      <c r="J92" s="960"/>
      <c r="K92" s="960"/>
      <c r="L92" s="960"/>
      <c r="M92" s="960"/>
      <c r="N92" s="960"/>
      <c r="O92" s="960"/>
      <c r="P92" s="960"/>
      <c r="Q92" s="960"/>
      <c r="R92" s="960"/>
      <c r="S92" s="960"/>
      <c r="T92" s="960"/>
      <c r="U92" s="960"/>
      <c r="V92" s="960"/>
      <c r="W92" s="960"/>
      <c r="X92" s="960"/>
      <c r="Y92" s="960"/>
      <c r="Z92" s="960"/>
      <c r="AA92" s="960"/>
      <c r="AB92" s="960"/>
      <c r="AC92" s="960"/>
      <c r="AD92" s="960"/>
      <c r="AE92" s="967"/>
    </row>
    <row r="93" spans="1:31" ht="13" customHeight="1" thickBot="1" x14ac:dyDescent="0.3">
      <c r="A93" s="968"/>
      <c r="B93" s="969"/>
      <c r="C93" s="969"/>
      <c r="D93" s="966"/>
      <c r="E93" s="966"/>
      <c r="F93" s="966"/>
      <c r="G93" s="966"/>
      <c r="H93" s="966"/>
      <c r="I93" s="966"/>
      <c r="J93" s="966"/>
      <c r="K93" s="966"/>
      <c r="L93" s="966"/>
      <c r="M93" s="966"/>
      <c r="N93" s="966"/>
      <c r="O93" s="966"/>
      <c r="P93" s="966"/>
      <c r="Q93" s="966"/>
      <c r="R93" s="966"/>
      <c r="S93" s="966"/>
      <c r="T93" s="966"/>
      <c r="U93" s="966"/>
      <c r="V93" s="966"/>
      <c r="W93" s="966"/>
      <c r="X93" s="966"/>
      <c r="Y93" s="966"/>
      <c r="Z93" s="966"/>
      <c r="AA93" s="966"/>
      <c r="AB93" s="966"/>
      <c r="AC93" s="966"/>
      <c r="AD93" s="966"/>
      <c r="AE93" s="970"/>
    </row>
    <row r="94" spans="1:31" x14ac:dyDescent="0.25">
      <c r="A94" s="796"/>
      <c r="B94" s="796"/>
      <c r="C94" s="796"/>
    </row>
    <row r="95" spans="1:31" x14ac:dyDescent="0.25">
      <c r="A95" s="796"/>
      <c r="B95" s="796"/>
      <c r="C95" s="796"/>
    </row>
    <row r="96" spans="1:31" x14ac:dyDescent="0.25">
      <c r="A96" s="796"/>
      <c r="B96" s="796"/>
      <c r="C96" s="796"/>
    </row>
    <row r="97" spans="1:3" x14ac:dyDescent="0.25">
      <c r="A97" s="796"/>
      <c r="B97" s="796"/>
      <c r="C97" s="796"/>
    </row>
    <row r="98" spans="1:3" x14ac:dyDescent="0.25">
      <c r="A98" s="796"/>
      <c r="B98" s="796"/>
      <c r="C98" s="796"/>
    </row>
    <row r="99" spans="1:3" ht="13" customHeight="1" x14ac:dyDescent="0.25">
      <c r="B99" s="577"/>
      <c r="C99" s="577"/>
    </row>
    <row r="100" spans="1:3" x14ac:dyDescent="0.25">
      <c r="A100" s="577"/>
      <c r="B100" s="577"/>
      <c r="C100" s="577"/>
    </row>
    <row r="101" spans="1:3" x14ac:dyDescent="0.25">
      <c r="A101" s="577"/>
      <c r="B101" s="577"/>
      <c r="C101" s="577"/>
    </row>
    <row r="102" spans="1:3" x14ac:dyDescent="0.25">
      <c r="A102" s="577"/>
      <c r="B102" s="577"/>
      <c r="C102" s="577"/>
    </row>
  </sheetData>
  <mergeCells count="140">
    <mergeCell ref="AC6:AD6"/>
    <mergeCell ref="A7:C7"/>
    <mergeCell ref="A77:C77"/>
    <mergeCell ref="E79:G79"/>
    <mergeCell ref="I79:K79"/>
    <mergeCell ref="A44:B44"/>
    <mergeCell ref="A45:B45"/>
    <mergeCell ref="A46:B46"/>
    <mergeCell ref="A47:C47"/>
    <mergeCell ref="A49:C49"/>
    <mergeCell ref="A50:B50"/>
    <mergeCell ref="A51:B51"/>
    <mergeCell ref="A52:B52"/>
    <mergeCell ref="A53:B53"/>
    <mergeCell ref="A36:B36"/>
    <mergeCell ref="A37:B37"/>
    <mergeCell ref="A63:C63"/>
    <mergeCell ref="Y77:Z77"/>
    <mergeCell ref="A79:C80"/>
    <mergeCell ref="E63:G63"/>
    <mergeCell ref="I63:K63"/>
    <mergeCell ref="M63:O63"/>
    <mergeCell ref="Q63:S63"/>
    <mergeCell ref="U63:W63"/>
    <mergeCell ref="A88:C88"/>
    <mergeCell ref="A89:C89"/>
    <mergeCell ref="A90:C90"/>
    <mergeCell ref="A91:C91"/>
    <mergeCell ref="A92:C92"/>
    <mergeCell ref="Y68:Z68"/>
    <mergeCell ref="M79:O79"/>
    <mergeCell ref="Q79:S79"/>
    <mergeCell ref="U79:W79"/>
    <mergeCell ref="Y79:AA79"/>
    <mergeCell ref="A72:C72"/>
    <mergeCell ref="A75:C75"/>
    <mergeCell ref="E72:G72"/>
    <mergeCell ref="I72:K72"/>
    <mergeCell ref="M72:O72"/>
    <mergeCell ref="Q72:S72"/>
    <mergeCell ref="U72:W72"/>
    <mergeCell ref="Y72:AA72"/>
    <mergeCell ref="A74:C74"/>
    <mergeCell ref="A76:C76"/>
    <mergeCell ref="U77:V77"/>
    <mergeCell ref="Y63:AA63"/>
    <mergeCell ref="E62:G62"/>
    <mergeCell ref="I62:K62"/>
    <mergeCell ref="M62:O62"/>
    <mergeCell ref="Q62:S62"/>
    <mergeCell ref="U62:W62"/>
    <mergeCell ref="Y62:AA62"/>
    <mergeCell ref="A58:C58"/>
    <mergeCell ref="Y40:Z40"/>
    <mergeCell ref="A42:C42"/>
    <mergeCell ref="E6:G6"/>
    <mergeCell ref="I6:K6"/>
    <mergeCell ref="M6:O6"/>
    <mergeCell ref="Q6:S6"/>
    <mergeCell ref="U6:W6"/>
    <mergeCell ref="Y6:AA6"/>
    <mergeCell ref="A25:B25"/>
    <mergeCell ref="A26:B26"/>
    <mergeCell ref="A27:B27"/>
    <mergeCell ref="A2:B2"/>
    <mergeCell ref="B4:C4"/>
    <mergeCell ref="E4:G4"/>
    <mergeCell ref="I4:K4"/>
    <mergeCell ref="M4:O4"/>
    <mergeCell ref="Q4:S4"/>
    <mergeCell ref="U4:W4"/>
    <mergeCell ref="Y4:AA4"/>
    <mergeCell ref="B5:C5"/>
    <mergeCell ref="BG5:BI5"/>
    <mergeCell ref="AC7:AD7"/>
    <mergeCell ref="A54:C54"/>
    <mergeCell ref="E7:G7"/>
    <mergeCell ref="I7:K7"/>
    <mergeCell ref="M7:O7"/>
    <mergeCell ref="Q7:S7"/>
    <mergeCell ref="U7:W7"/>
    <mergeCell ref="Y7:AA7"/>
    <mergeCell ref="A8:B8"/>
    <mergeCell ref="A9:B9"/>
    <mergeCell ref="A10:B10"/>
    <mergeCell ref="A11:B11"/>
    <mergeCell ref="A12:B12"/>
    <mergeCell ref="A13:B13"/>
    <mergeCell ref="A14:B14"/>
    <mergeCell ref="A15:B15"/>
    <mergeCell ref="A16:B16"/>
    <mergeCell ref="A17:B17"/>
    <mergeCell ref="A18:B18"/>
    <mergeCell ref="A19:B19"/>
    <mergeCell ref="A38:B38"/>
    <mergeCell ref="A39:B39"/>
    <mergeCell ref="Y54:Z54"/>
    <mergeCell ref="A20:B20"/>
    <mergeCell ref="A21:B21"/>
    <mergeCell ref="A22:B22"/>
    <mergeCell ref="A23:B23"/>
    <mergeCell ref="A24:B24"/>
    <mergeCell ref="A40:C40"/>
    <mergeCell ref="U40:V40"/>
    <mergeCell ref="U54:V54"/>
    <mergeCell ref="A68:C68"/>
    <mergeCell ref="A65:C65"/>
    <mergeCell ref="A66:B66"/>
    <mergeCell ref="C66:C67"/>
    <mergeCell ref="A67:B67"/>
    <mergeCell ref="A43:B43"/>
    <mergeCell ref="U68:V68"/>
    <mergeCell ref="A59:C59"/>
    <mergeCell ref="A56:C56"/>
    <mergeCell ref="A57:C57"/>
    <mergeCell ref="A28:B28"/>
    <mergeCell ref="A29:B29"/>
    <mergeCell ref="A30:B30"/>
    <mergeCell ref="A31:B31"/>
    <mergeCell ref="A32:B32"/>
    <mergeCell ref="A35:C35"/>
    <mergeCell ref="Y80:AA80"/>
    <mergeCell ref="E71:G71"/>
    <mergeCell ref="I71:K71"/>
    <mergeCell ref="M71:O71"/>
    <mergeCell ref="Q71:S71"/>
    <mergeCell ref="U71:W71"/>
    <mergeCell ref="Y71:AA71"/>
    <mergeCell ref="A84:B85"/>
    <mergeCell ref="E84:E85"/>
    <mergeCell ref="I84:I85"/>
    <mergeCell ref="M84:M85"/>
    <mergeCell ref="E80:G80"/>
    <mergeCell ref="I80:K80"/>
    <mergeCell ref="M80:O80"/>
    <mergeCell ref="Q80:S80"/>
    <mergeCell ref="U80:W80"/>
    <mergeCell ref="Q84:Q85"/>
    <mergeCell ref="U84:U85"/>
    <mergeCell ref="Y84:Y85"/>
  </mergeCells>
  <phoneticPr fontId="20" type="noConversion"/>
  <pageMargins left="0.25" right="0.25" top="0.75" bottom="0.75" header="0.3" footer="0.3"/>
  <pageSetup scale="33" fitToHeight="3" orientation="landscape" r:id="rId1"/>
  <headerFooter alignWithMargins="0"/>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E4E23-C4E0-4651-8E7D-8C32596C5D32}">
  <sheetPr codeName="Sheet26"/>
  <dimension ref="A1:O67"/>
  <sheetViews>
    <sheetView workbookViewId="0">
      <selection activeCell="I2" sqref="I2:M4"/>
    </sheetView>
  </sheetViews>
  <sheetFormatPr defaultColWidth="8.7265625" defaultRowHeight="13" x14ac:dyDescent="0.25"/>
  <cols>
    <col min="1" max="1" width="5.1796875" style="857" customWidth="1"/>
    <col min="2" max="2" width="13.26953125" style="857" customWidth="1"/>
    <col min="3" max="3" width="25.453125" style="857" customWidth="1"/>
    <col min="4" max="4" width="8.7265625" style="857"/>
    <col min="5" max="5" width="10.453125" style="857" customWidth="1"/>
    <col min="6" max="6" width="8.1796875" style="857" customWidth="1"/>
    <col min="7" max="7" width="11.1796875" style="857" customWidth="1"/>
    <col min="8" max="8" width="15.54296875" style="857" customWidth="1"/>
    <col min="9" max="9" width="16.453125" style="857" customWidth="1"/>
    <col min="10" max="11" width="14.7265625" style="857" customWidth="1"/>
    <col min="12" max="12" width="16.81640625" style="857" customWidth="1"/>
    <col min="13" max="13" width="14.54296875" style="857" customWidth="1"/>
    <col min="14" max="14" width="11.453125" style="857" customWidth="1"/>
    <col min="15" max="15" width="20.81640625" style="857" customWidth="1"/>
    <col min="16" max="16384" width="8.7265625" style="857"/>
  </cols>
  <sheetData>
    <row r="1" spans="1:15" ht="13.5" thickBot="1" x14ac:dyDescent="0.3">
      <c r="A1" s="1008"/>
      <c r="B1" s="1018"/>
      <c r="C1" s="1018"/>
      <c r="D1" s="1018"/>
      <c r="E1" s="1018"/>
      <c r="F1" s="1018"/>
      <c r="G1" s="1018"/>
      <c r="H1" s="1018"/>
      <c r="I1" s="1018"/>
      <c r="J1" s="1018"/>
      <c r="K1" s="1018"/>
      <c r="L1" s="1018"/>
      <c r="M1" s="1018"/>
      <c r="N1" s="1018"/>
      <c r="O1" s="1017"/>
    </row>
    <row r="2" spans="1:15" ht="36" customHeight="1" thickBot="1" x14ac:dyDescent="0.3">
      <c r="A2" s="1009"/>
      <c r="B2" s="1380" t="s">
        <v>495</v>
      </c>
      <c r="C2" s="1381"/>
      <c r="D2" s="1013"/>
      <c r="E2" s="1013"/>
      <c r="F2" s="1013"/>
      <c r="G2" s="1013"/>
      <c r="H2" s="1027" t="s">
        <v>292</v>
      </c>
      <c r="I2" s="1384" t="s">
        <v>401</v>
      </c>
      <c r="J2" s="1385"/>
      <c r="K2" s="1385"/>
      <c r="L2" s="1385"/>
      <c r="M2" s="1386"/>
      <c r="N2" s="1013"/>
      <c r="O2" s="1016"/>
    </row>
    <row r="3" spans="1:15" ht="32.15" customHeight="1" x14ac:dyDescent="0.25">
      <c r="A3" s="1009"/>
      <c r="B3" s="1013"/>
      <c r="C3" s="1019"/>
      <c r="D3" s="1013"/>
      <c r="E3" s="1013"/>
      <c r="F3" s="1013"/>
      <c r="G3" s="1020"/>
      <c r="H3" s="1020"/>
      <c r="I3" s="1387"/>
      <c r="J3" s="1388"/>
      <c r="K3" s="1388"/>
      <c r="L3" s="1388"/>
      <c r="M3" s="1389"/>
      <c r="N3" s="1013"/>
      <c r="O3" s="1016"/>
    </row>
    <row r="4" spans="1:15" x14ac:dyDescent="0.25">
      <c r="A4" s="1009"/>
      <c r="B4" s="1013"/>
      <c r="C4" s="1013"/>
      <c r="D4" s="1013"/>
      <c r="E4" s="1020"/>
      <c r="F4" s="1020"/>
      <c r="G4" s="1020"/>
      <c r="H4" s="1020"/>
      <c r="I4" s="1390"/>
      <c r="J4" s="1391"/>
      <c r="K4" s="1391"/>
      <c r="L4" s="1391"/>
      <c r="M4" s="1392"/>
      <c r="N4" s="1013"/>
      <c r="O4" s="1016"/>
    </row>
    <row r="5" spans="1:15" ht="13.5" thickBot="1" x14ac:dyDescent="0.3">
      <c r="A5" s="1009"/>
      <c r="B5" s="1013"/>
      <c r="C5" s="1013"/>
      <c r="D5" s="1013"/>
      <c r="E5" s="1013"/>
      <c r="F5" s="1013"/>
      <c r="G5" s="1013"/>
      <c r="H5" s="1013"/>
      <c r="I5" s="1013"/>
      <c r="J5" s="1013"/>
      <c r="K5" s="1013"/>
      <c r="L5" s="1022"/>
      <c r="M5" s="1022"/>
      <c r="N5" s="1013"/>
      <c r="O5" s="1016"/>
    </row>
    <row r="6" spans="1:15" ht="31" customHeight="1" thickBot="1" x14ac:dyDescent="0.3">
      <c r="A6" s="1009"/>
      <c r="B6" s="1382" t="str">
        <f>General!D4</f>
        <v>Name</v>
      </c>
      <c r="C6" s="1383"/>
      <c r="D6" s="1021"/>
      <c r="E6" s="1021"/>
      <c r="F6" s="1013"/>
      <c r="G6" s="1013"/>
      <c r="H6" s="1379"/>
      <c r="I6" s="1379"/>
      <c r="J6" s="1379"/>
      <c r="K6" s="1379"/>
      <c r="L6" s="1013"/>
      <c r="M6" s="1013"/>
      <c r="N6" s="1013"/>
      <c r="O6" s="1016"/>
    </row>
    <row r="7" spans="1:15" ht="39.5" thickBot="1" x14ac:dyDescent="0.3">
      <c r="A7" s="1009"/>
      <c r="B7" s="882" t="s">
        <v>402</v>
      </c>
      <c r="C7" s="883" t="s">
        <v>403</v>
      </c>
      <c r="D7" s="884" t="s">
        <v>404</v>
      </c>
      <c r="E7" s="884" t="s">
        <v>405</v>
      </c>
      <c r="F7" s="884" t="s">
        <v>406</v>
      </c>
      <c r="G7" s="884" t="s">
        <v>405</v>
      </c>
      <c r="H7" s="885" t="s">
        <v>407</v>
      </c>
      <c r="I7" s="885" t="s">
        <v>408</v>
      </c>
      <c r="J7" s="885" t="s">
        <v>409</v>
      </c>
      <c r="K7" s="885" t="s">
        <v>410</v>
      </c>
      <c r="L7" s="886" t="s">
        <v>411</v>
      </c>
      <c r="M7" s="887" t="s">
        <v>412</v>
      </c>
      <c r="N7" s="1013"/>
      <c r="O7" s="1016"/>
    </row>
    <row r="8" spans="1:15" x14ac:dyDescent="0.25">
      <c r="A8" s="1009"/>
      <c r="B8" s="888" t="s">
        <v>496</v>
      </c>
      <c r="C8" s="889"/>
      <c r="D8" s="889"/>
      <c r="E8" s="889"/>
      <c r="F8" s="889"/>
      <c r="G8" s="889"/>
      <c r="H8" s="890">
        <v>0</v>
      </c>
      <c r="I8" s="890">
        <v>0</v>
      </c>
      <c r="J8" s="890">
        <v>0</v>
      </c>
      <c r="K8" s="890">
        <v>0</v>
      </c>
      <c r="L8" s="891">
        <f t="shared" ref="L8:L14" si="0">SUM(H8:K8)</f>
        <v>0</v>
      </c>
      <c r="M8" s="1378"/>
      <c r="N8" s="1013"/>
      <c r="O8" s="1016"/>
    </row>
    <row r="9" spans="1:15" x14ac:dyDescent="0.25">
      <c r="A9" s="1009"/>
      <c r="B9" s="888" t="s">
        <v>496</v>
      </c>
      <c r="C9" s="1169"/>
      <c r="D9" s="1169"/>
      <c r="E9" s="1169"/>
      <c r="F9" s="1169"/>
      <c r="G9" s="1169"/>
      <c r="H9" s="892">
        <v>0</v>
      </c>
      <c r="I9" s="892">
        <v>0</v>
      </c>
      <c r="J9" s="892">
        <v>0</v>
      </c>
      <c r="K9" s="892">
        <v>0</v>
      </c>
      <c r="L9" s="893">
        <f t="shared" si="0"/>
        <v>0</v>
      </c>
      <c r="M9" s="1378"/>
      <c r="N9" s="1013"/>
      <c r="O9" s="1016"/>
    </row>
    <row r="10" spans="1:15" x14ac:dyDescent="0.25">
      <c r="A10" s="1009"/>
      <c r="B10" s="888" t="s">
        <v>496</v>
      </c>
      <c r="C10" s="1169"/>
      <c r="D10" s="1169"/>
      <c r="E10" s="1169"/>
      <c r="F10" s="1169"/>
      <c r="G10" s="1169"/>
      <c r="H10" s="892">
        <v>0</v>
      </c>
      <c r="I10" s="892">
        <v>0</v>
      </c>
      <c r="J10" s="892">
        <v>0</v>
      </c>
      <c r="K10" s="892">
        <v>0</v>
      </c>
      <c r="L10" s="893">
        <f t="shared" si="0"/>
        <v>0</v>
      </c>
      <c r="M10" s="1378"/>
      <c r="N10" s="1013"/>
      <c r="O10" s="1016"/>
    </row>
    <row r="11" spans="1:15" x14ac:dyDescent="0.25">
      <c r="A11" s="1009"/>
      <c r="B11" s="888" t="s">
        <v>496</v>
      </c>
      <c r="C11" s="1169"/>
      <c r="D11" s="1169"/>
      <c r="E11" s="1169"/>
      <c r="F11" s="1169"/>
      <c r="G11" s="1169"/>
      <c r="H11" s="892">
        <v>0</v>
      </c>
      <c r="I11" s="892">
        <v>0</v>
      </c>
      <c r="J11" s="892">
        <v>0</v>
      </c>
      <c r="K11" s="892">
        <v>0</v>
      </c>
      <c r="L11" s="893">
        <f t="shared" si="0"/>
        <v>0</v>
      </c>
      <c r="M11" s="1378"/>
      <c r="N11" s="1013"/>
      <c r="O11" s="1016"/>
    </row>
    <row r="12" spans="1:15" x14ac:dyDescent="0.25">
      <c r="A12" s="1009"/>
      <c r="B12" s="888" t="s">
        <v>496</v>
      </c>
      <c r="C12" s="1169"/>
      <c r="D12" s="1169"/>
      <c r="E12" s="1169"/>
      <c r="F12" s="1169"/>
      <c r="G12" s="1169"/>
      <c r="H12" s="892">
        <v>0</v>
      </c>
      <c r="I12" s="892">
        <v>0</v>
      </c>
      <c r="J12" s="892">
        <v>0</v>
      </c>
      <c r="K12" s="892">
        <v>0</v>
      </c>
      <c r="L12" s="893">
        <f t="shared" si="0"/>
        <v>0</v>
      </c>
      <c r="M12" s="1378"/>
      <c r="N12" s="1013"/>
      <c r="O12" s="1016"/>
    </row>
    <row r="13" spans="1:15" x14ac:dyDescent="0.25">
      <c r="A13" s="1009"/>
      <c r="B13" s="888" t="s">
        <v>496</v>
      </c>
      <c r="C13" s="1169"/>
      <c r="D13" s="1169"/>
      <c r="E13" s="1169"/>
      <c r="F13" s="1169"/>
      <c r="G13" s="1169"/>
      <c r="H13" s="892">
        <v>0</v>
      </c>
      <c r="I13" s="892">
        <v>0</v>
      </c>
      <c r="J13" s="892">
        <v>0</v>
      </c>
      <c r="K13" s="892">
        <v>0</v>
      </c>
      <c r="L13" s="893">
        <f t="shared" si="0"/>
        <v>0</v>
      </c>
      <c r="M13" s="1378"/>
      <c r="N13" s="1013"/>
      <c r="O13" s="1016"/>
    </row>
    <row r="14" spans="1:15" ht="13.5" thickBot="1" x14ac:dyDescent="0.3">
      <c r="A14" s="1009"/>
      <c r="B14" s="888" t="s">
        <v>496</v>
      </c>
      <c r="C14" s="894"/>
      <c r="D14" s="894"/>
      <c r="E14" s="894"/>
      <c r="F14" s="894"/>
      <c r="G14" s="894"/>
      <c r="H14" s="895">
        <v>0</v>
      </c>
      <c r="I14" s="895">
        <v>0</v>
      </c>
      <c r="J14" s="895">
        <v>0</v>
      </c>
      <c r="K14" s="895">
        <v>0</v>
      </c>
      <c r="L14" s="896">
        <f t="shared" si="0"/>
        <v>0</v>
      </c>
      <c r="M14" s="1378"/>
      <c r="N14" s="1013"/>
      <c r="O14" s="1016"/>
    </row>
    <row r="15" spans="1:15" ht="19" customHeight="1" thickBot="1" x14ac:dyDescent="0.3">
      <c r="A15" s="1009"/>
      <c r="B15" s="1375" t="s">
        <v>497</v>
      </c>
      <c r="C15" s="1376"/>
      <c r="D15" s="1376"/>
      <c r="E15" s="1376"/>
      <c r="F15" s="1376"/>
      <c r="G15" s="1376"/>
      <c r="H15" s="1028">
        <f>SUM(H8:H14)</f>
        <v>0</v>
      </c>
      <c r="I15" s="1028">
        <f>SUM(I8:I14)</f>
        <v>0</v>
      </c>
      <c r="J15" s="1028">
        <f>SUM(J8:J14)</f>
        <v>0</v>
      </c>
      <c r="K15" s="1028">
        <f>SUM(K8:K14)</f>
        <v>0</v>
      </c>
      <c r="L15" s="1013"/>
      <c r="M15" s="898">
        <f>SUM(H15:K15)</f>
        <v>0</v>
      </c>
      <c r="N15" s="1013"/>
      <c r="O15" s="1016"/>
    </row>
    <row r="16" spans="1:15" x14ac:dyDescent="0.25">
      <c r="A16" s="1009"/>
      <c r="B16" s="1378"/>
      <c r="C16" s="1378"/>
      <c r="D16" s="1378"/>
      <c r="E16" s="1378"/>
      <c r="F16" s="1378"/>
      <c r="G16" s="1378"/>
      <c r="H16" s="1378"/>
      <c r="I16" s="1378"/>
      <c r="J16" s="1378"/>
      <c r="K16" s="1378"/>
      <c r="L16" s="1378"/>
      <c r="M16" s="1378"/>
      <c r="N16" s="1013"/>
      <c r="O16" s="1016"/>
    </row>
    <row r="17" spans="1:15" ht="13.5" thickBot="1" x14ac:dyDescent="0.3">
      <c r="A17" s="1009"/>
      <c r="B17" s="1378"/>
      <c r="C17" s="1378"/>
      <c r="D17" s="1378"/>
      <c r="E17" s="1378"/>
      <c r="F17" s="1378"/>
      <c r="G17" s="1378"/>
      <c r="H17" s="1378"/>
      <c r="I17" s="1378"/>
      <c r="J17" s="1378"/>
      <c r="K17" s="1378"/>
      <c r="L17" s="1378"/>
      <c r="M17" s="1378"/>
      <c r="N17" s="1013"/>
      <c r="O17" s="1016"/>
    </row>
    <row r="18" spans="1:15" x14ac:dyDescent="0.25">
      <c r="A18" s="1009"/>
      <c r="B18" s="928" t="s">
        <v>498</v>
      </c>
      <c r="C18" s="929"/>
      <c r="D18" s="900"/>
      <c r="E18" s="900"/>
      <c r="F18" s="900"/>
      <c r="G18" s="900"/>
      <c r="H18" s="901">
        <v>0</v>
      </c>
      <c r="I18" s="901">
        <v>0</v>
      </c>
      <c r="J18" s="901">
        <v>0</v>
      </c>
      <c r="K18" s="902">
        <v>0</v>
      </c>
      <c r="L18" s="903">
        <f t="shared" ref="L18:L24" si="1">SUM(H18:K18)</f>
        <v>0</v>
      </c>
      <c r="M18" s="1378"/>
      <c r="N18" s="1013"/>
      <c r="O18" s="1016"/>
    </row>
    <row r="19" spans="1:15" x14ac:dyDescent="0.25">
      <c r="A19" s="1009"/>
      <c r="B19" s="904" t="s">
        <v>498</v>
      </c>
      <c r="C19" s="930"/>
      <c r="D19" s="1169"/>
      <c r="E19" s="1169"/>
      <c r="F19" s="1169"/>
      <c r="G19" s="1169"/>
      <c r="H19" s="892">
        <v>0</v>
      </c>
      <c r="I19" s="892">
        <v>0</v>
      </c>
      <c r="J19" s="892">
        <v>0</v>
      </c>
      <c r="K19" s="905">
        <v>0</v>
      </c>
      <c r="L19" s="906">
        <f t="shared" si="1"/>
        <v>0</v>
      </c>
      <c r="M19" s="1378"/>
      <c r="N19" s="1013"/>
      <c r="O19" s="1016"/>
    </row>
    <row r="20" spans="1:15" x14ac:dyDescent="0.25">
      <c r="A20" s="1009"/>
      <c r="B20" s="904" t="s">
        <v>498</v>
      </c>
      <c r="C20" s="930"/>
      <c r="D20" s="1169"/>
      <c r="E20" s="1169"/>
      <c r="F20" s="1169"/>
      <c r="G20" s="1169"/>
      <c r="H20" s="892">
        <v>0</v>
      </c>
      <c r="I20" s="892">
        <v>0</v>
      </c>
      <c r="J20" s="892">
        <v>0</v>
      </c>
      <c r="K20" s="905">
        <v>0</v>
      </c>
      <c r="L20" s="906">
        <f t="shared" si="1"/>
        <v>0</v>
      </c>
      <c r="M20" s="1378"/>
      <c r="N20" s="1013"/>
      <c r="O20" s="1016"/>
    </row>
    <row r="21" spans="1:15" x14ac:dyDescent="0.25">
      <c r="A21" s="1009"/>
      <c r="B21" s="904" t="s">
        <v>498</v>
      </c>
      <c r="C21" s="930"/>
      <c r="D21" s="1169"/>
      <c r="E21" s="1169"/>
      <c r="F21" s="1169"/>
      <c r="G21" s="1169"/>
      <c r="H21" s="892">
        <v>0</v>
      </c>
      <c r="I21" s="892">
        <v>0</v>
      </c>
      <c r="J21" s="892">
        <v>0</v>
      </c>
      <c r="K21" s="905">
        <v>0</v>
      </c>
      <c r="L21" s="906">
        <f t="shared" si="1"/>
        <v>0</v>
      </c>
      <c r="M21" s="1378"/>
      <c r="N21" s="1013"/>
      <c r="O21" s="1016"/>
    </row>
    <row r="22" spans="1:15" x14ac:dyDescent="0.25">
      <c r="A22" s="1009"/>
      <c r="B22" s="904" t="s">
        <v>498</v>
      </c>
      <c r="C22" s="930"/>
      <c r="D22" s="1169"/>
      <c r="E22" s="1169"/>
      <c r="F22" s="1169"/>
      <c r="G22" s="1169"/>
      <c r="H22" s="892">
        <v>0</v>
      </c>
      <c r="I22" s="892">
        <v>0</v>
      </c>
      <c r="J22" s="892">
        <v>0</v>
      </c>
      <c r="K22" s="905">
        <v>0</v>
      </c>
      <c r="L22" s="906">
        <f t="shared" si="1"/>
        <v>0</v>
      </c>
      <c r="M22" s="1378"/>
      <c r="N22" s="1013"/>
      <c r="O22" s="1016"/>
    </row>
    <row r="23" spans="1:15" x14ac:dyDescent="0.25">
      <c r="A23" s="1009"/>
      <c r="B23" s="904" t="s">
        <v>498</v>
      </c>
      <c r="C23" s="930"/>
      <c r="D23" s="1169"/>
      <c r="E23" s="1169"/>
      <c r="F23" s="1169"/>
      <c r="G23" s="1169"/>
      <c r="H23" s="892">
        <v>0</v>
      </c>
      <c r="I23" s="892">
        <v>0</v>
      </c>
      <c r="J23" s="892">
        <v>0</v>
      </c>
      <c r="K23" s="905">
        <v>0</v>
      </c>
      <c r="L23" s="906">
        <f t="shared" si="1"/>
        <v>0</v>
      </c>
      <c r="M23" s="1378"/>
      <c r="N23" s="1013"/>
      <c r="O23" s="1016"/>
    </row>
    <row r="24" spans="1:15" ht="13.5" thickBot="1" x14ac:dyDescent="0.3">
      <c r="A24" s="1009"/>
      <c r="B24" s="931" t="s">
        <v>498</v>
      </c>
      <c r="C24" s="932"/>
      <c r="D24" s="894"/>
      <c r="E24" s="894"/>
      <c r="F24" s="894"/>
      <c r="G24" s="894"/>
      <c r="H24" s="895">
        <v>0</v>
      </c>
      <c r="I24" s="895">
        <v>0</v>
      </c>
      <c r="J24" s="895">
        <v>0</v>
      </c>
      <c r="K24" s="908">
        <v>0</v>
      </c>
      <c r="L24" s="909">
        <f t="shared" si="1"/>
        <v>0</v>
      </c>
      <c r="M24" s="1378"/>
      <c r="N24" s="1013"/>
      <c r="O24" s="1016"/>
    </row>
    <row r="25" spans="1:15" ht="17.5" customHeight="1" thickBot="1" x14ac:dyDescent="0.3">
      <c r="A25" s="1009"/>
      <c r="B25" s="1375" t="s">
        <v>499</v>
      </c>
      <c r="C25" s="1376"/>
      <c r="D25" s="1376"/>
      <c r="E25" s="1376"/>
      <c r="F25" s="1376"/>
      <c r="G25" s="1376"/>
      <c r="H25" s="1028">
        <f>SUM(H18:H24)</f>
        <v>0</v>
      </c>
      <c r="I25" s="1028">
        <f>SUM(I18:I24)</f>
        <v>0</v>
      </c>
      <c r="J25" s="1028">
        <f>SUM(J18:J24)</f>
        <v>0</v>
      </c>
      <c r="K25" s="1028">
        <f>SUM(K18:K24)</f>
        <v>0</v>
      </c>
      <c r="L25" s="1013"/>
      <c r="M25" s="898">
        <f>SUM(H25:K25)</f>
        <v>0</v>
      </c>
      <c r="N25" s="1013"/>
      <c r="O25" s="1016"/>
    </row>
    <row r="26" spans="1:15" x14ac:dyDescent="0.25">
      <c r="A26" s="1009"/>
      <c r="B26" s="1378"/>
      <c r="C26" s="1378"/>
      <c r="D26" s="1378"/>
      <c r="E26" s="1378"/>
      <c r="F26" s="1378"/>
      <c r="G26" s="1378"/>
      <c r="H26" s="1378"/>
      <c r="I26" s="1378"/>
      <c r="J26" s="1378"/>
      <c r="K26" s="1378"/>
      <c r="L26" s="1378"/>
      <c r="M26" s="1378"/>
      <c r="N26" s="1013"/>
      <c r="O26" s="1016"/>
    </row>
    <row r="27" spans="1:15" ht="13.5" thickBot="1" x14ac:dyDescent="0.3">
      <c r="A27" s="1009"/>
      <c r="B27" s="1378"/>
      <c r="C27" s="1378"/>
      <c r="D27" s="1378"/>
      <c r="E27" s="1378"/>
      <c r="F27" s="1378"/>
      <c r="G27" s="1378"/>
      <c r="H27" s="1378"/>
      <c r="I27" s="1378"/>
      <c r="J27" s="1378"/>
      <c r="K27" s="1378"/>
      <c r="L27" s="1378"/>
      <c r="M27" s="1378"/>
      <c r="N27" s="1013"/>
      <c r="O27" s="1016"/>
    </row>
    <row r="28" spans="1:15" x14ac:dyDescent="0.25">
      <c r="A28" s="1009"/>
      <c r="B28" s="928" t="s">
        <v>500</v>
      </c>
      <c r="C28" s="900"/>
      <c r="D28" s="900"/>
      <c r="E28" s="900"/>
      <c r="F28" s="900"/>
      <c r="G28" s="900"/>
      <c r="H28" s="892">
        <v>0</v>
      </c>
      <c r="I28" s="892">
        <v>0</v>
      </c>
      <c r="J28" s="892">
        <v>0</v>
      </c>
      <c r="K28" s="892">
        <v>0</v>
      </c>
      <c r="L28" s="903">
        <f t="shared" ref="L28:L34" si="2">SUM(H28:K28)</f>
        <v>0</v>
      </c>
      <c r="M28" s="1378"/>
      <c r="N28" s="1013"/>
      <c r="O28" s="1016"/>
    </row>
    <row r="29" spans="1:15" x14ac:dyDescent="0.25">
      <c r="A29" s="1009"/>
      <c r="B29" s="904" t="s">
        <v>500</v>
      </c>
      <c r="C29" s="1169"/>
      <c r="D29" s="1169"/>
      <c r="E29" s="1169"/>
      <c r="F29" s="1169"/>
      <c r="G29" s="1169"/>
      <c r="H29" s="892">
        <v>0</v>
      </c>
      <c r="I29" s="892">
        <v>0</v>
      </c>
      <c r="J29" s="892">
        <v>0</v>
      </c>
      <c r="K29" s="892">
        <v>0</v>
      </c>
      <c r="L29" s="906">
        <f t="shared" si="2"/>
        <v>0</v>
      </c>
      <c r="M29" s="1378"/>
      <c r="N29" s="1013"/>
      <c r="O29" s="1016"/>
    </row>
    <row r="30" spans="1:15" x14ac:dyDescent="0.25">
      <c r="A30" s="1009"/>
      <c r="B30" s="904" t="s">
        <v>500</v>
      </c>
      <c r="C30" s="1169"/>
      <c r="D30" s="1169"/>
      <c r="E30" s="1169"/>
      <c r="F30" s="1169"/>
      <c r="G30" s="1169"/>
      <c r="H30" s="892">
        <v>0</v>
      </c>
      <c r="I30" s="892">
        <v>0</v>
      </c>
      <c r="J30" s="892">
        <v>0</v>
      </c>
      <c r="K30" s="892">
        <v>0</v>
      </c>
      <c r="L30" s="906">
        <f t="shared" si="2"/>
        <v>0</v>
      </c>
      <c r="M30" s="1378"/>
      <c r="N30" s="1013"/>
      <c r="O30" s="1016"/>
    </row>
    <row r="31" spans="1:15" x14ac:dyDescent="0.25">
      <c r="A31" s="1009"/>
      <c r="B31" s="904" t="s">
        <v>500</v>
      </c>
      <c r="C31" s="1169"/>
      <c r="D31" s="1169"/>
      <c r="E31" s="1169"/>
      <c r="F31" s="1169"/>
      <c r="G31" s="1169"/>
      <c r="H31" s="892">
        <v>0</v>
      </c>
      <c r="I31" s="892">
        <v>0</v>
      </c>
      <c r="J31" s="892">
        <v>0</v>
      </c>
      <c r="K31" s="892">
        <v>0</v>
      </c>
      <c r="L31" s="906">
        <f t="shared" si="2"/>
        <v>0</v>
      </c>
      <c r="M31" s="1378"/>
      <c r="N31" s="1013"/>
      <c r="O31" s="1016"/>
    </row>
    <row r="32" spans="1:15" x14ac:dyDescent="0.25">
      <c r="A32" s="1009"/>
      <c r="B32" s="904" t="s">
        <v>500</v>
      </c>
      <c r="C32" s="1169"/>
      <c r="D32" s="1169"/>
      <c r="E32" s="1169"/>
      <c r="F32" s="1169"/>
      <c r="G32" s="1169"/>
      <c r="H32" s="892">
        <v>0</v>
      </c>
      <c r="I32" s="892">
        <v>0</v>
      </c>
      <c r="J32" s="892">
        <v>0</v>
      </c>
      <c r="K32" s="892">
        <v>0</v>
      </c>
      <c r="L32" s="906">
        <f t="shared" si="2"/>
        <v>0</v>
      </c>
      <c r="M32" s="1378"/>
      <c r="N32" s="1013"/>
      <c r="O32" s="1016"/>
    </row>
    <row r="33" spans="1:15" x14ac:dyDescent="0.25">
      <c r="A33" s="1009"/>
      <c r="B33" s="904" t="s">
        <v>500</v>
      </c>
      <c r="C33" s="1169"/>
      <c r="D33" s="1169"/>
      <c r="E33" s="1169"/>
      <c r="F33" s="1169"/>
      <c r="G33" s="1169"/>
      <c r="H33" s="892">
        <v>0</v>
      </c>
      <c r="I33" s="892">
        <v>0</v>
      </c>
      <c r="J33" s="892">
        <v>0</v>
      </c>
      <c r="K33" s="892">
        <v>0</v>
      </c>
      <c r="L33" s="906">
        <f t="shared" si="2"/>
        <v>0</v>
      </c>
      <c r="M33" s="1378"/>
      <c r="N33" s="1013"/>
      <c r="O33" s="1016"/>
    </row>
    <row r="34" spans="1:15" ht="13.5" thickBot="1" x14ac:dyDescent="0.3">
      <c r="A34" s="1009"/>
      <c r="B34" s="931" t="s">
        <v>500</v>
      </c>
      <c r="C34" s="894"/>
      <c r="D34" s="894"/>
      <c r="E34" s="894"/>
      <c r="F34" s="894"/>
      <c r="G34" s="894"/>
      <c r="H34" s="895">
        <v>0</v>
      </c>
      <c r="I34" s="1029">
        <v>0</v>
      </c>
      <c r="J34" s="1029">
        <v>0</v>
      </c>
      <c r="K34" s="1030">
        <v>0</v>
      </c>
      <c r="L34" s="909">
        <f t="shared" si="2"/>
        <v>0</v>
      </c>
      <c r="M34" s="1378"/>
      <c r="N34" s="1013"/>
      <c r="O34" s="1016"/>
    </row>
    <row r="35" spans="1:15" ht="18" customHeight="1" thickBot="1" x14ac:dyDescent="0.3">
      <c r="A35" s="1009"/>
      <c r="B35" s="1375" t="s">
        <v>501</v>
      </c>
      <c r="C35" s="1376"/>
      <c r="D35" s="1376"/>
      <c r="E35" s="1376"/>
      <c r="F35" s="1376"/>
      <c r="G35" s="1376"/>
      <c r="H35" s="1028">
        <f>SUM(H28:H34)</f>
        <v>0</v>
      </c>
      <c r="I35" s="1028">
        <f>SUM(I28:I34)</f>
        <v>0</v>
      </c>
      <c r="J35" s="1028">
        <f>SUM(J28:J34)</f>
        <v>0</v>
      </c>
      <c r="K35" s="1028">
        <f>SUM(K28:K34)</f>
        <v>0</v>
      </c>
      <c r="L35" s="1013"/>
      <c r="M35" s="898">
        <f>SUM(H35:K35)</f>
        <v>0</v>
      </c>
      <c r="N35" s="1013"/>
      <c r="O35" s="1016"/>
    </row>
    <row r="36" spans="1:15" x14ac:dyDescent="0.25">
      <c r="A36" s="1009"/>
      <c r="B36" s="1378"/>
      <c r="C36" s="1378"/>
      <c r="D36" s="1378"/>
      <c r="E36" s="1378"/>
      <c r="F36" s="1378"/>
      <c r="G36" s="1378"/>
      <c r="H36" s="1378"/>
      <c r="I36" s="1378"/>
      <c r="J36" s="1378"/>
      <c r="K36" s="1378"/>
      <c r="L36" s="1378"/>
      <c r="M36" s="1378"/>
      <c r="N36" s="1013"/>
      <c r="O36" s="1016"/>
    </row>
    <row r="37" spans="1:15" ht="13.5" thickBot="1" x14ac:dyDescent="0.3">
      <c r="A37" s="1009"/>
      <c r="B37" s="1378"/>
      <c r="C37" s="1378"/>
      <c r="D37" s="1378"/>
      <c r="E37" s="1378"/>
      <c r="F37" s="1378"/>
      <c r="G37" s="1378"/>
      <c r="H37" s="1378"/>
      <c r="I37" s="1378"/>
      <c r="J37" s="1378"/>
      <c r="K37" s="1378"/>
      <c r="L37" s="1378"/>
      <c r="M37" s="1378"/>
      <c r="N37" s="1013"/>
      <c r="O37" s="1016"/>
    </row>
    <row r="38" spans="1:15" x14ac:dyDescent="0.25">
      <c r="A38" s="1009"/>
      <c r="B38" s="928" t="s">
        <v>502</v>
      </c>
      <c r="C38" s="900"/>
      <c r="D38" s="900"/>
      <c r="E38" s="900"/>
      <c r="F38" s="900"/>
      <c r="G38" s="1031"/>
      <c r="H38" s="892">
        <v>0</v>
      </c>
      <c r="I38" s="892">
        <v>0</v>
      </c>
      <c r="J38" s="892">
        <v>0</v>
      </c>
      <c r="K38" s="892">
        <v>0</v>
      </c>
      <c r="L38" s="903">
        <f t="shared" ref="L38:L43" si="3">SUM(H38:K38)</f>
        <v>0</v>
      </c>
      <c r="M38" s="1378"/>
      <c r="N38" s="1013"/>
      <c r="O38" s="1016"/>
    </row>
    <row r="39" spans="1:15" x14ac:dyDescent="0.25">
      <c r="A39" s="1009"/>
      <c r="B39" s="904" t="s">
        <v>502</v>
      </c>
      <c r="C39" s="1169"/>
      <c r="D39" s="1169"/>
      <c r="E39" s="1169"/>
      <c r="F39" s="1169"/>
      <c r="G39" s="881"/>
      <c r="H39" s="892">
        <v>0</v>
      </c>
      <c r="I39" s="892">
        <v>0</v>
      </c>
      <c r="J39" s="892">
        <v>0</v>
      </c>
      <c r="K39" s="892">
        <v>0</v>
      </c>
      <c r="L39" s="906">
        <f t="shared" si="3"/>
        <v>0</v>
      </c>
      <c r="M39" s="1378"/>
      <c r="N39" s="1013"/>
      <c r="O39" s="1016"/>
    </row>
    <row r="40" spans="1:15" x14ac:dyDescent="0.25">
      <c r="A40" s="1009"/>
      <c r="B40" s="904" t="s">
        <v>502</v>
      </c>
      <c r="C40" s="1169"/>
      <c r="D40" s="1169"/>
      <c r="E40" s="1169"/>
      <c r="F40" s="1169"/>
      <c r="G40" s="881"/>
      <c r="H40" s="892">
        <v>0</v>
      </c>
      <c r="I40" s="892">
        <v>0</v>
      </c>
      <c r="J40" s="892">
        <v>0</v>
      </c>
      <c r="K40" s="892">
        <v>0</v>
      </c>
      <c r="L40" s="906">
        <f t="shared" si="3"/>
        <v>0</v>
      </c>
      <c r="M40" s="1378"/>
      <c r="N40" s="1013"/>
      <c r="O40" s="1016"/>
    </row>
    <row r="41" spans="1:15" x14ac:dyDescent="0.25">
      <c r="A41" s="1009"/>
      <c r="B41" s="904" t="s">
        <v>502</v>
      </c>
      <c r="C41" s="1169"/>
      <c r="D41" s="1169"/>
      <c r="E41" s="1169"/>
      <c r="F41" s="1169"/>
      <c r="G41" s="881"/>
      <c r="H41" s="892">
        <v>0</v>
      </c>
      <c r="I41" s="892">
        <v>0</v>
      </c>
      <c r="J41" s="892">
        <v>0</v>
      </c>
      <c r="K41" s="892">
        <v>0</v>
      </c>
      <c r="L41" s="906">
        <f t="shared" si="3"/>
        <v>0</v>
      </c>
      <c r="M41" s="1378"/>
      <c r="N41" s="1013"/>
      <c r="O41" s="1016"/>
    </row>
    <row r="42" spans="1:15" x14ac:dyDescent="0.25">
      <c r="A42" s="1009"/>
      <c r="B42" s="904" t="s">
        <v>502</v>
      </c>
      <c r="C42" s="1169"/>
      <c r="D42" s="1169"/>
      <c r="E42" s="1169"/>
      <c r="F42" s="1169"/>
      <c r="G42" s="881"/>
      <c r="H42" s="892">
        <v>0</v>
      </c>
      <c r="I42" s="892">
        <v>0</v>
      </c>
      <c r="J42" s="892">
        <v>0</v>
      </c>
      <c r="K42" s="892">
        <v>0</v>
      </c>
      <c r="L42" s="906">
        <f t="shared" si="3"/>
        <v>0</v>
      </c>
      <c r="M42" s="1378"/>
      <c r="N42" s="1013"/>
      <c r="O42" s="1016"/>
    </row>
    <row r="43" spans="1:15" ht="13.5" thickBot="1" x14ac:dyDescent="0.3">
      <c r="A43" s="1009"/>
      <c r="B43" s="931" t="s">
        <v>502</v>
      </c>
      <c r="C43" s="894"/>
      <c r="D43" s="894"/>
      <c r="E43" s="894"/>
      <c r="F43" s="894"/>
      <c r="G43" s="1032"/>
      <c r="H43" s="892">
        <v>0</v>
      </c>
      <c r="I43" s="892">
        <v>0</v>
      </c>
      <c r="J43" s="892">
        <v>0</v>
      </c>
      <c r="K43" s="892">
        <v>0</v>
      </c>
      <c r="L43" s="909">
        <f t="shared" si="3"/>
        <v>0</v>
      </c>
      <c r="M43" s="1378"/>
      <c r="N43" s="1013"/>
      <c r="O43" s="1016"/>
    </row>
    <row r="44" spans="1:15" ht="18" customHeight="1" thickBot="1" x14ac:dyDescent="0.3">
      <c r="A44" s="1009"/>
      <c r="B44" s="1375" t="s">
        <v>503</v>
      </c>
      <c r="C44" s="1376"/>
      <c r="D44" s="1376"/>
      <c r="E44" s="1376"/>
      <c r="F44" s="1376"/>
      <c r="G44" s="1376"/>
      <c r="H44" s="1028">
        <f>SUM(H38:H43)</f>
        <v>0</v>
      </c>
      <c r="I44" s="1028">
        <f>SUM(I38:I43)</f>
        <v>0</v>
      </c>
      <c r="J44" s="1028">
        <f>SUM(J38:J43)</f>
        <v>0</v>
      </c>
      <c r="K44" s="1028">
        <f>SUM(K38:K43)</f>
        <v>0</v>
      </c>
      <c r="L44" s="1013"/>
      <c r="M44" s="898">
        <f>SUM(H44:K44)</f>
        <v>0</v>
      </c>
      <c r="N44" s="1013"/>
      <c r="O44" s="1016"/>
    </row>
    <row r="45" spans="1:15" x14ac:dyDescent="0.25">
      <c r="A45" s="1009"/>
      <c r="B45" s="1378"/>
      <c r="C45" s="1378"/>
      <c r="D45" s="1378"/>
      <c r="E45" s="1378"/>
      <c r="F45" s="1378"/>
      <c r="G45" s="1378"/>
      <c r="H45" s="1378"/>
      <c r="I45" s="1378"/>
      <c r="J45" s="1378"/>
      <c r="K45" s="1378"/>
      <c r="L45" s="1378"/>
      <c r="M45" s="1378"/>
      <c r="N45" s="1013"/>
      <c r="O45" s="1016"/>
    </row>
    <row r="46" spans="1:15" ht="13.5" thickBot="1" x14ac:dyDescent="0.3">
      <c r="A46" s="1009"/>
      <c r="B46" s="1378"/>
      <c r="C46" s="1378"/>
      <c r="D46" s="1378"/>
      <c r="E46" s="1378"/>
      <c r="F46" s="1378"/>
      <c r="G46" s="1378"/>
      <c r="H46" s="1378"/>
      <c r="I46" s="1378"/>
      <c r="J46" s="1378"/>
      <c r="K46" s="1378"/>
      <c r="L46" s="1378"/>
      <c r="M46" s="1378"/>
      <c r="N46" s="1013"/>
      <c r="O46" s="1016"/>
    </row>
    <row r="47" spans="1:15" x14ac:dyDescent="0.25">
      <c r="A47" s="1009"/>
      <c r="B47" s="928" t="s">
        <v>504</v>
      </c>
      <c r="C47" s="900"/>
      <c r="D47" s="900"/>
      <c r="E47" s="900"/>
      <c r="F47" s="900"/>
      <c r="G47" s="900"/>
      <c r="H47" s="902">
        <v>0</v>
      </c>
      <c r="I47" s="902">
        <v>0</v>
      </c>
      <c r="J47" s="902">
        <v>0</v>
      </c>
      <c r="K47" s="902">
        <v>0</v>
      </c>
      <c r="L47" s="903">
        <f t="shared" ref="L47:L55" si="4">SUM(H47:K47)</f>
        <v>0</v>
      </c>
      <c r="M47" s="1378"/>
      <c r="N47" s="1013"/>
      <c r="O47" s="1016"/>
    </row>
    <row r="48" spans="1:15" x14ac:dyDescent="0.25">
      <c r="A48" s="1009"/>
      <c r="B48" s="904" t="s">
        <v>504</v>
      </c>
      <c r="C48" s="1169"/>
      <c r="D48" s="1169"/>
      <c r="E48" s="1169"/>
      <c r="F48" s="1169"/>
      <c r="G48" s="881"/>
      <c r="H48" s="892">
        <v>0</v>
      </c>
      <c r="I48" s="892">
        <v>0</v>
      </c>
      <c r="J48" s="892">
        <v>0</v>
      </c>
      <c r="K48" s="892">
        <v>0</v>
      </c>
      <c r="L48" s="906">
        <f t="shared" si="4"/>
        <v>0</v>
      </c>
      <c r="M48" s="1378"/>
      <c r="N48" s="1013"/>
      <c r="O48" s="1016"/>
    </row>
    <row r="49" spans="1:15" x14ac:dyDescent="0.25">
      <c r="A49" s="1009"/>
      <c r="B49" s="904" t="s">
        <v>504</v>
      </c>
      <c r="C49" s="1169"/>
      <c r="D49" s="1169"/>
      <c r="E49" s="1169"/>
      <c r="F49" s="1169"/>
      <c r="G49" s="881"/>
      <c r="H49" s="892">
        <v>0</v>
      </c>
      <c r="I49" s="892">
        <v>0</v>
      </c>
      <c r="J49" s="892">
        <v>0</v>
      </c>
      <c r="K49" s="892">
        <v>0</v>
      </c>
      <c r="L49" s="906">
        <f t="shared" si="4"/>
        <v>0</v>
      </c>
      <c r="M49" s="1378"/>
      <c r="N49" s="1013"/>
      <c r="O49" s="1016"/>
    </row>
    <row r="50" spans="1:15" x14ac:dyDescent="0.25">
      <c r="A50" s="1009"/>
      <c r="B50" s="904" t="s">
        <v>504</v>
      </c>
      <c r="C50" s="1169"/>
      <c r="D50" s="1169"/>
      <c r="E50" s="1169"/>
      <c r="F50" s="1169"/>
      <c r="G50" s="881"/>
      <c r="H50" s="892">
        <v>0</v>
      </c>
      <c r="I50" s="892">
        <v>0</v>
      </c>
      <c r="J50" s="892">
        <v>0</v>
      </c>
      <c r="K50" s="892">
        <v>0</v>
      </c>
      <c r="L50" s="906">
        <f t="shared" si="4"/>
        <v>0</v>
      </c>
      <c r="M50" s="1378"/>
      <c r="N50" s="1013"/>
      <c r="O50" s="1016"/>
    </row>
    <row r="51" spans="1:15" x14ac:dyDescent="0.25">
      <c r="A51" s="1009"/>
      <c r="B51" s="904" t="s">
        <v>504</v>
      </c>
      <c r="C51" s="1169"/>
      <c r="D51" s="1169"/>
      <c r="E51" s="1169"/>
      <c r="F51" s="1169"/>
      <c r="G51" s="881"/>
      <c r="H51" s="892">
        <v>0</v>
      </c>
      <c r="I51" s="892">
        <v>0</v>
      </c>
      <c r="J51" s="892">
        <v>0</v>
      </c>
      <c r="K51" s="892">
        <v>0</v>
      </c>
      <c r="L51" s="906">
        <f t="shared" si="4"/>
        <v>0</v>
      </c>
      <c r="M51" s="1378"/>
      <c r="N51" s="1013"/>
      <c r="O51" s="1016"/>
    </row>
    <row r="52" spans="1:15" x14ac:dyDescent="0.25">
      <c r="A52" s="1009"/>
      <c r="B52" s="904" t="s">
        <v>504</v>
      </c>
      <c r="C52" s="1169"/>
      <c r="D52" s="1169"/>
      <c r="E52" s="1169"/>
      <c r="F52" s="1169"/>
      <c r="G52" s="881"/>
      <c r="H52" s="892">
        <v>0</v>
      </c>
      <c r="I52" s="892">
        <v>0</v>
      </c>
      <c r="J52" s="892">
        <v>0</v>
      </c>
      <c r="K52" s="892">
        <v>0</v>
      </c>
      <c r="L52" s="906">
        <f t="shared" si="4"/>
        <v>0</v>
      </c>
      <c r="M52" s="1378"/>
      <c r="N52" s="1013"/>
      <c r="O52" s="1016"/>
    </row>
    <row r="53" spans="1:15" x14ac:dyDescent="0.25">
      <c r="A53" s="1009"/>
      <c r="B53" s="904" t="s">
        <v>504</v>
      </c>
      <c r="C53" s="1169"/>
      <c r="D53" s="1169"/>
      <c r="E53" s="1169"/>
      <c r="F53" s="1169"/>
      <c r="G53" s="881"/>
      <c r="H53" s="892">
        <v>0</v>
      </c>
      <c r="I53" s="892">
        <v>0</v>
      </c>
      <c r="J53" s="892">
        <v>0</v>
      </c>
      <c r="K53" s="892">
        <v>0</v>
      </c>
      <c r="L53" s="906">
        <f t="shared" si="4"/>
        <v>0</v>
      </c>
      <c r="M53" s="1378"/>
      <c r="N53" s="1013"/>
      <c r="O53" s="1016"/>
    </row>
    <row r="54" spans="1:15" x14ac:dyDescent="0.25">
      <c r="A54" s="1009"/>
      <c r="B54" s="904" t="s">
        <v>504</v>
      </c>
      <c r="C54" s="1169"/>
      <c r="D54" s="1169"/>
      <c r="E54" s="1169"/>
      <c r="F54" s="1169"/>
      <c r="G54" s="881"/>
      <c r="H54" s="892">
        <v>0</v>
      </c>
      <c r="I54" s="892">
        <v>0</v>
      </c>
      <c r="J54" s="892">
        <v>0</v>
      </c>
      <c r="K54" s="892">
        <v>0</v>
      </c>
      <c r="L54" s="906">
        <f t="shared" si="4"/>
        <v>0</v>
      </c>
      <c r="M54" s="1378"/>
      <c r="N54" s="1013"/>
      <c r="O54" s="1016"/>
    </row>
    <row r="55" spans="1:15" ht="13.5" thickBot="1" x14ac:dyDescent="0.3">
      <c r="A55" s="1009"/>
      <c r="B55" s="916" t="s">
        <v>504</v>
      </c>
      <c r="C55" s="907"/>
      <c r="D55" s="907"/>
      <c r="E55" s="907"/>
      <c r="F55" s="907"/>
      <c r="G55" s="1033"/>
      <c r="H55" s="892">
        <v>0</v>
      </c>
      <c r="I55" s="892">
        <v>0</v>
      </c>
      <c r="J55" s="892">
        <v>0</v>
      </c>
      <c r="K55" s="892">
        <v>0</v>
      </c>
      <c r="L55" s="909">
        <f t="shared" si="4"/>
        <v>0</v>
      </c>
      <c r="M55" s="1378"/>
      <c r="N55" s="1013"/>
      <c r="O55" s="1016"/>
    </row>
    <row r="56" spans="1:15" ht="20.5" customHeight="1" thickBot="1" x14ac:dyDescent="0.3">
      <c r="A56" s="1009"/>
      <c r="B56" s="1648" t="s">
        <v>505</v>
      </c>
      <c r="C56" s="1649"/>
      <c r="D56" s="1649"/>
      <c r="E56" s="1649"/>
      <c r="F56" s="1649"/>
      <c r="G56" s="1649"/>
      <c r="H56" s="1028">
        <f>SUM(H47:H55)</f>
        <v>0</v>
      </c>
      <c r="I56" s="1028">
        <f>SUM(I47:I55)</f>
        <v>0</v>
      </c>
      <c r="J56" s="1028">
        <f>SUM(J47:J55)</f>
        <v>0</v>
      </c>
      <c r="K56" s="1028">
        <f>SUM(K47:K55)</f>
        <v>0</v>
      </c>
      <c r="L56" s="1378"/>
      <c r="M56" s="898">
        <f>SUM(H56:K56)</f>
        <v>0</v>
      </c>
      <c r="N56" s="1013"/>
      <c r="O56" s="1016"/>
    </row>
    <row r="57" spans="1:15" ht="20.5" customHeight="1" thickBot="1" x14ac:dyDescent="0.3">
      <c r="A57" s="1009"/>
      <c r="B57" s="1024"/>
      <c r="C57" s="1024"/>
      <c r="D57" s="1024"/>
      <c r="E57" s="1024"/>
      <c r="F57" s="1024"/>
      <c r="G57" s="1024"/>
      <c r="H57" s="1025"/>
      <c r="I57" s="1026"/>
      <c r="J57" s="1025"/>
      <c r="K57" s="1025"/>
      <c r="L57" s="1378"/>
      <c r="M57" s="1023"/>
      <c r="N57" s="1013"/>
      <c r="O57" s="1016"/>
    </row>
    <row r="58" spans="1:15" ht="20.5" customHeight="1" thickBot="1" x14ac:dyDescent="0.3">
      <c r="A58" s="1009"/>
      <c r="B58" s="1375" t="s">
        <v>506</v>
      </c>
      <c r="C58" s="1376"/>
      <c r="D58" s="1376"/>
      <c r="E58" s="1376"/>
      <c r="F58" s="1376"/>
      <c r="G58" s="1376"/>
      <c r="H58" s="914">
        <f>H56+H44+H35+H25+H15</f>
        <v>0</v>
      </c>
      <c r="I58" s="914">
        <f>I56+I44+I35+I25+I15</f>
        <v>0</v>
      </c>
      <c r="J58" s="914">
        <f>J56+J44+J35+J25+J15</f>
        <v>0</v>
      </c>
      <c r="K58" s="915">
        <f>K56+K44+K35+K25+K15</f>
        <v>0</v>
      </c>
      <c r="L58" s="1379"/>
      <c r="M58" s="1023"/>
      <c r="N58" s="922">
        <f>SUM(H58:K58)</f>
        <v>0</v>
      </c>
      <c r="O58" s="1016"/>
    </row>
    <row r="59" spans="1:15" s="923" customFormat="1" ht="23.5" customHeight="1" thickBot="1" x14ac:dyDescent="0.3">
      <c r="A59" s="1010"/>
      <c r="B59" s="1012"/>
      <c r="C59" s="1012"/>
      <c r="D59" s="1012"/>
      <c r="E59" s="1012"/>
      <c r="F59" s="1012"/>
      <c r="G59" s="1012"/>
      <c r="H59" s="1012"/>
      <c r="I59" s="1012"/>
      <c r="J59" s="1012"/>
      <c r="K59" s="1012"/>
      <c r="L59" s="922">
        <f>SUM(L8:L56)</f>
        <v>0</v>
      </c>
      <c r="M59" s="922">
        <f>SUM(M15:M56)</f>
        <v>0</v>
      </c>
      <c r="N59" s="1012"/>
      <c r="O59" s="1016"/>
    </row>
    <row r="60" spans="1:15" ht="26.5" thickBot="1" x14ac:dyDescent="0.3">
      <c r="A60" s="1009"/>
      <c r="B60" s="1013"/>
      <c r="C60" s="1013"/>
      <c r="D60" s="1013"/>
      <c r="E60" s="1013"/>
      <c r="F60" s="1013"/>
      <c r="G60" s="1013"/>
      <c r="H60" s="1013"/>
      <c r="I60" s="1013"/>
      <c r="J60" s="1013"/>
      <c r="K60" s="1013"/>
      <c r="L60" s="1013"/>
      <c r="M60" s="1013"/>
      <c r="N60" s="1013"/>
      <c r="O60" s="924" t="s">
        <v>507</v>
      </c>
    </row>
    <row r="61" spans="1:15" ht="25.5" customHeight="1" thickBot="1" x14ac:dyDescent="0.3">
      <c r="A61" s="1011"/>
      <c r="B61" s="1014"/>
      <c r="C61" s="1014"/>
      <c r="D61" s="1014"/>
      <c r="E61" s="1014"/>
      <c r="F61" s="1014"/>
      <c r="G61" s="1014"/>
      <c r="H61" s="1014"/>
      <c r="I61" s="1014"/>
      <c r="J61" s="1014"/>
      <c r="K61" s="1015"/>
      <c r="L61" s="1014"/>
      <c r="M61" s="1014"/>
      <c r="N61" s="1014"/>
      <c r="O61" s="925">
        <f>'Phase 3 Costs'!BA67</f>
        <v>0</v>
      </c>
    </row>
    <row r="62" spans="1:15" x14ac:dyDescent="0.25">
      <c r="K62" s="926"/>
    </row>
    <row r="63" spans="1:15" x14ac:dyDescent="0.25">
      <c r="K63" s="926"/>
    </row>
    <row r="64" spans="1:15" x14ac:dyDescent="0.25">
      <c r="K64" s="926"/>
    </row>
    <row r="65" spans="8:11" x14ac:dyDescent="0.25">
      <c r="K65" s="926"/>
    </row>
    <row r="66" spans="8:11" x14ac:dyDescent="0.25">
      <c r="K66" s="926"/>
    </row>
    <row r="67" spans="8:11" x14ac:dyDescent="0.25">
      <c r="H67" s="927"/>
      <c r="I67" s="927"/>
      <c r="J67" s="927"/>
      <c r="K67" s="926"/>
    </row>
  </sheetData>
  <mergeCells count="20">
    <mergeCell ref="B15:G15"/>
    <mergeCell ref="B2:C2"/>
    <mergeCell ref="I2:M4"/>
    <mergeCell ref="B6:C6"/>
    <mergeCell ref="H6:K6"/>
    <mergeCell ref="M8:M14"/>
    <mergeCell ref="B56:G56"/>
    <mergeCell ref="L56:L58"/>
    <mergeCell ref="B58:G58"/>
    <mergeCell ref="B16:M17"/>
    <mergeCell ref="M18:M24"/>
    <mergeCell ref="B25:G25"/>
    <mergeCell ref="B26:M27"/>
    <mergeCell ref="M28:M34"/>
    <mergeCell ref="B35:G35"/>
    <mergeCell ref="B36:M37"/>
    <mergeCell ref="M38:M43"/>
    <mergeCell ref="B44:G44"/>
    <mergeCell ref="B45:M46"/>
    <mergeCell ref="M47:M5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6">
    <tabColor theme="8" tint="0.59999389629810485"/>
    <pageSetUpPr fitToPage="1"/>
  </sheetPr>
  <dimension ref="A1:TY102"/>
  <sheetViews>
    <sheetView zoomScale="85" zoomScaleNormal="85" workbookViewId="0">
      <pane xSplit="3" ySplit="6" topLeftCell="D7" activePane="bottomRight" state="frozen"/>
      <selection pane="topRight" activeCell="D1" sqref="D1"/>
      <selection pane="bottomLeft" activeCell="A7" sqref="A7"/>
      <selection pane="bottomRight" activeCell="A2" sqref="A2:B2"/>
    </sheetView>
  </sheetViews>
  <sheetFormatPr defaultColWidth="8.453125" defaultRowHeight="13" x14ac:dyDescent="0.25"/>
  <cols>
    <col min="1" max="1" width="18.81640625" style="292" customWidth="1"/>
    <col min="2" max="2" width="18.54296875" style="292" customWidth="1"/>
    <col min="3" max="3" width="31.81640625" style="292" customWidth="1"/>
    <col min="4" max="4" width="3.81640625" style="292" customWidth="1"/>
    <col min="5" max="5" width="17.1796875" style="292" customWidth="1"/>
    <col min="6" max="6" width="11.7265625" style="292" bestFit="1" customWidth="1"/>
    <col min="7" max="7" width="20.1796875" style="292" customWidth="1"/>
    <col min="8" max="8" width="4" style="292" customWidth="1"/>
    <col min="9" max="9" width="15.7265625" style="292" customWidth="1"/>
    <col min="10" max="10" width="11.7265625" style="292" bestFit="1" customWidth="1"/>
    <col min="11" max="11" width="21.7265625" style="292" customWidth="1"/>
    <col min="12" max="12" width="3.453125" style="292" customWidth="1"/>
    <col min="13" max="13" width="15.7265625" style="292" customWidth="1"/>
    <col min="14" max="14" width="12.54296875" style="292" bestFit="1" customWidth="1"/>
    <col min="15" max="15" width="14.81640625" style="292" customWidth="1"/>
    <col min="16" max="16" width="3.81640625" style="292" customWidth="1"/>
    <col min="17" max="17" width="15.453125" style="292" customWidth="1"/>
    <col min="18" max="18" width="12.81640625" style="292" bestFit="1" customWidth="1"/>
    <col min="19" max="19" width="15.453125" style="292" customWidth="1"/>
    <col min="20" max="20" width="3.81640625" style="292" customWidth="1"/>
    <col min="21" max="21" width="16.81640625" style="292" customWidth="1"/>
    <col min="22" max="22" width="12.1796875" style="292" customWidth="1"/>
    <col min="23" max="23" width="15.1796875" style="292" customWidth="1"/>
    <col min="24" max="24" width="3.81640625" style="292" customWidth="1"/>
    <col min="25" max="25" width="13.26953125" style="292" bestFit="1" customWidth="1"/>
    <col min="26" max="26" width="12.54296875" style="292" bestFit="1" customWidth="1"/>
    <col min="27" max="27" width="17.453125" style="292" customWidth="1"/>
    <col min="28" max="28" width="3.453125" style="292" customWidth="1"/>
    <col min="29" max="29" width="15.81640625" style="292" customWidth="1"/>
    <col min="30" max="30" width="23.453125" style="292" customWidth="1"/>
    <col min="31" max="31" width="6.453125" style="292" customWidth="1"/>
    <col min="32" max="16384" width="8.453125" style="292"/>
  </cols>
  <sheetData>
    <row r="1" spans="1:61" ht="12.65" customHeight="1" x14ac:dyDescent="0.25">
      <c r="A1" s="951"/>
      <c r="B1" s="952"/>
      <c r="C1" s="953"/>
      <c r="D1" s="954"/>
      <c r="E1" s="955"/>
      <c r="F1" s="955"/>
      <c r="G1" s="955"/>
      <c r="H1" s="954"/>
      <c r="I1" s="955"/>
      <c r="J1" s="955"/>
      <c r="K1" s="955"/>
      <c r="L1" s="954"/>
      <c r="M1" s="955"/>
      <c r="N1" s="955"/>
      <c r="O1" s="955"/>
      <c r="P1" s="954"/>
      <c r="Q1" s="955"/>
      <c r="R1" s="955"/>
      <c r="S1" s="955"/>
      <c r="T1" s="954"/>
      <c r="U1" s="955"/>
      <c r="V1" s="955"/>
      <c r="W1" s="955"/>
      <c r="X1" s="954"/>
      <c r="Y1" s="955"/>
      <c r="Z1" s="955"/>
      <c r="AA1" s="955"/>
      <c r="AB1" s="955"/>
      <c r="AC1" s="955"/>
      <c r="AD1" s="955"/>
      <c r="AE1" s="956"/>
      <c r="AF1" s="802"/>
      <c r="AG1" s="802"/>
      <c r="AH1" s="802"/>
      <c r="AI1" s="802"/>
      <c r="AJ1" s="802"/>
      <c r="AK1" s="802"/>
      <c r="AL1" s="802"/>
      <c r="AM1" s="802"/>
      <c r="AN1" s="802"/>
      <c r="AO1" s="802"/>
      <c r="AP1" s="802"/>
      <c r="AQ1" s="802"/>
      <c r="AR1" s="802"/>
      <c r="AS1" s="802"/>
      <c r="AT1" s="802"/>
      <c r="AU1" s="802"/>
      <c r="AV1" s="802"/>
      <c r="AW1" s="802"/>
      <c r="AX1" s="802"/>
      <c r="AY1" s="802"/>
      <c r="AZ1" s="802"/>
      <c r="BA1" s="802"/>
      <c r="BB1" s="802"/>
      <c r="BC1" s="802"/>
      <c r="BD1" s="802"/>
    </row>
    <row r="2" spans="1:61" ht="34" customHeight="1" x14ac:dyDescent="0.25">
      <c r="A2" s="1317" t="s">
        <v>508</v>
      </c>
      <c r="B2" s="1318"/>
      <c r="C2" s="614" t="s">
        <v>319</v>
      </c>
      <c r="D2" s="1180"/>
      <c r="E2" s="957"/>
      <c r="F2" s="957"/>
      <c r="G2" s="957"/>
      <c r="H2" s="1180"/>
      <c r="I2" s="957"/>
      <c r="J2" s="957"/>
      <c r="K2" s="957"/>
      <c r="L2" s="1180"/>
      <c r="M2" s="957"/>
      <c r="N2" s="957"/>
      <c r="O2" s="957"/>
      <c r="P2" s="1180"/>
      <c r="Q2" s="957"/>
      <c r="R2" s="957"/>
      <c r="S2" s="957"/>
      <c r="T2" s="1180"/>
      <c r="U2" s="957"/>
      <c r="V2" s="957"/>
      <c r="W2" s="957"/>
      <c r="X2" s="1180"/>
      <c r="Y2" s="957"/>
      <c r="Z2" s="957"/>
      <c r="AA2" s="957"/>
      <c r="AB2" s="957"/>
      <c r="AC2" s="957"/>
      <c r="AD2" s="957"/>
      <c r="AE2" s="958"/>
      <c r="AF2" s="802"/>
      <c r="AG2" s="802"/>
      <c r="AH2" s="802"/>
      <c r="AI2" s="802"/>
      <c r="AJ2" s="802"/>
      <c r="AK2" s="802"/>
      <c r="AL2" s="802"/>
      <c r="AM2" s="802"/>
      <c r="AN2" s="802"/>
      <c r="AO2" s="802"/>
      <c r="AP2" s="802"/>
      <c r="AQ2" s="802"/>
      <c r="AR2" s="802"/>
      <c r="AS2" s="802"/>
      <c r="AT2" s="802"/>
      <c r="AU2" s="802"/>
      <c r="AV2" s="802"/>
      <c r="AW2" s="802"/>
      <c r="AX2" s="802"/>
      <c r="AY2" s="802"/>
      <c r="AZ2" s="802"/>
      <c r="BA2" s="802"/>
      <c r="BB2" s="802"/>
      <c r="BC2" s="802"/>
      <c r="BD2" s="802"/>
    </row>
    <row r="3" spans="1:61" ht="10.5" customHeight="1" x14ac:dyDescent="0.25">
      <c r="A3" s="959"/>
      <c r="B3" s="960"/>
      <c r="C3" s="960"/>
      <c r="D3" s="1180"/>
      <c r="E3" s="957"/>
      <c r="F3" s="957"/>
      <c r="G3" s="957"/>
      <c r="H3" s="1180"/>
      <c r="I3" s="957"/>
      <c r="J3" s="957"/>
      <c r="K3" s="957"/>
      <c r="L3" s="1180"/>
      <c r="M3" s="957"/>
      <c r="N3" s="957"/>
      <c r="O3" s="957"/>
      <c r="P3" s="1180"/>
      <c r="Q3" s="957"/>
      <c r="R3" s="957"/>
      <c r="S3" s="957"/>
      <c r="T3" s="1180"/>
      <c r="U3" s="957"/>
      <c r="V3" s="957"/>
      <c r="W3" s="957"/>
      <c r="X3" s="1180"/>
      <c r="Y3" s="957"/>
      <c r="Z3" s="957"/>
      <c r="AA3" s="957"/>
      <c r="AB3" s="957"/>
      <c r="AC3" s="957"/>
      <c r="AD3" s="957"/>
      <c r="AE3" s="958"/>
      <c r="AF3" s="802"/>
      <c r="AG3" s="802"/>
      <c r="AH3" s="802"/>
      <c r="AI3" s="802"/>
      <c r="AJ3" s="802"/>
      <c r="AK3" s="802"/>
      <c r="AL3" s="802"/>
      <c r="AM3" s="802"/>
      <c r="AN3" s="802"/>
      <c r="AO3" s="802"/>
      <c r="AP3" s="802"/>
      <c r="AQ3" s="802"/>
      <c r="AR3" s="802"/>
      <c r="AS3" s="802"/>
      <c r="AT3" s="802"/>
      <c r="AU3" s="802"/>
      <c r="AV3" s="802"/>
      <c r="AW3" s="802"/>
      <c r="AX3" s="802"/>
      <c r="AY3" s="802"/>
      <c r="AZ3" s="802"/>
      <c r="BA3" s="802"/>
      <c r="BB3" s="802"/>
      <c r="BC3" s="802"/>
      <c r="BD3" s="802"/>
    </row>
    <row r="4" spans="1:61" ht="21" customHeight="1" x14ac:dyDescent="0.25">
      <c r="A4" s="1149" t="s">
        <v>320</v>
      </c>
      <c r="B4" s="1331" t="str">
        <f>General!D4</f>
        <v>Name</v>
      </c>
      <c r="C4" s="1331"/>
      <c r="D4" s="1180"/>
      <c r="E4" s="1309"/>
      <c r="F4" s="1309"/>
      <c r="G4" s="1309"/>
      <c r="H4" s="1180"/>
      <c r="I4" s="1309"/>
      <c r="J4" s="1309"/>
      <c r="K4" s="1309"/>
      <c r="L4" s="1180"/>
      <c r="M4" s="1309"/>
      <c r="N4" s="1309"/>
      <c r="O4" s="1309"/>
      <c r="P4" s="1180"/>
      <c r="Q4" s="1309"/>
      <c r="R4" s="1309"/>
      <c r="S4" s="1309"/>
      <c r="T4" s="1180"/>
      <c r="U4" s="1309"/>
      <c r="V4" s="1309"/>
      <c r="W4" s="1309"/>
      <c r="X4" s="1180"/>
      <c r="Y4" s="1309"/>
      <c r="Z4" s="1309"/>
      <c r="AA4" s="1309"/>
      <c r="AB4" s="1177"/>
      <c r="AC4" s="957"/>
      <c r="AD4" s="957"/>
      <c r="AE4" s="958"/>
      <c r="AF4" s="802"/>
      <c r="AG4" s="802"/>
      <c r="AH4" s="802"/>
      <c r="AI4" s="802"/>
      <c r="AJ4" s="802"/>
      <c r="AK4" s="802"/>
      <c r="AL4" s="802"/>
      <c r="AM4" s="802"/>
      <c r="AN4" s="802"/>
      <c r="AO4" s="802"/>
      <c r="AP4" s="802"/>
      <c r="AQ4" s="802"/>
      <c r="AR4" s="802"/>
      <c r="AS4" s="802"/>
      <c r="AT4" s="802"/>
      <c r="AU4" s="802"/>
      <c r="AV4" s="802"/>
      <c r="AW4" s="802"/>
      <c r="AX4" s="802"/>
      <c r="AY4" s="802"/>
      <c r="AZ4" s="802"/>
      <c r="BA4" s="802"/>
      <c r="BB4" s="802"/>
      <c r="BC4" s="802"/>
      <c r="BD4" s="802"/>
    </row>
    <row r="5" spans="1:61" ht="22" customHeight="1" x14ac:dyDescent="0.25">
      <c r="A5" s="1149" t="s">
        <v>321</v>
      </c>
      <c r="B5" s="1331" t="str">
        <f>General!D5</f>
        <v>Name</v>
      </c>
      <c r="C5" s="1331"/>
      <c r="D5" s="960"/>
      <c r="E5" s="960"/>
      <c r="F5" s="960"/>
      <c r="G5" s="960"/>
      <c r="H5" s="1180"/>
      <c r="I5" s="960"/>
      <c r="J5" s="960"/>
      <c r="K5" s="960"/>
      <c r="L5" s="1180"/>
      <c r="M5" s="960"/>
      <c r="N5" s="960"/>
      <c r="O5" s="960"/>
      <c r="P5" s="1180"/>
      <c r="Q5" s="960"/>
      <c r="R5" s="960"/>
      <c r="S5" s="960"/>
      <c r="T5" s="1180"/>
      <c r="U5" s="960"/>
      <c r="V5" s="960"/>
      <c r="W5" s="960"/>
      <c r="X5" s="1180"/>
      <c r="Y5" s="960"/>
      <c r="Z5" s="960"/>
      <c r="AA5" s="960"/>
      <c r="AB5" s="972"/>
      <c r="AC5" s="960"/>
      <c r="AD5" s="960"/>
      <c r="AE5" s="958"/>
      <c r="AF5" s="803"/>
      <c r="AG5" s="803"/>
      <c r="AH5" s="803"/>
      <c r="AR5" s="803"/>
      <c r="AS5" s="803"/>
      <c r="AT5" s="803"/>
      <c r="AU5" s="803"/>
      <c r="AV5" s="803"/>
      <c r="AW5" s="803"/>
      <c r="AX5" s="803"/>
      <c r="AZ5" s="803"/>
      <c r="BA5" s="803"/>
      <c r="BB5" s="803"/>
      <c r="BC5" s="803"/>
      <c r="BD5" s="803"/>
      <c r="BE5" s="803"/>
      <c r="BF5" s="803"/>
      <c r="BG5" s="1307"/>
      <c r="BH5" s="1307"/>
      <c r="BI5" s="1307"/>
    </row>
    <row r="6" spans="1:61" ht="24" customHeight="1" x14ac:dyDescent="0.25">
      <c r="A6" s="961"/>
      <c r="B6" s="962"/>
      <c r="C6" s="962"/>
      <c r="D6" s="960"/>
      <c r="E6" s="1314" t="str">
        <f>Period1_Label</f>
        <v>FY 1</v>
      </c>
      <c r="F6" s="1315"/>
      <c r="G6" s="1316"/>
      <c r="H6" s="1180"/>
      <c r="I6" s="1314" t="str">
        <f>Period2_Label</f>
        <v>FY 2</v>
      </c>
      <c r="J6" s="1315"/>
      <c r="K6" s="1316"/>
      <c r="L6" s="1180"/>
      <c r="M6" s="1314" t="str">
        <f>Period3_Label</f>
        <v>FY 3</v>
      </c>
      <c r="N6" s="1315"/>
      <c r="O6" s="1316"/>
      <c r="P6" s="1180"/>
      <c r="Q6" s="1314" t="str">
        <f>Period4_Label</f>
        <v>FY 4</v>
      </c>
      <c r="R6" s="1315"/>
      <c r="S6" s="1316"/>
      <c r="T6" s="1180"/>
      <c r="U6" s="1314" t="str">
        <f>Period5_Label</f>
        <v>FY 5</v>
      </c>
      <c r="V6" s="1315"/>
      <c r="W6" s="1316"/>
      <c r="X6" s="1180"/>
      <c r="Y6" s="1314" t="str">
        <f>Period6_Label</f>
        <v>FY 6</v>
      </c>
      <c r="Z6" s="1315"/>
      <c r="AA6" s="1316"/>
      <c r="AB6" s="972"/>
      <c r="AC6" s="1312" t="s">
        <v>322</v>
      </c>
      <c r="AD6" s="1313"/>
      <c r="AE6" s="958"/>
      <c r="AF6" s="804"/>
      <c r="AG6" s="804"/>
      <c r="AH6" s="804"/>
      <c r="AJ6" s="804"/>
      <c r="AK6" s="804"/>
      <c r="AL6" s="804"/>
      <c r="AM6" s="804"/>
      <c r="AN6" s="804"/>
      <c r="AO6" s="804"/>
      <c r="AP6" s="804"/>
      <c r="AR6" s="804"/>
      <c r="AS6" s="804"/>
      <c r="AT6" s="804"/>
      <c r="AU6" s="804"/>
      <c r="AV6" s="804"/>
      <c r="AW6" s="804"/>
      <c r="AX6" s="804"/>
      <c r="AZ6" s="804"/>
      <c r="BA6" s="804"/>
      <c r="BB6" s="804"/>
      <c r="BC6" s="804"/>
      <c r="BD6" s="804"/>
      <c r="BE6" s="804"/>
      <c r="BF6" s="804"/>
    </row>
    <row r="7" spans="1:61" ht="21.65" customHeight="1" x14ac:dyDescent="0.25">
      <c r="A7" s="1336" t="s">
        <v>323</v>
      </c>
      <c r="B7" s="1336"/>
      <c r="C7" s="1336"/>
      <c r="D7" s="960"/>
      <c r="E7" s="1308" t="str">
        <f>CONCATENATE(TEXT('Proposer Constants'!C14,"MM/DD/YY")," to ",TEXT('Proposer Constants'!C15,"MM/DD/YY"))</f>
        <v>06/01/25 to 05/31/26</v>
      </c>
      <c r="F7" s="1308"/>
      <c r="G7" s="1308"/>
      <c r="H7" s="1180"/>
      <c r="I7" s="1308" t="str">
        <f>CONCATENATE(TEXT('Proposer Constants'!D14,"MM/DD/YY")," to ",TEXT('Proposer Constants'!D15,"MM/DD/YY"))</f>
        <v>06/01/26 to 05/31/27</v>
      </c>
      <c r="J7" s="1308"/>
      <c r="K7" s="1308"/>
      <c r="L7" s="1180"/>
      <c r="M7" s="1308" t="str">
        <f>CONCATENATE(TEXT('Proposer Constants'!E14,"MM/DD/YY")," to ",TEXT('Proposer Constants'!E15,"MM/DD/YY"))</f>
        <v>06/01/27 to 05/31/28</v>
      </c>
      <c r="N7" s="1308"/>
      <c r="O7" s="1308"/>
      <c r="P7" s="1180"/>
      <c r="Q7" s="1308" t="str">
        <f>CONCATENATE(TEXT('Proposer Constants'!F14,"MM/DD/YY")," to ",TEXT('Proposer Constants'!F15,"MM/DD/YY"))</f>
        <v>06/01/28 to 05/31/29</v>
      </c>
      <c r="R7" s="1308"/>
      <c r="S7" s="1308"/>
      <c r="T7" s="1180"/>
      <c r="U7" s="1308" t="str">
        <f>CONCATENATE(TEXT('Proposer Constants'!G14,"MM/DD/YY")," to ",TEXT('Proposer Constants'!G15,"MM/DD/YY"))</f>
        <v>06/01/29 to 05/31/30</v>
      </c>
      <c r="V7" s="1308"/>
      <c r="W7" s="1308"/>
      <c r="X7" s="1180"/>
      <c r="Y7" s="1308" t="str">
        <f>CONCATENATE(TEXT('Proposer Constants'!H14,"MM/DD/YY")," to ",TEXT('Proposer Constants'!H15,"MM/DD/YY"))</f>
        <v>06/01/30 to 05/31/31</v>
      </c>
      <c r="Z7" s="1308"/>
      <c r="AA7" s="1308"/>
      <c r="AB7" s="973"/>
      <c r="AC7" s="1310" t="s">
        <v>324</v>
      </c>
      <c r="AD7" s="1311"/>
      <c r="AE7" s="958"/>
      <c r="AF7" s="802"/>
      <c r="AG7" s="802"/>
      <c r="AH7" s="802"/>
      <c r="AI7" s="802"/>
      <c r="AL7" s="802"/>
      <c r="AM7" s="805"/>
      <c r="AN7" s="802"/>
      <c r="AO7" s="802"/>
      <c r="AP7" s="802"/>
      <c r="AQ7" s="802"/>
      <c r="AS7" s="804"/>
      <c r="AT7" s="802"/>
      <c r="AU7" s="805"/>
      <c r="AV7" s="802"/>
    </row>
    <row r="8" spans="1:61" s="616" customFormat="1" ht="31.5" customHeight="1" x14ac:dyDescent="0.25">
      <c r="A8" s="1332" t="s">
        <v>325</v>
      </c>
      <c r="B8" s="1333"/>
      <c r="C8" s="1098" t="s">
        <v>326</v>
      </c>
      <c r="D8" s="963"/>
      <c r="E8" s="617" t="s">
        <v>327</v>
      </c>
      <c r="F8" s="617" t="s">
        <v>328</v>
      </c>
      <c r="G8" s="617" t="s">
        <v>329</v>
      </c>
      <c r="H8" s="1180"/>
      <c r="I8" s="617" t="s">
        <v>327</v>
      </c>
      <c r="J8" s="617" t="s">
        <v>328</v>
      </c>
      <c r="K8" s="617" t="s">
        <v>329</v>
      </c>
      <c r="L8" s="1180"/>
      <c r="M8" s="617" t="s">
        <v>327</v>
      </c>
      <c r="N8" s="617" t="s">
        <v>328</v>
      </c>
      <c r="O8" s="617" t="s">
        <v>329</v>
      </c>
      <c r="P8" s="1180"/>
      <c r="Q8" s="617" t="s">
        <v>327</v>
      </c>
      <c r="R8" s="617" t="s">
        <v>328</v>
      </c>
      <c r="S8" s="617" t="s">
        <v>329</v>
      </c>
      <c r="T8" s="1180"/>
      <c r="U8" s="617" t="s">
        <v>327</v>
      </c>
      <c r="V8" s="617" t="s">
        <v>328</v>
      </c>
      <c r="W8" s="617" t="s">
        <v>329</v>
      </c>
      <c r="X8" s="1180"/>
      <c r="Y8" s="617" t="s">
        <v>327</v>
      </c>
      <c r="Z8" s="617" t="s">
        <v>328</v>
      </c>
      <c r="AA8" s="617" t="s">
        <v>329</v>
      </c>
      <c r="AB8" s="974"/>
      <c r="AC8" s="617" t="s">
        <v>330</v>
      </c>
      <c r="AD8" s="617" t="s">
        <v>331</v>
      </c>
      <c r="AE8" s="958"/>
    </row>
    <row r="9" spans="1:61" ht="15" customHeight="1" x14ac:dyDescent="0.25">
      <c r="A9" s="1321" t="str">
        <f>IF(ISBLANK('Labor Rates'!D8),"",'Labor Rates'!D8)</f>
        <v/>
      </c>
      <c r="B9" s="1322"/>
      <c r="C9" s="949" t="str">
        <f>IF(ISBLANK('Labor Rates'!E8),"",'Labor Rates'!E8)</f>
        <v/>
      </c>
      <c r="D9" s="960"/>
      <c r="E9" s="791">
        <v>0</v>
      </c>
      <c r="F9" s="618">
        <f>'Labor Rates'!F8</f>
        <v>0</v>
      </c>
      <c r="G9" s="619">
        <f>E9*F9</f>
        <v>0</v>
      </c>
      <c r="H9" s="1180"/>
      <c r="I9" s="791">
        <v>0</v>
      </c>
      <c r="J9" s="618">
        <f>'Labor Rates'!H8</f>
        <v>0</v>
      </c>
      <c r="K9" s="619">
        <f>I9*J9</f>
        <v>0</v>
      </c>
      <c r="L9" s="1180"/>
      <c r="M9" s="791">
        <v>0</v>
      </c>
      <c r="N9" s="618">
        <f>'Labor Rates'!J8</f>
        <v>0</v>
      </c>
      <c r="O9" s="619">
        <f>M9*N9</f>
        <v>0</v>
      </c>
      <c r="P9" s="1180"/>
      <c r="Q9" s="791">
        <v>0</v>
      </c>
      <c r="R9" s="618">
        <f>'Labor Rates'!L8</f>
        <v>0</v>
      </c>
      <c r="S9" s="619">
        <f>Q9*R9</f>
        <v>0</v>
      </c>
      <c r="T9" s="1180"/>
      <c r="U9" s="791">
        <v>0</v>
      </c>
      <c r="V9" s="618">
        <f>'Labor Rates'!N8</f>
        <v>0</v>
      </c>
      <c r="W9" s="619">
        <f>U9*V9</f>
        <v>0</v>
      </c>
      <c r="X9" s="1180"/>
      <c r="Y9" s="791">
        <v>0</v>
      </c>
      <c r="Z9" s="618">
        <f>'Labor Rates'!P8</f>
        <v>0</v>
      </c>
      <c r="AA9" s="619">
        <f>Y9*Z9</f>
        <v>0</v>
      </c>
      <c r="AB9" s="975"/>
      <c r="AC9" s="1002">
        <f t="shared" ref="AC9:AC32" si="0">E9+I9+M9+Q9+U9+Y9</f>
        <v>0</v>
      </c>
      <c r="AD9" s="619">
        <f t="shared" ref="AD9:AD32" si="1">G9+K9+O9+S9+W9+AA9</f>
        <v>0</v>
      </c>
      <c r="AE9" s="958"/>
    </row>
    <row r="10" spans="1:61" ht="15" customHeight="1" x14ac:dyDescent="0.25">
      <c r="A10" s="1321" t="str">
        <f>IF(ISBLANK('Labor Rates'!D9),"",'Labor Rates'!D9)</f>
        <v/>
      </c>
      <c r="B10" s="1322"/>
      <c r="C10" s="949" t="str">
        <f>IF(ISBLANK('Labor Rates'!E9),"",'Labor Rates'!E9)</f>
        <v/>
      </c>
      <c r="D10" s="960"/>
      <c r="E10" s="791">
        <v>0</v>
      </c>
      <c r="F10" s="618">
        <f>'Labor Rates'!F9</f>
        <v>0</v>
      </c>
      <c r="G10" s="619">
        <f t="shared" ref="G10:G32" si="2">E10*F10</f>
        <v>0</v>
      </c>
      <c r="H10" s="1180"/>
      <c r="I10" s="791">
        <v>0</v>
      </c>
      <c r="J10" s="618">
        <f>'Labor Rates'!H9</f>
        <v>0</v>
      </c>
      <c r="K10" s="619">
        <f t="shared" ref="K10:K32" si="3">I10*J10</f>
        <v>0</v>
      </c>
      <c r="L10" s="1180"/>
      <c r="M10" s="791">
        <v>0</v>
      </c>
      <c r="N10" s="618">
        <f>'Labor Rates'!J9</f>
        <v>0</v>
      </c>
      <c r="O10" s="619">
        <f t="shared" ref="O10:O32" si="4">M10*N10</f>
        <v>0</v>
      </c>
      <c r="P10" s="1180"/>
      <c r="Q10" s="791">
        <v>0</v>
      </c>
      <c r="R10" s="618">
        <f>'Labor Rates'!L9</f>
        <v>0</v>
      </c>
      <c r="S10" s="619">
        <f t="shared" ref="S10:S32" si="5">Q10*R10</f>
        <v>0</v>
      </c>
      <c r="T10" s="1180"/>
      <c r="U10" s="791">
        <v>0</v>
      </c>
      <c r="V10" s="618">
        <f>'Labor Rates'!N9</f>
        <v>0</v>
      </c>
      <c r="W10" s="619">
        <f t="shared" ref="W10:W32" si="6">U10*V10</f>
        <v>0</v>
      </c>
      <c r="X10" s="1180"/>
      <c r="Y10" s="791">
        <v>0</v>
      </c>
      <c r="Z10" s="618">
        <f>'Labor Rates'!P9</f>
        <v>0</v>
      </c>
      <c r="AA10" s="619">
        <f t="shared" ref="AA10:AA32" si="7">Y10*Z10</f>
        <v>0</v>
      </c>
      <c r="AB10" s="975"/>
      <c r="AC10" s="1002">
        <f t="shared" si="0"/>
        <v>0</v>
      </c>
      <c r="AD10" s="619">
        <f t="shared" si="1"/>
        <v>0</v>
      </c>
      <c r="AE10" s="958"/>
    </row>
    <row r="11" spans="1:61" ht="15" customHeight="1" x14ac:dyDescent="0.25">
      <c r="A11" s="1321" t="str">
        <f>IF(ISBLANK('Labor Rates'!D10),"",'Labor Rates'!D10)</f>
        <v/>
      </c>
      <c r="B11" s="1322"/>
      <c r="C11" s="949" t="str">
        <f>IF(ISBLANK('Labor Rates'!E10),"",'Labor Rates'!E10)</f>
        <v/>
      </c>
      <c r="D11" s="960"/>
      <c r="E11" s="791">
        <v>0</v>
      </c>
      <c r="F11" s="618">
        <f>'Labor Rates'!F10</f>
        <v>0</v>
      </c>
      <c r="G11" s="619">
        <f t="shared" si="2"/>
        <v>0</v>
      </c>
      <c r="H11" s="1180"/>
      <c r="I11" s="791">
        <v>0</v>
      </c>
      <c r="J11" s="618">
        <f>'Labor Rates'!H10</f>
        <v>0</v>
      </c>
      <c r="K11" s="619">
        <f t="shared" si="3"/>
        <v>0</v>
      </c>
      <c r="L11" s="1180"/>
      <c r="M11" s="791">
        <v>0</v>
      </c>
      <c r="N11" s="618">
        <f>'Labor Rates'!J10</f>
        <v>0</v>
      </c>
      <c r="O11" s="619">
        <f t="shared" si="4"/>
        <v>0</v>
      </c>
      <c r="P11" s="1180"/>
      <c r="Q11" s="791">
        <v>0</v>
      </c>
      <c r="R11" s="618">
        <f>'Labor Rates'!L10</f>
        <v>0</v>
      </c>
      <c r="S11" s="619">
        <f t="shared" si="5"/>
        <v>0</v>
      </c>
      <c r="T11" s="1180"/>
      <c r="U11" s="791">
        <v>0</v>
      </c>
      <c r="V11" s="618">
        <f>'Labor Rates'!N10</f>
        <v>0</v>
      </c>
      <c r="W11" s="619">
        <f t="shared" si="6"/>
        <v>0</v>
      </c>
      <c r="X11" s="1180"/>
      <c r="Y11" s="791">
        <v>0</v>
      </c>
      <c r="Z11" s="618">
        <f>'Labor Rates'!P10</f>
        <v>0</v>
      </c>
      <c r="AA11" s="619">
        <f t="shared" si="7"/>
        <v>0</v>
      </c>
      <c r="AB11" s="975"/>
      <c r="AC11" s="1002">
        <f t="shared" si="0"/>
        <v>0</v>
      </c>
      <c r="AD11" s="619">
        <f t="shared" si="1"/>
        <v>0</v>
      </c>
      <c r="AE11" s="958"/>
    </row>
    <row r="12" spans="1:61" ht="15" customHeight="1" x14ac:dyDescent="0.25">
      <c r="A12" s="1321" t="str">
        <f>IF(ISBLANK('Labor Rates'!D11),"",'Labor Rates'!D11)</f>
        <v/>
      </c>
      <c r="B12" s="1322"/>
      <c r="C12" s="949" t="str">
        <f>IF(ISBLANK('Labor Rates'!E11),"",'Labor Rates'!E11)</f>
        <v/>
      </c>
      <c r="D12" s="960"/>
      <c r="E12" s="791">
        <v>0</v>
      </c>
      <c r="F12" s="618">
        <f>'Labor Rates'!F11</f>
        <v>0</v>
      </c>
      <c r="G12" s="619">
        <f t="shared" si="2"/>
        <v>0</v>
      </c>
      <c r="H12" s="1180"/>
      <c r="I12" s="791">
        <v>0</v>
      </c>
      <c r="J12" s="618">
        <f>'Labor Rates'!H11</f>
        <v>0</v>
      </c>
      <c r="K12" s="619">
        <f t="shared" si="3"/>
        <v>0</v>
      </c>
      <c r="L12" s="1180"/>
      <c r="M12" s="791">
        <v>0</v>
      </c>
      <c r="N12" s="618">
        <f>'Labor Rates'!J11</f>
        <v>0</v>
      </c>
      <c r="O12" s="619">
        <f t="shared" si="4"/>
        <v>0</v>
      </c>
      <c r="P12" s="1180"/>
      <c r="Q12" s="791">
        <v>0</v>
      </c>
      <c r="R12" s="618">
        <f>'Labor Rates'!L11</f>
        <v>0</v>
      </c>
      <c r="S12" s="619">
        <f t="shared" si="5"/>
        <v>0</v>
      </c>
      <c r="T12" s="1180"/>
      <c r="U12" s="791">
        <v>0</v>
      </c>
      <c r="V12" s="618">
        <f>'Labor Rates'!N11</f>
        <v>0</v>
      </c>
      <c r="W12" s="619">
        <f t="shared" si="6"/>
        <v>0</v>
      </c>
      <c r="X12" s="1180"/>
      <c r="Y12" s="791">
        <v>0</v>
      </c>
      <c r="Z12" s="618">
        <f>'Labor Rates'!P11</f>
        <v>0</v>
      </c>
      <c r="AA12" s="619">
        <f t="shared" si="7"/>
        <v>0</v>
      </c>
      <c r="AB12" s="975"/>
      <c r="AC12" s="1002">
        <f t="shared" si="0"/>
        <v>0</v>
      </c>
      <c r="AD12" s="619">
        <f t="shared" si="1"/>
        <v>0</v>
      </c>
      <c r="AE12" s="958"/>
    </row>
    <row r="13" spans="1:61" ht="15" customHeight="1" x14ac:dyDescent="0.25">
      <c r="A13" s="1321" t="str">
        <f>IF(ISBLANK('Labor Rates'!D12),"",'Labor Rates'!D12)</f>
        <v/>
      </c>
      <c r="B13" s="1322"/>
      <c r="C13" s="949" t="str">
        <f>IF(ISBLANK('Labor Rates'!E12),"",'Labor Rates'!E12)</f>
        <v/>
      </c>
      <c r="D13" s="960"/>
      <c r="E13" s="791">
        <v>0</v>
      </c>
      <c r="F13" s="618">
        <f>'Labor Rates'!F12</f>
        <v>0</v>
      </c>
      <c r="G13" s="619">
        <f t="shared" si="2"/>
        <v>0</v>
      </c>
      <c r="H13" s="1180"/>
      <c r="I13" s="791">
        <v>0</v>
      </c>
      <c r="J13" s="618">
        <f>'Labor Rates'!H12</f>
        <v>0</v>
      </c>
      <c r="K13" s="619">
        <f t="shared" si="3"/>
        <v>0</v>
      </c>
      <c r="L13" s="1180"/>
      <c r="M13" s="791">
        <v>0</v>
      </c>
      <c r="N13" s="618">
        <f>'Labor Rates'!J12</f>
        <v>0</v>
      </c>
      <c r="O13" s="619">
        <f t="shared" si="4"/>
        <v>0</v>
      </c>
      <c r="P13" s="1180"/>
      <c r="Q13" s="791">
        <v>0</v>
      </c>
      <c r="R13" s="618">
        <f>'Labor Rates'!L12</f>
        <v>0</v>
      </c>
      <c r="S13" s="619">
        <f t="shared" si="5"/>
        <v>0</v>
      </c>
      <c r="T13" s="1180"/>
      <c r="U13" s="791">
        <v>0</v>
      </c>
      <c r="V13" s="618">
        <f>'Labor Rates'!N12</f>
        <v>0</v>
      </c>
      <c r="W13" s="619">
        <f t="shared" si="6"/>
        <v>0</v>
      </c>
      <c r="X13" s="1180"/>
      <c r="Y13" s="791">
        <v>0</v>
      </c>
      <c r="Z13" s="618">
        <f>'Labor Rates'!P12</f>
        <v>0</v>
      </c>
      <c r="AA13" s="619">
        <f t="shared" si="7"/>
        <v>0</v>
      </c>
      <c r="AB13" s="975"/>
      <c r="AC13" s="1002">
        <f t="shared" si="0"/>
        <v>0</v>
      </c>
      <c r="AD13" s="619">
        <f t="shared" si="1"/>
        <v>0</v>
      </c>
      <c r="AE13" s="958"/>
    </row>
    <row r="14" spans="1:61" ht="15" customHeight="1" x14ac:dyDescent="0.25">
      <c r="A14" s="1321" t="str">
        <f>IF(ISBLANK('Labor Rates'!D13),"",'Labor Rates'!D13)</f>
        <v/>
      </c>
      <c r="B14" s="1322"/>
      <c r="C14" s="949" t="str">
        <f>IF(ISBLANK('Labor Rates'!E13),"",'Labor Rates'!E13)</f>
        <v/>
      </c>
      <c r="D14" s="960"/>
      <c r="E14" s="791">
        <v>0</v>
      </c>
      <c r="F14" s="618">
        <f>'Labor Rates'!F13</f>
        <v>0</v>
      </c>
      <c r="G14" s="619">
        <f t="shared" si="2"/>
        <v>0</v>
      </c>
      <c r="H14" s="1180"/>
      <c r="I14" s="791">
        <v>0</v>
      </c>
      <c r="J14" s="618">
        <f>'Labor Rates'!H13</f>
        <v>0</v>
      </c>
      <c r="K14" s="619">
        <f t="shared" si="3"/>
        <v>0</v>
      </c>
      <c r="L14" s="1180"/>
      <c r="M14" s="791">
        <v>0</v>
      </c>
      <c r="N14" s="618">
        <f>'Labor Rates'!J13</f>
        <v>0</v>
      </c>
      <c r="O14" s="619">
        <f t="shared" si="4"/>
        <v>0</v>
      </c>
      <c r="P14" s="1180"/>
      <c r="Q14" s="791">
        <v>0</v>
      </c>
      <c r="R14" s="618">
        <f>'Labor Rates'!L13</f>
        <v>0</v>
      </c>
      <c r="S14" s="619">
        <f t="shared" si="5"/>
        <v>0</v>
      </c>
      <c r="T14" s="1180"/>
      <c r="U14" s="791">
        <v>0</v>
      </c>
      <c r="V14" s="618">
        <f>'Labor Rates'!N13</f>
        <v>0</v>
      </c>
      <c r="W14" s="619">
        <f t="shared" si="6"/>
        <v>0</v>
      </c>
      <c r="X14" s="1180"/>
      <c r="Y14" s="791">
        <v>0</v>
      </c>
      <c r="Z14" s="618">
        <f>'Labor Rates'!P13</f>
        <v>0</v>
      </c>
      <c r="AA14" s="619">
        <f t="shared" si="7"/>
        <v>0</v>
      </c>
      <c r="AB14" s="975"/>
      <c r="AC14" s="1002">
        <f t="shared" si="0"/>
        <v>0</v>
      </c>
      <c r="AD14" s="619">
        <f t="shared" si="1"/>
        <v>0</v>
      </c>
      <c r="AE14" s="958"/>
    </row>
    <row r="15" spans="1:61" ht="15" customHeight="1" x14ac:dyDescent="0.25">
      <c r="A15" s="1321" t="str">
        <f>IF(ISBLANK('Labor Rates'!D14),"",'Labor Rates'!D14)</f>
        <v/>
      </c>
      <c r="B15" s="1322"/>
      <c r="C15" s="949" t="str">
        <f>IF(ISBLANK('Labor Rates'!E14),"",'Labor Rates'!E14)</f>
        <v/>
      </c>
      <c r="D15" s="960"/>
      <c r="E15" s="791">
        <v>0</v>
      </c>
      <c r="F15" s="618">
        <f>'Labor Rates'!F14</f>
        <v>0</v>
      </c>
      <c r="G15" s="619">
        <f t="shared" si="2"/>
        <v>0</v>
      </c>
      <c r="H15" s="1180"/>
      <c r="I15" s="791">
        <v>0</v>
      </c>
      <c r="J15" s="618">
        <f>'Labor Rates'!H14</f>
        <v>0</v>
      </c>
      <c r="K15" s="619">
        <f t="shared" si="3"/>
        <v>0</v>
      </c>
      <c r="L15" s="1180"/>
      <c r="M15" s="791">
        <v>0</v>
      </c>
      <c r="N15" s="618">
        <f>'Labor Rates'!J14</f>
        <v>0</v>
      </c>
      <c r="O15" s="619">
        <f t="shared" si="4"/>
        <v>0</v>
      </c>
      <c r="P15" s="1180"/>
      <c r="Q15" s="791">
        <v>0</v>
      </c>
      <c r="R15" s="618">
        <f>'Labor Rates'!L14</f>
        <v>0</v>
      </c>
      <c r="S15" s="619">
        <f t="shared" si="5"/>
        <v>0</v>
      </c>
      <c r="T15" s="1180"/>
      <c r="U15" s="791">
        <v>0</v>
      </c>
      <c r="V15" s="618">
        <f>'Labor Rates'!N14</f>
        <v>0</v>
      </c>
      <c r="W15" s="619">
        <f t="shared" si="6"/>
        <v>0</v>
      </c>
      <c r="X15" s="1180"/>
      <c r="Y15" s="791">
        <v>0</v>
      </c>
      <c r="Z15" s="618">
        <f>'Labor Rates'!P14</f>
        <v>0</v>
      </c>
      <c r="AA15" s="619">
        <f t="shared" si="7"/>
        <v>0</v>
      </c>
      <c r="AB15" s="975"/>
      <c r="AC15" s="1002">
        <f t="shared" si="0"/>
        <v>0</v>
      </c>
      <c r="AD15" s="619">
        <f t="shared" si="1"/>
        <v>0</v>
      </c>
      <c r="AE15" s="958"/>
    </row>
    <row r="16" spans="1:61" ht="15" customHeight="1" x14ac:dyDescent="0.25">
      <c r="A16" s="1321" t="str">
        <f>IF(ISBLANK('Labor Rates'!D15),"",'Labor Rates'!D15)</f>
        <v/>
      </c>
      <c r="B16" s="1322"/>
      <c r="C16" s="949" t="str">
        <f>IF(ISBLANK('Labor Rates'!E15),"",'Labor Rates'!E15)</f>
        <v/>
      </c>
      <c r="D16" s="960"/>
      <c r="E16" s="791">
        <v>0</v>
      </c>
      <c r="F16" s="618">
        <f>'Labor Rates'!F15</f>
        <v>0</v>
      </c>
      <c r="G16" s="619">
        <f t="shared" si="2"/>
        <v>0</v>
      </c>
      <c r="H16" s="1180"/>
      <c r="I16" s="791">
        <v>0</v>
      </c>
      <c r="J16" s="618">
        <f>'Labor Rates'!H15</f>
        <v>0</v>
      </c>
      <c r="K16" s="619">
        <f t="shared" si="3"/>
        <v>0</v>
      </c>
      <c r="L16" s="1180"/>
      <c r="M16" s="791">
        <v>0</v>
      </c>
      <c r="N16" s="618">
        <f>'Labor Rates'!J15</f>
        <v>0</v>
      </c>
      <c r="O16" s="619">
        <f t="shared" si="4"/>
        <v>0</v>
      </c>
      <c r="P16" s="1180"/>
      <c r="Q16" s="791">
        <v>0</v>
      </c>
      <c r="R16" s="618">
        <f>'Labor Rates'!L15</f>
        <v>0</v>
      </c>
      <c r="S16" s="619">
        <f t="shared" si="5"/>
        <v>0</v>
      </c>
      <c r="T16" s="1180"/>
      <c r="U16" s="791">
        <v>0</v>
      </c>
      <c r="V16" s="618">
        <f>'Labor Rates'!N15</f>
        <v>0</v>
      </c>
      <c r="W16" s="619">
        <f t="shared" si="6"/>
        <v>0</v>
      </c>
      <c r="X16" s="1180"/>
      <c r="Y16" s="791">
        <v>0</v>
      </c>
      <c r="Z16" s="618">
        <f>'Labor Rates'!P15</f>
        <v>0</v>
      </c>
      <c r="AA16" s="619">
        <f t="shared" si="7"/>
        <v>0</v>
      </c>
      <c r="AB16" s="975"/>
      <c r="AC16" s="1002">
        <f t="shared" si="0"/>
        <v>0</v>
      </c>
      <c r="AD16" s="619">
        <f t="shared" si="1"/>
        <v>0</v>
      </c>
      <c r="AE16" s="958"/>
    </row>
    <row r="17" spans="1:31" ht="15" customHeight="1" x14ac:dyDescent="0.25">
      <c r="A17" s="1321" t="str">
        <f>IF(ISBLANK('Labor Rates'!D16),"",'Labor Rates'!D16)</f>
        <v/>
      </c>
      <c r="B17" s="1322"/>
      <c r="C17" s="950" t="str">
        <f>IF(ISBLANK('Labor Rates'!E16),"",'Labor Rates'!E16)</f>
        <v/>
      </c>
      <c r="D17" s="960"/>
      <c r="E17" s="791">
        <v>0</v>
      </c>
      <c r="F17" s="618">
        <f>'Labor Rates'!F16</f>
        <v>0</v>
      </c>
      <c r="G17" s="619">
        <f t="shared" si="2"/>
        <v>0</v>
      </c>
      <c r="H17" s="1180"/>
      <c r="I17" s="791">
        <v>0</v>
      </c>
      <c r="J17" s="618">
        <f>'Labor Rates'!H16</f>
        <v>0</v>
      </c>
      <c r="K17" s="619">
        <f t="shared" si="3"/>
        <v>0</v>
      </c>
      <c r="L17" s="1180"/>
      <c r="M17" s="791">
        <v>0</v>
      </c>
      <c r="N17" s="618">
        <f>'Labor Rates'!J16</f>
        <v>0</v>
      </c>
      <c r="O17" s="619">
        <f t="shared" si="4"/>
        <v>0</v>
      </c>
      <c r="P17" s="1180"/>
      <c r="Q17" s="791">
        <v>0</v>
      </c>
      <c r="R17" s="618">
        <f>'Labor Rates'!L16</f>
        <v>0</v>
      </c>
      <c r="S17" s="619">
        <f t="shared" si="5"/>
        <v>0</v>
      </c>
      <c r="T17" s="1180"/>
      <c r="U17" s="791">
        <v>0</v>
      </c>
      <c r="V17" s="618">
        <f>'Labor Rates'!N16</f>
        <v>0</v>
      </c>
      <c r="W17" s="619">
        <f t="shared" si="6"/>
        <v>0</v>
      </c>
      <c r="X17" s="1180"/>
      <c r="Y17" s="791">
        <v>0</v>
      </c>
      <c r="Z17" s="618">
        <f>'Labor Rates'!P16</f>
        <v>0</v>
      </c>
      <c r="AA17" s="619">
        <f t="shared" si="7"/>
        <v>0</v>
      </c>
      <c r="AB17" s="975"/>
      <c r="AC17" s="1002">
        <f t="shared" si="0"/>
        <v>0</v>
      </c>
      <c r="AD17" s="619">
        <f t="shared" si="1"/>
        <v>0</v>
      </c>
      <c r="AE17" s="958"/>
    </row>
    <row r="18" spans="1:31" ht="15" customHeight="1" x14ac:dyDescent="0.25">
      <c r="A18" s="1321" t="str">
        <f>IF(ISBLANK('Labor Rates'!D17),"",'Labor Rates'!D17)</f>
        <v/>
      </c>
      <c r="B18" s="1322"/>
      <c r="C18" s="950" t="str">
        <f>IF(ISBLANK('Labor Rates'!E17),"",'Labor Rates'!E17)</f>
        <v/>
      </c>
      <c r="D18" s="960"/>
      <c r="E18" s="791">
        <v>0</v>
      </c>
      <c r="F18" s="618">
        <f>'Labor Rates'!F17</f>
        <v>0</v>
      </c>
      <c r="G18" s="619">
        <f t="shared" si="2"/>
        <v>0</v>
      </c>
      <c r="H18" s="1180"/>
      <c r="I18" s="791">
        <v>0</v>
      </c>
      <c r="J18" s="618">
        <f>'Labor Rates'!H17</f>
        <v>0</v>
      </c>
      <c r="K18" s="619">
        <f t="shared" si="3"/>
        <v>0</v>
      </c>
      <c r="L18" s="1180"/>
      <c r="M18" s="791">
        <v>0</v>
      </c>
      <c r="N18" s="618">
        <f>'Labor Rates'!J17</f>
        <v>0</v>
      </c>
      <c r="O18" s="619">
        <f t="shared" si="4"/>
        <v>0</v>
      </c>
      <c r="P18" s="1180"/>
      <c r="Q18" s="791">
        <v>0</v>
      </c>
      <c r="R18" s="618">
        <f>'Labor Rates'!L17</f>
        <v>0</v>
      </c>
      <c r="S18" s="619">
        <f t="shared" si="5"/>
        <v>0</v>
      </c>
      <c r="T18" s="1180"/>
      <c r="U18" s="791">
        <v>0</v>
      </c>
      <c r="V18" s="618">
        <f>'Labor Rates'!N17</f>
        <v>0</v>
      </c>
      <c r="W18" s="619">
        <f t="shared" si="6"/>
        <v>0</v>
      </c>
      <c r="X18" s="1180"/>
      <c r="Y18" s="791">
        <v>0</v>
      </c>
      <c r="Z18" s="618">
        <f>'Labor Rates'!P17</f>
        <v>0</v>
      </c>
      <c r="AA18" s="619">
        <f t="shared" si="7"/>
        <v>0</v>
      </c>
      <c r="AB18" s="975"/>
      <c r="AC18" s="1002">
        <f t="shared" si="0"/>
        <v>0</v>
      </c>
      <c r="AD18" s="619">
        <f t="shared" si="1"/>
        <v>0</v>
      </c>
      <c r="AE18" s="958"/>
    </row>
    <row r="19" spans="1:31" ht="15" customHeight="1" x14ac:dyDescent="0.25">
      <c r="A19" s="1321" t="str">
        <f>IF(ISBLANK('Labor Rates'!D18),"",'Labor Rates'!D18)</f>
        <v/>
      </c>
      <c r="B19" s="1322"/>
      <c r="C19" s="950" t="str">
        <f>IF(ISBLANK('Labor Rates'!E18),"",'Labor Rates'!E18)</f>
        <v/>
      </c>
      <c r="D19" s="960"/>
      <c r="E19" s="791">
        <v>0</v>
      </c>
      <c r="F19" s="618">
        <f>'Labor Rates'!F18</f>
        <v>0</v>
      </c>
      <c r="G19" s="619">
        <f t="shared" si="2"/>
        <v>0</v>
      </c>
      <c r="H19" s="1180"/>
      <c r="I19" s="791">
        <v>0</v>
      </c>
      <c r="J19" s="618">
        <f>'Labor Rates'!H18</f>
        <v>0</v>
      </c>
      <c r="K19" s="619">
        <f t="shared" si="3"/>
        <v>0</v>
      </c>
      <c r="L19" s="1180"/>
      <c r="M19" s="791">
        <v>0</v>
      </c>
      <c r="N19" s="618">
        <f>'Labor Rates'!J18</f>
        <v>0</v>
      </c>
      <c r="O19" s="619">
        <f t="shared" si="4"/>
        <v>0</v>
      </c>
      <c r="P19" s="1180"/>
      <c r="Q19" s="791">
        <v>0</v>
      </c>
      <c r="R19" s="618">
        <f>'Labor Rates'!L18</f>
        <v>0</v>
      </c>
      <c r="S19" s="619">
        <f t="shared" si="5"/>
        <v>0</v>
      </c>
      <c r="T19" s="1180"/>
      <c r="U19" s="791">
        <v>0</v>
      </c>
      <c r="V19" s="618">
        <f>'Labor Rates'!N18</f>
        <v>0</v>
      </c>
      <c r="W19" s="619">
        <f t="shared" si="6"/>
        <v>0</v>
      </c>
      <c r="X19" s="1180"/>
      <c r="Y19" s="791">
        <v>0</v>
      </c>
      <c r="Z19" s="618">
        <f>'Labor Rates'!P18</f>
        <v>0</v>
      </c>
      <c r="AA19" s="619">
        <f t="shared" si="7"/>
        <v>0</v>
      </c>
      <c r="AB19" s="975"/>
      <c r="AC19" s="1002">
        <f t="shared" si="0"/>
        <v>0</v>
      </c>
      <c r="AD19" s="619">
        <f t="shared" si="1"/>
        <v>0</v>
      </c>
      <c r="AE19" s="958"/>
    </row>
    <row r="20" spans="1:31" ht="15" customHeight="1" x14ac:dyDescent="0.25">
      <c r="A20" s="1321" t="str">
        <f>IF(ISBLANK('Labor Rates'!D19),"",'Labor Rates'!D19)</f>
        <v/>
      </c>
      <c r="B20" s="1322"/>
      <c r="C20" s="950" t="str">
        <f>IF(ISBLANK('Labor Rates'!E19),"",'Labor Rates'!E19)</f>
        <v/>
      </c>
      <c r="D20" s="960"/>
      <c r="E20" s="791">
        <v>0</v>
      </c>
      <c r="F20" s="618">
        <f>'Labor Rates'!F19</f>
        <v>0</v>
      </c>
      <c r="G20" s="619">
        <f t="shared" si="2"/>
        <v>0</v>
      </c>
      <c r="H20" s="1180"/>
      <c r="I20" s="791">
        <v>0</v>
      </c>
      <c r="J20" s="618">
        <f>'Labor Rates'!H19</f>
        <v>0</v>
      </c>
      <c r="K20" s="619">
        <f t="shared" si="3"/>
        <v>0</v>
      </c>
      <c r="L20" s="1180"/>
      <c r="M20" s="791">
        <v>0</v>
      </c>
      <c r="N20" s="618">
        <f>'Labor Rates'!J19</f>
        <v>0</v>
      </c>
      <c r="O20" s="619">
        <f t="shared" si="4"/>
        <v>0</v>
      </c>
      <c r="P20" s="1180"/>
      <c r="Q20" s="791">
        <v>0</v>
      </c>
      <c r="R20" s="618">
        <f>'Labor Rates'!L19</f>
        <v>0</v>
      </c>
      <c r="S20" s="619">
        <f t="shared" si="5"/>
        <v>0</v>
      </c>
      <c r="T20" s="1180"/>
      <c r="U20" s="791">
        <v>0</v>
      </c>
      <c r="V20" s="618">
        <f>'Labor Rates'!N19</f>
        <v>0</v>
      </c>
      <c r="W20" s="619">
        <f t="shared" si="6"/>
        <v>0</v>
      </c>
      <c r="X20" s="1180"/>
      <c r="Y20" s="791">
        <v>0</v>
      </c>
      <c r="Z20" s="618">
        <f>'Labor Rates'!P19</f>
        <v>0</v>
      </c>
      <c r="AA20" s="619">
        <f t="shared" si="7"/>
        <v>0</v>
      </c>
      <c r="AB20" s="975"/>
      <c r="AC20" s="1002">
        <f t="shared" si="0"/>
        <v>0</v>
      </c>
      <c r="AD20" s="619">
        <f t="shared" si="1"/>
        <v>0</v>
      </c>
      <c r="AE20" s="958"/>
    </row>
    <row r="21" spans="1:31" ht="15" customHeight="1" x14ac:dyDescent="0.25">
      <c r="A21" s="1321" t="str">
        <f>IF(ISBLANK('Labor Rates'!D20),"",'Labor Rates'!D20)</f>
        <v/>
      </c>
      <c r="B21" s="1322"/>
      <c r="C21" s="950" t="str">
        <f>IF(ISBLANK('Labor Rates'!E20),"",'Labor Rates'!E20)</f>
        <v/>
      </c>
      <c r="D21" s="960"/>
      <c r="E21" s="791">
        <v>0</v>
      </c>
      <c r="F21" s="618">
        <f>'Labor Rates'!F20</f>
        <v>0</v>
      </c>
      <c r="G21" s="619">
        <f t="shared" si="2"/>
        <v>0</v>
      </c>
      <c r="H21" s="1180"/>
      <c r="I21" s="791">
        <v>0</v>
      </c>
      <c r="J21" s="618">
        <f>'Labor Rates'!H20</f>
        <v>0</v>
      </c>
      <c r="K21" s="619">
        <f t="shared" si="3"/>
        <v>0</v>
      </c>
      <c r="L21" s="1180"/>
      <c r="M21" s="791">
        <v>0</v>
      </c>
      <c r="N21" s="618">
        <f>'Labor Rates'!J20</f>
        <v>0</v>
      </c>
      <c r="O21" s="619">
        <f t="shared" si="4"/>
        <v>0</v>
      </c>
      <c r="P21" s="1180"/>
      <c r="Q21" s="791">
        <v>0</v>
      </c>
      <c r="R21" s="618">
        <f>'Labor Rates'!L20</f>
        <v>0</v>
      </c>
      <c r="S21" s="619">
        <f t="shared" si="5"/>
        <v>0</v>
      </c>
      <c r="T21" s="1180"/>
      <c r="U21" s="791">
        <v>0</v>
      </c>
      <c r="V21" s="618">
        <f>'Labor Rates'!N20</f>
        <v>0</v>
      </c>
      <c r="W21" s="619">
        <f t="shared" si="6"/>
        <v>0</v>
      </c>
      <c r="X21" s="1180"/>
      <c r="Y21" s="791">
        <v>0</v>
      </c>
      <c r="Z21" s="618">
        <f>'Labor Rates'!P20</f>
        <v>0</v>
      </c>
      <c r="AA21" s="619">
        <f t="shared" si="7"/>
        <v>0</v>
      </c>
      <c r="AB21" s="975"/>
      <c r="AC21" s="1002">
        <f t="shared" si="0"/>
        <v>0</v>
      </c>
      <c r="AD21" s="619">
        <f t="shared" si="1"/>
        <v>0</v>
      </c>
      <c r="AE21" s="958"/>
    </row>
    <row r="22" spans="1:31" ht="15" customHeight="1" x14ac:dyDescent="0.25">
      <c r="A22" s="1321" t="str">
        <f>IF(ISBLANK('Labor Rates'!D21),"",'Labor Rates'!D21)</f>
        <v/>
      </c>
      <c r="B22" s="1322"/>
      <c r="C22" s="950" t="str">
        <f>IF(ISBLANK('Labor Rates'!E21),"",'Labor Rates'!E21)</f>
        <v/>
      </c>
      <c r="D22" s="960"/>
      <c r="E22" s="791">
        <v>0</v>
      </c>
      <c r="F22" s="618">
        <f>'Labor Rates'!F21</f>
        <v>0</v>
      </c>
      <c r="G22" s="619">
        <f t="shared" si="2"/>
        <v>0</v>
      </c>
      <c r="H22" s="1180"/>
      <c r="I22" s="791">
        <v>0</v>
      </c>
      <c r="J22" s="618">
        <f>'Labor Rates'!H21</f>
        <v>0</v>
      </c>
      <c r="K22" s="619">
        <f t="shared" si="3"/>
        <v>0</v>
      </c>
      <c r="L22" s="1180"/>
      <c r="M22" s="791">
        <v>0</v>
      </c>
      <c r="N22" s="618">
        <f>'Labor Rates'!J21</f>
        <v>0</v>
      </c>
      <c r="O22" s="619">
        <f t="shared" si="4"/>
        <v>0</v>
      </c>
      <c r="P22" s="1180"/>
      <c r="Q22" s="791">
        <v>0</v>
      </c>
      <c r="R22" s="618">
        <f>'Labor Rates'!L21</f>
        <v>0</v>
      </c>
      <c r="S22" s="619">
        <f t="shared" si="5"/>
        <v>0</v>
      </c>
      <c r="T22" s="1180"/>
      <c r="U22" s="791">
        <v>0</v>
      </c>
      <c r="V22" s="618">
        <f>'Labor Rates'!N21</f>
        <v>0</v>
      </c>
      <c r="W22" s="619">
        <f t="shared" si="6"/>
        <v>0</v>
      </c>
      <c r="X22" s="1180"/>
      <c r="Y22" s="791">
        <v>0</v>
      </c>
      <c r="Z22" s="618">
        <f>'Labor Rates'!P21</f>
        <v>0</v>
      </c>
      <c r="AA22" s="619">
        <f t="shared" si="7"/>
        <v>0</v>
      </c>
      <c r="AB22" s="975"/>
      <c r="AC22" s="1002">
        <f t="shared" si="0"/>
        <v>0</v>
      </c>
      <c r="AD22" s="619">
        <f t="shared" si="1"/>
        <v>0</v>
      </c>
      <c r="AE22" s="958"/>
    </row>
    <row r="23" spans="1:31" ht="15" customHeight="1" x14ac:dyDescent="0.25">
      <c r="A23" s="1321" t="str">
        <f>IF(ISBLANK('Labor Rates'!D22),"",'Labor Rates'!D22)</f>
        <v/>
      </c>
      <c r="B23" s="1322"/>
      <c r="C23" s="950" t="str">
        <f>IF(ISBLANK('Labor Rates'!E22),"",'Labor Rates'!E22)</f>
        <v/>
      </c>
      <c r="D23" s="960"/>
      <c r="E23" s="791">
        <v>0</v>
      </c>
      <c r="F23" s="618">
        <f>'Labor Rates'!F22</f>
        <v>0</v>
      </c>
      <c r="G23" s="619">
        <f t="shared" si="2"/>
        <v>0</v>
      </c>
      <c r="H23" s="1180"/>
      <c r="I23" s="791">
        <v>0</v>
      </c>
      <c r="J23" s="618">
        <f>'Labor Rates'!H22</f>
        <v>0</v>
      </c>
      <c r="K23" s="619">
        <f t="shared" si="3"/>
        <v>0</v>
      </c>
      <c r="L23" s="1180"/>
      <c r="M23" s="791">
        <v>0</v>
      </c>
      <c r="N23" s="618">
        <f>'Labor Rates'!J22</f>
        <v>0</v>
      </c>
      <c r="O23" s="619">
        <f t="shared" si="4"/>
        <v>0</v>
      </c>
      <c r="P23" s="1180"/>
      <c r="Q23" s="791">
        <v>0</v>
      </c>
      <c r="R23" s="618">
        <f>'Labor Rates'!L22</f>
        <v>0</v>
      </c>
      <c r="S23" s="619">
        <f t="shared" si="5"/>
        <v>0</v>
      </c>
      <c r="T23" s="1180"/>
      <c r="U23" s="791">
        <v>0</v>
      </c>
      <c r="V23" s="618">
        <f>'Labor Rates'!N22</f>
        <v>0</v>
      </c>
      <c r="W23" s="619">
        <f t="shared" si="6"/>
        <v>0</v>
      </c>
      <c r="X23" s="1180"/>
      <c r="Y23" s="791">
        <v>0</v>
      </c>
      <c r="Z23" s="618">
        <f>'Labor Rates'!P22</f>
        <v>0</v>
      </c>
      <c r="AA23" s="619">
        <f t="shared" si="7"/>
        <v>0</v>
      </c>
      <c r="AB23" s="975"/>
      <c r="AC23" s="1002">
        <f t="shared" si="0"/>
        <v>0</v>
      </c>
      <c r="AD23" s="619">
        <f t="shared" si="1"/>
        <v>0</v>
      </c>
      <c r="AE23" s="958"/>
    </row>
    <row r="24" spans="1:31" ht="15" customHeight="1" x14ac:dyDescent="0.25">
      <c r="A24" s="1321" t="str">
        <f>IF(ISBLANK('Labor Rates'!D23),"",'Labor Rates'!D23)</f>
        <v/>
      </c>
      <c r="B24" s="1322"/>
      <c r="C24" s="950" t="str">
        <f>IF(ISBLANK('Labor Rates'!E23),"",'Labor Rates'!E23)</f>
        <v/>
      </c>
      <c r="D24" s="960"/>
      <c r="E24" s="791">
        <v>0</v>
      </c>
      <c r="F24" s="618">
        <f>'Labor Rates'!F23</f>
        <v>0</v>
      </c>
      <c r="G24" s="619">
        <f t="shared" si="2"/>
        <v>0</v>
      </c>
      <c r="H24" s="1180"/>
      <c r="I24" s="791">
        <v>0</v>
      </c>
      <c r="J24" s="618">
        <f>'Labor Rates'!H23</f>
        <v>0</v>
      </c>
      <c r="K24" s="619">
        <f t="shared" si="3"/>
        <v>0</v>
      </c>
      <c r="L24" s="1180"/>
      <c r="M24" s="791">
        <v>0</v>
      </c>
      <c r="N24" s="618">
        <f>'Labor Rates'!J23</f>
        <v>0</v>
      </c>
      <c r="O24" s="619">
        <f t="shared" si="4"/>
        <v>0</v>
      </c>
      <c r="P24" s="1180"/>
      <c r="Q24" s="791">
        <v>0</v>
      </c>
      <c r="R24" s="618">
        <f>'Labor Rates'!L23</f>
        <v>0</v>
      </c>
      <c r="S24" s="619">
        <f t="shared" si="5"/>
        <v>0</v>
      </c>
      <c r="T24" s="1180"/>
      <c r="U24" s="791">
        <v>0</v>
      </c>
      <c r="V24" s="618">
        <f>'Labor Rates'!N23</f>
        <v>0</v>
      </c>
      <c r="W24" s="619">
        <f t="shared" si="6"/>
        <v>0</v>
      </c>
      <c r="X24" s="1180"/>
      <c r="Y24" s="791">
        <v>0</v>
      </c>
      <c r="Z24" s="618">
        <f>'Labor Rates'!P23</f>
        <v>0</v>
      </c>
      <c r="AA24" s="619">
        <f t="shared" si="7"/>
        <v>0</v>
      </c>
      <c r="AB24" s="975"/>
      <c r="AC24" s="1002">
        <f t="shared" si="0"/>
        <v>0</v>
      </c>
      <c r="AD24" s="619">
        <f t="shared" si="1"/>
        <v>0</v>
      </c>
      <c r="AE24" s="958"/>
    </row>
    <row r="25" spans="1:31" ht="15" customHeight="1" x14ac:dyDescent="0.25">
      <c r="A25" s="1321" t="str">
        <f>IF(ISBLANK('Labor Rates'!D24),"",'Labor Rates'!D24)</f>
        <v/>
      </c>
      <c r="B25" s="1322"/>
      <c r="C25" s="950" t="str">
        <f>IF(ISBLANK('Labor Rates'!E24),"",'Labor Rates'!E24)</f>
        <v/>
      </c>
      <c r="D25" s="960"/>
      <c r="E25" s="791">
        <v>0</v>
      </c>
      <c r="F25" s="618">
        <f>'Labor Rates'!F24</f>
        <v>0</v>
      </c>
      <c r="G25" s="619">
        <f t="shared" si="2"/>
        <v>0</v>
      </c>
      <c r="H25" s="1180"/>
      <c r="I25" s="791">
        <v>0</v>
      </c>
      <c r="J25" s="618">
        <f>'Labor Rates'!H24</f>
        <v>0</v>
      </c>
      <c r="K25" s="619">
        <f t="shared" si="3"/>
        <v>0</v>
      </c>
      <c r="L25" s="1180"/>
      <c r="M25" s="791">
        <v>0</v>
      </c>
      <c r="N25" s="618">
        <f>'Labor Rates'!J24</f>
        <v>0</v>
      </c>
      <c r="O25" s="619">
        <f t="shared" si="4"/>
        <v>0</v>
      </c>
      <c r="P25" s="1180"/>
      <c r="Q25" s="791">
        <v>0</v>
      </c>
      <c r="R25" s="618">
        <f>'Labor Rates'!L24</f>
        <v>0</v>
      </c>
      <c r="S25" s="619">
        <f t="shared" si="5"/>
        <v>0</v>
      </c>
      <c r="T25" s="1180"/>
      <c r="U25" s="791">
        <v>0</v>
      </c>
      <c r="V25" s="618">
        <f>'Labor Rates'!N24</f>
        <v>0</v>
      </c>
      <c r="W25" s="619">
        <f t="shared" si="6"/>
        <v>0</v>
      </c>
      <c r="X25" s="1180"/>
      <c r="Y25" s="791">
        <v>0</v>
      </c>
      <c r="Z25" s="618">
        <f>'Labor Rates'!P24</f>
        <v>0</v>
      </c>
      <c r="AA25" s="619">
        <f t="shared" si="7"/>
        <v>0</v>
      </c>
      <c r="AB25" s="975"/>
      <c r="AC25" s="1002">
        <f t="shared" si="0"/>
        <v>0</v>
      </c>
      <c r="AD25" s="619">
        <f t="shared" si="1"/>
        <v>0</v>
      </c>
      <c r="AE25" s="958"/>
    </row>
    <row r="26" spans="1:31" ht="15" customHeight="1" x14ac:dyDescent="0.25">
      <c r="A26" s="1321" t="str">
        <f>IF(ISBLANK('Labor Rates'!D25),"",'Labor Rates'!D25)</f>
        <v/>
      </c>
      <c r="B26" s="1322"/>
      <c r="C26" s="950" t="str">
        <f>IF(ISBLANK('Labor Rates'!E25),"",'Labor Rates'!E25)</f>
        <v/>
      </c>
      <c r="D26" s="960"/>
      <c r="E26" s="791">
        <v>0</v>
      </c>
      <c r="F26" s="618">
        <f>'Labor Rates'!F25</f>
        <v>0</v>
      </c>
      <c r="G26" s="619">
        <f t="shared" si="2"/>
        <v>0</v>
      </c>
      <c r="H26" s="1180"/>
      <c r="I26" s="791">
        <v>0</v>
      </c>
      <c r="J26" s="618">
        <f>'Labor Rates'!H25</f>
        <v>0</v>
      </c>
      <c r="K26" s="619">
        <f t="shared" si="3"/>
        <v>0</v>
      </c>
      <c r="L26" s="1180"/>
      <c r="M26" s="791">
        <v>0</v>
      </c>
      <c r="N26" s="618">
        <f>'Labor Rates'!J25</f>
        <v>0</v>
      </c>
      <c r="O26" s="619">
        <f t="shared" si="4"/>
        <v>0</v>
      </c>
      <c r="P26" s="1180"/>
      <c r="Q26" s="791">
        <v>0</v>
      </c>
      <c r="R26" s="618">
        <f>'Labor Rates'!L25</f>
        <v>0</v>
      </c>
      <c r="S26" s="619">
        <f t="shared" si="5"/>
        <v>0</v>
      </c>
      <c r="T26" s="1180"/>
      <c r="U26" s="791">
        <v>0</v>
      </c>
      <c r="V26" s="618">
        <f>'Labor Rates'!N25</f>
        <v>0</v>
      </c>
      <c r="W26" s="619">
        <f t="shared" si="6"/>
        <v>0</v>
      </c>
      <c r="X26" s="1180"/>
      <c r="Y26" s="791">
        <v>0</v>
      </c>
      <c r="Z26" s="618">
        <f>'Labor Rates'!P25</f>
        <v>0</v>
      </c>
      <c r="AA26" s="619">
        <f t="shared" si="7"/>
        <v>0</v>
      </c>
      <c r="AB26" s="975"/>
      <c r="AC26" s="1002">
        <f t="shared" si="0"/>
        <v>0</v>
      </c>
      <c r="AD26" s="619">
        <f t="shared" si="1"/>
        <v>0</v>
      </c>
      <c r="AE26" s="958"/>
    </row>
    <row r="27" spans="1:31" ht="15" customHeight="1" x14ac:dyDescent="0.25">
      <c r="A27" s="1321" t="str">
        <f>IF(ISBLANK('Labor Rates'!D26),"",'Labor Rates'!D26)</f>
        <v/>
      </c>
      <c r="B27" s="1322"/>
      <c r="C27" s="950" t="str">
        <f>IF(ISBLANK('Labor Rates'!E26),"",'Labor Rates'!E26)</f>
        <v/>
      </c>
      <c r="D27" s="960"/>
      <c r="E27" s="791">
        <v>0</v>
      </c>
      <c r="F27" s="618">
        <f>'Labor Rates'!F26</f>
        <v>0</v>
      </c>
      <c r="G27" s="619">
        <f t="shared" si="2"/>
        <v>0</v>
      </c>
      <c r="H27" s="1180"/>
      <c r="I27" s="791">
        <v>0</v>
      </c>
      <c r="J27" s="618">
        <f>'Labor Rates'!H26</f>
        <v>0</v>
      </c>
      <c r="K27" s="619">
        <f t="shared" si="3"/>
        <v>0</v>
      </c>
      <c r="L27" s="1180"/>
      <c r="M27" s="791">
        <v>0</v>
      </c>
      <c r="N27" s="618">
        <f>'Labor Rates'!J26</f>
        <v>0</v>
      </c>
      <c r="O27" s="619">
        <f t="shared" si="4"/>
        <v>0</v>
      </c>
      <c r="P27" s="1180"/>
      <c r="Q27" s="791">
        <v>0</v>
      </c>
      <c r="R27" s="618">
        <f>'Labor Rates'!L26</f>
        <v>0</v>
      </c>
      <c r="S27" s="619">
        <f t="shared" si="5"/>
        <v>0</v>
      </c>
      <c r="T27" s="1180"/>
      <c r="U27" s="791">
        <v>0</v>
      </c>
      <c r="V27" s="618">
        <f>'Labor Rates'!N26</f>
        <v>0</v>
      </c>
      <c r="W27" s="619">
        <f t="shared" si="6"/>
        <v>0</v>
      </c>
      <c r="X27" s="1180"/>
      <c r="Y27" s="791">
        <v>0</v>
      </c>
      <c r="Z27" s="618">
        <f>'Labor Rates'!P26</f>
        <v>0</v>
      </c>
      <c r="AA27" s="619">
        <f t="shared" si="7"/>
        <v>0</v>
      </c>
      <c r="AB27" s="975"/>
      <c r="AC27" s="1002">
        <f t="shared" si="0"/>
        <v>0</v>
      </c>
      <c r="AD27" s="619">
        <f t="shared" si="1"/>
        <v>0</v>
      </c>
      <c r="AE27" s="958"/>
    </row>
    <row r="28" spans="1:31" ht="15" customHeight="1" x14ac:dyDescent="0.25">
      <c r="A28" s="1321" t="str">
        <f>IF(ISBLANK('Labor Rates'!D27),"",'Labor Rates'!D27)</f>
        <v/>
      </c>
      <c r="B28" s="1322"/>
      <c r="C28" s="950" t="str">
        <f>IF(ISBLANK('Labor Rates'!E27),"",'Labor Rates'!E27)</f>
        <v/>
      </c>
      <c r="D28" s="960"/>
      <c r="E28" s="791">
        <v>0</v>
      </c>
      <c r="F28" s="618">
        <f>'Labor Rates'!F27</f>
        <v>0</v>
      </c>
      <c r="G28" s="619">
        <f t="shared" si="2"/>
        <v>0</v>
      </c>
      <c r="H28" s="1180"/>
      <c r="I28" s="791">
        <v>0</v>
      </c>
      <c r="J28" s="618">
        <f>'Labor Rates'!H27</f>
        <v>0</v>
      </c>
      <c r="K28" s="619">
        <f t="shared" si="3"/>
        <v>0</v>
      </c>
      <c r="L28" s="1180"/>
      <c r="M28" s="791">
        <v>0</v>
      </c>
      <c r="N28" s="618">
        <f>'Labor Rates'!J27</f>
        <v>0</v>
      </c>
      <c r="O28" s="619">
        <f t="shared" si="4"/>
        <v>0</v>
      </c>
      <c r="P28" s="1180"/>
      <c r="Q28" s="791">
        <v>0</v>
      </c>
      <c r="R28" s="618">
        <f>'Labor Rates'!L27</f>
        <v>0</v>
      </c>
      <c r="S28" s="619">
        <f t="shared" si="5"/>
        <v>0</v>
      </c>
      <c r="T28" s="1180"/>
      <c r="U28" s="791">
        <v>0</v>
      </c>
      <c r="V28" s="618">
        <f>'Labor Rates'!N27</f>
        <v>0</v>
      </c>
      <c r="W28" s="619">
        <f t="shared" si="6"/>
        <v>0</v>
      </c>
      <c r="X28" s="1180"/>
      <c r="Y28" s="791">
        <v>0</v>
      </c>
      <c r="Z28" s="618">
        <f>'Labor Rates'!P27</f>
        <v>0</v>
      </c>
      <c r="AA28" s="619">
        <f t="shared" si="7"/>
        <v>0</v>
      </c>
      <c r="AB28" s="975"/>
      <c r="AC28" s="1002">
        <f t="shared" si="0"/>
        <v>0</v>
      </c>
      <c r="AD28" s="619">
        <f t="shared" si="1"/>
        <v>0</v>
      </c>
      <c r="AE28" s="958"/>
    </row>
    <row r="29" spans="1:31" ht="15" customHeight="1" x14ac:dyDescent="0.25">
      <c r="A29" s="1321" t="str">
        <f>IF(ISBLANK('Labor Rates'!D28),"",'Labor Rates'!D28)</f>
        <v/>
      </c>
      <c r="B29" s="1322"/>
      <c r="C29" s="950" t="str">
        <f>IF(ISBLANK('Labor Rates'!E28),"",'Labor Rates'!E28)</f>
        <v/>
      </c>
      <c r="D29" s="960"/>
      <c r="E29" s="791">
        <v>0</v>
      </c>
      <c r="F29" s="618">
        <f>'Labor Rates'!F28</f>
        <v>0</v>
      </c>
      <c r="G29" s="619">
        <f t="shared" si="2"/>
        <v>0</v>
      </c>
      <c r="H29" s="1180"/>
      <c r="I29" s="791">
        <v>0</v>
      </c>
      <c r="J29" s="618">
        <f>'Labor Rates'!H28</f>
        <v>0</v>
      </c>
      <c r="K29" s="619">
        <f t="shared" si="3"/>
        <v>0</v>
      </c>
      <c r="L29" s="1180"/>
      <c r="M29" s="791">
        <v>0</v>
      </c>
      <c r="N29" s="618">
        <f>'Labor Rates'!J28</f>
        <v>0</v>
      </c>
      <c r="O29" s="619">
        <f t="shared" si="4"/>
        <v>0</v>
      </c>
      <c r="P29" s="1180"/>
      <c r="Q29" s="791">
        <v>0</v>
      </c>
      <c r="R29" s="618">
        <f>'Labor Rates'!L28</f>
        <v>0</v>
      </c>
      <c r="S29" s="619">
        <f t="shared" si="5"/>
        <v>0</v>
      </c>
      <c r="T29" s="1180"/>
      <c r="U29" s="791">
        <v>0</v>
      </c>
      <c r="V29" s="618">
        <f>'Labor Rates'!N28</f>
        <v>0</v>
      </c>
      <c r="W29" s="619">
        <f t="shared" si="6"/>
        <v>0</v>
      </c>
      <c r="X29" s="1180"/>
      <c r="Y29" s="791">
        <v>0</v>
      </c>
      <c r="Z29" s="618">
        <f>'Labor Rates'!P28</f>
        <v>0</v>
      </c>
      <c r="AA29" s="619">
        <f t="shared" si="7"/>
        <v>0</v>
      </c>
      <c r="AB29" s="975"/>
      <c r="AC29" s="1002">
        <f t="shared" si="0"/>
        <v>0</v>
      </c>
      <c r="AD29" s="619">
        <f t="shared" si="1"/>
        <v>0</v>
      </c>
      <c r="AE29" s="958"/>
    </row>
    <row r="30" spans="1:31" ht="15" customHeight="1" x14ac:dyDescent="0.25">
      <c r="A30" s="1321" t="str">
        <f>IF(ISBLANK('Labor Rates'!D29),"",'Labor Rates'!D29)</f>
        <v/>
      </c>
      <c r="B30" s="1322"/>
      <c r="C30" s="950" t="str">
        <f>IF(ISBLANK('Labor Rates'!E29),"",'Labor Rates'!E29)</f>
        <v/>
      </c>
      <c r="D30" s="960"/>
      <c r="E30" s="791">
        <v>0</v>
      </c>
      <c r="F30" s="618">
        <f>'Labor Rates'!F29</f>
        <v>0</v>
      </c>
      <c r="G30" s="619">
        <f t="shared" si="2"/>
        <v>0</v>
      </c>
      <c r="H30" s="1180"/>
      <c r="I30" s="791">
        <v>0</v>
      </c>
      <c r="J30" s="618">
        <f>'Labor Rates'!H29</f>
        <v>0</v>
      </c>
      <c r="K30" s="619">
        <f t="shared" si="3"/>
        <v>0</v>
      </c>
      <c r="L30" s="1180"/>
      <c r="M30" s="791">
        <v>0</v>
      </c>
      <c r="N30" s="618">
        <f>'Labor Rates'!J29</f>
        <v>0</v>
      </c>
      <c r="O30" s="619">
        <f t="shared" si="4"/>
        <v>0</v>
      </c>
      <c r="P30" s="1180"/>
      <c r="Q30" s="791">
        <v>0</v>
      </c>
      <c r="R30" s="618">
        <f>'Labor Rates'!L29</f>
        <v>0</v>
      </c>
      <c r="S30" s="619">
        <f t="shared" si="5"/>
        <v>0</v>
      </c>
      <c r="T30" s="1180"/>
      <c r="U30" s="791">
        <v>0</v>
      </c>
      <c r="V30" s="618">
        <f>'Labor Rates'!N29</f>
        <v>0</v>
      </c>
      <c r="W30" s="619">
        <f t="shared" si="6"/>
        <v>0</v>
      </c>
      <c r="X30" s="1180"/>
      <c r="Y30" s="791">
        <v>0</v>
      </c>
      <c r="Z30" s="618">
        <f>'Labor Rates'!P29</f>
        <v>0</v>
      </c>
      <c r="AA30" s="619">
        <f t="shared" si="7"/>
        <v>0</v>
      </c>
      <c r="AB30" s="975"/>
      <c r="AC30" s="1002">
        <f t="shared" si="0"/>
        <v>0</v>
      </c>
      <c r="AD30" s="619">
        <f t="shared" si="1"/>
        <v>0</v>
      </c>
      <c r="AE30" s="958"/>
    </row>
    <row r="31" spans="1:31" ht="15" customHeight="1" x14ac:dyDescent="0.25">
      <c r="A31" s="1321" t="str">
        <f>IF(ISBLANK('Labor Rates'!D30),"",'Labor Rates'!D30)</f>
        <v/>
      </c>
      <c r="B31" s="1322"/>
      <c r="C31" s="950" t="str">
        <f>IF(ISBLANK('Labor Rates'!E30),"",'Labor Rates'!E30)</f>
        <v/>
      </c>
      <c r="D31" s="960"/>
      <c r="E31" s="791">
        <v>0</v>
      </c>
      <c r="F31" s="618">
        <f>'Labor Rates'!F30</f>
        <v>0</v>
      </c>
      <c r="G31" s="619">
        <f t="shared" si="2"/>
        <v>0</v>
      </c>
      <c r="H31" s="1180"/>
      <c r="I31" s="791">
        <v>0</v>
      </c>
      <c r="J31" s="618">
        <f>'Labor Rates'!H30</f>
        <v>0</v>
      </c>
      <c r="K31" s="619">
        <f t="shared" si="3"/>
        <v>0</v>
      </c>
      <c r="L31" s="1180"/>
      <c r="M31" s="791">
        <v>0</v>
      </c>
      <c r="N31" s="618">
        <f>'Labor Rates'!J30</f>
        <v>0</v>
      </c>
      <c r="O31" s="619">
        <f t="shared" si="4"/>
        <v>0</v>
      </c>
      <c r="P31" s="1180"/>
      <c r="Q31" s="791">
        <v>0</v>
      </c>
      <c r="R31" s="618">
        <f>'Labor Rates'!L30</f>
        <v>0</v>
      </c>
      <c r="S31" s="619">
        <f t="shared" si="5"/>
        <v>0</v>
      </c>
      <c r="T31" s="1180"/>
      <c r="U31" s="791">
        <v>0</v>
      </c>
      <c r="V31" s="618">
        <f>'Labor Rates'!N30</f>
        <v>0</v>
      </c>
      <c r="W31" s="619">
        <f t="shared" si="6"/>
        <v>0</v>
      </c>
      <c r="X31" s="1180"/>
      <c r="Y31" s="791">
        <v>0</v>
      </c>
      <c r="Z31" s="618">
        <f>'Labor Rates'!P30</f>
        <v>0</v>
      </c>
      <c r="AA31" s="619">
        <f t="shared" si="7"/>
        <v>0</v>
      </c>
      <c r="AB31" s="975"/>
      <c r="AC31" s="1002">
        <f t="shared" si="0"/>
        <v>0</v>
      </c>
      <c r="AD31" s="619">
        <f t="shared" si="1"/>
        <v>0</v>
      </c>
      <c r="AE31" s="958"/>
    </row>
    <row r="32" spans="1:31" ht="15" customHeight="1" x14ac:dyDescent="0.25">
      <c r="A32" s="1321" t="str">
        <f>IF(ISBLANK('Labor Rates'!D31),"",'Labor Rates'!D31)</f>
        <v/>
      </c>
      <c r="B32" s="1322"/>
      <c r="C32" s="949" t="str">
        <f>IF(ISBLANK('Labor Rates'!E31),"",'Labor Rates'!E31)</f>
        <v/>
      </c>
      <c r="D32" s="960"/>
      <c r="E32" s="791">
        <v>0</v>
      </c>
      <c r="F32" s="618">
        <f>'Labor Rates'!F31</f>
        <v>0</v>
      </c>
      <c r="G32" s="619">
        <f t="shared" si="2"/>
        <v>0</v>
      </c>
      <c r="H32" s="1180"/>
      <c r="I32" s="791">
        <v>0</v>
      </c>
      <c r="J32" s="618">
        <f>'Labor Rates'!H31</f>
        <v>0</v>
      </c>
      <c r="K32" s="619">
        <f t="shared" si="3"/>
        <v>0</v>
      </c>
      <c r="L32" s="1180"/>
      <c r="M32" s="791">
        <v>0</v>
      </c>
      <c r="N32" s="618">
        <f>'Labor Rates'!J31</f>
        <v>0</v>
      </c>
      <c r="O32" s="619">
        <f t="shared" si="4"/>
        <v>0</v>
      </c>
      <c r="P32" s="1180"/>
      <c r="Q32" s="791">
        <v>0</v>
      </c>
      <c r="R32" s="618">
        <f>'Labor Rates'!L31</f>
        <v>0</v>
      </c>
      <c r="S32" s="619">
        <f t="shared" si="5"/>
        <v>0</v>
      </c>
      <c r="T32" s="1180"/>
      <c r="U32" s="791">
        <v>0</v>
      </c>
      <c r="V32" s="618">
        <f>'Labor Rates'!N31</f>
        <v>0</v>
      </c>
      <c r="W32" s="619">
        <f t="shared" si="6"/>
        <v>0</v>
      </c>
      <c r="X32" s="1180"/>
      <c r="Y32" s="791">
        <v>0</v>
      </c>
      <c r="Z32" s="618">
        <f>'Labor Rates'!P31</f>
        <v>0</v>
      </c>
      <c r="AA32" s="619">
        <f t="shared" si="7"/>
        <v>0</v>
      </c>
      <c r="AB32" s="975"/>
      <c r="AC32" s="1002">
        <f t="shared" si="0"/>
        <v>0</v>
      </c>
      <c r="AD32" s="619">
        <f t="shared" si="1"/>
        <v>0</v>
      </c>
      <c r="AE32" s="958"/>
    </row>
    <row r="33" spans="1:545" s="620" customFormat="1" ht="23.15" customHeight="1" x14ac:dyDescent="0.25">
      <c r="A33" s="1004"/>
      <c r="B33" s="1005"/>
      <c r="C33" s="1130" t="s">
        <v>332</v>
      </c>
      <c r="D33" s="960"/>
      <c r="E33" s="800">
        <f>SUM(E9:E32)</f>
        <v>0</v>
      </c>
      <c r="F33" s="1143" t="s">
        <v>333</v>
      </c>
      <c r="G33" s="795">
        <f>SUM(G9:G32)</f>
        <v>0</v>
      </c>
      <c r="H33" s="977"/>
      <c r="I33" s="800">
        <f>SUM(I9:I32)</f>
        <v>0</v>
      </c>
      <c r="J33" s="1143" t="s">
        <v>333</v>
      </c>
      <c r="K33" s="795">
        <f>SUM(K9:K32)</f>
        <v>0</v>
      </c>
      <c r="L33" s="977"/>
      <c r="M33" s="800">
        <f>SUM(M9:M32)</f>
        <v>0</v>
      </c>
      <c r="N33" s="1143" t="s">
        <v>333</v>
      </c>
      <c r="O33" s="795">
        <f>SUM(O9:O32)</f>
        <v>0</v>
      </c>
      <c r="P33" s="977"/>
      <c r="Q33" s="800">
        <f>SUM(Q9:Q32)</f>
        <v>0</v>
      </c>
      <c r="R33" s="1143" t="s">
        <v>333</v>
      </c>
      <c r="S33" s="621">
        <f>SUM(S9:S32)</f>
        <v>0</v>
      </c>
      <c r="T33" s="977"/>
      <c r="U33" s="800">
        <f>SUM(U9:U32)</f>
        <v>0</v>
      </c>
      <c r="V33" s="1143" t="s">
        <v>333</v>
      </c>
      <c r="W33" s="795">
        <f>SUM(W9:W32)</f>
        <v>0</v>
      </c>
      <c r="X33" s="977"/>
      <c r="Y33" s="800">
        <f>SUM(Y9:Y32)</f>
        <v>0</v>
      </c>
      <c r="Z33" s="1143" t="s">
        <v>333</v>
      </c>
      <c r="AA33" s="795">
        <f>SUM(AA9:AA32)</f>
        <v>0</v>
      </c>
      <c r="AB33" s="976"/>
      <c r="AC33" s="800">
        <f>SUM(AC9:AC32)</f>
        <v>0</v>
      </c>
      <c r="AD33" s="795">
        <f>SUM(AD9:AD32)</f>
        <v>0</v>
      </c>
      <c r="AE33" s="971"/>
      <c r="AF33" s="806"/>
      <c r="AG33" s="806"/>
      <c r="AH33" s="292"/>
      <c r="AI33" s="292"/>
      <c r="AJ33" s="292"/>
      <c r="AK33" s="292"/>
      <c r="AL33" s="806"/>
      <c r="AM33" s="806"/>
      <c r="AN33" s="806"/>
      <c r="AO33" s="806"/>
      <c r="AP33" s="807"/>
      <c r="AQ33" s="292"/>
      <c r="AR33" s="292"/>
      <c r="AS33" s="292"/>
      <c r="AT33" s="806"/>
      <c r="AU33" s="806"/>
      <c r="AV33" s="806"/>
      <c r="AW33" s="806"/>
      <c r="AX33" s="807"/>
      <c r="AY33" s="292"/>
      <c r="AZ33" s="292"/>
      <c r="BA33" s="292"/>
      <c r="BB33" s="806"/>
      <c r="BC33" s="806"/>
      <c r="BD33" s="806"/>
      <c r="BE33" s="806"/>
      <c r="BF33" s="807"/>
      <c r="BG33" s="292"/>
      <c r="BH33" s="807"/>
      <c r="BI33" s="292"/>
      <c r="BJ33" s="292"/>
      <c r="BK33" s="292"/>
      <c r="BL33" s="292"/>
      <c r="BM33" s="292"/>
      <c r="BN33" s="292"/>
      <c r="BO33" s="292"/>
      <c r="BP33" s="292"/>
      <c r="BQ33" s="292"/>
      <c r="BR33" s="292"/>
      <c r="BS33" s="292"/>
      <c r="BT33" s="292"/>
      <c r="BU33" s="292"/>
      <c r="BV33" s="292"/>
      <c r="BW33" s="292"/>
      <c r="BX33" s="292"/>
      <c r="BY33" s="292"/>
      <c r="BZ33" s="292"/>
      <c r="CA33" s="292"/>
      <c r="CB33" s="292"/>
      <c r="CC33" s="292"/>
      <c r="CD33" s="292"/>
      <c r="CE33" s="292"/>
      <c r="CF33" s="292"/>
      <c r="CG33" s="292"/>
      <c r="CH33" s="292"/>
      <c r="CI33" s="292"/>
      <c r="CJ33" s="292"/>
      <c r="CK33" s="292"/>
      <c r="CL33" s="292"/>
      <c r="CM33" s="292"/>
      <c r="CN33" s="292"/>
      <c r="CO33" s="292"/>
      <c r="CP33" s="292"/>
      <c r="CQ33" s="292"/>
      <c r="CR33" s="292"/>
      <c r="CS33" s="292"/>
      <c r="CT33" s="292"/>
      <c r="CU33" s="292"/>
      <c r="CV33" s="292"/>
      <c r="CW33" s="292"/>
      <c r="CX33" s="292"/>
      <c r="CY33" s="292"/>
      <c r="CZ33" s="292"/>
      <c r="DA33" s="292"/>
      <c r="DB33" s="292"/>
      <c r="DC33" s="292"/>
      <c r="DD33" s="292"/>
      <c r="DE33" s="292"/>
      <c r="DF33" s="292"/>
      <c r="DG33" s="292"/>
      <c r="DH33" s="292"/>
      <c r="DI33" s="292"/>
      <c r="DJ33" s="292"/>
      <c r="DK33" s="292"/>
      <c r="DL33" s="292"/>
      <c r="DM33" s="292"/>
      <c r="DN33" s="292"/>
      <c r="DO33" s="292"/>
      <c r="DP33" s="292"/>
      <c r="DQ33" s="292"/>
      <c r="DR33" s="292"/>
      <c r="DS33" s="292"/>
      <c r="DT33" s="292"/>
      <c r="DU33" s="292"/>
      <c r="DV33" s="292"/>
      <c r="DW33" s="292"/>
      <c r="DX33" s="292"/>
      <c r="DY33" s="292"/>
      <c r="DZ33" s="292"/>
      <c r="EA33" s="292"/>
      <c r="EB33" s="292"/>
      <c r="EC33" s="292"/>
      <c r="ED33" s="292"/>
      <c r="EE33" s="292"/>
      <c r="EF33" s="292"/>
      <c r="EG33" s="292"/>
      <c r="EH33" s="292"/>
      <c r="EI33" s="292"/>
      <c r="EJ33" s="292"/>
      <c r="EK33" s="292"/>
      <c r="EL33" s="292"/>
      <c r="EM33" s="292"/>
      <c r="EN33" s="292"/>
      <c r="EO33" s="292"/>
      <c r="EP33" s="292"/>
      <c r="EQ33" s="292"/>
      <c r="ER33" s="292"/>
      <c r="ES33" s="292"/>
      <c r="ET33" s="292"/>
      <c r="EU33" s="292"/>
      <c r="EV33" s="292"/>
      <c r="EW33" s="292"/>
      <c r="EX33" s="292"/>
      <c r="EY33" s="292"/>
      <c r="EZ33" s="292"/>
      <c r="FA33" s="292"/>
      <c r="FB33" s="292"/>
      <c r="FC33" s="292"/>
      <c r="FD33" s="292"/>
      <c r="FE33" s="292"/>
      <c r="FF33" s="292"/>
      <c r="FG33" s="292"/>
      <c r="FH33" s="292"/>
      <c r="FI33" s="292"/>
      <c r="FJ33" s="292"/>
      <c r="FK33" s="292"/>
      <c r="FL33" s="292"/>
      <c r="FM33" s="292"/>
      <c r="FN33" s="292"/>
      <c r="FO33" s="292"/>
      <c r="FP33" s="292"/>
      <c r="FQ33" s="292"/>
      <c r="FR33" s="292"/>
      <c r="FS33" s="292"/>
      <c r="FT33" s="292"/>
      <c r="FU33" s="292"/>
      <c r="FV33" s="292"/>
      <c r="FW33" s="292"/>
      <c r="FX33" s="292"/>
      <c r="FY33" s="292"/>
      <c r="FZ33" s="292"/>
      <c r="GA33" s="292"/>
      <c r="GB33" s="292"/>
      <c r="GC33" s="292"/>
      <c r="GD33" s="292"/>
      <c r="GE33" s="292"/>
      <c r="GF33" s="292"/>
      <c r="GG33" s="292"/>
      <c r="GH33" s="292"/>
      <c r="GI33" s="292"/>
      <c r="GJ33" s="292"/>
      <c r="GK33" s="292"/>
      <c r="GL33" s="292"/>
      <c r="GM33" s="292"/>
      <c r="GN33" s="292"/>
      <c r="GO33" s="292"/>
      <c r="GP33" s="292"/>
      <c r="GQ33" s="292"/>
      <c r="GR33" s="292"/>
      <c r="GS33" s="292"/>
      <c r="GT33" s="292"/>
      <c r="GU33" s="292"/>
      <c r="GV33" s="292"/>
      <c r="GW33" s="292"/>
      <c r="GX33" s="292"/>
      <c r="GY33" s="292"/>
      <c r="GZ33" s="292"/>
      <c r="HA33" s="292"/>
      <c r="HB33" s="292"/>
      <c r="HC33" s="292"/>
      <c r="HD33" s="292"/>
      <c r="HE33" s="292"/>
      <c r="HF33" s="292"/>
      <c r="HG33" s="292"/>
      <c r="HH33" s="292"/>
      <c r="HI33" s="292"/>
      <c r="HJ33" s="292"/>
      <c r="HK33" s="292"/>
      <c r="HL33" s="292"/>
      <c r="HM33" s="292"/>
      <c r="HN33" s="292"/>
      <c r="HO33" s="292"/>
      <c r="HP33" s="292"/>
      <c r="HQ33" s="292"/>
      <c r="HR33" s="292"/>
      <c r="HS33" s="292"/>
      <c r="HT33" s="292"/>
      <c r="HU33" s="292"/>
      <c r="HV33" s="292"/>
      <c r="HW33" s="292"/>
      <c r="HX33" s="292"/>
      <c r="HY33" s="292"/>
      <c r="HZ33" s="292"/>
      <c r="IA33" s="292"/>
      <c r="IB33" s="292"/>
      <c r="IC33" s="292"/>
      <c r="ID33" s="292"/>
      <c r="IE33" s="292"/>
      <c r="IF33" s="292"/>
      <c r="IG33" s="292"/>
      <c r="IH33" s="292"/>
      <c r="II33" s="292"/>
      <c r="IJ33" s="292"/>
      <c r="IK33" s="292"/>
      <c r="IL33" s="292"/>
      <c r="IM33" s="292"/>
      <c r="IN33" s="292"/>
      <c r="IO33" s="292"/>
      <c r="IP33" s="292"/>
      <c r="IQ33" s="292"/>
      <c r="IR33" s="292"/>
      <c r="IS33" s="292"/>
      <c r="IT33" s="292"/>
      <c r="IU33" s="292"/>
      <c r="IV33" s="292"/>
      <c r="IW33" s="292"/>
      <c r="IX33" s="292"/>
      <c r="IY33" s="292"/>
      <c r="IZ33" s="292"/>
      <c r="JA33" s="292"/>
      <c r="JB33" s="292"/>
      <c r="JC33" s="292"/>
      <c r="JD33" s="292"/>
      <c r="JE33" s="292"/>
      <c r="JF33" s="292"/>
      <c r="JG33" s="292"/>
      <c r="JH33" s="292"/>
      <c r="JI33" s="292"/>
      <c r="JJ33" s="292"/>
      <c r="JK33" s="292"/>
      <c r="JL33" s="292"/>
      <c r="JM33" s="292"/>
      <c r="JN33" s="292"/>
      <c r="JO33" s="292"/>
      <c r="JP33" s="292"/>
      <c r="JQ33" s="292"/>
      <c r="JR33" s="292"/>
      <c r="JS33" s="292"/>
      <c r="JT33" s="292"/>
      <c r="JU33" s="292"/>
      <c r="JV33" s="292"/>
      <c r="JW33" s="292"/>
      <c r="JX33" s="292"/>
      <c r="JY33" s="292"/>
      <c r="JZ33" s="292"/>
      <c r="KA33" s="292"/>
      <c r="KB33" s="292"/>
      <c r="KC33" s="292"/>
      <c r="KD33" s="292"/>
      <c r="KE33" s="292"/>
      <c r="KF33" s="292"/>
      <c r="KG33" s="292"/>
      <c r="KH33" s="292"/>
      <c r="KI33" s="292"/>
      <c r="KJ33" s="292"/>
      <c r="KK33" s="292"/>
      <c r="KL33" s="292"/>
      <c r="KM33" s="292"/>
      <c r="KN33" s="292"/>
      <c r="KO33" s="292"/>
      <c r="KP33" s="292"/>
      <c r="KQ33" s="292"/>
      <c r="KR33" s="292"/>
      <c r="KS33" s="292"/>
      <c r="KT33" s="292"/>
      <c r="KU33" s="292"/>
      <c r="KV33" s="292"/>
      <c r="KW33" s="292"/>
      <c r="KX33" s="292"/>
      <c r="KY33" s="292"/>
      <c r="KZ33" s="292"/>
      <c r="LA33" s="292"/>
      <c r="LB33" s="292"/>
      <c r="LC33" s="292"/>
      <c r="LD33" s="292"/>
      <c r="LE33" s="292"/>
      <c r="LF33" s="292"/>
      <c r="LG33" s="292"/>
      <c r="LH33" s="292"/>
      <c r="LI33" s="292"/>
      <c r="LJ33" s="292"/>
      <c r="LK33" s="292"/>
      <c r="LL33" s="292"/>
      <c r="LM33" s="292"/>
      <c r="LN33" s="292"/>
      <c r="LO33" s="292"/>
      <c r="LP33" s="292"/>
      <c r="LQ33" s="292"/>
      <c r="LR33" s="292"/>
      <c r="LS33" s="292"/>
      <c r="LT33" s="292"/>
      <c r="LU33" s="292"/>
      <c r="LV33" s="292"/>
      <c r="LW33" s="292"/>
      <c r="LX33" s="292"/>
      <c r="LY33" s="292"/>
      <c r="LZ33" s="292"/>
      <c r="MA33" s="292"/>
      <c r="MB33" s="292"/>
      <c r="MC33" s="292"/>
      <c r="MD33" s="292"/>
      <c r="ME33" s="292"/>
      <c r="MF33" s="292"/>
      <c r="MG33" s="292"/>
      <c r="MH33" s="292"/>
      <c r="MI33" s="292"/>
      <c r="MJ33" s="292"/>
      <c r="MK33" s="292"/>
      <c r="ML33" s="292"/>
      <c r="MM33" s="292"/>
      <c r="MN33" s="292"/>
      <c r="MO33" s="292"/>
      <c r="MP33" s="292"/>
      <c r="MQ33" s="292"/>
      <c r="MR33" s="292"/>
      <c r="MS33" s="292"/>
      <c r="MT33" s="292"/>
      <c r="MU33" s="292"/>
      <c r="MV33" s="292"/>
      <c r="MW33" s="292"/>
      <c r="MX33" s="292"/>
      <c r="MY33" s="292"/>
      <c r="MZ33" s="292"/>
      <c r="NA33" s="292"/>
      <c r="NB33" s="292"/>
      <c r="NC33" s="292"/>
      <c r="ND33" s="292"/>
      <c r="NE33" s="292"/>
      <c r="NF33" s="292"/>
      <c r="NG33" s="292"/>
      <c r="NH33" s="292"/>
      <c r="NI33" s="292"/>
      <c r="NJ33" s="292"/>
      <c r="NK33" s="292"/>
      <c r="NL33" s="292"/>
      <c r="NM33" s="292"/>
      <c r="NN33" s="292"/>
      <c r="NO33" s="292"/>
      <c r="NP33" s="292"/>
      <c r="NQ33" s="292"/>
      <c r="NR33" s="292"/>
      <c r="NS33" s="292"/>
      <c r="NT33" s="292"/>
      <c r="NU33" s="292"/>
      <c r="NV33" s="292"/>
      <c r="NW33" s="292"/>
      <c r="NX33" s="292"/>
      <c r="NY33" s="292"/>
      <c r="NZ33" s="292"/>
      <c r="OA33" s="292"/>
      <c r="OB33" s="292"/>
      <c r="OC33" s="292"/>
      <c r="OD33" s="292"/>
      <c r="OE33" s="292"/>
      <c r="OF33" s="292"/>
      <c r="OG33" s="292"/>
      <c r="OH33" s="292"/>
      <c r="OI33" s="292"/>
      <c r="OJ33" s="292"/>
      <c r="OK33" s="292"/>
      <c r="OL33" s="292"/>
      <c r="OM33" s="292"/>
      <c r="ON33" s="292"/>
      <c r="OO33" s="292"/>
      <c r="OP33" s="292"/>
      <c r="OQ33" s="292"/>
      <c r="OR33" s="292"/>
      <c r="OS33" s="292"/>
      <c r="OT33" s="292"/>
      <c r="OU33" s="292"/>
      <c r="OV33" s="292"/>
      <c r="OW33" s="292"/>
      <c r="OX33" s="292"/>
      <c r="OY33" s="292"/>
      <c r="OZ33" s="292"/>
      <c r="PA33" s="292"/>
      <c r="PB33" s="292"/>
      <c r="PC33" s="292"/>
      <c r="PD33" s="292"/>
      <c r="PE33" s="292"/>
      <c r="PF33" s="292"/>
      <c r="PG33" s="292"/>
      <c r="PH33" s="292"/>
      <c r="PI33" s="292"/>
      <c r="PJ33" s="292"/>
      <c r="PK33" s="292"/>
      <c r="PL33" s="292"/>
      <c r="PM33" s="292"/>
      <c r="PN33" s="292"/>
      <c r="PO33" s="292"/>
      <c r="PP33" s="292"/>
      <c r="PQ33" s="292"/>
      <c r="PR33" s="292"/>
      <c r="PS33" s="292"/>
      <c r="PT33" s="292"/>
      <c r="PU33" s="292"/>
      <c r="PV33" s="292"/>
      <c r="PW33" s="292"/>
      <c r="PX33" s="292"/>
      <c r="PY33" s="292"/>
      <c r="PZ33" s="292"/>
      <c r="QA33" s="292"/>
      <c r="QB33" s="292"/>
      <c r="QC33" s="292"/>
      <c r="QD33" s="292"/>
      <c r="QE33" s="292"/>
      <c r="QF33" s="292"/>
      <c r="QG33" s="292"/>
      <c r="QH33" s="292"/>
      <c r="QI33" s="292"/>
      <c r="QJ33" s="292"/>
      <c r="QK33" s="292"/>
      <c r="QL33" s="292"/>
      <c r="QM33" s="292"/>
      <c r="QN33" s="292"/>
      <c r="QO33" s="292"/>
      <c r="QP33" s="292"/>
      <c r="QQ33" s="292"/>
      <c r="QR33" s="292"/>
      <c r="QS33" s="292"/>
      <c r="QT33" s="292"/>
      <c r="QU33" s="292"/>
      <c r="QV33" s="292"/>
      <c r="QW33" s="292"/>
      <c r="QX33" s="292"/>
      <c r="QY33" s="292"/>
      <c r="QZ33" s="292"/>
      <c r="RA33" s="292"/>
      <c r="RB33" s="292"/>
      <c r="RC33" s="292"/>
      <c r="RD33" s="292"/>
      <c r="RE33" s="292"/>
      <c r="RF33" s="292"/>
      <c r="RG33" s="292"/>
      <c r="RH33" s="292"/>
      <c r="RI33" s="292"/>
      <c r="RJ33" s="292"/>
      <c r="RK33" s="292"/>
      <c r="RL33" s="292"/>
      <c r="RM33" s="292"/>
      <c r="RN33" s="292"/>
      <c r="RO33" s="292"/>
      <c r="RP33" s="292"/>
      <c r="RQ33" s="292"/>
      <c r="RR33" s="292"/>
      <c r="RS33" s="292"/>
      <c r="RT33" s="292"/>
      <c r="RU33" s="292"/>
      <c r="RV33" s="292"/>
      <c r="RW33" s="292"/>
      <c r="RX33" s="292"/>
      <c r="RY33" s="292"/>
      <c r="RZ33" s="292"/>
      <c r="SA33" s="292"/>
      <c r="SB33" s="292"/>
      <c r="SC33" s="292"/>
      <c r="SD33" s="292"/>
      <c r="SE33" s="292"/>
      <c r="SF33" s="292"/>
      <c r="SG33" s="292"/>
      <c r="SH33" s="292"/>
      <c r="SI33" s="292"/>
      <c r="SJ33" s="292"/>
      <c r="SK33" s="292"/>
      <c r="SL33" s="292"/>
      <c r="SM33" s="292"/>
      <c r="SN33" s="292"/>
      <c r="SO33" s="292"/>
      <c r="SP33" s="292"/>
      <c r="SQ33" s="292"/>
      <c r="SR33" s="292"/>
      <c r="SS33" s="292"/>
      <c r="ST33" s="292"/>
      <c r="SU33" s="292"/>
      <c r="SV33" s="292"/>
      <c r="SW33" s="292"/>
      <c r="SX33" s="292"/>
      <c r="SY33" s="292"/>
      <c r="SZ33" s="292"/>
      <c r="TA33" s="292"/>
      <c r="TB33" s="292"/>
      <c r="TC33" s="292"/>
      <c r="TD33" s="292"/>
      <c r="TE33" s="292"/>
      <c r="TF33" s="292"/>
      <c r="TG33" s="292"/>
      <c r="TH33" s="292"/>
      <c r="TI33" s="292"/>
      <c r="TJ33" s="292"/>
      <c r="TK33" s="292"/>
      <c r="TL33" s="292"/>
      <c r="TM33" s="292"/>
      <c r="TN33" s="292"/>
      <c r="TO33" s="292"/>
      <c r="TP33" s="292"/>
      <c r="TQ33" s="292"/>
      <c r="TR33" s="292"/>
      <c r="TS33" s="292"/>
      <c r="TT33" s="292"/>
      <c r="TU33" s="292"/>
      <c r="TV33" s="292"/>
      <c r="TW33" s="292"/>
      <c r="TX33" s="292"/>
      <c r="TY33" s="292"/>
    </row>
    <row r="34" spans="1:545" s="620" customFormat="1" ht="15" customHeight="1" x14ac:dyDescent="0.25">
      <c r="A34" s="1004"/>
      <c r="B34" s="1005"/>
      <c r="C34" s="1006"/>
      <c r="D34" s="960"/>
      <c r="E34" s="980"/>
      <c r="F34" s="976"/>
      <c r="G34" s="981"/>
      <c r="H34" s="977"/>
      <c r="I34" s="980"/>
      <c r="J34" s="962"/>
      <c r="K34" s="981"/>
      <c r="L34" s="977"/>
      <c r="M34" s="980"/>
      <c r="N34" s="982"/>
      <c r="O34" s="981"/>
      <c r="P34" s="977"/>
      <c r="Q34" s="980"/>
      <c r="R34" s="962"/>
      <c r="S34" s="976"/>
      <c r="T34" s="977"/>
      <c r="U34" s="980"/>
      <c r="V34" s="962"/>
      <c r="W34" s="981"/>
      <c r="X34" s="977"/>
      <c r="Y34" s="980"/>
      <c r="Z34" s="962"/>
      <c r="AA34" s="981"/>
      <c r="AB34" s="976"/>
      <c r="AC34" s="980"/>
      <c r="AD34" s="981"/>
      <c r="AE34" s="971"/>
      <c r="AF34" s="806"/>
      <c r="AG34" s="806"/>
      <c r="AH34" s="292"/>
      <c r="AI34" s="292"/>
      <c r="AJ34" s="292"/>
      <c r="AK34" s="292"/>
      <c r="AL34" s="806"/>
      <c r="AM34" s="806"/>
      <c r="AN34" s="806"/>
      <c r="AO34" s="806"/>
      <c r="AP34" s="807"/>
      <c r="AQ34" s="292"/>
      <c r="AR34" s="292"/>
      <c r="AS34" s="292"/>
      <c r="AT34" s="806"/>
      <c r="AU34" s="806"/>
      <c r="AV34" s="806"/>
      <c r="AW34" s="806"/>
      <c r="AX34" s="807"/>
      <c r="AY34" s="292"/>
      <c r="AZ34" s="292"/>
      <c r="BA34" s="292"/>
      <c r="BB34" s="806"/>
      <c r="BC34" s="806"/>
      <c r="BD34" s="806"/>
      <c r="BE34" s="806"/>
      <c r="BF34" s="807"/>
      <c r="BG34" s="292"/>
      <c r="BH34" s="807"/>
      <c r="BI34" s="292"/>
      <c r="BJ34" s="292"/>
      <c r="BK34" s="292"/>
      <c r="BL34" s="292"/>
      <c r="BM34" s="292"/>
      <c r="BN34" s="292"/>
      <c r="BO34" s="292"/>
      <c r="BP34" s="292"/>
      <c r="BQ34" s="292"/>
      <c r="BR34" s="292"/>
      <c r="BS34" s="292"/>
      <c r="BT34" s="292"/>
      <c r="BU34" s="292"/>
      <c r="BV34" s="292"/>
      <c r="BW34" s="292"/>
      <c r="BX34" s="292"/>
      <c r="BY34" s="292"/>
      <c r="BZ34" s="292"/>
      <c r="CA34" s="292"/>
      <c r="CB34" s="292"/>
      <c r="CC34" s="292"/>
      <c r="CD34" s="292"/>
      <c r="CE34" s="292"/>
      <c r="CF34" s="292"/>
      <c r="CG34" s="292"/>
      <c r="CH34" s="292"/>
      <c r="CI34" s="292"/>
      <c r="CJ34" s="292"/>
      <c r="CK34" s="292"/>
      <c r="CL34" s="292"/>
      <c r="CM34" s="292"/>
      <c r="CN34" s="292"/>
      <c r="CO34" s="292"/>
      <c r="CP34" s="292"/>
      <c r="CQ34" s="292"/>
      <c r="CR34" s="292"/>
      <c r="CS34" s="292"/>
      <c r="CT34" s="292"/>
      <c r="CU34" s="292"/>
      <c r="CV34" s="292"/>
      <c r="CW34" s="292"/>
      <c r="CX34" s="292"/>
      <c r="CY34" s="292"/>
      <c r="CZ34" s="292"/>
      <c r="DA34" s="292"/>
      <c r="DB34" s="292"/>
      <c r="DC34" s="292"/>
      <c r="DD34" s="292"/>
      <c r="DE34" s="292"/>
      <c r="DF34" s="292"/>
      <c r="DG34" s="292"/>
      <c r="DH34" s="292"/>
      <c r="DI34" s="292"/>
      <c r="DJ34" s="292"/>
      <c r="DK34" s="292"/>
      <c r="DL34" s="292"/>
      <c r="DM34" s="292"/>
      <c r="DN34" s="292"/>
      <c r="DO34" s="292"/>
      <c r="DP34" s="292"/>
      <c r="DQ34" s="292"/>
      <c r="DR34" s="292"/>
      <c r="DS34" s="292"/>
      <c r="DT34" s="292"/>
      <c r="DU34" s="292"/>
      <c r="DV34" s="292"/>
      <c r="DW34" s="292"/>
      <c r="DX34" s="292"/>
      <c r="DY34" s="292"/>
      <c r="DZ34" s="292"/>
      <c r="EA34" s="292"/>
      <c r="EB34" s="292"/>
      <c r="EC34" s="292"/>
      <c r="ED34" s="292"/>
      <c r="EE34" s="292"/>
      <c r="EF34" s="292"/>
      <c r="EG34" s="292"/>
      <c r="EH34" s="292"/>
      <c r="EI34" s="292"/>
      <c r="EJ34" s="292"/>
      <c r="EK34" s="292"/>
      <c r="EL34" s="292"/>
      <c r="EM34" s="292"/>
      <c r="EN34" s="292"/>
      <c r="EO34" s="292"/>
      <c r="EP34" s="292"/>
      <c r="EQ34" s="292"/>
      <c r="ER34" s="292"/>
      <c r="ES34" s="292"/>
      <c r="ET34" s="292"/>
      <c r="EU34" s="292"/>
      <c r="EV34" s="292"/>
      <c r="EW34" s="292"/>
      <c r="EX34" s="292"/>
      <c r="EY34" s="292"/>
      <c r="EZ34" s="292"/>
      <c r="FA34" s="292"/>
      <c r="FB34" s="292"/>
      <c r="FC34" s="292"/>
      <c r="FD34" s="292"/>
      <c r="FE34" s="292"/>
      <c r="FF34" s="292"/>
      <c r="FG34" s="292"/>
      <c r="FH34" s="292"/>
      <c r="FI34" s="292"/>
      <c r="FJ34" s="292"/>
      <c r="FK34" s="292"/>
      <c r="FL34" s="292"/>
      <c r="FM34" s="292"/>
      <c r="FN34" s="292"/>
      <c r="FO34" s="292"/>
      <c r="FP34" s="292"/>
      <c r="FQ34" s="292"/>
      <c r="FR34" s="292"/>
      <c r="FS34" s="292"/>
      <c r="FT34" s="292"/>
      <c r="FU34" s="292"/>
      <c r="FV34" s="292"/>
      <c r="FW34" s="292"/>
      <c r="FX34" s="292"/>
      <c r="FY34" s="292"/>
      <c r="FZ34" s="292"/>
      <c r="GA34" s="292"/>
      <c r="GB34" s="292"/>
      <c r="GC34" s="292"/>
      <c r="GD34" s="292"/>
      <c r="GE34" s="292"/>
      <c r="GF34" s="292"/>
      <c r="GG34" s="292"/>
      <c r="GH34" s="292"/>
      <c r="GI34" s="292"/>
      <c r="GJ34" s="292"/>
      <c r="GK34" s="292"/>
      <c r="GL34" s="292"/>
      <c r="GM34" s="292"/>
      <c r="GN34" s="292"/>
      <c r="GO34" s="292"/>
      <c r="GP34" s="292"/>
      <c r="GQ34" s="292"/>
      <c r="GR34" s="292"/>
      <c r="GS34" s="292"/>
      <c r="GT34" s="292"/>
      <c r="GU34" s="292"/>
      <c r="GV34" s="292"/>
      <c r="GW34" s="292"/>
      <c r="GX34" s="292"/>
      <c r="GY34" s="292"/>
      <c r="GZ34" s="292"/>
      <c r="HA34" s="292"/>
      <c r="HB34" s="292"/>
      <c r="HC34" s="292"/>
      <c r="HD34" s="292"/>
      <c r="HE34" s="292"/>
      <c r="HF34" s="292"/>
      <c r="HG34" s="292"/>
      <c r="HH34" s="292"/>
      <c r="HI34" s="292"/>
      <c r="HJ34" s="292"/>
      <c r="HK34" s="292"/>
      <c r="HL34" s="292"/>
      <c r="HM34" s="292"/>
      <c r="HN34" s="292"/>
      <c r="HO34" s="292"/>
      <c r="HP34" s="292"/>
      <c r="HQ34" s="292"/>
      <c r="HR34" s="292"/>
      <c r="HS34" s="292"/>
      <c r="HT34" s="292"/>
      <c r="HU34" s="292"/>
      <c r="HV34" s="292"/>
      <c r="HW34" s="292"/>
      <c r="HX34" s="292"/>
      <c r="HY34" s="292"/>
      <c r="HZ34" s="292"/>
      <c r="IA34" s="292"/>
      <c r="IB34" s="292"/>
      <c r="IC34" s="292"/>
      <c r="ID34" s="292"/>
      <c r="IE34" s="292"/>
      <c r="IF34" s="292"/>
      <c r="IG34" s="292"/>
      <c r="IH34" s="292"/>
      <c r="II34" s="292"/>
      <c r="IJ34" s="292"/>
      <c r="IK34" s="292"/>
      <c r="IL34" s="292"/>
      <c r="IM34" s="292"/>
      <c r="IN34" s="292"/>
      <c r="IO34" s="292"/>
      <c r="IP34" s="292"/>
      <c r="IQ34" s="292"/>
      <c r="IR34" s="292"/>
      <c r="IS34" s="292"/>
      <c r="IT34" s="292"/>
      <c r="IU34" s="292"/>
      <c r="IV34" s="292"/>
      <c r="IW34" s="292"/>
      <c r="IX34" s="292"/>
      <c r="IY34" s="292"/>
      <c r="IZ34" s="292"/>
      <c r="JA34" s="292"/>
      <c r="JB34" s="292"/>
      <c r="JC34" s="292"/>
      <c r="JD34" s="292"/>
      <c r="JE34" s="292"/>
      <c r="JF34" s="292"/>
      <c r="JG34" s="292"/>
      <c r="JH34" s="292"/>
      <c r="JI34" s="292"/>
      <c r="JJ34" s="292"/>
      <c r="JK34" s="292"/>
      <c r="JL34" s="292"/>
      <c r="JM34" s="292"/>
      <c r="JN34" s="292"/>
      <c r="JO34" s="292"/>
      <c r="JP34" s="292"/>
      <c r="JQ34" s="292"/>
      <c r="JR34" s="292"/>
      <c r="JS34" s="292"/>
      <c r="JT34" s="292"/>
      <c r="JU34" s="292"/>
      <c r="JV34" s="292"/>
      <c r="JW34" s="292"/>
      <c r="JX34" s="292"/>
      <c r="JY34" s="292"/>
      <c r="JZ34" s="292"/>
      <c r="KA34" s="292"/>
      <c r="KB34" s="292"/>
      <c r="KC34" s="292"/>
      <c r="KD34" s="292"/>
      <c r="KE34" s="292"/>
      <c r="KF34" s="292"/>
      <c r="KG34" s="292"/>
      <c r="KH34" s="292"/>
      <c r="KI34" s="292"/>
      <c r="KJ34" s="292"/>
      <c r="KK34" s="292"/>
      <c r="KL34" s="292"/>
      <c r="KM34" s="292"/>
      <c r="KN34" s="292"/>
      <c r="KO34" s="292"/>
      <c r="KP34" s="292"/>
      <c r="KQ34" s="292"/>
      <c r="KR34" s="292"/>
      <c r="KS34" s="292"/>
      <c r="KT34" s="292"/>
      <c r="KU34" s="292"/>
      <c r="KV34" s="292"/>
      <c r="KW34" s="292"/>
      <c r="KX34" s="292"/>
      <c r="KY34" s="292"/>
      <c r="KZ34" s="292"/>
      <c r="LA34" s="292"/>
      <c r="LB34" s="292"/>
      <c r="LC34" s="292"/>
      <c r="LD34" s="292"/>
      <c r="LE34" s="292"/>
      <c r="LF34" s="292"/>
      <c r="LG34" s="292"/>
      <c r="LH34" s="292"/>
      <c r="LI34" s="292"/>
      <c r="LJ34" s="292"/>
      <c r="LK34" s="292"/>
      <c r="LL34" s="292"/>
      <c r="LM34" s="292"/>
      <c r="LN34" s="292"/>
      <c r="LO34" s="292"/>
      <c r="LP34" s="292"/>
      <c r="LQ34" s="292"/>
      <c r="LR34" s="292"/>
      <c r="LS34" s="292"/>
      <c r="LT34" s="292"/>
      <c r="LU34" s="292"/>
      <c r="LV34" s="292"/>
      <c r="LW34" s="292"/>
      <c r="LX34" s="292"/>
      <c r="LY34" s="292"/>
      <c r="LZ34" s="292"/>
      <c r="MA34" s="292"/>
      <c r="MB34" s="292"/>
      <c r="MC34" s="292"/>
      <c r="MD34" s="292"/>
      <c r="ME34" s="292"/>
      <c r="MF34" s="292"/>
      <c r="MG34" s="292"/>
      <c r="MH34" s="292"/>
      <c r="MI34" s="292"/>
      <c r="MJ34" s="292"/>
      <c r="MK34" s="292"/>
      <c r="ML34" s="292"/>
      <c r="MM34" s="292"/>
      <c r="MN34" s="292"/>
      <c r="MO34" s="292"/>
      <c r="MP34" s="292"/>
      <c r="MQ34" s="292"/>
      <c r="MR34" s="292"/>
      <c r="MS34" s="292"/>
      <c r="MT34" s="292"/>
      <c r="MU34" s="292"/>
      <c r="MV34" s="292"/>
      <c r="MW34" s="292"/>
      <c r="MX34" s="292"/>
      <c r="MY34" s="292"/>
      <c r="MZ34" s="292"/>
      <c r="NA34" s="292"/>
      <c r="NB34" s="292"/>
      <c r="NC34" s="292"/>
      <c r="ND34" s="292"/>
      <c r="NE34" s="292"/>
      <c r="NF34" s="292"/>
      <c r="NG34" s="292"/>
      <c r="NH34" s="292"/>
      <c r="NI34" s="292"/>
      <c r="NJ34" s="292"/>
      <c r="NK34" s="292"/>
      <c r="NL34" s="292"/>
      <c r="NM34" s="292"/>
      <c r="NN34" s="292"/>
      <c r="NO34" s="292"/>
      <c r="NP34" s="292"/>
      <c r="NQ34" s="292"/>
      <c r="NR34" s="292"/>
      <c r="NS34" s="292"/>
      <c r="NT34" s="292"/>
      <c r="NU34" s="292"/>
      <c r="NV34" s="292"/>
      <c r="NW34" s="292"/>
      <c r="NX34" s="292"/>
      <c r="NY34" s="292"/>
      <c r="NZ34" s="292"/>
      <c r="OA34" s="292"/>
      <c r="OB34" s="292"/>
      <c r="OC34" s="292"/>
      <c r="OD34" s="292"/>
      <c r="OE34" s="292"/>
      <c r="OF34" s="292"/>
      <c r="OG34" s="292"/>
      <c r="OH34" s="292"/>
      <c r="OI34" s="292"/>
      <c r="OJ34" s="292"/>
      <c r="OK34" s="292"/>
      <c r="OL34" s="292"/>
      <c r="OM34" s="292"/>
      <c r="ON34" s="292"/>
      <c r="OO34" s="292"/>
      <c r="OP34" s="292"/>
      <c r="OQ34" s="292"/>
      <c r="OR34" s="292"/>
      <c r="OS34" s="292"/>
      <c r="OT34" s="292"/>
      <c r="OU34" s="292"/>
      <c r="OV34" s="292"/>
      <c r="OW34" s="292"/>
      <c r="OX34" s="292"/>
      <c r="OY34" s="292"/>
      <c r="OZ34" s="292"/>
      <c r="PA34" s="292"/>
      <c r="PB34" s="292"/>
      <c r="PC34" s="292"/>
      <c r="PD34" s="292"/>
      <c r="PE34" s="292"/>
      <c r="PF34" s="292"/>
      <c r="PG34" s="292"/>
      <c r="PH34" s="292"/>
      <c r="PI34" s="292"/>
      <c r="PJ34" s="292"/>
      <c r="PK34" s="292"/>
      <c r="PL34" s="292"/>
      <c r="PM34" s="292"/>
      <c r="PN34" s="292"/>
      <c r="PO34" s="292"/>
      <c r="PP34" s="292"/>
      <c r="PQ34" s="292"/>
      <c r="PR34" s="292"/>
      <c r="PS34" s="292"/>
      <c r="PT34" s="292"/>
      <c r="PU34" s="292"/>
      <c r="PV34" s="292"/>
      <c r="PW34" s="292"/>
      <c r="PX34" s="292"/>
      <c r="PY34" s="292"/>
      <c r="PZ34" s="292"/>
      <c r="QA34" s="292"/>
      <c r="QB34" s="292"/>
      <c r="QC34" s="292"/>
      <c r="QD34" s="292"/>
      <c r="QE34" s="292"/>
      <c r="QF34" s="292"/>
      <c r="QG34" s="292"/>
      <c r="QH34" s="292"/>
      <c r="QI34" s="292"/>
      <c r="QJ34" s="292"/>
      <c r="QK34" s="292"/>
      <c r="QL34" s="292"/>
      <c r="QM34" s="292"/>
      <c r="QN34" s="292"/>
      <c r="QO34" s="292"/>
      <c r="QP34" s="292"/>
      <c r="QQ34" s="292"/>
      <c r="QR34" s="292"/>
      <c r="QS34" s="292"/>
      <c r="QT34" s="292"/>
      <c r="QU34" s="292"/>
      <c r="QV34" s="292"/>
      <c r="QW34" s="292"/>
      <c r="QX34" s="292"/>
      <c r="QY34" s="292"/>
      <c r="QZ34" s="292"/>
      <c r="RA34" s="292"/>
      <c r="RB34" s="292"/>
      <c r="RC34" s="292"/>
      <c r="RD34" s="292"/>
      <c r="RE34" s="292"/>
      <c r="RF34" s="292"/>
      <c r="RG34" s="292"/>
      <c r="RH34" s="292"/>
      <c r="RI34" s="292"/>
      <c r="RJ34" s="292"/>
      <c r="RK34" s="292"/>
      <c r="RL34" s="292"/>
      <c r="RM34" s="292"/>
      <c r="RN34" s="292"/>
      <c r="RO34" s="292"/>
      <c r="RP34" s="292"/>
      <c r="RQ34" s="292"/>
      <c r="RR34" s="292"/>
      <c r="RS34" s="292"/>
      <c r="RT34" s="292"/>
      <c r="RU34" s="292"/>
      <c r="RV34" s="292"/>
      <c r="RW34" s="292"/>
      <c r="RX34" s="292"/>
      <c r="RY34" s="292"/>
      <c r="RZ34" s="292"/>
      <c r="SA34" s="292"/>
      <c r="SB34" s="292"/>
      <c r="SC34" s="292"/>
      <c r="SD34" s="292"/>
      <c r="SE34" s="292"/>
      <c r="SF34" s="292"/>
      <c r="SG34" s="292"/>
      <c r="SH34" s="292"/>
      <c r="SI34" s="292"/>
      <c r="SJ34" s="292"/>
      <c r="SK34" s="292"/>
      <c r="SL34" s="292"/>
      <c r="SM34" s="292"/>
      <c r="SN34" s="292"/>
      <c r="SO34" s="292"/>
      <c r="SP34" s="292"/>
      <c r="SQ34" s="292"/>
      <c r="SR34" s="292"/>
      <c r="SS34" s="292"/>
      <c r="ST34" s="292"/>
      <c r="SU34" s="292"/>
      <c r="SV34" s="292"/>
      <c r="SW34" s="292"/>
      <c r="SX34" s="292"/>
      <c r="SY34" s="292"/>
      <c r="SZ34" s="292"/>
      <c r="TA34" s="292"/>
      <c r="TB34" s="292"/>
      <c r="TC34" s="292"/>
      <c r="TD34" s="292"/>
      <c r="TE34" s="292"/>
      <c r="TF34" s="292"/>
      <c r="TG34" s="292"/>
      <c r="TH34" s="292"/>
      <c r="TI34" s="292"/>
      <c r="TJ34" s="292"/>
      <c r="TK34" s="292"/>
      <c r="TL34" s="292"/>
      <c r="TM34" s="292"/>
      <c r="TN34" s="292"/>
      <c r="TO34" s="292"/>
      <c r="TP34" s="292"/>
      <c r="TQ34" s="292"/>
      <c r="TR34" s="292"/>
      <c r="TS34" s="292"/>
      <c r="TT34" s="292"/>
      <c r="TU34" s="292"/>
      <c r="TV34" s="292"/>
      <c r="TW34" s="292"/>
      <c r="TX34" s="292"/>
      <c r="TY34" s="292"/>
    </row>
    <row r="35" spans="1:545" ht="20.149999999999999" customHeight="1" x14ac:dyDescent="0.25">
      <c r="A35" s="1344" t="s">
        <v>334</v>
      </c>
      <c r="B35" s="1345"/>
      <c r="C35" s="1345"/>
      <c r="D35" s="957"/>
      <c r="E35" s="957"/>
      <c r="F35" s="957"/>
      <c r="G35" s="1137" t="s">
        <v>335</v>
      </c>
      <c r="H35" s="957"/>
      <c r="I35" s="957"/>
      <c r="J35" s="957"/>
      <c r="K35" s="1137" t="s">
        <v>335</v>
      </c>
      <c r="L35" s="957"/>
      <c r="M35" s="957"/>
      <c r="N35" s="957"/>
      <c r="O35" s="1137" t="s">
        <v>335</v>
      </c>
      <c r="P35" s="957"/>
      <c r="Q35" s="957"/>
      <c r="R35" s="957"/>
      <c r="S35" s="1137" t="s">
        <v>335</v>
      </c>
      <c r="T35" s="957"/>
      <c r="U35" s="957"/>
      <c r="V35" s="957"/>
      <c r="W35" s="1137" t="s">
        <v>335</v>
      </c>
      <c r="X35" s="957"/>
      <c r="Y35" s="957"/>
      <c r="Z35" s="957"/>
      <c r="AA35" s="1137" t="s">
        <v>335</v>
      </c>
      <c r="AB35" s="957"/>
      <c r="AC35" s="957"/>
      <c r="AD35" s="1171" t="s">
        <v>336</v>
      </c>
      <c r="AE35" s="971"/>
    </row>
    <row r="36" spans="1:545" ht="15" customHeight="1" x14ac:dyDescent="0.25">
      <c r="A36" s="1337" t="s">
        <v>337</v>
      </c>
      <c r="B36" s="1338"/>
      <c r="C36" s="1094" t="s">
        <v>338</v>
      </c>
      <c r="D36" s="957"/>
      <c r="E36" s="957"/>
      <c r="F36" s="957"/>
      <c r="G36" s="622">
        <v>0</v>
      </c>
      <c r="H36" s="957"/>
      <c r="I36" s="957"/>
      <c r="J36" s="957"/>
      <c r="K36" s="622">
        <v>0</v>
      </c>
      <c r="L36" s="957"/>
      <c r="M36" s="957"/>
      <c r="N36" s="957"/>
      <c r="O36" s="622">
        <v>0</v>
      </c>
      <c r="P36" s="957"/>
      <c r="Q36" s="957"/>
      <c r="R36" s="957"/>
      <c r="S36" s="622">
        <v>0</v>
      </c>
      <c r="T36" s="957"/>
      <c r="U36" s="957"/>
      <c r="V36" s="957"/>
      <c r="W36" s="622">
        <v>0</v>
      </c>
      <c r="X36" s="957"/>
      <c r="Y36" s="957"/>
      <c r="Z36" s="957"/>
      <c r="AA36" s="622">
        <v>0</v>
      </c>
      <c r="AB36" s="975"/>
      <c r="AC36" s="957"/>
      <c r="AD36" s="1001">
        <f>G36+K36+O36+S36+W36+AA36</f>
        <v>0</v>
      </c>
      <c r="AE36" s="971"/>
    </row>
    <row r="37" spans="1:545" ht="15" customHeight="1" x14ac:dyDescent="0.25">
      <c r="A37" s="1337" t="s">
        <v>339</v>
      </c>
      <c r="B37" s="1338"/>
      <c r="C37" s="1094" t="s">
        <v>338</v>
      </c>
      <c r="D37" s="957"/>
      <c r="E37" s="957"/>
      <c r="F37" s="957"/>
      <c r="G37" s="622">
        <v>0</v>
      </c>
      <c r="H37" s="957"/>
      <c r="I37" s="957"/>
      <c r="J37" s="957"/>
      <c r="K37" s="622">
        <v>0</v>
      </c>
      <c r="L37" s="957"/>
      <c r="M37" s="957"/>
      <c r="N37" s="957"/>
      <c r="O37" s="622">
        <v>0</v>
      </c>
      <c r="P37" s="957"/>
      <c r="Q37" s="957"/>
      <c r="R37" s="957"/>
      <c r="S37" s="622">
        <v>0</v>
      </c>
      <c r="T37" s="957"/>
      <c r="U37" s="957"/>
      <c r="V37" s="957"/>
      <c r="W37" s="622">
        <v>0</v>
      </c>
      <c r="X37" s="957"/>
      <c r="Y37" s="957"/>
      <c r="Z37" s="957"/>
      <c r="AA37" s="622">
        <v>0</v>
      </c>
      <c r="AB37" s="975"/>
      <c r="AC37" s="957"/>
      <c r="AD37" s="1001">
        <f>G37+K37+O37+S37+W37+AA37</f>
        <v>0</v>
      </c>
      <c r="AE37" s="971"/>
    </row>
    <row r="38" spans="1:545" ht="15" customHeight="1" x14ac:dyDescent="0.25">
      <c r="A38" s="1337" t="s">
        <v>340</v>
      </c>
      <c r="B38" s="1338"/>
      <c r="C38" s="1094" t="s">
        <v>338</v>
      </c>
      <c r="D38" s="957"/>
      <c r="E38" s="957"/>
      <c r="F38" s="957"/>
      <c r="G38" s="622">
        <v>0</v>
      </c>
      <c r="H38" s="957"/>
      <c r="I38" s="957"/>
      <c r="J38" s="957"/>
      <c r="K38" s="622">
        <v>0</v>
      </c>
      <c r="L38" s="957"/>
      <c r="M38" s="957"/>
      <c r="N38" s="957"/>
      <c r="O38" s="622">
        <v>0</v>
      </c>
      <c r="P38" s="957"/>
      <c r="Q38" s="957"/>
      <c r="R38" s="957"/>
      <c r="S38" s="622">
        <v>0</v>
      </c>
      <c r="T38" s="957"/>
      <c r="U38" s="957"/>
      <c r="V38" s="957"/>
      <c r="W38" s="622">
        <v>0</v>
      </c>
      <c r="X38" s="957"/>
      <c r="Y38" s="957"/>
      <c r="Z38" s="957"/>
      <c r="AA38" s="622">
        <v>0</v>
      </c>
      <c r="AB38" s="975"/>
      <c r="AC38" s="957"/>
      <c r="AD38" s="1001">
        <f>G38+K38+O38+S38+W38+AA38</f>
        <v>0</v>
      </c>
      <c r="AE38" s="971"/>
    </row>
    <row r="39" spans="1:545" ht="15" customHeight="1" x14ac:dyDescent="0.25">
      <c r="A39" s="1329" t="s">
        <v>341</v>
      </c>
      <c r="B39" s="1330"/>
      <c r="C39" s="1094" t="s">
        <v>338</v>
      </c>
      <c r="D39" s="957"/>
      <c r="E39" s="957"/>
      <c r="F39" s="957"/>
      <c r="G39" s="622">
        <v>0</v>
      </c>
      <c r="H39" s="957"/>
      <c r="I39" s="957"/>
      <c r="J39" s="957"/>
      <c r="K39" s="622">
        <v>0</v>
      </c>
      <c r="L39" s="957"/>
      <c r="M39" s="957"/>
      <c r="N39" s="957"/>
      <c r="O39" s="622">
        <v>0</v>
      </c>
      <c r="P39" s="957"/>
      <c r="Q39" s="957"/>
      <c r="R39" s="957"/>
      <c r="S39" s="622">
        <v>0</v>
      </c>
      <c r="T39" s="957"/>
      <c r="U39" s="957"/>
      <c r="V39" s="957"/>
      <c r="W39" s="622">
        <v>0</v>
      </c>
      <c r="X39" s="957"/>
      <c r="Y39" s="957"/>
      <c r="Z39" s="957"/>
      <c r="AA39" s="622">
        <v>0</v>
      </c>
      <c r="AB39" s="975"/>
      <c r="AC39" s="957"/>
      <c r="AD39" s="1001">
        <f>G39+K39+O39+S39+W39+AA39</f>
        <v>0</v>
      </c>
      <c r="AE39" s="971"/>
    </row>
    <row r="40" spans="1:545" s="623" customFormat="1" ht="23.15" customHeight="1" x14ac:dyDescent="0.25">
      <c r="A40" s="1358" t="s">
        <v>335</v>
      </c>
      <c r="B40" s="1359"/>
      <c r="C40" s="1359"/>
      <c r="D40" s="962"/>
      <c r="E40" s="962"/>
      <c r="F40" s="962"/>
      <c r="G40" s="794">
        <f>SUM(G35:G39)</f>
        <v>0</v>
      </c>
      <c r="H40" s="979"/>
      <c r="I40" s="962"/>
      <c r="J40" s="962"/>
      <c r="K40" s="794">
        <f>SUM(K35:K39)</f>
        <v>0</v>
      </c>
      <c r="L40" s="979"/>
      <c r="M40" s="962"/>
      <c r="N40" s="962"/>
      <c r="O40" s="794">
        <f>SUM(O35:O39)</f>
        <v>0</v>
      </c>
      <c r="P40" s="979"/>
      <c r="Q40" s="957"/>
      <c r="R40" s="957"/>
      <c r="S40" s="794">
        <f>SUM(S35:S39)</f>
        <v>0</v>
      </c>
      <c r="T40" s="957"/>
      <c r="U40" s="1295"/>
      <c r="V40" s="1295"/>
      <c r="W40" s="794">
        <f>SUM(W35:W39)</f>
        <v>0</v>
      </c>
      <c r="X40" s="957"/>
      <c r="Y40" s="1295"/>
      <c r="Z40" s="1295"/>
      <c r="AA40" s="794">
        <f>SUM(AA35:AA39)</f>
        <v>0</v>
      </c>
      <c r="AB40" s="976"/>
      <c r="AC40" s="957"/>
      <c r="AD40" s="794">
        <f>G40+K40+O40+S40+W40+AA40</f>
        <v>0</v>
      </c>
      <c r="AE40" s="971"/>
      <c r="AF40" s="292"/>
      <c r="AG40" s="292"/>
      <c r="AH40" s="292"/>
      <c r="AI40" s="292"/>
      <c r="AJ40" s="292"/>
      <c r="AK40" s="292"/>
      <c r="AL40" s="292"/>
      <c r="AM40" s="292"/>
      <c r="AN40" s="292"/>
      <c r="AO40" s="292"/>
      <c r="AP40" s="292"/>
      <c r="AQ40" s="292"/>
      <c r="AR40" s="292"/>
      <c r="AS40" s="292"/>
      <c r="AT40" s="292"/>
      <c r="AU40" s="292"/>
      <c r="AV40" s="292"/>
      <c r="AW40" s="292"/>
      <c r="AX40" s="292"/>
      <c r="AY40" s="292"/>
      <c r="AZ40" s="292"/>
      <c r="BA40" s="292"/>
      <c r="BB40" s="292"/>
      <c r="BC40" s="292"/>
      <c r="BD40" s="292"/>
      <c r="BE40" s="292"/>
      <c r="BF40" s="292"/>
      <c r="BG40" s="292"/>
      <c r="BH40" s="292"/>
      <c r="BI40" s="292"/>
      <c r="BJ40" s="292"/>
      <c r="BK40" s="292"/>
      <c r="BL40" s="292"/>
      <c r="BM40" s="292"/>
      <c r="BN40" s="292"/>
      <c r="BO40" s="292"/>
      <c r="BP40" s="292"/>
      <c r="BQ40" s="292"/>
      <c r="BR40" s="292"/>
      <c r="BS40" s="292"/>
      <c r="BT40" s="292"/>
      <c r="BU40" s="292"/>
      <c r="BV40" s="292"/>
      <c r="BW40" s="292"/>
      <c r="BX40" s="292"/>
      <c r="BY40" s="292"/>
      <c r="BZ40" s="292"/>
      <c r="CA40" s="292"/>
      <c r="CB40" s="292"/>
      <c r="CC40" s="292"/>
      <c r="CD40" s="292"/>
      <c r="CE40" s="292"/>
      <c r="CF40" s="292"/>
      <c r="CG40" s="292"/>
      <c r="CH40" s="292"/>
      <c r="CI40" s="292"/>
      <c r="CJ40" s="292"/>
      <c r="CK40" s="292"/>
      <c r="CL40" s="292"/>
      <c r="CM40" s="292"/>
      <c r="CN40" s="292"/>
      <c r="CO40" s="292"/>
      <c r="CP40" s="292"/>
      <c r="CQ40" s="292"/>
      <c r="CR40" s="292"/>
      <c r="CS40" s="292"/>
      <c r="CT40" s="292"/>
      <c r="CU40" s="292"/>
      <c r="CV40" s="292"/>
      <c r="CW40" s="292"/>
      <c r="CX40" s="292"/>
      <c r="CY40" s="292"/>
      <c r="CZ40" s="292"/>
      <c r="DA40" s="292"/>
      <c r="DB40" s="292"/>
      <c r="DC40" s="292"/>
      <c r="DD40" s="292"/>
      <c r="DE40" s="292"/>
      <c r="DF40" s="292"/>
      <c r="DG40" s="292"/>
      <c r="DH40" s="292"/>
      <c r="DI40" s="292"/>
      <c r="DJ40" s="292"/>
      <c r="DK40" s="292"/>
      <c r="DL40" s="292"/>
      <c r="DM40" s="292"/>
      <c r="DN40" s="292"/>
      <c r="DO40" s="292"/>
      <c r="DP40" s="292"/>
      <c r="DQ40" s="292"/>
      <c r="DR40" s="292"/>
      <c r="DS40" s="292"/>
      <c r="DT40" s="292"/>
      <c r="DU40" s="292"/>
      <c r="DV40" s="292"/>
      <c r="DW40" s="292"/>
      <c r="DX40" s="292"/>
      <c r="DY40" s="292"/>
      <c r="DZ40" s="292"/>
      <c r="EA40" s="292"/>
      <c r="EB40" s="292"/>
      <c r="EC40" s="292"/>
      <c r="ED40" s="292"/>
      <c r="EE40" s="292"/>
      <c r="EF40" s="292"/>
      <c r="EG40" s="292"/>
      <c r="EH40" s="292"/>
      <c r="EI40" s="292"/>
      <c r="EJ40" s="292"/>
      <c r="EK40" s="292"/>
      <c r="EL40" s="292"/>
      <c r="EM40" s="292"/>
      <c r="EN40" s="292"/>
      <c r="EO40" s="292"/>
      <c r="EP40" s="292"/>
      <c r="EQ40" s="292"/>
      <c r="ER40" s="292"/>
      <c r="ES40" s="292"/>
      <c r="ET40" s="292"/>
      <c r="EU40" s="292"/>
      <c r="EV40" s="292"/>
      <c r="EW40" s="292"/>
      <c r="EX40" s="292"/>
      <c r="EY40" s="292"/>
      <c r="EZ40" s="292"/>
      <c r="FA40" s="292"/>
      <c r="FB40" s="292"/>
      <c r="FC40" s="292"/>
      <c r="FD40" s="292"/>
      <c r="FE40" s="292"/>
      <c r="FF40" s="292"/>
      <c r="FG40" s="292"/>
      <c r="FH40" s="292"/>
      <c r="FI40" s="292"/>
      <c r="FJ40" s="292"/>
      <c r="FK40" s="292"/>
      <c r="FL40" s="292"/>
      <c r="FM40" s="292"/>
      <c r="FN40" s="292"/>
      <c r="FO40" s="292"/>
      <c r="FP40" s="292"/>
      <c r="FQ40" s="292"/>
      <c r="FR40" s="292"/>
      <c r="FS40" s="292"/>
      <c r="FT40" s="292"/>
      <c r="FU40" s="292"/>
      <c r="FV40" s="292"/>
      <c r="FW40" s="292"/>
      <c r="FX40" s="292"/>
      <c r="FY40" s="292"/>
      <c r="FZ40" s="292"/>
      <c r="GA40" s="292"/>
      <c r="GB40" s="292"/>
      <c r="GC40" s="292"/>
      <c r="GD40" s="292"/>
      <c r="GE40" s="292"/>
      <c r="GF40" s="292"/>
      <c r="GG40" s="292"/>
      <c r="GH40" s="292"/>
      <c r="GI40" s="292"/>
      <c r="GJ40" s="292"/>
      <c r="GK40" s="292"/>
      <c r="GL40" s="292"/>
      <c r="GM40" s="292"/>
      <c r="GN40" s="292"/>
      <c r="GO40" s="292"/>
      <c r="GP40" s="292"/>
      <c r="GQ40" s="292"/>
      <c r="GR40" s="292"/>
      <c r="GS40" s="292"/>
      <c r="GT40" s="292"/>
      <c r="GU40" s="292"/>
      <c r="GV40" s="292"/>
      <c r="GW40" s="292"/>
      <c r="GX40" s="292"/>
      <c r="GY40" s="292"/>
      <c r="GZ40" s="292"/>
      <c r="HA40" s="292"/>
      <c r="HB40" s="292"/>
      <c r="HC40" s="292"/>
      <c r="HD40" s="292"/>
      <c r="HE40" s="292"/>
      <c r="HF40" s="292"/>
      <c r="HG40" s="292"/>
      <c r="HH40" s="292"/>
      <c r="HI40" s="292"/>
      <c r="HJ40" s="292"/>
      <c r="HK40" s="292"/>
      <c r="HL40" s="292"/>
      <c r="HM40" s="292"/>
      <c r="HN40" s="292"/>
      <c r="HO40" s="292"/>
      <c r="HP40" s="292"/>
      <c r="HQ40" s="292"/>
      <c r="HR40" s="292"/>
      <c r="HS40" s="292"/>
      <c r="HT40" s="292"/>
      <c r="HU40" s="292"/>
      <c r="HV40" s="292"/>
      <c r="HW40" s="292"/>
      <c r="HX40" s="292"/>
      <c r="HY40" s="292"/>
      <c r="HZ40" s="292"/>
      <c r="IA40" s="292"/>
      <c r="IB40" s="292"/>
      <c r="IC40" s="292"/>
      <c r="ID40" s="292"/>
      <c r="IE40" s="292"/>
      <c r="IF40" s="292"/>
      <c r="IG40" s="292"/>
      <c r="IH40" s="292"/>
      <c r="II40" s="292"/>
      <c r="IJ40" s="292"/>
      <c r="IK40" s="292"/>
      <c r="IL40" s="292"/>
      <c r="IM40" s="292"/>
      <c r="IN40" s="292"/>
      <c r="IO40" s="292"/>
      <c r="IP40" s="292"/>
      <c r="IQ40" s="292"/>
      <c r="IR40" s="292"/>
      <c r="IS40" s="292"/>
      <c r="IT40" s="292"/>
      <c r="IU40" s="292"/>
      <c r="IV40" s="292"/>
      <c r="IW40" s="292"/>
      <c r="IX40" s="292"/>
      <c r="IY40" s="292"/>
      <c r="IZ40" s="292"/>
      <c r="JA40" s="292"/>
      <c r="JB40" s="292"/>
      <c r="JC40" s="292"/>
      <c r="JD40" s="292"/>
      <c r="JE40" s="292"/>
      <c r="JF40" s="292"/>
      <c r="JG40" s="292"/>
      <c r="JH40" s="292"/>
      <c r="JI40" s="292"/>
      <c r="JJ40" s="292"/>
      <c r="JK40" s="292"/>
      <c r="JL40" s="292"/>
      <c r="JM40" s="292"/>
      <c r="JN40" s="292"/>
      <c r="JO40" s="292"/>
      <c r="JP40" s="292"/>
      <c r="JQ40" s="292"/>
      <c r="JR40" s="292"/>
      <c r="JS40" s="292"/>
      <c r="JT40" s="292"/>
      <c r="JU40" s="292"/>
      <c r="JV40" s="292"/>
      <c r="JW40" s="292"/>
      <c r="JX40" s="292"/>
      <c r="JY40" s="292"/>
      <c r="JZ40" s="292"/>
      <c r="KA40" s="292"/>
      <c r="KB40" s="292"/>
      <c r="KC40" s="292"/>
      <c r="KD40" s="292"/>
      <c r="KE40" s="292"/>
      <c r="KF40" s="292"/>
      <c r="KG40" s="292"/>
      <c r="KH40" s="292"/>
      <c r="KI40" s="292"/>
      <c r="KJ40" s="292"/>
      <c r="KK40" s="292"/>
      <c r="KL40" s="292"/>
      <c r="KM40" s="292"/>
      <c r="KN40" s="292"/>
      <c r="KO40" s="292"/>
      <c r="KP40" s="292"/>
      <c r="KQ40" s="292"/>
      <c r="KR40" s="292"/>
      <c r="KS40" s="292"/>
      <c r="KT40" s="292"/>
      <c r="KU40" s="292"/>
      <c r="KV40" s="292"/>
      <c r="KW40" s="292"/>
      <c r="KX40" s="292"/>
      <c r="KY40" s="292"/>
      <c r="KZ40" s="292"/>
      <c r="LA40" s="292"/>
      <c r="LB40" s="292"/>
      <c r="LC40" s="292"/>
      <c r="LD40" s="292"/>
      <c r="LE40" s="292"/>
      <c r="LF40" s="292"/>
      <c r="LG40" s="292"/>
      <c r="LH40" s="292"/>
      <c r="LI40" s="292"/>
      <c r="LJ40" s="292"/>
      <c r="LK40" s="292"/>
      <c r="LL40" s="292"/>
      <c r="LM40" s="292"/>
      <c r="LN40" s="292"/>
      <c r="LO40" s="292"/>
      <c r="LP40" s="292"/>
      <c r="LQ40" s="292"/>
      <c r="LR40" s="292"/>
      <c r="LS40" s="292"/>
      <c r="LT40" s="292"/>
      <c r="LU40" s="292"/>
      <c r="LV40" s="292"/>
      <c r="LW40" s="292"/>
      <c r="LX40" s="292"/>
      <c r="LY40" s="292"/>
      <c r="LZ40" s="292"/>
      <c r="MA40" s="292"/>
      <c r="MB40" s="292"/>
      <c r="MC40" s="292"/>
      <c r="MD40" s="292"/>
      <c r="ME40" s="292"/>
      <c r="MF40" s="292"/>
      <c r="MG40" s="292"/>
      <c r="MH40" s="292"/>
      <c r="MI40" s="292"/>
      <c r="MJ40" s="292"/>
      <c r="MK40" s="292"/>
      <c r="ML40" s="292"/>
      <c r="MM40" s="292"/>
      <c r="MN40" s="292"/>
      <c r="MO40" s="292"/>
      <c r="MP40" s="292"/>
      <c r="MQ40" s="292"/>
      <c r="MR40" s="292"/>
      <c r="MS40" s="292"/>
      <c r="MT40" s="292"/>
      <c r="MU40" s="292"/>
      <c r="MV40" s="292"/>
      <c r="MW40" s="292"/>
      <c r="MX40" s="292"/>
      <c r="MY40" s="292"/>
      <c r="MZ40" s="292"/>
      <c r="NA40" s="292"/>
      <c r="NB40" s="292"/>
      <c r="NC40" s="292"/>
      <c r="ND40" s="292"/>
      <c r="NE40" s="292"/>
      <c r="NF40" s="292"/>
      <c r="NG40" s="292"/>
      <c r="NH40" s="292"/>
      <c r="NI40" s="292"/>
      <c r="NJ40" s="292"/>
      <c r="NK40" s="292"/>
      <c r="NL40" s="292"/>
      <c r="NM40" s="292"/>
      <c r="NN40" s="292"/>
      <c r="NO40" s="292"/>
      <c r="NP40" s="292"/>
      <c r="NQ40" s="292"/>
      <c r="NR40" s="292"/>
      <c r="NS40" s="292"/>
      <c r="NT40" s="292"/>
      <c r="NU40" s="292"/>
      <c r="NV40" s="292"/>
      <c r="NW40" s="292"/>
      <c r="NX40" s="292"/>
      <c r="NY40" s="292"/>
      <c r="NZ40" s="292"/>
      <c r="OA40" s="292"/>
      <c r="OB40" s="292"/>
      <c r="OC40" s="292"/>
      <c r="OD40" s="292"/>
      <c r="OE40" s="292"/>
      <c r="OF40" s="292"/>
      <c r="OG40" s="292"/>
      <c r="OH40" s="292"/>
      <c r="OI40" s="292"/>
      <c r="OJ40" s="292"/>
      <c r="OK40" s="292"/>
      <c r="OL40" s="292"/>
      <c r="OM40" s="292"/>
      <c r="ON40" s="292"/>
      <c r="OO40" s="292"/>
      <c r="OP40" s="292"/>
      <c r="OQ40" s="292"/>
      <c r="OR40" s="292"/>
      <c r="OS40" s="292"/>
      <c r="OT40" s="292"/>
      <c r="OU40" s="292"/>
      <c r="OV40" s="292"/>
      <c r="OW40" s="292"/>
      <c r="OX40" s="292"/>
      <c r="OY40" s="292"/>
      <c r="OZ40" s="292"/>
      <c r="PA40" s="292"/>
      <c r="PB40" s="292"/>
      <c r="PC40" s="292"/>
      <c r="PD40" s="292"/>
      <c r="PE40" s="292"/>
      <c r="PF40" s="292"/>
      <c r="PG40" s="292"/>
      <c r="PH40" s="292"/>
      <c r="PI40" s="292"/>
      <c r="PJ40" s="292"/>
      <c r="PK40" s="292"/>
      <c r="PL40" s="292"/>
      <c r="PM40" s="292"/>
      <c r="PN40" s="292"/>
      <c r="PO40" s="292"/>
      <c r="PP40" s="292"/>
      <c r="PQ40" s="292"/>
      <c r="PR40" s="292"/>
      <c r="PS40" s="292"/>
      <c r="PT40" s="292"/>
      <c r="PU40" s="292"/>
      <c r="PV40" s="292"/>
      <c r="PW40" s="292"/>
      <c r="PX40" s="292"/>
      <c r="PY40" s="292"/>
      <c r="PZ40" s="292"/>
      <c r="QA40" s="292"/>
      <c r="QB40" s="292"/>
      <c r="QC40" s="292"/>
      <c r="QD40" s="292"/>
      <c r="QE40" s="292"/>
      <c r="QF40" s="292"/>
      <c r="QG40" s="292"/>
      <c r="QH40" s="292"/>
      <c r="QI40" s="292"/>
      <c r="QJ40" s="292"/>
      <c r="QK40" s="292"/>
      <c r="QL40" s="292"/>
      <c r="QM40" s="292"/>
      <c r="QN40" s="292"/>
      <c r="QO40" s="292"/>
      <c r="QP40" s="292"/>
      <c r="QQ40" s="292"/>
      <c r="QR40" s="292"/>
      <c r="QS40" s="292"/>
      <c r="QT40" s="292"/>
      <c r="QU40" s="292"/>
      <c r="QV40" s="292"/>
      <c r="QW40" s="292"/>
      <c r="QX40" s="292"/>
      <c r="QY40" s="292"/>
      <c r="QZ40" s="292"/>
      <c r="RA40" s="292"/>
      <c r="RB40" s="292"/>
      <c r="RC40" s="292"/>
      <c r="RD40" s="292"/>
      <c r="RE40" s="292"/>
      <c r="RF40" s="292"/>
      <c r="RG40" s="292"/>
      <c r="RH40" s="292"/>
      <c r="RI40" s="292"/>
      <c r="RJ40" s="292"/>
      <c r="RK40" s="292"/>
      <c r="RL40" s="292"/>
      <c r="RM40" s="292"/>
      <c r="RN40" s="292"/>
      <c r="RO40" s="292"/>
      <c r="RP40" s="292"/>
      <c r="RQ40" s="292"/>
      <c r="RR40" s="292"/>
      <c r="RS40" s="292"/>
      <c r="RT40" s="292"/>
      <c r="RU40" s="292"/>
      <c r="RV40" s="292"/>
      <c r="RW40" s="292"/>
      <c r="RX40" s="292"/>
      <c r="RY40" s="292"/>
      <c r="RZ40" s="292"/>
      <c r="SA40" s="292"/>
      <c r="SB40" s="292"/>
      <c r="SC40" s="292"/>
      <c r="SD40" s="292"/>
      <c r="SE40" s="292"/>
      <c r="SF40" s="292"/>
      <c r="SG40" s="292"/>
      <c r="SH40" s="292"/>
      <c r="SI40" s="292"/>
      <c r="SJ40" s="292"/>
      <c r="SK40" s="292"/>
      <c r="SL40" s="292"/>
      <c r="SM40" s="292"/>
      <c r="SN40" s="292"/>
      <c r="SO40" s="292"/>
      <c r="SP40" s="292"/>
      <c r="SQ40" s="292"/>
      <c r="SR40" s="292"/>
      <c r="SS40" s="292"/>
      <c r="ST40" s="292"/>
      <c r="SU40" s="292"/>
    </row>
    <row r="41" spans="1:545" s="620" customFormat="1" ht="15" customHeight="1" x14ac:dyDescent="0.25">
      <c r="A41" s="1007"/>
      <c r="B41" s="1006"/>
      <c r="C41" s="1006"/>
      <c r="D41" s="962"/>
      <c r="E41" s="962"/>
      <c r="F41" s="962"/>
      <c r="G41" s="981"/>
      <c r="H41" s="957"/>
      <c r="I41" s="962"/>
      <c r="J41" s="962"/>
      <c r="K41" s="981"/>
      <c r="L41" s="957"/>
      <c r="M41" s="962"/>
      <c r="N41" s="962"/>
      <c r="O41" s="981"/>
      <c r="P41" s="957"/>
      <c r="Q41" s="957"/>
      <c r="R41" s="957"/>
      <c r="S41" s="981"/>
      <c r="T41" s="957"/>
      <c r="U41" s="1180"/>
      <c r="V41" s="1180"/>
      <c r="W41" s="981"/>
      <c r="X41" s="957"/>
      <c r="Y41" s="1180"/>
      <c r="Z41" s="1180"/>
      <c r="AA41" s="981"/>
      <c r="AB41" s="976"/>
      <c r="AC41" s="957"/>
      <c r="AD41" s="981"/>
      <c r="AE41" s="971"/>
      <c r="AF41" s="292"/>
      <c r="AG41" s="292"/>
      <c r="AH41" s="292"/>
      <c r="AI41" s="292"/>
      <c r="AJ41" s="292"/>
      <c r="AK41" s="292"/>
      <c r="AL41" s="292"/>
      <c r="AM41" s="292"/>
      <c r="AN41" s="292"/>
      <c r="AO41" s="292"/>
      <c r="AP41" s="292"/>
      <c r="AQ41" s="292"/>
      <c r="AR41" s="292"/>
      <c r="AS41" s="292"/>
      <c r="AT41" s="292"/>
      <c r="AU41" s="292"/>
      <c r="AV41" s="292"/>
      <c r="AW41" s="292"/>
      <c r="AX41" s="292"/>
      <c r="AY41" s="292"/>
      <c r="AZ41" s="292"/>
      <c r="BA41" s="292"/>
      <c r="BB41" s="292"/>
      <c r="BC41" s="292"/>
      <c r="BD41" s="292"/>
      <c r="BE41" s="292"/>
      <c r="BF41" s="292"/>
      <c r="BG41" s="292"/>
      <c r="BH41" s="292"/>
      <c r="BI41" s="292"/>
      <c r="BJ41" s="292"/>
      <c r="BK41" s="292"/>
      <c r="BL41" s="292"/>
    </row>
    <row r="42" spans="1:545" ht="27.65" customHeight="1" x14ac:dyDescent="0.25">
      <c r="A42" s="1334" t="s">
        <v>342</v>
      </c>
      <c r="B42" s="1335"/>
      <c r="C42" s="1335"/>
      <c r="D42" s="957"/>
      <c r="E42" s="1179" t="s">
        <v>327</v>
      </c>
      <c r="F42" s="1179" t="s">
        <v>343</v>
      </c>
      <c r="G42" s="1141" t="s">
        <v>344</v>
      </c>
      <c r="H42" s="957"/>
      <c r="I42" s="1179" t="s">
        <v>327</v>
      </c>
      <c r="J42" s="1179" t="s">
        <v>343</v>
      </c>
      <c r="K42" s="1141" t="s">
        <v>344</v>
      </c>
      <c r="L42" s="957"/>
      <c r="M42" s="1179" t="s">
        <v>327</v>
      </c>
      <c r="N42" s="1179" t="s">
        <v>343</v>
      </c>
      <c r="O42" s="1141" t="s">
        <v>344</v>
      </c>
      <c r="P42" s="957"/>
      <c r="Q42" s="1179" t="s">
        <v>327</v>
      </c>
      <c r="R42" s="1179" t="s">
        <v>343</v>
      </c>
      <c r="S42" s="1141" t="s">
        <v>344</v>
      </c>
      <c r="T42" s="957"/>
      <c r="U42" s="1179" t="s">
        <v>327</v>
      </c>
      <c r="V42" s="1179" t="s">
        <v>343</v>
      </c>
      <c r="W42" s="1141" t="s">
        <v>344</v>
      </c>
      <c r="X42" s="957"/>
      <c r="Y42" s="1179" t="s">
        <v>345</v>
      </c>
      <c r="Z42" s="1179" t="s">
        <v>343</v>
      </c>
      <c r="AA42" s="1141" t="s">
        <v>344</v>
      </c>
      <c r="AB42" s="957"/>
      <c r="AC42" s="1179" t="s">
        <v>327</v>
      </c>
      <c r="AD42" s="1142" t="s">
        <v>346</v>
      </c>
      <c r="AE42" s="971"/>
    </row>
    <row r="43" spans="1:545" ht="15" customHeight="1" x14ac:dyDescent="0.25">
      <c r="A43" s="1337" t="s">
        <v>347</v>
      </c>
      <c r="B43" s="1338"/>
      <c r="C43" s="1095" t="s">
        <v>348</v>
      </c>
      <c r="D43" s="957"/>
      <c r="E43" s="797">
        <v>0</v>
      </c>
      <c r="F43" s="1158">
        <v>0</v>
      </c>
      <c r="G43" s="998">
        <f>E43*F43</f>
        <v>0</v>
      </c>
      <c r="H43" s="957"/>
      <c r="I43" s="797">
        <v>0</v>
      </c>
      <c r="J43" s="622">
        <v>0</v>
      </c>
      <c r="K43" s="998">
        <f>I43*J43</f>
        <v>0</v>
      </c>
      <c r="L43" s="957"/>
      <c r="M43" s="797">
        <v>0</v>
      </c>
      <c r="N43" s="622">
        <v>0</v>
      </c>
      <c r="O43" s="998">
        <f>M43*N43</f>
        <v>0</v>
      </c>
      <c r="P43" s="957"/>
      <c r="Q43" s="797">
        <v>0</v>
      </c>
      <c r="R43" s="622">
        <v>0</v>
      </c>
      <c r="S43" s="998">
        <f>Q43*R43</f>
        <v>0</v>
      </c>
      <c r="T43" s="957"/>
      <c r="U43" s="797">
        <v>0</v>
      </c>
      <c r="V43" s="622">
        <v>0</v>
      </c>
      <c r="W43" s="998">
        <f>U43*V43</f>
        <v>0</v>
      </c>
      <c r="X43" s="957"/>
      <c r="Y43" s="797">
        <v>0</v>
      </c>
      <c r="Z43" s="622">
        <v>0</v>
      </c>
      <c r="AA43" s="998">
        <f>Y43*Z43</f>
        <v>0</v>
      </c>
      <c r="AB43" s="975"/>
      <c r="AC43" s="1097">
        <f>SUM(E43,I43,M43,Q43,U43,Y43)</f>
        <v>0</v>
      </c>
      <c r="AD43" s="998">
        <f>G43+K43+O43+S43+W43+AA43</f>
        <v>0</v>
      </c>
      <c r="AE43" s="971"/>
    </row>
    <row r="44" spans="1:545" ht="15" customHeight="1" x14ac:dyDescent="0.25">
      <c r="A44" s="1337" t="s">
        <v>349</v>
      </c>
      <c r="B44" s="1338"/>
      <c r="C44" s="1095" t="s">
        <v>348</v>
      </c>
      <c r="D44" s="957"/>
      <c r="E44" s="797">
        <v>0</v>
      </c>
      <c r="F44" s="622">
        <v>0</v>
      </c>
      <c r="G44" s="998">
        <f>E45*F44</f>
        <v>0</v>
      </c>
      <c r="H44" s="957"/>
      <c r="I44" s="797">
        <v>0</v>
      </c>
      <c r="J44" s="622">
        <v>0</v>
      </c>
      <c r="K44" s="998">
        <f>I44*J44</f>
        <v>0</v>
      </c>
      <c r="L44" s="957"/>
      <c r="M44" s="797">
        <v>0</v>
      </c>
      <c r="N44" s="622">
        <v>0</v>
      </c>
      <c r="O44" s="998">
        <f>M44*N44</f>
        <v>0</v>
      </c>
      <c r="P44" s="957"/>
      <c r="Q44" s="797">
        <v>0</v>
      </c>
      <c r="R44" s="622">
        <v>0</v>
      </c>
      <c r="S44" s="998">
        <f>Q44*R44</f>
        <v>0</v>
      </c>
      <c r="T44" s="957"/>
      <c r="U44" s="797">
        <v>0</v>
      </c>
      <c r="V44" s="622">
        <v>0</v>
      </c>
      <c r="W44" s="998">
        <f>U44*V44</f>
        <v>0</v>
      </c>
      <c r="X44" s="957"/>
      <c r="Y44" s="797">
        <v>0</v>
      </c>
      <c r="Z44" s="622">
        <v>0</v>
      </c>
      <c r="AA44" s="998">
        <f>Y44*Z44</f>
        <v>0</v>
      </c>
      <c r="AB44" s="975"/>
      <c r="AC44" s="1097">
        <f>SUM(E44,I44,M44,Q44,U44,Y44)</f>
        <v>0</v>
      </c>
      <c r="AD44" s="998">
        <f>G44+K44+O44+S44+W44+AA44</f>
        <v>0</v>
      </c>
      <c r="AE44" s="971"/>
    </row>
    <row r="45" spans="1:545" ht="15" customHeight="1" x14ac:dyDescent="0.25">
      <c r="A45" s="1337" t="s">
        <v>350</v>
      </c>
      <c r="B45" s="1338"/>
      <c r="C45" s="1095" t="s">
        <v>348</v>
      </c>
      <c r="D45" s="957"/>
      <c r="E45" s="797">
        <v>0</v>
      </c>
      <c r="F45" s="622">
        <v>0</v>
      </c>
      <c r="G45" s="998">
        <f>E46*F45</f>
        <v>0</v>
      </c>
      <c r="H45" s="957"/>
      <c r="I45" s="797">
        <v>0</v>
      </c>
      <c r="J45" s="622">
        <v>0</v>
      </c>
      <c r="K45" s="998">
        <f>I45*J45</f>
        <v>0</v>
      </c>
      <c r="L45" s="957"/>
      <c r="M45" s="797">
        <v>0</v>
      </c>
      <c r="N45" s="622">
        <v>0</v>
      </c>
      <c r="O45" s="998">
        <f>M45*N45</f>
        <v>0</v>
      </c>
      <c r="P45" s="957"/>
      <c r="Q45" s="797">
        <v>0</v>
      </c>
      <c r="R45" s="622">
        <v>0</v>
      </c>
      <c r="S45" s="998">
        <f>Q45*R45</f>
        <v>0</v>
      </c>
      <c r="T45" s="957"/>
      <c r="U45" s="797">
        <v>0</v>
      </c>
      <c r="V45" s="622">
        <v>0</v>
      </c>
      <c r="W45" s="998">
        <f>U45*V45</f>
        <v>0</v>
      </c>
      <c r="X45" s="957"/>
      <c r="Y45" s="797">
        <v>0</v>
      </c>
      <c r="Z45" s="622">
        <v>0</v>
      </c>
      <c r="AA45" s="998">
        <f>Y45*Z45</f>
        <v>0</v>
      </c>
      <c r="AB45" s="975"/>
      <c r="AC45" s="1097">
        <f>SUM(E45,I45,M45,Q45,U45,Y45)</f>
        <v>0</v>
      </c>
      <c r="AD45" s="998">
        <f>G45+K45+O45+S45+W45+AA45</f>
        <v>0</v>
      </c>
      <c r="AE45" s="971"/>
    </row>
    <row r="46" spans="1:545" ht="15" customHeight="1" x14ac:dyDescent="0.25">
      <c r="A46" s="1329" t="s">
        <v>351</v>
      </c>
      <c r="B46" s="1330"/>
      <c r="C46" s="1095" t="s">
        <v>348</v>
      </c>
      <c r="D46" s="957"/>
      <c r="E46" s="797">
        <v>0</v>
      </c>
      <c r="F46" s="622">
        <v>0</v>
      </c>
      <c r="G46" s="998">
        <f>E46*F46</f>
        <v>0</v>
      </c>
      <c r="H46" s="957"/>
      <c r="I46" s="797">
        <v>0</v>
      </c>
      <c r="J46" s="622">
        <v>0</v>
      </c>
      <c r="K46" s="998">
        <f>I46*J46</f>
        <v>0</v>
      </c>
      <c r="L46" s="957"/>
      <c r="M46" s="797">
        <v>0</v>
      </c>
      <c r="N46" s="622">
        <v>0</v>
      </c>
      <c r="O46" s="998">
        <f>M46*N46</f>
        <v>0</v>
      </c>
      <c r="P46" s="957"/>
      <c r="Q46" s="797">
        <v>0</v>
      </c>
      <c r="R46" s="622">
        <v>0</v>
      </c>
      <c r="S46" s="998">
        <f>Q46*R46</f>
        <v>0</v>
      </c>
      <c r="T46" s="957"/>
      <c r="U46" s="797">
        <v>0</v>
      </c>
      <c r="V46" s="622">
        <v>0</v>
      </c>
      <c r="W46" s="998">
        <f>U46*V46</f>
        <v>0</v>
      </c>
      <c r="X46" s="957"/>
      <c r="Y46" s="797">
        <v>0</v>
      </c>
      <c r="Z46" s="622">
        <v>0</v>
      </c>
      <c r="AA46" s="998">
        <f>Y46*Z46</f>
        <v>0</v>
      </c>
      <c r="AB46" s="975"/>
      <c r="AC46" s="1097">
        <f>SUM(E46,I46,M46,Q46,U46,Y46)</f>
        <v>0</v>
      </c>
      <c r="AD46" s="998">
        <f>G46+K46+O46+S46+W46+AA46</f>
        <v>0</v>
      </c>
      <c r="AE46" s="971"/>
    </row>
    <row r="47" spans="1:545" s="615" customFormat="1" ht="23.15" customHeight="1" x14ac:dyDescent="0.25">
      <c r="A47" s="1360" t="s">
        <v>342</v>
      </c>
      <c r="B47" s="1361"/>
      <c r="C47" s="1361"/>
      <c r="D47" s="957"/>
      <c r="E47" s="798">
        <f>SUM(E43:E46)</f>
        <v>0</v>
      </c>
      <c r="F47" s="995"/>
      <c r="G47" s="1131">
        <f>SUM(G42:G46)</f>
        <v>0</v>
      </c>
      <c r="H47" s="957"/>
      <c r="I47" s="798">
        <f>SUM(I43:I46)</f>
        <v>0</v>
      </c>
      <c r="J47" s="996"/>
      <c r="K47" s="1131">
        <f>SUM(K42:K46)</f>
        <v>0</v>
      </c>
      <c r="L47" s="957"/>
      <c r="M47" s="798">
        <f>SUM(M43:M46)</f>
        <v>0</v>
      </c>
      <c r="N47" s="996"/>
      <c r="O47" s="1131">
        <f>SUM(O42:O46)</f>
        <v>0</v>
      </c>
      <c r="P47" s="957"/>
      <c r="Q47" s="798">
        <f>SUM(Q43:Q46)</f>
        <v>0</v>
      </c>
      <c r="R47" s="996"/>
      <c r="S47" s="1131">
        <f>SUM(S42:S46)</f>
        <v>0</v>
      </c>
      <c r="T47" s="957"/>
      <c r="U47" s="798">
        <f>SUM(U43:U46)</f>
        <v>0</v>
      </c>
      <c r="V47" s="987"/>
      <c r="W47" s="1131">
        <f>SUM(W42:W46)</f>
        <v>0</v>
      </c>
      <c r="X47" s="957"/>
      <c r="Y47" s="798">
        <f>SUM(Y43:Y46)</f>
        <v>0</v>
      </c>
      <c r="Z47" s="987"/>
      <c r="AA47" s="1131">
        <f>SUM(AA42:AA46)</f>
        <v>0</v>
      </c>
      <c r="AB47" s="976"/>
      <c r="AC47" s="798">
        <f>SUM(AC43:AC46)</f>
        <v>0</v>
      </c>
      <c r="AD47" s="1131">
        <f>G47+K47+O47+S47+W47+AA47</f>
        <v>0</v>
      </c>
      <c r="AE47" s="971"/>
      <c r="AF47" s="292"/>
      <c r="AG47" s="292"/>
      <c r="AH47" s="292"/>
      <c r="AI47" s="292"/>
      <c r="AJ47" s="292"/>
      <c r="AK47" s="292"/>
      <c r="AL47" s="292"/>
      <c r="AM47" s="292"/>
      <c r="AN47" s="292"/>
      <c r="AO47" s="292"/>
      <c r="AP47" s="292"/>
      <c r="AQ47" s="292"/>
      <c r="AR47" s="292"/>
      <c r="AS47" s="292"/>
      <c r="AT47" s="292"/>
      <c r="AU47" s="292"/>
      <c r="AV47" s="292"/>
      <c r="AW47" s="292"/>
      <c r="AX47" s="292"/>
      <c r="AY47" s="292"/>
      <c r="AZ47" s="292"/>
      <c r="BA47" s="292"/>
      <c r="BB47" s="292"/>
      <c r="BC47" s="292"/>
      <c r="BD47" s="292"/>
      <c r="BE47" s="292"/>
      <c r="BF47" s="292"/>
      <c r="BG47" s="292"/>
      <c r="BH47" s="292"/>
      <c r="BI47" s="292"/>
      <c r="BJ47" s="292"/>
      <c r="BK47" s="292"/>
      <c r="BL47" s="292"/>
      <c r="BM47" s="292"/>
      <c r="BN47" s="292"/>
      <c r="BO47" s="292"/>
      <c r="BP47" s="292"/>
      <c r="BQ47" s="292"/>
      <c r="BR47" s="292"/>
      <c r="BS47" s="292"/>
      <c r="BT47" s="292"/>
      <c r="BU47" s="292"/>
      <c r="BV47" s="292"/>
      <c r="BW47" s="292"/>
      <c r="BX47" s="292"/>
      <c r="BY47" s="292"/>
      <c r="BZ47" s="292"/>
      <c r="CA47" s="292"/>
      <c r="CB47" s="292"/>
      <c r="CC47" s="292"/>
      <c r="CD47" s="292"/>
      <c r="CE47" s="292"/>
      <c r="CF47" s="292"/>
      <c r="CG47" s="292"/>
      <c r="CH47" s="292"/>
      <c r="CI47" s="292"/>
      <c r="CJ47" s="292"/>
      <c r="CK47" s="292"/>
      <c r="CL47" s="292"/>
      <c r="CM47" s="292"/>
      <c r="CN47" s="292"/>
      <c r="CO47" s="292"/>
      <c r="CP47" s="292"/>
      <c r="CQ47" s="292"/>
      <c r="CR47" s="292"/>
      <c r="CS47" s="292"/>
      <c r="CT47" s="292"/>
      <c r="CU47" s="292"/>
      <c r="CV47" s="292"/>
      <c r="CW47" s="292"/>
      <c r="CX47" s="292"/>
      <c r="CY47" s="292"/>
      <c r="CZ47" s="292"/>
      <c r="DA47" s="292"/>
      <c r="DB47" s="292"/>
      <c r="DC47" s="292"/>
      <c r="DD47" s="292"/>
      <c r="DE47" s="292"/>
      <c r="DF47" s="292"/>
      <c r="DG47" s="292"/>
      <c r="DH47" s="292"/>
      <c r="DI47" s="292"/>
      <c r="DJ47" s="292"/>
      <c r="DK47" s="292"/>
      <c r="DL47" s="292"/>
      <c r="DM47" s="292"/>
      <c r="DN47" s="292"/>
      <c r="DO47" s="292"/>
      <c r="DP47" s="292"/>
      <c r="DQ47" s="292"/>
      <c r="DR47" s="292"/>
      <c r="DS47" s="292"/>
      <c r="DT47" s="292"/>
      <c r="DU47" s="292"/>
      <c r="DV47" s="292"/>
      <c r="DW47" s="292"/>
      <c r="DX47" s="292"/>
      <c r="DY47" s="292"/>
      <c r="DZ47" s="292"/>
      <c r="EA47" s="292"/>
      <c r="EB47" s="292"/>
      <c r="EC47" s="292"/>
      <c r="ED47" s="292"/>
      <c r="EE47" s="292"/>
      <c r="EF47" s="292"/>
      <c r="EG47" s="292"/>
      <c r="EH47" s="292"/>
      <c r="EI47" s="292"/>
      <c r="EJ47" s="292"/>
      <c r="EK47" s="292"/>
      <c r="EL47" s="292"/>
      <c r="EM47" s="292"/>
      <c r="EN47" s="292"/>
      <c r="EO47" s="292"/>
      <c r="EP47" s="292"/>
      <c r="EQ47" s="292"/>
      <c r="ER47" s="292"/>
      <c r="ES47" s="292"/>
      <c r="ET47" s="292"/>
      <c r="EU47" s="292"/>
      <c r="EV47" s="292"/>
      <c r="EW47" s="292"/>
      <c r="EX47" s="292"/>
      <c r="EY47" s="292"/>
      <c r="EZ47" s="292"/>
      <c r="FA47" s="292"/>
      <c r="FB47" s="292"/>
      <c r="FC47" s="292"/>
      <c r="FD47" s="292"/>
      <c r="FE47" s="292"/>
      <c r="FF47" s="292"/>
      <c r="FG47" s="292"/>
      <c r="FH47" s="292"/>
      <c r="FI47" s="292"/>
      <c r="FJ47" s="292"/>
      <c r="FK47" s="292"/>
      <c r="FL47" s="292"/>
      <c r="FM47" s="292"/>
      <c r="FN47" s="292"/>
      <c r="FO47" s="292"/>
      <c r="FP47" s="292"/>
      <c r="FQ47" s="292"/>
      <c r="FR47" s="292"/>
      <c r="FS47" s="292"/>
      <c r="FT47" s="292"/>
      <c r="FU47" s="292"/>
      <c r="FV47" s="292"/>
      <c r="FW47" s="292"/>
      <c r="FX47" s="292"/>
      <c r="FY47" s="292"/>
      <c r="FZ47" s="292"/>
      <c r="GA47" s="292"/>
      <c r="GB47" s="292"/>
      <c r="GC47" s="292"/>
      <c r="GD47" s="292"/>
      <c r="GE47" s="292"/>
      <c r="GF47" s="292"/>
      <c r="GG47" s="292"/>
      <c r="GH47" s="292"/>
      <c r="GI47" s="292"/>
      <c r="GJ47" s="292"/>
      <c r="GK47" s="292"/>
      <c r="GL47" s="292"/>
      <c r="GM47" s="292"/>
      <c r="GN47" s="292"/>
      <c r="GO47" s="292"/>
      <c r="GP47" s="292"/>
      <c r="GQ47" s="292"/>
      <c r="GR47" s="292"/>
      <c r="GS47" s="292"/>
      <c r="GT47" s="292"/>
      <c r="GU47" s="292"/>
      <c r="GV47" s="292"/>
      <c r="GW47" s="292"/>
      <c r="GX47" s="292"/>
      <c r="GY47" s="292"/>
      <c r="GZ47" s="292"/>
      <c r="HA47" s="292"/>
      <c r="HB47" s="292"/>
      <c r="HC47" s="292"/>
      <c r="HD47" s="292"/>
      <c r="HE47" s="292"/>
      <c r="HF47" s="292"/>
      <c r="HG47" s="292"/>
      <c r="HH47" s="292"/>
      <c r="HI47" s="292"/>
      <c r="HJ47" s="292"/>
      <c r="HK47" s="292"/>
      <c r="HL47" s="292"/>
      <c r="HM47" s="292"/>
      <c r="HN47" s="292"/>
      <c r="HO47" s="292"/>
      <c r="HP47" s="292"/>
      <c r="HQ47" s="292"/>
      <c r="HR47" s="292"/>
      <c r="HS47" s="292"/>
      <c r="HT47" s="292"/>
      <c r="HU47" s="292"/>
      <c r="HV47" s="292"/>
      <c r="HW47" s="292"/>
      <c r="HX47" s="292"/>
      <c r="HY47" s="292"/>
      <c r="HZ47" s="292"/>
      <c r="IA47" s="292"/>
      <c r="IB47" s="292"/>
      <c r="IC47" s="292"/>
      <c r="ID47" s="292"/>
      <c r="IE47" s="292"/>
      <c r="IF47" s="292"/>
      <c r="IG47" s="292"/>
      <c r="IH47" s="292"/>
      <c r="II47" s="292"/>
      <c r="IJ47" s="292"/>
      <c r="IK47" s="292"/>
      <c r="IL47" s="292"/>
      <c r="IM47" s="292"/>
      <c r="IN47" s="292"/>
      <c r="IO47" s="292"/>
      <c r="IP47" s="292"/>
      <c r="IQ47" s="292"/>
      <c r="IR47" s="292"/>
      <c r="IS47" s="292"/>
      <c r="IT47" s="292"/>
      <c r="IU47" s="292"/>
      <c r="IV47" s="292"/>
      <c r="IW47" s="292"/>
      <c r="IX47" s="292"/>
      <c r="IY47" s="292"/>
      <c r="IZ47" s="292"/>
      <c r="JA47" s="292"/>
      <c r="JB47" s="292"/>
      <c r="JC47" s="292"/>
      <c r="JD47" s="292"/>
      <c r="JE47" s="292"/>
      <c r="JF47" s="292"/>
      <c r="JG47" s="292"/>
      <c r="JH47" s="292"/>
      <c r="JI47" s="292"/>
      <c r="JJ47" s="292"/>
      <c r="JK47" s="292"/>
      <c r="JL47" s="292"/>
      <c r="JM47" s="292"/>
      <c r="JN47" s="292"/>
      <c r="JO47" s="292"/>
      <c r="JP47" s="292"/>
      <c r="JQ47" s="292"/>
      <c r="JR47" s="292"/>
      <c r="JS47" s="292"/>
      <c r="JT47" s="292"/>
      <c r="JU47" s="292"/>
      <c r="JV47" s="292"/>
      <c r="JW47" s="292"/>
      <c r="JX47" s="292"/>
      <c r="JY47" s="292"/>
      <c r="JZ47" s="292"/>
      <c r="KA47" s="292"/>
      <c r="KB47" s="292"/>
      <c r="KC47" s="292"/>
      <c r="KD47" s="292"/>
      <c r="KE47" s="292"/>
      <c r="KF47" s="292"/>
      <c r="KG47" s="292"/>
      <c r="KH47" s="292"/>
      <c r="KI47" s="292"/>
      <c r="KJ47" s="292"/>
      <c r="KK47" s="292"/>
      <c r="KL47" s="292"/>
      <c r="KM47" s="292"/>
      <c r="KN47" s="292"/>
      <c r="KO47" s="292"/>
      <c r="KP47" s="292"/>
      <c r="KQ47" s="292"/>
      <c r="KR47" s="292"/>
      <c r="KS47" s="292"/>
      <c r="KT47" s="292"/>
      <c r="KU47" s="292"/>
      <c r="KV47" s="292"/>
      <c r="KW47" s="292"/>
      <c r="KX47" s="292"/>
      <c r="KY47" s="292"/>
      <c r="KZ47" s="292"/>
      <c r="LA47" s="292"/>
      <c r="LB47" s="292"/>
      <c r="LC47" s="292"/>
      <c r="LD47" s="292"/>
      <c r="LE47" s="292"/>
      <c r="LF47" s="292"/>
      <c r="LG47" s="292"/>
      <c r="LH47" s="292"/>
      <c r="LI47" s="292"/>
      <c r="LJ47" s="292"/>
      <c r="LK47" s="292"/>
      <c r="LL47" s="292"/>
      <c r="LM47" s="292"/>
      <c r="LN47" s="292"/>
      <c r="LO47" s="292"/>
      <c r="LP47" s="292"/>
      <c r="LQ47" s="292"/>
      <c r="LR47" s="292"/>
      <c r="LS47" s="292"/>
      <c r="LT47" s="292"/>
      <c r="LU47" s="292"/>
      <c r="LV47" s="292"/>
      <c r="LW47" s="292"/>
      <c r="LX47" s="292"/>
      <c r="LY47" s="292"/>
      <c r="LZ47" s="292"/>
      <c r="MA47" s="292"/>
      <c r="MB47" s="292"/>
      <c r="MC47" s="292"/>
      <c r="MD47" s="292"/>
      <c r="ME47" s="292"/>
      <c r="MF47" s="292"/>
      <c r="MG47" s="292"/>
      <c r="MH47" s="292"/>
      <c r="MI47" s="292"/>
      <c r="MJ47" s="292"/>
      <c r="MK47" s="292"/>
      <c r="ML47" s="292"/>
      <c r="MM47" s="292"/>
      <c r="MN47" s="292"/>
      <c r="MO47" s="292"/>
      <c r="MP47" s="292"/>
      <c r="MQ47" s="292"/>
      <c r="MR47" s="292"/>
      <c r="MS47" s="292"/>
      <c r="MT47" s="292"/>
      <c r="MU47" s="292"/>
      <c r="MV47" s="292"/>
      <c r="MW47" s="292"/>
      <c r="MX47" s="292"/>
      <c r="MY47" s="292"/>
      <c r="MZ47" s="292"/>
      <c r="NA47" s="292"/>
      <c r="NB47" s="292"/>
      <c r="NC47" s="292"/>
      <c r="ND47" s="292"/>
      <c r="NE47" s="292"/>
      <c r="NF47" s="292"/>
      <c r="NG47" s="292"/>
      <c r="NH47" s="292"/>
      <c r="NI47" s="292"/>
      <c r="NJ47" s="292"/>
      <c r="NK47" s="292"/>
      <c r="NL47" s="292"/>
      <c r="NM47" s="292"/>
      <c r="NN47" s="292"/>
      <c r="NO47" s="292"/>
      <c r="NP47" s="292"/>
      <c r="NQ47" s="292"/>
      <c r="NR47" s="292"/>
      <c r="NS47" s="292"/>
      <c r="NT47" s="292"/>
      <c r="NU47" s="292"/>
      <c r="NV47" s="292"/>
      <c r="NW47" s="292"/>
      <c r="NX47" s="292"/>
      <c r="NY47" s="292"/>
      <c r="NZ47" s="292"/>
      <c r="OA47" s="292"/>
      <c r="OB47" s="292"/>
      <c r="OC47" s="292"/>
      <c r="OD47" s="292"/>
      <c r="OE47" s="292"/>
      <c r="OF47" s="292"/>
      <c r="OG47" s="292"/>
      <c r="OH47" s="292"/>
      <c r="OI47" s="292"/>
      <c r="OJ47" s="292"/>
      <c r="OK47" s="292"/>
      <c r="OL47" s="292"/>
      <c r="OM47" s="292"/>
      <c r="ON47" s="292"/>
      <c r="OO47" s="292"/>
      <c r="OP47" s="292"/>
      <c r="OQ47" s="292"/>
      <c r="OR47" s="292"/>
      <c r="OS47" s="292"/>
      <c r="OT47" s="292"/>
      <c r="OU47" s="292"/>
      <c r="OV47" s="292"/>
      <c r="OW47" s="292"/>
      <c r="OX47" s="292"/>
      <c r="OY47" s="292"/>
      <c r="OZ47" s="292"/>
      <c r="PA47" s="292"/>
      <c r="PB47" s="292"/>
      <c r="PC47" s="292"/>
      <c r="PD47" s="292"/>
      <c r="PE47" s="292"/>
      <c r="PF47" s="292"/>
      <c r="PG47" s="292"/>
      <c r="PH47" s="292"/>
      <c r="PI47" s="292"/>
      <c r="PJ47" s="292"/>
      <c r="PK47" s="292"/>
      <c r="PL47" s="292"/>
      <c r="PM47" s="292"/>
      <c r="PN47" s="292"/>
      <c r="PO47" s="292"/>
      <c r="PP47" s="292"/>
      <c r="PQ47" s="292"/>
      <c r="PR47" s="292"/>
      <c r="PS47" s="292"/>
      <c r="PT47" s="292"/>
      <c r="PU47" s="292"/>
      <c r="PV47" s="292"/>
      <c r="PW47" s="292"/>
      <c r="PX47" s="292"/>
      <c r="PY47" s="292"/>
      <c r="PZ47" s="292"/>
      <c r="QA47" s="292"/>
      <c r="QB47" s="292"/>
      <c r="QC47" s="292"/>
      <c r="QD47" s="292"/>
      <c r="QE47" s="292"/>
      <c r="QF47" s="292"/>
      <c r="QG47" s="292"/>
      <c r="QH47" s="292"/>
      <c r="QI47" s="292"/>
      <c r="QJ47" s="292"/>
      <c r="QK47" s="292"/>
      <c r="QL47" s="292"/>
      <c r="QM47" s="292"/>
      <c r="QN47" s="292"/>
      <c r="QO47" s="292"/>
      <c r="QP47" s="292"/>
      <c r="QQ47" s="292"/>
      <c r="QR47" s="292"/>
      <c r="QS47" s="292"/>
      <c r="QT47" s="292"/>
      <c r="QU47" s="292"/>
      <c r="QV47" s="292"/>
      <c r="QW47" s="292"/>
      <c r="QX47" s="292"/>
      <c r="QY47" s="292"/>
      <c r="QZ47" s="292"/>
      <c r="RA47" s="292"/>
      <c r="RB47" s="292"/>
      <c r="RC47" s="292"/>
      <c r="RD47" s="292"/>
      <c r="RE47" s="292"/>
      <c r="RF47" s="292"/>
      <c r="RG47" s="292"/>
      <c r="RH47" s="292"/>
      <c r="RI47" s="292"/>
      <c r="RJ47" s="292"/>
      <c r="RK47" s="292"/>
      <c r="RL47" s="292"/>
      <c r="RM47" s="292"/>
      <c r="RN47" s="292"/>
      <c r="RO47" s="292"/>
      <c r="RP47" s="292"/>
      <c r="RQ47" s="292"/>
      <c r="RR47" s="292"/>
      <c r="RS47" s="292"/>
      <c r="RT47" s="292"/>
      <c r="RU47" s="292"/>
      <c r="RV47" s="292"/>
      <c r="RW47" s="292"/>
      <c r="RX47" s="292"/>
      <c r="RY47" s="292"/>
      <c r="RZ47" s="292"/>
      <c r="SA47" s="292"/>
      <c r="SB47" s="292"/>
      <c r="SC47" s="292"/>
      <c r="SD47" s="292"/>
      <c r="SE47" s="292"/>
      <c r="SF47" s="292"/>
      <c r="SG47" s="292"/>
      <c r="SH47" s="292"/>
      <c r="SI47" s="292"/>
      <c r="SJ47" s="292"/>
      <c r="SK47" s="292"/>
      <c r="SL47" s="292"/>
      <c r="SM47" s="292"/>
      <c r="SN47" s="292"/>
      <c r="SO47" s="292"/>
      <c r="SP47" s="292"/>
      <c r="SQ47" s="292"/>
      <c r="SR47" s="292"/>
      <c r="SS47" s="292"/>
      <c r="ST47" s="292"/>
      <c r="SU47" s="292"/>
    </row>
    <row r="48" spans="1:545" s="620" customFormat="1" ht="15" customHeight="1" x14ac:dyDescent="0.25">
      <c r="A48" s="986"/>
      <c r="B48" s="984"/>
      <c r="C48" s="984"/>
      <c r="D48" s="957"/>
      <c r="E48" s="983"/>
      <c r="F48" s="957"/>
      <c r="G48" s="981"/>
      <c r="H48" s="957"/>
      <c r="I48" s="983"/>
      <c r="J48" s="981"/>
      <c r="K48" s="981"/>
      <c r="L48" s="957"/>
      <c r="M48" s="983"/>
      <c r="N48" s="981"/>
      <c r="O48" s="981"/>
      <c r="P48" s="957"/>
      <c r="Q48" s="983"/>
      <c r="R48" s="981"/>
      <c r="S48" s="981"/>
      <c r="T48" s="957"/>
      <c r="U48" s="983"/>
      <c r="V48" s="957"/>
      <c r="W48" s="981"/>
      <c r="X48" s="957"/>
      <c r="Y48" s="983"/>
      <c r="Z48" s="957"/>
      <c r="AA48" s="981"/>
      <c r="AB48" s="976"/>
      <c r="AC48" s="983"/>
      <c r="AD48" s="981"/>
      <c r="AE48" s="971"/>
      <c r="AF48" s="292"/>
      <c r="AG48" s="292"/>
      <c r="AH48" s="292"/>
      <c r="AI48" s="292"/>
      <c r="AJ48" s="292"/>
      <c r="AK48" s="292"/>
      <c r="AL48" s="292"/>
      <c r="AM48" s="292"/>
      <c r="AN48" s="292"/>
      <c r="AO48" s="292"/>
      <c r="AP48" s="292"/>
      <c r="AQ48" s="292"/>
      <c r="AR48" s="292"/>
      <c r="AS48" s="292"/>
      <c r="AT48" s="292"/>
      <c r="AU48" s="292"/>
      <c r="AV48" s="292"/>
      <c r="AW48" s="292"/>
      <c r="AX48" s="292"/>
      <c r="AY48" s="292"/>
      <c r="AZ48" s="292"/>
      <c r="BA48" s="292"/>
      <c r="BB48" s="292"/>
      <c r="BC48" s="292"/>
      <c r="BD48" s="292"/>
      <c r="BE48" s="292"/>
      <c r="BF48" s="292"/>
      <c r="BG48" s="292"/>
      <c r="BH48" s="292"/>
      <c r="BI48" s="292"/>
      <c r="BJ48" s="292"/>
      <c r="BK48" s="292"/>
      <c r="BL48" s="292"/>
    </row>
    <row r="49" spans="1:515" s="624" customFormat="1" ht="23.15" customHeight="1" x14ac:dyDescent="0.25">
      <c r="A49" s="1364" t="s">
        <v>352</v>
      </c>
      <c r="B49" s="1365"/>
      <c r="C49" s="1365"/>
      <c r="D49" s="962"/>
      <c r="E49" s="962"/>
      <c r="F49" s="962"/>
      <c r="G49" s="1175" t="s">
        <v>353</v>
      </c>
      <c r="H49" s="962"/>
      <c r="I49" s="962"/>
      <c r="J49" s="962"/>
      <c r="K49" s="1175" t="s">
        <v>353</v>
      </c>
      <c r="L49" s="962"/>
      <c r="M49" s="962"/>
      <c r="N49" s="962"/>
      <c r="O49" s="1175" t="s">
        <v>353</v>
      </c>
      <c r="P49" s="962"/>
      <c r="Q49" s="962"/>
      <c r="R49" s="962"/>
      <c r="S49" s="1175" t="s">
        <v>353</v>
      </c>
      <c r="T49" s="962"/>
      <c r="U49" s="962"/>
      <c r="V49" s="962"/>
      <c r="W49" s="1175" t="s">
        <v>345</v>
      </c>
      <c r="X49" s="962"/>
      <c r="Y49" s="962"/>
      <c r="Z49" s="962"/>
      <c r="AA49" s="1175" t="s">
        <v>353</v>
      </c>
      <c r="AB49" s="962"/>
      <c r="AC49" s="962"/>
      <c r="AD49" s="1175" t="s">
        <v>353</v>
      </c>
      <c r="AE49" s="971"/>
      <c r="AF49" s="292"/>
      <c r="AG49" s="292"/>
      <c r="AH49" s="292"/>
      <c r="AI49" s="292"/>
      <c r="AJ49" s="292"/>
      <c r="AK49" s="292"/>
      <c r="AL49" s="292"/>
      <c r="AM49" s="292"/>
      <c r="AN49" s="292"/>
      <c r="AO49" s="292"/>
      <c r="AP49" s="292"/>
      <c r="AQ49" s="292"/>
      <c r="AR49" s="292"/>
      <c r="AS49" s="292"/>
      <c r="AT49" s="292"/>
      <c r="AU49" s="292"/>
      <c r="AV49" s="292"/>
      <c r="AW49" s="292"/>
      <c r="AX49" s="292"/>
      <c r="AY49" s="292"/>
      <c r="AZ49" s="292"/>
      <c r="BA49" s="292"/>
      <c r="BB49" s="292"/>
      <c r="BC49" s="292"/>
      <c r="BD49" s="292"/>
      <c r="BE49" s="292"/>
      <c r="BF49" s="292"/>
      <c r="BG49" s="292"/>
      <c r="BH49" s="292"/>
      <c r="BI49" s="292"/>
      <c r="BJ49" s="292"/>
      <c r="BK49" s="292"/>
      <c r="BL49" s="292"/>
      <c r="BM49" s="292"/>
      <c r="BN49" s="292"/>
      <c r="BO49" s="292"/>
      <c r="BP49" s="292"/>
      <c r="BQ49" s="292"/>
      <c r="BR49" s="292"/>
      <c r="BS49" s="292"/>
      <c r="BT49" s="292"/>
      <c r="BU49" s="292"/>
      <c r="BV49" s="292"/>
      <c r="BW49" s="292"/>
      <c r="BX49" s="292"/>
      <c r="BY49" s="292"/>
      <c r="BZ49" s="292"/>
      <c r="CA49" s="292"/>
      <c r="CB49" s="292"/>
      <c r="CC49" s="292"/>
      <c r="CD49" s="292"/>
      <c r="CE49" s="292"/>
      <c r="CF49" s="292"/>
      <c r="CG49" s="292"/>
      <c r="CH49" s="292"/>
      <c r="CI49" s="292"/>
      <c r="CJ49" s="292"/>
      <c r="CK49" s="292"/>
      <c r="CL49" s="292"/>
      <c r="CM49" s="292"/>
      <c r="CN49" s="292"/>
      <c r="CO49" s="292"/>
      <c r="CP49" s="292"/>
      <c r="CQ49" s="292"/>
      <c r="CR49" s="292"/>
      <c r="CS49" s="292"/>
      <c r="CT49" s="292"/>
      <c r="CU49" s="292"/>
      <c r="CV49" s="292"/>
      <c r="CW49" s="292"/>
      <c r="CX49" s="292"/>
      <c r="CY49" s="292"/>
      <c r="CZ49" s="292"/>
      <c r="DA49" s="292"/>
      <c r="DB49" s="292"/>
      <c r="DC49" s="292"/>
      <c r="DD49" s="292"/>
      <c r="DE49" s="292"/>
      <c r="DF49" s="292"/>
      <c r="DG49" s="292"/>
      <c r="DH49" s="292"/>
      <c r="DI49" s="292"/>
      <c r="DJ49" s="292"/>
      <c r="DK49" s="292"/>
      <c r="DL49" s="292"/>
      <c r="DM49" s="292"/>
      <c r="DN49" s="292"/>
      <c r="DO49" s="292"/>
      <c r="DP49" s="292"/>
      <c r="DQ49" s="292"/>
      <c r="DR49" s="292"/>
      <c r="DS49" s="292"/>
      <c r="DT49" s="292"/>
      <c r="DU49" s="292"/>
      <c r="DV49" s="292"/>
      <c r="DW49" s="292"/>
      <c r="DX49" s="292"/>
      <c r="DY49" s="292"/>
      <c r="DZ49" s="292"/>
      <c r="EA49" s="292"/>
      <c r="EB49" s="292"/>
      <c r="EC49" s="292"/>
      <c r="ED49" s="292"/>
      <c r="EE49" s="292"/>
      <c r="EF49" s="292"/>
      <c r="EG49" s="292"/>
      <c r="EH49" s="292"/>
      <c r="EI49" s="292"/>
      <c r="EJ49" s="292"/>
      <c r="EK49" s="292"/>
      <c r="EL49" s="292"/>
      <c r="EM49" s="292"/>
      <c r="EN49" s="292"/>
      <c r="EO49" s="292"/>
      <c r="EP49" s="292"/>
      <c r="EQ49" s="292"/>
      <c r="ER49" s="292"/>
      <c r="ES49" s="292"/>
      <c r="ET49" s="292"/>
      <c r="EU49" s="292"/>
      <c r="EV49" s="292"/>
      <c r="EW49" s="292"/>
      <c r="EX49" s="292"/>
      <c r="EY49" s="292"/>
      <c r="EZ49" s="292"/>
      <c r="FA49" s="292"/>
      <c r="FB49" s="292"/>
      <c r="FC49" s="292"/>
      <c r="FD49" s="292"/>
      <c r="FE49" s="292"/>
      <c r="FF49" s="292"/>
      <c r="FG49" s="292"/>
      <c r="FH49" s="292"/>
      <c r="FI49" s="292"/>
      <c r="FJ49" s="292"/>
      <c r="FK49" s="292"/>
      <c r="FL49" s="292"/>
      <c r="FM49" s="292"/>
      <c r="FN49" s="292"/>
      <c r="FO49" s="292"/>
      <c r="FP49" s="292"/>
      <c r="FQ49" s="292"/>
      <c r="FR49" s="292"/>
      <c r="FS49" s="292"/>
      <c r="FT49" s="292"/>
      <c r="FU49" s="292"/>
      <c r="FV49" s="292"/>
      <c r="FW49" s="292"/>
      <c r="FX49" s="292"/>
      <c r="FY49" s="292"/>
      <c r="FZ49" s="292"/>
      <c r="GA49" s="292"/>
      <c r="GB49" s="292"/>
      <c r="GC49" s="292"/>
      <c r="GD49" s="292"/>
      <c r="GE49" s="292"/>
      <c r="GF49" s="292"/>
      <c r="GG49" s="292"/>
      <c r="GH49" s="292"/>
      <c r="GI49" s="292"/>
      <c r="GJ49" s="292"/>
      <c r="GK49" s="292"/>
      <c r="GL49" s="292"/>
      <c r="GM49" s="292"/>
      <c r="GN49" s="292"/>
      <c r="GO49" s="292"/>
      <c r="GP49" s="292"/>
      <c r="GQ49" s="292"/>
      <c r="GR49" s="292"/>
      <c r="GS49" s="292"/>
      <c r="GT49" s="292"/>
      <c r="GU49" s="292"/>
      <c r="GV49" s="292"/>
      <c r="GW49" s="292"/>
      <c r="GX49" s="292"/>
      <c r="GY49" s="292"/>
      <c r="GZ49" s="292"/>
      <c r="HA49" s="292"/>
      <c r="HB49" s="292"/>
      <c r="HC49" s="292"/>
      <c r="HD49" s="292"/>
      <c r="HE49" s="292"/>
      <c r="HF49" s="292"/>
      <c r="HG49" s="292"/>
      <c r="HH49" s="292"/>
      <c r="HI49" s="292"/>
      <c r="HJ49" s="292"/>
      <c r="HK49" s="292"/>
      <c r="HL49" s="292"/>
      <c r="HM49" s="292"/>
      <c r="HN49" s="292"/>
      <c r="HO49" s="292"/>
      <c r="HP49" s="292"/>
      <c r="HQ49" s="292"/>
      <c r="HR49" s="292"/>
      <c r="HS49" s="292"/>
      <c r="HT49" s="292"/>
      <c r="HU49" s="292"/>
      <c r="HV49" s="292"/>
      <c r="HW49" s="292"/>
      <c r="HX49" s="292"/>
      <c r="HY49" s="292"/>
      <c r="HZ49" s="292"/>
      <c r="IA49" s="292"/>
      <c r="IB49" s="292"/>
      <c r="IC49" s="292"/>
      <c r="ID49" s="292"/>
      <c r="IE49" s="292"/>
      <c r="IF49" s="292"/>
      <c r="IG49" s="292"/>
      <c r="IH49" s="292"/>
      <c r="II49" s="292"/>
      <c r="IJ49" s="292"/>
      <c r="IK49" s="292"/>
      <c r="IL49" s="292"/>
      <c r="IM49" s="292"/>
      <c r="IN49" s="292"/>
      <c r="IO49" s="292"/>
      <c r="IP49" s="292"/>
      <c r="IQ49" s="292"/>
      <c r="IR49" s="292"/>
      <c r="IS49" s="292"/>
      <c r="IT49" s="292"/>
      <c r="IU49" s="292"/>
      <c r="IV49" s="292"/>
      <c r="IW49" s="292"/>
      <c r="IX49" s="292"/>
      <c r="IY49" s="292"/>
      <c r="IZ49" s="292"/>
      <c r="JA49" s="292"/>
      <c r="JB49" s="292"/>
      <c r="JC49" s="292"/>
      <c r="JD49" s="292"/>
      <c r="JE49" s="292"/>
      <c r="JF49" s="292"/>
      <c r="JG49" s="292"/>
      <c r="JH49" s="292"/>
      <c r="JI49" s="292"/>
      <c r="JJ49" s="292"/>
      <c r="JK49" s="292"/>
      <c r="JL49" s="292"/>
      <c r="JM49" s="292"/>
      <c r="JN49" s="292"/>
      <c r="JO49" s="292"/>
      <c r="JP49" s="292"/>
      <c r="JQ49" s="292"/>
      <c r="JR49" s="292"/>
      <c r="JS49" s="292"/>
      <c r="JT49" s="292"/>
      <c r="JU49" s="292"/>
      <c r="JV49" s="292"/>
      <c r="JW49" s="292"/>
      <c r="JX49" s="292"/>
      <c r="JY49" s="292"/>
      <c r="JZ49" s="292"/>
      <c r="KA49" s="292"/>
      <c r="KB49" s="292"/>
      <c r="KC49" s="292"/>
      <c r="KD49" s="292"/>
      <c r="KE49" s="292"/>
      <c r="KF49" s="292"/>
      <c r="KG49" s="292"/>
      <c r="KH49" s="292"/>
      <c r="KI49" s="292"/>
      <c r="KJ49" s="292"/>
      <c r="KK49" s="292"/>
      <c r="KL49" s="292"/>
      <c r="KM49" s="292"/>
      <c r="KN49" s="292"/>
      <c r="KO49" s="292"/>
      <c r="KP49" s="292"/>
      <c r="KQ49" s="292"/>
      <c r="KR49" s="292"/>
      <c r="KS49" s="292"/>
      <c r="KT49" s="292"/>
      <c r="KU49" s="292"/>
      <c r="KV49" s="292"/>
      <c r="KW49" s="292"/>
      <c r="KX49" s="292"/>
      <c r="KY49" s="292"/>
      <c r="KZ49" s="292"/>
      <c r="LA49" s="292"/>
      <c r="LB49" s="292"/>
      <c r="LC49" s="292"/>
      <c r="LD49" s="292"/>
      <c r="LE49" s="292"/>
      <c r="LF49" s="292"/>
      <c r="LG49" s="292"/>
      <c r="LH49" s="292"/>
      <c r="LI49" s="292"/>
      <c r="LJ49" s="292"/>
      <c r="LK49" s="292"/>
      <c r="LL49" s="292"/>
      <c r="LM49" s="292"/>
      <c r="LN49" s="292"/>
      <c r="LO49" s="292"/>
      <c r="LP49" s="292"/>
      <c r="LQ49" s="292"/>
      <c r="LR49" s="292"/>
      <c r="LS49" s="292"/>
      <c r="LT49" s="292"/>
      <c r="LU49" s="292"/>
      <c r="LV49" s="292"/>
      <c r="LW49" s="292"/>
      <c r="LX49" s="292"/>
      <c r="LY49" s="292"/>
      <c r="LZ49" s="292"/>
      <c r="MA49" s="292"/>
      <c r="MB49" s="292"/>
      <c r="MC49" s="292"/>
      <c r="MD49" s="292"/>
      <c r="ME49" s="292"/>
      <c r="MF49" s="292"/>
      <c r="MG49" s="292"/>
      <c r="MH49" s="292"/>
      <c r="MI49" s="292"/>
      <c r="MJ49" s="292"/>
      <c r="MK49" s="292"/>
      <c r="ML49" s="292"/>
      <c r="MM49" s="292"/>
      <c r="MN49" s="292"/>
      <c r="MO49" s="292"/>
      <c r="MP49" s="292"/>
      <c r="MQ49" s="292"/>
      <c r="MR49" s="292"/>
      <c r="MS49" s="292"/>
      <c r="MT49" s="292"/>
      <c r="MU49" s="292"/>
      <c r="MV49" s="292"/>
      <c r="MW49" s="292"/>
      <c r="MX49" s="292"/>
      <c r="MY49" s="292"/>
      <c r="MZ49" s="292"/>
      <c r="NA49" s="292"/>
      <c r="NB49" s="292"/>
      <c r="NC49" s="292"/>
      <c r="ND49" s="292"/>
      <c r="NE49" s="292"/>
      <c r="NF49" s="292"/>
      <c r="NG49" s="292"/>
      <c r="NH49" s="292"/>
      <c r="NI49" s="292"/>
      <c r="NJ49" s="292"/>
      <c r="NK49" s="292"/>
      <c r="NL49" s="292"/>
      <c r="NM49" s="292"/>
      <c r="NN49" s="292"/>
      <c r="NO49" s="292"/>
      <c r="NP49" s="292"/>
      <c r="NQ49" s="292"/>
      <c r="NR49" s="292"/>
      <c r="NS49" s="292"/>
      <c r="NT49" s="292"/>
      <c r="NU49" s="292"/>
      <c r="NV49" s="292"/>
      <c r="NW49" s="292"/>
      <c r="NX49" s="292"/>
      <c r="NY49" s="292"/>
      <c r="NZ49" s="292"/>
      <c r="OA49" s="292"/>
      <c r="OB49" s="292"/>
      <c r="OC49" s="292"/>
      <c r="OD49" s="292"/>
      <c r="OE49" s="292"/>
      <c r="OF49" s="292"/>
      <c r="OG49" s="292"/>
      <c r="OH49" s="292"/>
      <c r="OI49" s="292"/>
      <c r="OJ49" s="292"/>
      <c r="OK49" s="292"/>
      <c r="OL49" s="292"/>
      <c r="OM49" s="292"/>
      <c r="ON49" s="292"/>
      <c r="OO49" s="292"/>
      <c r="OP49" s="292"/>
      <c r="OQ49" s="292"/>
      <c r="OR49" s="292"/>
      <c r="OS49" s="292"/>
      <c r="OT49" s="292"/>
      <c r="OU49" s="292"/>
      <c r="OV49" s="292"/>
      <c r="OW49" s="292"/>
      <c r="OX49" s="292"/>
      <c r="OY49" s="292"/>
      <c r="OZ49" s="292"/>
      <c r="PA49" s="292"/>
      <c r="PB49" s="292"/>
      <c r="PC49" s="292"/>
      <c r="PD49" s="292"/>
      <c r="PE49" s="292"/>
      <c r="PF49" s="292"/>
      <c r="PG49" s="292"/>
      <c r="PH49" s="292"/>
      <c r="PI49" s="292"/>
      <c r="PJ49" s="292"/>
      <c r="PK49" s="292"/>
      <c r="PL49" s="292"/>
      <c r="PM49" s="292"/>
      <c r="PN49" s="292"/>
      <c r="PO49" s="292"/>
      <c r="PP49" s="292"/>
      <c r="PQ49" s="292"/>
      <c r="PR49" s="292"/>
      <c r="PS49" s="292"/>
      <c r="PT49" s="292"/>
      <c r="PU49" s="292"/>
      <c r="PV49" s="292"/>
      <c r="PW49" s="292"/>
      <c r="PX49" s="292"/>
      <c r="PY49" s="292"/>
      <c r="PZ49" s="292"/>
      <c r="QA49" s="292"/>
      <c r="QB49" s="292"/>
      <c r="QC49" s="292"/>
      <c r="QD49" s="292"/>
      <c r="QE49" s="292"/>
      <c r="QF49" s="292"/>
      <c r="QG49" s="292"/>
      <c r="QH49" s="292"/>
      <c r="QI49" s="292"/>
      <c r="QJ49" s="292"/>
      <c r="QK49" s="292"/>
      <c r="QL49" s="292"/>
      <c r="QM49" s="292"/>
      <c r="QN49" s="292"/>
      <c r="QO49" s="292"/>
      <c r="QP49" s="292"/>
      <c r="QQ49" s="292"/>
      <c r="QR49" s="292"/>
      <c r="QS49" s="292"/>
      <c r="QT49" s="292"/>
      <c r="QU49" s="292"/>
      <c r="QV49" s="292"/>
      <c r="QW49" s="292"/>
      <c r="QX49" s="292"/>
      <c r="QY49" s="292"/>
      <c r="QZ49" s="292"/>
      <c r="RA49" s="292"/>
      <c r="RB49" s="292"/>
      <c r="RC49" s="292"/>
      <c r="RD49" s="292"/>
      <c r="RE49" s="292"/>
      <c r="RF49" s="292"/>
      <c r="RG49" s="292"/>
      <c r="RH49" s="292"/>
      <c r="RI49" s="292"/>
      <c r="RJ49" s="292"/>
      <c r="RK49" s="292"/>
      <c r="RL49" s="292"/>
      <c r="RM49" s="292"/>
      <c r="RN49" s="292"/>
      <c r="RO49" s="292"/>
      <c r="RP49" s="292"/>
      <c r="RQ49" s="292"/>
      <c r="RR49" s="292"/>
      <c r="RS49" s="292"/>
      <c r="RT49" s="292"/>
      <c r="RU49" s="292"/>
      <c r="RV49" s="292"/>
      <c r="RW49" s="292"/>
      <c r="RX49" s="292"/>
      <c r="RY49" s="292"/>
      <c r="RZ49" s="292"/>
      <c r="SA49" s="292"/>
      <c r="SB49" s="292"/>
      <c r="SC49" s="292"/>
      <c r="SD49" s="292"/>
      <c r="SE49" s="292"/>
      <c r="SF49" s="292"/>
      <c r="SG49" s="292"/>
      <c r="SH49" s="292"/>
      <c r="SI49" s="292"/>
      <c r="SJ49" s="292"/>
      <c r="SK49" s="292"/>
      <c r="SL49" s="292"/>
      <c r="SM49" s="292"/>
      <c r="SN49" s="292"/>
      <c r="SO49" s="292"/>
      <c r="SP49" s="292"/>
      <c r="SQ49" s="292"/>
      <c r="SR49" s="292"/>
      <c r="SS49" s="292"/>
      <c r="ST49" s="292"/>
      <c r="SU49" s="292"/>
    </row>
    <row r="50" spans="1:515" ht="15" customHeight="1" x14ac:dyDescent="0.25">
      <c r="A50" s="1337" t="s">
        <v>354</v>
      </c>
      <c r="B50" s="1338"/>
      <c r="C50" s="1096" t="s">
        <v>355</v>
      </c>
      <c r="D50" s="962"/>
      <c r="E50" s="962"/>
      <c r="F50" s="962"/>
      <c r="G50" s="622">
        <v>0</v>
      </c>
      <c r="H50" s="962"/>
      <c r="I50" s="962"/>
      <c r="J50" s="962"/>
      <c r="K50" s="622">
        <v>0</v>
      </c>
      <c r="L50" s="962"/>
      <c r="M50" s="962"/>
      <c r="N50" s="962"/>
      <c r="O50" s="622">
        <v>0</v>
      </c>
      <c r="P50" s="962"/>
      <c r="Q50" s="962"/>
      <c r="R50" s="962"/>
      <c r="S50" s="622">
        <v>0</v>
      </c>
      <c r="T50" s="962"/>
      <c r="U50" s="962"/>
      <c r="V50" s="962"/>
      <c r="W50" s="622">
        <v>0</v>
      </c>
      <c r="X50" s="962"/>
      <c r="Y50" s="962"/>
      <c r="Z50" s="962"/>
      <c r="AA50" s="622">
        <v>0</v>
      </c>
      <c r="AB50" s="975"/>
      <c r="AC50" s="962"/>
      <c r="AD50" s="999">
        <f>G50+K50+O50+S50+W50+AA50</f>
        <v>0</v>
      </c>
      <c r="AE50" s="971"/>
    </row>
    <row r="51" spans="1:515" ht="15" customHeight="1" x14ac:dyDescent="0.25">
      <c r="A51" s="1337" t="s">
        <v>356</v>
      </c>
      <c r="B51" s="1338"/>
      <c r="C51" s="1096" t="s">
        <v>357</v>
      </c>
      <c r="D51" s="962"/>
      <c r="E51" s="962"/>
      <c r="F51" s="962"/>
      <c r="G51" s="622">
        <v>0</v>
      </c>
      <c r="H51" s="962"/>
      <c r="I51" s="962"/>
      <c r="J51" s="962" t="s">
        <v>358</v>
      </c>
      <c r="K51" s="622">
        <v>0</v>
      </c>
      <c r="L51" s="962"/>
      <c r="M51" s="962"/>
      <c r="N51" s="962"/>
      <c r="O51" s="622">
        <v>0</v>
      </c>
      <c r="P51" s="962"/>
      <c r="Q51" s="962"/>
      <c r="R51" s="962"/>
      <c r="S51" s="622">
        <v>0</v>
      </c>
      <c r="T51" s="962"/>
      <c r="U51" s="962"/>
      <c r="V51" s="962"/>
      <c r="W51" s="622">
        <v>0</v>
      </c>
      <c r="X51" s="962"/>
      <c r="Y51" s="962"/>
      <c r="Z51" s="962"/>
      <c r="AA51" s="622">
        <v>0</v>
      </c>
      <c r="AB51" s="975"/>
      <c r="AC51" s="962"/>
      <c r="AD51" s="999">
        <f>G51+K51+O51+S51+W51+AA51</f>
        <v>0</v>
      </c>
      <c r="AE51" s="971"/>
    </row>
    <row r="52" spans="1:515" ht="15" customHeight="1" x14ac:dyDescent="0.25">
      <c r="A52" s="1337" t="s">
        <v>48</v>
      </c>
      <c r="B52" s="1338"/>
      <c r="C52" s="1096" t="s">
        <v>359</v>
      </c>
      <c r="D52" s="962"/>
      <c r="E52" s="962"/>
      <c r="F52" s="962"/>
      <c r="G52" s="622">
        <v>0</v>
      </c>
      <c r="H52" s="962"/>
      <c r="I52" s="962"/>
      <c r="J52" s="962"/>
      <c r="K52" s="622">
        <v>0</v>
      </c>
      <c r="L52" s="962"/>
      <c r="M52" s="962"/>
      <c r="N52" s="962"/>
      <c r="O52" s="622">
        <v>0</v>
      </c>
      <c r="P52" s="962"/>
      <c r="Q52" s="962"/>
      <c r="R52" s="962"/>
      <c r="S52" s="622">
        <v>0</v>
      </c>
      <c r="T52" s="962"/>
      <c r="U52" s="962"/>
      <c r="V52" s="962"/>
      <c r="W52" s="622">
        <v>0</v>
      </c>
      <c r="X52" s="962"/>
      <c r="Y52" s="962"/>
      <c r="Z52" s="962"/>
      <c r="AA52" s="622">
        <v>0</v>
      </c>
      <c r="AB52" s="975"/>
      <c r="AC52" s="962"/>
      <c r="AD52" s="999">
        <f>G52+K52+O52+S52+W52+AA52</f>
        <v>0</v>
      </c>
      <c r="AE52" s="971"/>
    </row>
    <row r="53" spans="1:515" ht="21" customHeight="1" x14ac:dyDescent="0.25">
      <c r="A53" s="1329" t="s">
        <v>360</v>
      </c>
      <c r="B53" s="1330"/>
      <c r="C53" s="1096" t="s">
        <v>361</v>
      </c>
      <c r="D53" s="962"/>
      <c r="E53" s="962"/>
      <c r="F53" s="962"/>
      <c r="G53" s="622">
        <v>0</v>
      </c>
      <c r="H53" s="988"/>
      <c r="I53" s="962"/>
      <c r="J53" s="962"/>
      <c r="K53" s="622">
        <v>0</v>
      </c>
      <c r="L53" s="962"/>
      <c r="M53" s="962"/>
      <c r="N53" s="962"/>
      <c r="O53" s="622">
        <v>0</v>
      </c>
      <c r="P53" s="962"/>
      <c r="Q53" s="962"/>
      <c r="R53" s="962"/>
      <c r="S53" s="622">
        <v>0</v>
      </c>
      <c r="T53" s="962"/>
      <c r="U53" s="962"/>
      <c r="V53" s="962"/>
      <c r="W53" s="622">
        <v>0</v>
      </c>
      <c r="X53" s="962"/>
      <c r="Y53" s="962"/>
      <c r="Z53" s="962"/>
      <c r="AA53" s="622">
        <v>0</v>
      </c>
      <c r="AB53" s="975"/>
      <c r="AC53" s="962"/>
      <c r="AD53" s="999">
        <f>G53+K53+O53+S53+W53+AA53</f>
        <v>0</v>
      </c>
      <c r="AE53" s="971"/>
    </row>
    <row r="54" spans="1:515" s="624" customFormat="1" ht="23.15" customHeight="1" x14ac:dyDescent="0.25">
      <c r="A54" s="1362" t="s">
        <v>352</v>
      </c>
      <c r="B54" s="1363"/>
      <c r="C54" s="1363"/>
      <c r="D54" s="962"/>
      <c r="E54" s="960"/>
      <c r="F54" s="976"/>
      <c r="G54" s="789">
        <f>SUM(G49:G53)</f>
        <v>0</v>
      </c>
      <c r="H54" s="962"/>
      <c r="I54" s="960"/>
      <c r="J54" s="981"/>
      <c r="K54" s="789">
        <f>SUM(K49:K53)</f>
        <v>0</v>
      </c>
      <c r="L54" s="962"/>
      <c r="M54" s="984"/>
      <c r="N54" s="984"/>
      <c r="O54" s="789">
        <f>SUM(O49:O53)</f>
        <v>0</v>
      </c>
      <c r="P54" s="962"/>
      <c r="Q54" s="962"/>
      <c r="R54" s="962"/>
      <c r="S54" s="789">
        <f>SUM(S49:S53)</f>
        <v>0</v>
      </c>
      <c r="T54" s="962"/>
      <c r="U54" s="1309"/>
      <c r="V54" s="1309"/>
      <c r="W54" s="625">
        <f>SUM(W49:W53)</f>
        <v>0</v>
      </c>
      <c r="X54" s="962"/>
      <c r="Y54" s="1309"/>
      <c r="Z54" s="1309"/>
      <c r="AA54" s="789">
        <f>SUM(AA49:AA53)</f>
        <v>0</v>
      </c>
      <c r="AB54" s="976"/>
      <c r="AC54" s="962"/>
      <c r="AD54" s="789">
        <f>G54+K54+O54+S54+W54+AA54</f>
        <v>0</v>
      </c>
      <c r="AE54" s="971"/>
      <c r="AF54" s="292"/>
      <c r="AG54" s="292"/>
      <c r="AH54" s="292"/>
      <c r="AI54" s="292"/>
      <c r="AJ54" s="292"/>
      <c r="AK54" s="292"/>
      <c r="AL54" s="292"/>
      <c r="AM54" s="292"/>
      <c r="AN54" s="292"/>
      <c r="AO54" s="292"/>
      <c r="AP54" s="292"/>
      <c r="AQ54" s="292"/>
      <c r="AR54" s="292"/>
      <c r="AS54" s="292"/>
      <c r="AT54" s="292"/>
      <c r="AU54" s="292"/>
      <c r="AV54" s="292"/>
      <c r="AW54" s="292"/>
      <c r="AX54" s="292"/>
      <c r="AY54" s="292"/>
      <c r="AZ54" s="292"/>
      <c r="BA54" s="292"/>
      <c r="BB54" s="292"/>
      <c r="BC54" s="292"/>
      <c r="BD54" s="292"/>
      <c r="BE54" s="292"/>
      <c r="BF54" s="292"/>
      <c r="BG54" s="292"/>
      <c r="BH54" s="292"/>
      <c r="BI54" s="292"/>
      <c r="BJ54" s="292"/>
      <c r="BK54" s="292"/>
      <c r="BL54" s="292"/>
      <c r="BM54" s="292"/>
      <c r="BN54" s="292"/>
      <c r="BO54" s="292"/>
      <c r="BP54" s="292"/>
      <c r="BQ54" s="292"/>
      <c r="BR54" s="292"/>
      <c r="BS54" s="292"/>
      <c r="BT54" s="292"/>
      <c r="BU54" s="292"/>
      <c r="BV54" s="292"/>
      <c r="BW54" s="292"/>
      <c r="BX54" s="292"/>
      <c r="BY54" s="292"/>
      <c r="BZ54" s="292"/>
      <c r="CA54" s="292"/>
      <c r="CB54" s="292"/>
      <c r="CC54" s="292"/>
      <c r="CD54" s="292"/>
      <c r="CE54" s="292"/>
      <c r="CF54" s="292"/>
      <c r="CG54" s="292"/>
      <c r="CH54" s="292"/>
      <c r="CI54" s="292"/>
      <c r="CJ54" s="292"/>
      <c r="CK54" s="292"/>
      <c r="CL54" s="292"/>
      <c r="CM54" s="292"/>
      <c r="CN54" s="292"/>
      <c r="CO54" s="292"/>
      <c r="CP54" s="292"/>
      <c r="CQ54" s="292"/>
      <c r="CR54" s="292"/>
      <c r="CS54" s="292"/>
      <c r="CT54" s="292"/>
      <c r="CU54" s="292"/>
      <c r="CV54" s="292"/>
      <c r="CW54" s="292"/>
      <c r="CX54" s="292"/>
      <c r="CY54" s="292"/>
      <c r="CZ54" s="292"/>
      <c r="DA54" s="292"/>
      <c r="DB54" s="292"/>
      <c r="DC54" s="292"/>
      <c r="DD54" s="292"/>
      <c r="DE54" s="292"/>
      <c r="DF54" s="292"/>
      <c r="DG54" s="292"/>
      <c r="DH54" s="292"/>
      <c r="DI54" s="292"/>
      <c r="DJ54" s="292"/>
      <c r="DK54" s="292"/>
      <c r="DL54" s="292"/>
      <c r="DM54" s="292"/>
      <c r="DN54" s="292"/>
      <c r="DO54" s="292"/>
      <c r="DP54" s="292"/>
      <c r="DQ54" s="292"/>
      <c r="DR54" s="292"/>
      <c r="DS54" s="292"/>
      <c r="DT54" s="292"/>
      <c r="DU54" s="292"/>
      <c r="DV54" s="292"/>
      <c r="DW54" s="292"/>
      <c r="DX54" s="292"/>
      <c r="DY54" s="292"/>
      <c r="DZ54" s="292"/>
      <c r="EA54" s="292"/>
      <c r="EB54" s="292"/>
      <c r="EC54" s="292"/>
      <c r="ED54" s="292"/>
      <c r="EE54" s="292"/>
      <c r="EF54" s="292"/>
      <c r="EG54" s="292"/>
      <c r="EH54" s="292"/>
      <c r="EI54" s="292"/>
      <c r="EJ54" s="292"/>
      <c r="EK54" s="292"/>
      <c r="EL54" s="292"/>
      <c r="EM54" s="292"/>
      <c r="EN54" s="292"/>
      <c r="EO54" s="292"/>
      <c r="EP54" s="292"/>
      <c r="EQ54" s="292"/>
      <c r="ER54" s="292"/>
      <c r="ES54" s="292"/>
      <c r="ET54" s="292"/>
      <c r="EU54" s="292"/>
      <c r="EV54" s="292"/>
      <c r="EW54" s="292"/>
      <c r="EX54" s="292"/>
      <c r="EY54" s="292"/>
      <c r="EZ54" s="292"/>
      <c r="FA54" s="292"/>
      <c r="FB54" s="292"/>
      <c r="FC54" s="292"/>
      <c r="FD54" s="292"/>
      <c r="FE54" s="292"/>
      <c r="FF54" s="292"/>
      <c r="FG54" s="292"/>
      <c r="FH54" s="292"/>
      <c r="FI54" s="292"/>
      <c r="FJ54" s="292"/>
      <c r="FK54" s="292"/>
      <c r="FL54" s="292"/>
      <c r="FM54" s="292"/>
      <c r="FN54" s="292"/>
      <c r="FO54" s="292"/>
      <c r="FP54" s="292"/>
      <c r="FQ54" s="292"/>
      <c r="FR54" s="292"/>
      <c r="FS54" s="292"/>
      <c r="FT54" s="292"/>
      <c r="FU54" s="292"/>
      <c r="FV54" s="292"/>
      <c r="FW54" s="292"/>
      <c r="FX54" s="292"/>
      <c r="FY54" s="292"/>
      <c r="FZ54" s="292"/>
      <c r="GA54" s="292"/>
      <c r="GB54" s="292"/>
      <c r="GC54" s="292"/>
      <c r="GD54" s="292"/>
      <c r="GE54" s="292"/>
      <c r="GF54" s="292"/>
      <c r="GG54" s="292"/>
      <c r="GH54" s="292"/>
      <c r="GI54" s="292"/>
      <c r="GJ54" s="292"/>
      <c r="GK54" s="292"/>
      <c r="GL54" s="292"/>
      <c r="GM54" s="292"/>
      <c r="GN54" s="292"/>
      <c r="GO54" s="292"/>
      <c r="GP54" s="292"/>
      <c r="GQ54" s="292"/>
      <c r="GR54" s="292"/>
      <c r="GS54" s="292"/>
      <c r="GT54" s="292"/>
      <c r="GU54" s="292"/>
      <c r="GV54" s="292"/>
      <c r="GW54" s="292"/>
      <c r="GX54" s="292"/>
      <c r="GY54" s="292"/>
      <c r="GZ54" s="292"/>
      <c r="HA54" s="292"/>
      <c r="HB54" s="292"/>
      <c r="HC54" s="292"/>
      <c r="HD54" s="292"/>
      <c r="HE54" s="292"/>
      <c r="HF54" s="292"/>
      <c r="HG54" s="292"/>
      <c r="HH54" s="292"/>
      <c r="HI54" s="292"/>
      <c r="HJ54" s="292"/>
      <c r="HK54" s="292"/>
      <c r="HL54" s="292"/>
      <c r="HM54" s="292"/>
      <c r="HN54" s="292"/>
      <c r="HO54" s="292"/>
      <c r="HP54" s="292"/>
      <c r="HQ54" s="292"/>
      <c r="HR54" s="292"/>
      <c r="HS54" s="292"/>
      <c r="HT54" s="292"/>
      <c r="HU54" s="292"/>
      <c r="HV54" s="292"/>
      <c r="HW54" s="292"/>
      <c r="HX54" s="292"/>
      <c r="HY54" s="292"/>
      <c r="HZ54" s="292"/>
      <c r="IA54" s="292"/>
      <c r="IB54" s="292"/>
      <c r="IC54" s="292"/>
      <c r="ID54" s="292"/>
      <c r="IE54" s="292"/>
      <c r="IF54" s="292"/>
      <c r="IG54" s="292"/>
      <c r="IH54" s="292"/>
      <c r="II54" s="292"/>
      <c r="IJ54" s="292"/>
      <c r="IK54" s="292"/>
      <c r="IL54" s="292"/>
      <c r="IM54" s="292"/>
      <c r="IN54" s="292"/>
      <c r="IO54" s="292"/>
      <c r="IP54" s="292"/>
      <c r="IQ54" s="292"/>
      <c r="IR54" s="292"/>
      <c r="IS54" s="292"/>
      <c r="IT54" s="292"/>
      <c r="IU54" s="292"/>
      <c r="IV54" s="292"/>
      <c r="IW54" s="292"/>
      <c r="IX54" s="292"/>
      <c r="IY54" s="292"/>
      <c r="IZ54" s="292"/>
      <c r="JA54" s="292"/>
      <c r="JB54" s="292"/>
      <c r="JC54" s="292"/>
      <c r="JD54" s="292"/>
      <c r="JE54" s="292"/>
      <c r="JF54" s="292"/>
      <c r="JG54" s="292"/>
      <c r="JH54" s="292"/>
      <c r="JI54" s="292"/>
      <c r="JJ54" s="292"/>
      <c r="JK54" s="292"/>
      <c r="JL54" s="292"/>
      <c r="JM54" s="292"/>
      <c r="JN54" s="292"/>
      <c r="JO54" s="292"/>
      <c r="JP54" s="292"/>
      <c r="JQ54" s="292"/>
      <c r="JR54" s="292"/>
      <c r="JS54" s="292"/>
      <c r="JT54" s="292"/>
      <c r="JU54" s="292"/>
      <c r="JV54" s="292"/>
      <c r="JW54" s="292"/>
      <c r="JX54" s="292"/>
      <c r="JY54" s="292"/>
      <c r="JZ54" s="292"/>
      <c r="KA54" s="292"/>
      <c r="KB54" s="292"/>
      <c r="KC54" s="292"/>
      <c r="KD54" s="292"/>
      <c r="KE54" s="292"/>
      <c r="KF54" s="292"/>
      <c r="KG54" s="292"/>
      <c r="KH54" s="292"/>
      <c r="KI54" s="292"/>
      <c r="KJ54" s="292"/>
      <c r="KK54" s="292"/>
      <c r="KL54" s="292"/>
      <c r="KM54" s="292"/>
      <c r="KN54" s="292"/>
      <c r="KO54" s="292"/>
      <c r="KP54" s="292"/>
      <c r="KQ54" s="292"/>
      <c r="KR54" s="292"/>
      <c r="KS54" s="292"/>
      <c r="KT54" s="292"/>
      <c r="KU54" s="292"/>
      <c r="KV54" s="292"/>
      <c r="KW54" s="292"/>
      <c r="KX54" s="292"/>
      <c r="KY54" s="292"/>
      <c r="KZ54" s="292"/>
      <c r="LA54" s="292"/>
      <c r="LB54" s="292"/>
      <c r="LC54" s="292"/>
      <c r="LD54" s="292"/>
      <c r="LE54" s="292"/>
      <c r="LF54" s="292"/>
      <c r="LG54" s="292"/>
      <c r="LH54" s="292"/>
      <c r="LI54" s="292"/>
      <c r="LJ54" s="292"/>
      <c r="LK54" s="292"/>
      <c r="LL54" s="292"/>
      <c r="LM54" s="292"/>
      <c r="LN54" s="292"/>
      <c r="LO54" s="292"/>
      <c r="LP54" s="292"/>
      <c r="LQ54" s="292"/>
      <c r="LR54" s="292"/>
      <c r="LS54" s="292"/>
      <c r="LT54" s="292"/>
      <c r="LU54" s="292"/>
      <c r="LV54" s="292"/>
      <c r="LW54" s="292"/>
      <c r="LX54" s="292"/>
      <c r="LY54" s="292"/>
      <c r="LZ54" s="292"/>
      <c r="MA54" s="292"/>
      <c r="MB54" s="292"/>
      <c r="MC54" s="292"/>
      <c r="MD54" s="292"/>
      <c r="ME54" s="292"/>
      <c r="MF54" s="292"/>
      <c r="MG54" s="292"/>
      <c r="MH54" s="292"/>
      <c r="MI54" s="292"/>
      <c r="MJ54" s="292"/>
      <c r="MK54" s="292"/>
      <c r="ML54" s="292"/>
      <c r="MM54" s="292"/>
      <c r="MN54" s="292"/>
      <c r="MO54" s="292"/>
      <c r="MP54" s="292"/>
      <c r="MQ54" s="292"/>
      <c r="MR54" s="292"/>
      <c r="MS54" s="292"/>
      <c r="MT54" s="292"/>
      <c r="MU54" s="292"/>
      <c r="MV54" s="292"/>
      <c r="MW54" s="292"/>
      <c r="MX54" s="292"/>
      <c r="MY54" s="292"/>
      <c r="MZ54" s="292"/>
      <c r="NA54" s="292"/>
      <c r="NB54" s="292"/>
      <c r="NC54" s="292"/>
      <c r="ND54" s="292"/>
      <c r="NE54" s="292"/>
      <c r="NF54" s="292"/>
      <c r="NG54" s="292"/>
      <c r="NH54" s="292"/>
      <c r="NI54" s="292"/>
      <c r="NJ54" s="292"/>
      <c r="NK54" s="292"/>
      <c r="NL54" s="292"/>
      <c r="NM54" s="292"/>
      <c r="NN54" s="292"/>
      <c r="NO54" s="292"/>
      <c r="NP54" s="292"/>
      <c r="NQ54" s="292"/>
      <c r="NR54" s="292"/>
      <c r="NS54" s="292"/>
      <c r="NT54" s="292"/>
      <c r="NU54" s="292"/>
      <c r="NV54" s="292"/>
      <c r="NW54" s="292"/>
      <c r="NX54" s="292"/>
      <c r="NY54" s="292"/>
      <c r="NZ54" s="292"/>
      <c r="OA54" s="292"/>
      <c r="OB54" s="292"/>
      <c r="OC54" s="292"/>
      <c r="OD54" s="292"/>
      <c r="OE54" s="292"/>
      <c r="OF54" s="292"/>
      <c r="OG54" s="292"/>
      <c r="OH54" s="292"/>
      <c r="OI54" s="292"/>
      <c r="OJ54" s="292"/>
      <c r="OK54" s="292"/>
      <c r="OL54" s="292"/>
      <c r="OM54" s="292"/>
      <c r="ON54" s="292"/>
      <c r="OO54" s="292"/>
      <c r="OP54" s="292"/>
      <c r="OQ54" s="292"/>
      <c r="OR54" s="292"/>
      <c r="OS54" s="292"/>
      <c r="OT54" s="292"/>
      <c r="OU54" s="292"/>
      <c r="OV54" s="292"/>
      <c r="OW54" s="292"/>
      <c r="OX54" s="292"/>
      <c r="OY54" s="292"/>
      <c r="OZ54" s="292"/>
      <c r="PA54" s="292"/>
      <c r="PB54" s="292"/>
      <c r="PC54" s="292"/>
      <c r="PD54" s="292"/>
      <c r="PE54" s="292"/>
      <c r="PF54" s="292"/>
      <c r="PG54" s="292"/>
      <c r="PH54" s="292"/>
      <c r="PI54" s="292"/>
      <c r="PJ54" s="292"/>
      <c r="PK54" s="292"/>
      <c r="PL54" s="292"/>
      <c r="PM54" s="292"/>
      <c r="PN54" s="292"/>
      <c r="PO54" s="292"/>
      <c r="PP54" s="292"/>
      <c r="PQ54" s="292"/>
      <c r="PR54" s="292"/>
      <c r="PS54" s="292"/>
      <c r="PT54" s="292"/>
      <c r="PU54" s="292"/>
      <c r="PV54" s="292"/>
      <c r="PW54" s="292"/>
      <c r="PX54" s="292"/>
      <c r="PY54" s="292"/>
      <c r="PZ54" s="292"/>
      <c r="QA54" s="292"/>
      <c r="QB54" s="292"/>
      <c r="QC54" s="292"/>
      <c r="QD54" s="292"/>
      <c r="QE54" s="292"/>
      <c r="QF54" s="292"/>
      <c r="QG54" s="292"/>
      <c r="QH54" s="292"/>
      <c r="QI54" s="292"/>
      <c r="QJ54" s="292"/>
      <c r="QK54" s="292"/>
      <c r="QL54" s="292"/>
      <c r="QM54" s="292"/>
      <c r="QN54" s="292"/>
      <c r="QO54" s="292"/>
      <c r="QP54" s="292"/>
      <c r="QQ54" s="292"/>
      <c r="QR54" s="292"/>
      <c r="QS54" s="292"/>
      <c r="QT54" s="292"/>
      <c r="QU54" s="292"/>
      <c r="QV54" s="292"/>
      <c r="QW54" s="292"/>
      <c r="QX54" s="292"/>
      <c r="QY54" s="292"/>
      <c r="QZ54" s="292"/>
      <c r="RA54" s="292"/>
      <c r="RB54" s="292"/>
      <c r="RC54" s="292"/>
      <c r="RD54" s="292"/>
      <c r="RE54" s="292"/>
      <c r="RF54" s="292"/>
      <c r="RG54" s="292"/>
      <c r="RH54" s="292"/>
      <c r="RI54" s="292"/>
      <c r="RJ54" s="292"/>
      <c r="RK54" s="292"/>
      <c r="RL54" s="292"/>
      <c r="RM54" s="292"/>
      <c r="RN54" s="292"/>
      <c r="RO54" s="292"/>
      <c r="RP54" s="292"/>
      <c r="RQ54" s="292"/>
      <c r="RR54" s="292"/>
      <c r="RS54" s="292"/>
      <c r="RT54" s="292"/>
      <c r="RU54" s="292"/>
      <c r="RV54" s="292"/>
      <c r="RW54" s="292"/>
      <c r="RX54" s="292"/>
      <c r="RY54" s="292"/>
      <c r="RZ54" s="292"/>
      <c r="SA54" s="292"/>
      <c r="SB54" s="292"/>
      <c r="SC54" s="292"/>
      <c r="SD54" s="292"/>
      <c r="SE54" s="292"/>
      <c r="SF54" s="292"/>
      <c r="SG54" s="292"/>
      <c r="SH54" s="292"/>
      <c r="SI54" s="292"/>
      <c r="SJ54" s="292"/>
      <c r="SK54" s="292"/>
      <c r="SL54" s="292"/>
      <c r="SM54" s="292"/>
      <c r="SN54" s="292"/>
      <c r="SO54" s="292"/>
      <c r="SP54" s="292"/>
      <c r="SQ54" s="292"/>
      <c r="SR54" s="292"/>
      <c r="SS54" s="292"/>
      <c r="ST54" s="292"/>
      <c r="SU54" s="292"/>
    </row>
    <row r="55" spans="1:515" s="620" customFormat="1" ht="15" customHeight="1" x14ac:dyDescent="0.25">
      <c r="A55" s="986"/>
      <c r="B55" s="984"/>
      <c r="C55" s="984"/>
      <c r="D55" s="962"/>
      <c r="E55" s="960"/>
      <c r="F55" s="976"/>
      <c r="G55" s="981"/>
      <c r="H55" s="962"/>
      <c r="I55" s="960"/>
      <c r="J55" s="981"/>
      <c r="K55" s="981"/>
      <c r="L55" s="962"/>
      <c r="M55" s="984"/>
      <c r="N55" s="984"/>
      <c r="O55" s="981"/>
      <c r="P55" s="962"/>
      <c r="Q55" s="962"/>
      <c r="R55" s="962"/>
      <c r="S55" s="976"/>
      <c r="T55" s="962"/>
      <c r="U55" s="1177"/>
      <c r="V55" s="1177"/>
      <c r="W55" s="976"/>
      <c r="X55" s="962"/>
      <c r="Y55" s="1177"/>
      <c r="Z55" s="1177"/>
      <c r="AA55" s="981"/>
      <c r="AB55" s="976"/>
      <c r="AC55" s="962"/>
      <c r="AD55" s="981"/>
      <c r="AE55" s="971"/>
      <c r="AF55" s="292"/>
      <c r="AG55" s="292"/>
      <c r="AH55" s="292"/>
      <c r="AI55" s="292"/>
      <c r="AJ55" s="292"/>
      <c r="AK55" s="292"/>
      <c r="AL55" s="292"/>
      <c r="AM55" s="292"/>
      <c r="AN55" s="292"/>
      <c r="AO55" s="292"/>
      <c r="AP55" s="292"/>
      <c r="AQ55" s="292"/>
      <c r="AR55" s="292"/>
      <c r="AS55" s="292"/>
      <c r="AT55" s="292"/>
      <c r="AU55" s="292"/>
      <c r="AV55" s="292"/>
      <c r="AW55" s="292"/>
      <c r="AX55" s="292"/>
      <c r="AY55" s="292"/>
      <c r="AZ55" s="292"/>
      <c r="BA55" s="292"/>
      <c r="BB55" s="292"/>
      <c r="BC55" s="292"/>
      <c r="BD55" s="292"/>
      <c r="BE55" s="292"/>
      <c r="BF55" s="292"/>
      <c r="BG55" s="292"/>
      <c r="BH55" s="292"/>
      <c r="BI55" s="292"/>
      <c r="BJ55" s="292"/>
      <c r="BK55" s="292"/>
      <c r="BL55" s="292"/>
    </row>
    <row r="56" spans="1:515" s="478" customFormat="1" ht="23.15" customHeight="1" x14ac:dyDescent="0.25">
      <c r="A56" s="1346" t="s">
        <v>362</v>
      </c>
      <c r="B56" s="1308"/>
      <c r="C56" s="1308"/>
      <c r="D56" s="957"/>
      <c r="E56" s="1172">
        <v>0</v>
      </c>
      <c r="F56" s="1172" t="s">
        <v>363</v>
      </c>
      <c r="G56" s="1172" t="s">
        <v>364</v>
      </c>
      <c r="H56" s="957"/>
      <c r="I56" s="1172" t="s">
        <v>15</v>
      </c>
      <c r="J56" s="1172" t="s">
        <v>363</v>
      </c>
      <c r="K56" s="1172" t="s">
        <v>364</v>
      </c>
      <c r="L56" s="957"/>
      <c r="M56" s="1172" t="s">
        <v>15</v>
      </c>
      <c r="N56" s="1172" t="s">
        <v>363</v>
      </c>
      <c r="O56" s="1172" t="s">
        <v>364</v>
      </c>
      <c r="P56" s="957"/>
      <c r="Q56" s="1172" t="s">
        <v>15</v>
      </c>
      <c r="R56" s="1172" t="s">
        <v>363</v>
      </c>
      <c r="S56" s="1172" t="s">
        <v>364</v>
      </c>
      <c r="T56" s="957"/>
      <c r="U56" s="1172" t="s">
        <v>15</v>
      </c>
      <c r="V56" s="1172" t="s">
        <v>363</v>
      </c>
      <c r="W56" s="1172" t="s">
        <v>364</v>
      </c>
      <c r="X56" s="957"/>
      <c r="Y56" s="1172" t="s">
        <v>15</v>
      </c>
      <c r="Z56" s="1172" t="s">
        <v>363</v>
      </c>
      <c r="AA56" s="1172" t="s">
        <v>364</v>
      </c>
      <c r="AB56" s="957"/>
      <c r="AC56" s="957"/>
      <c r="AD56" s="1172" t="s">
        <v>138</v>
      </c>
      <c r="AE56" s="971"/>
      <c r="AF56" s="292"/>
      <c r="AG56" s="292"/>
      <c r="AH56" s="292"/>
      <c r="AI56" s="292"/>
      <c r="AJ56" s="292"/>
      <c r="AK56" s="292"/>
      <c r="AL56" s="292"/>
      <c r="AM56" s="292"/>
      <c r="AN56" s="292"/>
      <c r="AO56" s="292"/>
      <c r="AP56" s="292"/>
      <c r="AQ56" s="292"/>
      <c r="AR56" s="292"/>
      <c r="AS56" s="292"/>
      <c r="AT56" s="292"/>
      <c r="AU56" s="292"/>
      <c r="AV56" s="292"/>
      <c r="AW56" s="292"/>
      <c r="AX56" s="292"/>
      <c r="AY56" s="292"/>
      <c r="AZ56" s="292"/>
      <c r="BA56" s="292"/>
      <c r="BB56" s="292"/>
      <c r="BC56" s="292"/>
      <c r="BD56" s="292"/>
      <c r="BE56" s="292"/>
      <c r="BF56" s="292"/>
      <c r="BG56" s="292"/>
      <c r="BH56" s="292"/>
      <c r="BI56" s="292"/>
      <c r="BJ56" s="292"/>
      <c r="BK56" s="292"/>
      <c r="BL56" s="292"/>
      <c r="BM56" s="292"/>
      <c r="BN56" s="292"/>
      <c r="BO56" s="292"/>
      <c r="BP56" s="292"/>
      <c r="BQ56" s="292"/>
      <c r="BR56" s="292"/>
      <c r="BS56" s="292"/>
      <c r="BT56" s="292"/>
      <c r="BU56" s="292"/>
      <c r="BV56" s="292"/>
      <c r="BW56" s="292"/>
      <c r="BX56" s="292"/>
      <c r="BY56" s="292"/>
      <c r="BZ56" s="292"/>
      <c r="CA56" s="292"/>
      <c r="CB56" s="292"/>
      <c r="CC56" s="292"/>
      <c r="CD56" s="292"/>
      <c r="CE56" s="292"/>
      <c r="CF56" s="292"/>
      <c r="CG56" s="292"/>
      <c r="CH56" s="292"/>
      <c r="CI56" s="292"/>
      <c r="CJ56" s="292"/>
      <c r="CK56" s="292"/>
      <c r="CL56" s="292"/>
      <c r="CM56" s="292"/>
      <c r="CN56" s="292"/>
      <c r="CO56" s="292"/>
      <c r="CP56" s="292"/>
      <c r="CQ56" s="292"/>
      <c r="CR56" s="292"/>
      <c r="CS56" s="292"/>
      <c r="CT56" s="292"/>
      <c r="CU56" s="292"/>
      <c r="CV56" s="292"/>
      <c r="CW56" s="292"/>
      <c r="CX56" s="292"/>
      <c r="CY56" s="292"/>
      <c r="CZ56" s="292"/>
      <c r="DA56" s="292"/>
      <c r="DB56" s="292"/>
      <c r="DC56" s="292"/>
      <c r="DD56" s="292"/>
      <c r="DE56" s="292"/>
      <c r="DF56" s="292"/>
      <c r="DG56" s="292"/>
      <c r="DH56" s="292"/>
      <c r="DI56" s="292"/>
      <c r="DJ56" s="292"/>
      <c r="DK56" s="292"/>
      <c r="DL56" s="292"/>
      <c r="DM56" s="292"/>
      <c r="DN56" s="292"/>
      <c r="DO56" s="292"/>
      <c r="DP56" s="292"/>
      <c r="DQ56" s="292"/>
      <c r="DR56" s="292"/>
      <c r="DS56" s="292"/>
      <c r="DT56" s="292"/>
      <c r="DU56" s="292"/>
      <c r="DV56" s="292"/>
      <c r="DW56" s="292"/>
      <c r="DX56" s="292"/>
      <c r="DY56" s="292"/>
      <c r="DZ56" s="292"/>
      <c r="EA56" s="292"/>
      <c r="EB56" s="292"/>
      <c r="EC56" s="292"/>
      <c r="ED56" s="292"/>
      <c r="EE56" s="292"/>
      <c r="EF56" s="292"/>
      <c r="EG56" s="292"/>
      <c r="EH56" s="292"/>
      <c r="EI56" s="292"/>
      <c r="EJ56" s="292"/>
      <c r="EK56" s="292"/>
      <c r="EL56" s="292"/>
      <c r="EM56" s="292"/>
      <c r="EN56" s="292"/>
      <c r="EO56" s="292"/>
      <c r="EP56" s="292"/>
      <c r="EQ56" s="292"/>
      <c r="ER56" s="292"/>
      <c r="ES56" s="292"/>
      <c r="ET56" s="292"/>
      <c r="EU56" s="292"/>
      <c r="EV56" s="292"/>
      <c r="EW56" s="292"/>
      <c r="EX56" s="292"/>
      <c r="EY56" s="292"/>
      <c r="EZ56" s="292"/>
      <c r="FA56" s="292"/>
      <c r="FB56" s="292"/>
      <c r="FC56" s="292"/>
      <c r="FD56" s="292"/>
      <c r="FE56" s="292"/>
      <c r="FF56" s="292"/>
      <c r="FG56" s="292"/>
      <c r="FH56" s="292"/>
      <c r="FI56" s="292"/>
      <c r="FJ56" s="292"/>
      <c r="FK56" s="292"/>
      <c r="FL56" s="292"/>
      <c r="FM56" s="292"/>
      <c r="FN56" s="292"/>
      <c r="FO56" s="292"/>
      <c r="FP56" s="292"/>
      <c r="FQ56" s="292"/>
      <c r="FR56" s="292"/>
      <c r="FS56" s="292"/>
      <c r="FT56" s="292"/>
      <c r="FU56" s="292"/>
      <c r="FV56" s="292"/>
      <c r="FW56" s="292"/>
      <c r="FX56" s="292"/>
      <c r="FY56" s="292"/>
      <c r="FZ56" s="292"/>
      <c r="GA56" s="292"/>
      <c r="GB56" s="292"/>
      <c r="GC56" s="292"/>
      <c r="GD56" s="292"/>
      <c r="GE56" s="292"/>
      <c r="GF56" s="292"/>
      <c r="GG56" s="292"/>
      <c r="GH56" s="292"/>
      <c r="GI56" s="292"/>
      <c r="GJ56" s="292"/>
      <c r="GK56" s="292"/>
      <c r="GL56" s="292"/>
      <c r="GM56" s="292"/>
      <c r="GN56" s="292"/>
      <c r="GO56" s="292"/>
      <c r="GP56" s="292"/>
      <c r="GQ56" s="292"/>
      <c r="GR56" s="292"/>
      <c r="GS56" s="292"/>
      <c r="GT56" s="292"/>
      <c r="GU56" s="292"/>
      <c r="GV56" s="292"/>
      <c r="GW56" s="292"/>
      <c r="GX56" s="292"/>
      <c r="GY56" s="292"/>
      <c r="GZ56" s="292"/>
      <c r="HA56" s="292"/>
      <c r="HB56" s="292"/>
      <c r="HC56" s="292"/>
      <c r="HD56" s="292"/>
      <c r="HE56" s="292"/>
      <c r="HF56" s="292"/>
      <c r="HG56" s="292"/>
      <c r="HH56" s="292"/>
      <c r="HI56" s="292"/>
      <c r="HJ56" s="292"/>
      <c r="HK56" s="292"/>
      <c r="HL56" s="292"/>
      <c r="HM56" s="292"/>
      <c r="HN56" s="292"/>
      <c r="HO56" s="292"/>
      <c r="HP56" s="292"/>
      <c r="HQ56" s="292"/>
      <c r="HR56" s="292"/>
      <c r="HS56" s="292"/>
      <c r="HT56" s="292"/>
      <c r="HU56" s="292"/>
      <c r="HV56" s="292"/>
      <c r="HW56" s="292"/>
      <c r="HX56" s="292"/>
      <c r="HY56" s="292"/>
      <c r="HZ56" s="292"/>
      <c r="IA56" s="292"/>
      <c r="IB56" s="292"/>
      <c r="IC56" s="292"/>
      <c r="ID56" s="292"/>
      <c r="IE56" s="292"/>
      <c r="IF56" s="292"/>
      <c r="IG56" s="292"/>
      <c r="IH56" s="292"/>
      <c r="II56" s="292"/>
      <c r="IJ56" s="292"/>
      <c r="IK56" s="292"/>
      <c r="IL56" s="292"/>
      <c r="IM56" s="292"/>
      <c r="IN56" s="292"/>
      <c r="IO56" s="292"/>
      <c r="IP56" s="292"/>
      <c r="IQ56" s="292"/>
      <c r="IR56" s="292"/>
      <c r="IS56" s="292"/>
      <c r="IT56" s="292"/>
      <c r="IU56" s="292"/>
      <c r="IV56" s="292"/>
      <c r="IW56" s="292"/>
      <c r="IX56" s="292"/>
      <c r="IY56" s="292"/>
      <c r="IZ56" s="292"/>
      <c r="JA56" s="292"/>
      <c r="JB56" s="292"/>
      <c r="JC56" s="292"/>
      <c r="JD56" s="292"/>
      <c r="JE56" s="292"/>
      <c r="JF56" s="292"/>
      <c r="JG56" s="292"/>
      <c r="JH56" s="292"/>
      <c r="JI56" s="292"/>
      <c r="JJ56" s="292"/>
      <c r="JK56" s="292"/>
      <c r="JL56" s="292"/>
      <c r="JM56" s="292"/>
      <c r="JN56" s="292"/>
      <c r="JO56" s="292"/>
      <c r="JP56" s="292"/>
      <c r="JQ56" s="292"/>
      <c r="JR56" s="292"/>
      <c r="JS56" s="292"/>
      <c r="JT56" s="292"/>
      <c r="JU56" s="292"/>
      <c r="JV56" s="292"/>
      <c r="JW56" s="292"/>
      <c r="JX56" s="292"/>
      <c r="JY56" s="292"/>
      <c r="JZ56" s="292"/>
      <c r="KA56" s="292"/>
      <c r="KB56" s="292"/>
      <c r="KC56" s="292"/>
      <c r="KD56" s="292"/>
      <c r="KE56" s="292"/>
      <c r="KF56" s="292"/>
      <c r="KG56" s="292"/>
      <c r="KH56" s="292"/>
      <c r="KI56" s="292"/>
      <c r="KJ56" s="292"/>
      <c r="KK56" s="292"/>
      <c r="KL56" s="292"/>
      <c r="KM56" s="292"/>
      <c r="KN56" s="292"/>
      <c r="KO56" s="292"/>
      <c r="KP56" s="292"/>
      <c r="KQ56" s="292"/>
      <c r="KR56" s="292"/>
      <c r="KS56" s="292"/>
      <c r="KT56" s="292"/>
      <c r="KU56" s="292"/>
      <c r="KV56" s="292"/>
      <c r="KW56" s="292"/>
      <c r="KX56" s="292"/>
      <c r="KY56" s="292"/>
      <c r="KZ56" s="292"/>
      <c r="LA56" s="292"/>
      <c r="LB56" s="292"/>
      <c r="LC56" s="292"/>
      <c r="LD56" s="292"/>
      <c r="LE56" s="292"/>
      <c r="LF56" s="292"/>
      <c r="LG56" s="292"/>
      <c r="LH56" s="292"/>
      <c r="LI56" s="292"/>
      <c r="LJ56" s="292"/>
      <c r="LK56" s="292"/>
      <c r="LL56" s="292"/>
      <c r="LM56" s="292"/>
      <c r="LN56" s="292"/>
      <c r="LO56" s="292"/>
      <c r="LP56" s="292"/>
      <c r="LQ56" s="292"/>
      <c r="LR56" s="292"/>
      <c r="LS56" s="292"/>
      <c r="LT56" s="292"/>
      <c r="LU56" s="292"/>
      <c r="LV56" s="292"/>
      <c r="LW56" s="292"/>
      <c r="LX56" s="292"/>
      <c r="LY56" s="292"/>
      <c r="LZ56" s="292"/>
      <c r="MA56" s="292"/>
      <c r="MB56" s="292"/>
      <c r="MC56" s="292"/>
      <c r="MD56" s="292"/>
      <c r="ME56" s="292"/>
      <c r="MF56" s="292"/>
      <c r="MG56" s="292"/>
      <c r="MH56" s="292"/>
      <c r="MI56" s="292"/>
      <c r="MJ56" s="292"/>
      <c r="MK56" s="292"/>
      <c r="ML56" s="292"/>
      <c r="MM56" s="292"/>
      <c r="MN56" s="292"/>
      <c r="MO56" s="292"/>
      <c r="MP56" s="292"/>
      <c r="MQ56" s="292"/>
      <c r="MR56" s="292"/>
      <c r="MS56" s="292"/>
      <c r="MT56" s="292"/>
      <c r="MU56" s="292"/>
      <c r="MV56" s="292"/>
      <c r="MW56" s="292"/>
      <c r="MX56" s="292"/>
      <c r="MY56" s="292"/>
      <c r="MZ56" s="292"/>
      <c r="NA56" s="292"/>
      <c r="NB56" s="292"/>
      <c r="NC56" s="292"/>
      <c r="ND56" s="292"/>
      <c r="NE56" s="292"/>
      <c r="NF56" s="292"/>
      <c r="NG56" s="292"/>
      <c r="NH56" s="292"/>
      <c r="NI56" s="292"/>
      <c r="NJ56" s="292"/>
      <c r="NK56" s="292"/>
      <c r="NL56" s="292"/>
      <c r="NM56" s="292"/>
      <c r="NN56" s="292"/>
      <c r="NO56" s="292"/>
      <c r="NP56" s="292"/>
      <c r="NQ56" s="292"/>
      <c r="NR56" s="292"/>
      <c r="NS56" s="292"/>
      <c r="NT56" s="292"/>
      <c r="NU56" s="292"/>
      <c r="NV56" s="292"/>
      <c r="NW56" s="292"/>
      <c r="NX56" s="292"/>
      <c r="NY56" s="292"/>
      <c r="NZ56" s="292"/>
      <c r="OA56" s="292"/>
      <c r="OB56" s="292"/>
      <c r="OC56" s="292"/>
      <c r="OD56" s="292"/>
      <c r="OE56" s="292"/>
      <c r="OF56" s="292"/>
      <c r="OG56" s="292"/>
      <c r="OH56" s="292"/>
      <c r="OI56" s="292"/>
      <c r="OJ56" s="292"/>
      <c r="OK56" s="292"/>
      <c r="OL56" s="292"/>
      <c r="OM56" s="292"/>
      <c r="ON56" s="292"/>
      <c r="OO56" s="292"/>
      <c r="OP56" s="292"/>
      <c r="OQ56" s="292"/>
      <c r="OR56" s="292"/>
      <c r="OS56" s="292"/>
      <c r="OT56" s="292"/>
      <c r="OU56" s="292"/>
      <c r="OV56" s="292"/>
      <c r="OW56" s="292"/>
      <c r="OX56" s="292"/>
      <c r="OY56" s="292"/>
      <c r="OZ56" s="292"/>
      <c r="PA56" s="292"/>
      <c r="PB56" s="292"/>
      <c r="PC56" s="292"/>
      <c r="PD56" s="292"/>
      <c r="PE56" s="292"/>
      <c r="PF56" s="292"/>
      <c r="PG56" s="292"/>
      <c r="PH56" s="292"/>
      <c r="PI56" s="292"/>
      <c r="PJ56" s="292"/>
      <c r="PK56" s="292"/>
      <c r="PL56" s="292"/>
      <c r="PM56" s="292"/>
      <c r="PN56" s="292"/>
      <c r="PO56" s="292"/>
      <c r="PP56" s="292"/>
      <c r="PQ56" s="292"/>
      <c r="PR56" s="292"/>
      <c r="PS56" s="292"/>
      <c r="PT56" s="292"/>
      <c r="PU56" s="292"/>
      <c r="PV56" s="292"/>
      <c r="PW56" s="292"/>
      <c r="PX56" s="292"/>
      <c r="PY56" s="292"/>
      <c r="PZ56" s="292"/>
      <c r="QA56" s="292"/>
      <c r="QB56" s="292"/>
      <c r="QC56" s="292"/>
      <c r="QD56" s="292"/>
      <c r="QE56" s="292"/>
      <c r="QF56" s="292"/>
      <c r="QG56" s="292"/>
      <c r="QH56" s="292"/>
      <c r="QI56" s="292"/>
      <c r="QJ56" s="292"/>
      <c r="QK56" s="292"/>
      <c r="QL56" s="292"/>
      <c r="QM56" s="292"/>
      <c r="QN56" s="292"/>
      <c r="QO56" s="292"/>
      <c r="QP56" s="292"/>
      <c r="QQ56" s="292"/>
      <c r="QR56" s="292"/>
      <c r="QS56" s="292"/>
      <c r="QT56" s="292"/>
      <c r="QU56" s="292"/>
      <c r="QV56" s="292"/>
      <c r="QW56" s="292"/>
      <c r="QX56" s="292"/>
      <c r="QY56" s="292"/>
      <c r="QZ56" s="292"/>
      <c r="RA56" s="292"/>
      <c r="RB56" s="292"/>
      <c r="RC56" s="292"/>
      <c r="RD56" s="292"/>
      <c r="RE56" s="292"/>
      <c r="RF56" s="292"/>
      <c r="RG56" s="292"/>
      <c r="RH56" s="292"/>
      <c r="RI56" s="292"/>
      <c r="RJ56" s="292"/>
      <c r="RK56" s="292"/>
      <c r="RL56" s="292"/>
      <c r="RM56" s="292"/>
      <c r="RN56" s="292"/>
      <c r="RO56" s="292"/>
      <c r="RP56" s="292"/>
      <c r="RQ56" s="292"/>
      <c r="RR56" s="292"/>
      <c r="RS56" s="292"/>
      <c r="RT56" s="292"/>
      <c r="RU56" s="292"/>
      <c r="RV56" s="292"/>
      <c r="RW56" s="292"/>
      <c r="RX56" s="292"/>
      <c r="RY56" s="292"/>
      <c r="RZ56" s="292"/>
      <c r="SA56" s="292"/>
      <c r="SB56" s="292"/>
      <c r="SC56" s="292"/>
      <c r="SD56" s="292"/>
      <c r="SE56" s="292"/>
      <c r="SF56" s="292"/>
      <c r="SG56" s="292"/>
      <c r="SH56" s="292"/>
      <c r="SI56" s="292"/>
      <c r="SJ56" s="292"/>
      <c r="SK56" s="292"/>
      <c r="SL56" s="292"/>
      <c r="SM56" s="292"/>
      <c r="SN56" s="292"/>
      <c r="SO56" s="292"/>
      <c r="SP56" s="292"/>
      <c r="SQ56" s="292"/>
      <c r="SR56" s="292"/>
      <c r="SS56" s="292"/>
      <c r="ST56" s="292"/>
      <c r="SU56" s="292"/>
    </row>
    <row r="57" spans="1:515" ht="15" customHeight="1" x14ac:dyDescent="0.25">
      <c r="A57" s="1349" t="s">
        <v>365</v>
      </c>
      <c r="B57" s="1350"/>
      <c r="C57" s="1350"/>
      <c r="D57" s="957"/>
      <c r="E57" s="622">
        <v>0</v>
      </c>
      <c r="F57" s="626">
        <v>0</v>
      </c>
      <c r="G57" s="1000">
        <f>E57*F57</f>
        <v>0</v>
      </c>
      <c r="H57" s="957"/>
      <c r="I57" s="622">
        <v>0</v>
      </c>
      <c r="J57" s="626">
        <v>0</v>
      </c>
      <c r="K57" s="1000">
        <f>I57*J57</f>
        <v>0</v>
      </c>
      <c r="L57" s="957"/>
      <c r="M57" s="622">
        <v>0</v>
      </c>
      <c r="N57" s="626">
        <v>0</v>
      </c>
      <c r="O57" s="1000">
        <f>M57*N57</f>
        <v>0</v>
      </c>
      <c r="P57" s="957"/>
      <c r="Q57" s="622">
        <v>0</v>
      </c>
      <c r="R57" s="626">
        <v>0</v>
      </c>
      <c r="S57" s="1000">
        <f>Q57*R57</f>
        <v>0</v>
      </c>
      <c r="T57" s="957"/>
      <c r="U57" s="622">
        <v>0</v>
      </c>
      <c r="V57" s="626">
        <v>0</v>
      </c>
      <c r="W57" s="1000">
        <f>U57*V57</f>
        <v>0</v>
      </c>
      <c r="X57" s="957"/>
      <c r="Y57" s="622">
        <v>0</v>
      </c>
      <c r="Z57" s="626">
        <v>0</v>
      </c>
      <c r="AA57" s="1000">
        <f>Y57*Z57</f>
        <v>0</v>
      </c>
      <c r="AB57" s="975"/>
      <c r="AC57" s="957"/>
      <c r="AD57" s="1000">
        <f>G57+K57+O57+S57+W57+AA57</f>
        <v>0</v>
      </c>
      <c r="AE57" s="971"/>
    </row>
    <row r="58" spans="1:515" ht="15" customHeight="1" x14ac:dyDescent="0.25">
      <c r="A58" s="1349" t="s">
        <v>366</v>
      </c>
      <c r="B58" s="1350"/>
      <c r="C58" s="1350"/>
      <c r="D58" s="957"/>
      <c r="E58" s="622">
        <v>0</v>
      </c>
      <c r="F58" s="626">
        <v>0</v>
      </c>
      <c r="G58" s="1000">
        <f>E58*F58</f>
        <v>0</v>
      </c>
      <c r="H58" s="957"/>
      <c r="I58" s="622">
        <v>0</v>
      </c>
      <c r="J58" s="626">
        <v>0</v>
      </c>
      <c r="K58" s="1000">
        <f>I58*J58</f>
        <v>0</v>
      </c>
      <c r="L58" s="957"/>
      <c r="M58" s="622">
        <v>0</v>
      </c>
      <c r="N58" s="626">
        <v>0</v>
      </c>
      <c r="O58" s="1000">
        <f>M58*N58</f>
        <v>0</v>
      </c>
      <c r="P58" s="957"/>
      <c r="Q58" s="622">
        <v>0</v>
      </c>
      <c r="R58" s="626">
        <v>0</v>
      </c>
      <c r="S58" s="1000">
        <f>Q58*R58</f>
        <v>0</v>
      </c>
      <c r="T58" s="957"/>
      <c r="U58" s="622">
        <v>0</v>
      </c>
      <c r="V58" s="626">
        <v>0</v>
      </c>
      <c r="W58" s="1000">
        <f>U58*V58</f>
        <v>0</v>
      </c>
      <c r="X58" s="957"/>
      <c r="Y58" s="622">
        <v>0</v>
      </c>
      <c r="Z58" s="626">
        <v>0</v>
      </c>
      <c r="AA58" s="1000">
        <f>Y58*Z58</f>
        <v>0</v>
      </c>
      <c r="AB58" s="975"/>
      <c r="AC58" s="957"/>
      <c r="AD58" s="1000">
        <f>G58+K58+O58+S58+W58+AA58</f>
        <v>0</v>
      </c>
      <c r="AE58" s="971"/>
    </row>
    <row r="59" spans="1:515" s="478" customFormat="1" ht="23.15" customHeight="1" x14ac:dyDescent="0.25">
      <c r="A59" s="1366" t="s">
        <v>138</v>
      </c>
      <c r="B59" s="1367"/>
      <c r="C59" s="1367"/>
      <c r="D59" s="962"/>
      <c r="E59" s="960"/>
      <c r="F59" s="994"/>
      <c r="G59" s="788">
        <f>SUM(G56:G58)</f>
        <v>0</v>
      </c>
      <c r="H59" s="957"/>
      <c r="I59" s="960"/>
      <c r="J59" s="993"/>
      <c r="K59" s="788">
        <f>SUM(K56:K58)</f>
        <v>0</v>
      </c>
      <c r="L59" s="957"/>
      <c r="M59" s="960"/>
      <c r="N59" s="997"/>
      <c r="O59" s="788">
        <f>SUM(O56:O58)</f>
        <v>0</v>
      </c>
      <c r="P59" s="957"/>
      <c r="Q59" s="960"/>
      <c r="R59" s="993"/>
      <c r="S59" s="788">
        <f>SUM(S56:S58)</f>
        <v>0</v>
      </c>
      <c r="T59" s="957"/>
      <c r="U59" s="957"/>
      <c r="V59" s="957"/>
      <c r="W59" s="788">
        <f>SUM(W56:W58)</f>
        <v>0</v>
      </c>
      <c r="X59" s="957"/>
      <c r="Y59" s="957"/>
      <c r="Z59" s="957"/>
      <c r="AA59" s="788">
        <f>SUM(AA56:AA58)</f>
        <v>0</v>
      </c>
      <c r="AB59" s="976"/>
      <c r="AC59" s="957"/>
      <c r="AD59" s="786">
        <f>G59+K59+O59+S59+W59+AA59</f>
        <v>0</v>
      </c>
      <c r="AE59" s="971"/>
      <c r="AF59" s="292"/>
      <c r="AG59" s="292"/>
      <c r="AH59" s="292"/>
      <c r="AI59" s="292"/>
      <c r="AJ59" s="292"/>
      <c r="AK59" s="292"/>
      <c r="AL59" s="292"/>
      <c r="AM59" s="292"/>
      <c r="AN59" s="292"/>
      <c r="AO59" s="292"/>
      <c r="AP59" s="292"/>
      <c r="AQ59" s="292"/>
      <c r="AR59" s="292"/>
      <c r="AS59" s="292"/>
      <c r="AT59" s="292"/>
      <c r="AU59" s="292"/>
      <c r="AV59" s="292"/>
      <c r="AW59" s="292"/>
      <c r="AX59" s="292"/>
      <c r="AY59" s="292"/>
      <c r="AZ59" s="292"/>
      <c r="BA59" s="292"/>
      <c r="BB59" s="292"/>
      <c r="BC59" s="292"/>
      <c r="BD59" s="292"/>
      <c r="BE59" s="292"/>
      <c r="BF59" s="292"/>
      <c r="BG59" s="292"/>
      <c r="BH59" s="292"/>
      <c r="BI59" s="292"/>
      <c r="BJ59" s="292"/>
      <c r="BK59" s="292"/>
      <c r="BL59" s="292"/>
      <c r="BM59" s="292"/>
      <c r="BN59" s="292"/>
      <c r="BO59" s="292"/>
      <c r="BP59" s="292"/>
      <c r="BQ59" s="292"/>
      <c r="BR59" s="292"/>
      <c r="BS59" s="292"/>
      <c r="BT59" s="292"/>
      <c r="BU59" s="292"/>
      <c r="BV59" s="292"/>
      <c r="BW59" s="292"/>
      <c r="BX59" s="292"/>
      <c r="BY59" s="292"/>
      <c r="BZ59" s="292"/>
      <c r="CA59" s="292"/>
      <c r="CB59" s="292"/>
      <c r="CC59" s="292"/>
      <c r="CD59" s="292"/>
      <c r="CE59" s="292"/>
      <c r="CF59" s="292"/>
      <c r="CG59" s="292"/>
      <c r="CH59" s="292"/>
      <c r="CI59" s="292"/>
      <c r="CJ59" s="292"/>
      <c r="CK59" s="292"/>
      <c r="CL59" s="292"/>
      <c r="CM59" s="292"/>
      <c r="CN59" s="292"/>
      <c r="CO59" s="292"/>
      <c r="CP59" s="292"/>
      <c r="CQ59" s="292"/>
      <c r="CR59" s="292"/>
      <c r="CS59" s="292"/>
      <c r="CT59" s="292"/>
      <c r="CU59" s="292"/>
      <c r="CV59" s="292"/>
      <c r="CW59" s="292"/>
      <c r="CX59" s="292"/>
      <c r="CY59" s="292"/>
      <c r="CZ59" s="292"/>
      <c r="DA59" s="292"/>
      <c r="DB59" s="292"/>
      <c r="DC59" s="292"/>
      <c r="DD59" s="292"/>
      <c r="DE59" s="292"/>
      <c r="DF59" s="292"/>
      <c r="DG59" s="292"/>
      <c r="DH59" s="292"/>
      <c r="DI59" s="292"/>
      <c r="DJ59" s="292"/>
      <c r="DK59" s="292"/>
      <c r="DL59" s="292"/>
      <c r="DM59" s="292"/>
      <c r="DN59" s="292"/>
      <c r="DO59" s="292"/>
      <c r="DP59" s="292"/>
      <c r="DQ59" s="292"/>
      <c r="DR59" s="292"/>
      <c r="DS59" s="292"/>
      <c r="DT59" s="292"/>
      <c r="DU59" s="292"/>
      <c r="DV59" s="292"/>
      <c r="DW59" s="292"/>
      <c r="DX59" s="292"/>
      <c r="DY59" s="292"/>
      <c r="DZ59" s="292"/>
      <c r="EA59" s="292"/>
      <c r="EB59" s="292"/>
      <c r="EC59" s="292"/>
      <c r="ED59" s="292"/>
      <c r="EE59" s="292"/>
      <c r="EF59" s="292"/>
      <c r="EG59" s="292"/>
      <c r="EH59" s="292"/>
      <c r="EI59" s="292"/>
      <c r="EJ59" s="292"/>
      <c r="EK59" s="292"/>
      <c r="EL59" s="292"/>
      <c r="EM59" s="292"/>
      <c r="EN59" s="292"/>
      <c r="EO59" s="292"/>
      <c r="EP59" s="292"/>
      <c r="EQ59" s="292"/>
      <c r="ER59" s="292"/>
      <c r="ES59" s="292"/>
      <c r="ET59" s="292"/>
      <c r="EU59" s="292"/>
      <c r="EV59" s="292"/>
      <c r="EW59" s="292"/>
      <c r="EX59" s="292"/>
      <c r="EY59" s="292"/>
      <c r="EZ59" s="292"/>
      <c r="FA59" s="292"/>
      <c r="FB59" s="292"/>
      <c r="FC59" s="292"/>
      <c r="FD59" s="292"/>
      <c r="FE59" s="292"/>
      <c r="FF59" s="292"/>
      <c r="FG59" s="292"/>
      <c r="FH59" s="292"/>
      <c r="FI59" s="292"/>
      <c r="FJ59" s="292"/>
      <c r="FK59" s="292"/>
      <c r="FL59" s="292"/>
      <c r="FM59" s="292"/>
      <c r="FN59" s="292"/>
      <c r="FO59" s="292"/>
      <c r="FP59" s="292"/>
      <c r="FQ59" s="292"/>
      <c r="FR59" s="292"/>
      <c r="FS59" s="292"/>
      <c r="FT59" s="292"/>
      <c r="FU59" s="292"/>
      <c r="FV59" s="292"/>
      <c r="FW59" s="292"/>
      <c r="FX59" s="292"/>
      <c r="FY59" s="292"/>
      <c r="FZ59" s="292"/>
      <c r="GA59" s="292"/>
      <c r="GB59" s="292"/>
      <c r="GC59" s="292"/>
      <c r="GD59" s="292"/>
      <c r="GE59" s="292"/>
      <c r="GF59" s="292"/>
      <c r="GG59" s="292"/>
      <c r="GH59" s="292"/>
      <c r="GI59" s="292"/>
      <c r="GJ59" s="292"/>
      <c r="GK59" s="292"/>
      <c r="GL59" s="292"/>
      <c r="GM59" s="292"/>
      <c r="GN59" s="292"/>
      <c r="GO59" s="292"/>
      <c r="GP59" s="292"/>
      <c r="GQ59" s="292"/>
      <c r="GR59" s="292"/>
      <c r="GS59" s="292"/>
      <c r="GT59" s="292"/>
      <c r="GU59" s="292"/>
      <c r="GV59" s="292"/>
      <c r="GW59" s="292"/>
      <c r="GX59" s="292"/>
      <c r="GY59" s="292"/>
      <c r="GZ59" s="292"/>
      <c r="HA59" s="292"/>
      <c r="HB59" s="292"/>
      <c r="HC59" s="292"/>
      <c r="HD59" s="292"/>
      <c r="HE59" s="292"/>
      <c r="HF59" s="292"/>
      <c r="HG59" s="292"/>
      <c r="HH59" s="292"/>
      <c r="HI59" s="292"/>
      <c r="HJ59" s="292"/>
      <c r="HK59" s="292"/>
      <c r="HL59" s="292"/>
      <c r="HM59" s="292"/>
      <c r="HN59" s="292"/>
      <c r="HO59" s="292"/>
      <c r="HP59" s="292"/>
      <c r="HQ59" s="292"/>
      <c r="HR59" s="292"/>
      <c r="HS59" s="292"/>
      <c r="HT59" s="292"/>
      <c r="HU59" s="292"/>
      <c r="HV59" s="292"/>
      <c r="HW59" s="292"/>
      <c r="HX59" s="292"/>
      <c r="HY59" s="292"/>
      <c r="HZ59" s="292"/>
      <c r="IA59" s="292"/>
      <c r="IB59" s="292"/>
      <c r="IC59" s="292"/>
      <c r="ID59" s="292"/>
      <c r="IE59" s="292"/>
      <c r="IF59" s="292"/>
      <c r="IG59" s="292"/>
      <c r="IH59" s="292"/>
      <c r="II59" s="292"/>
      <c r="IJ59" s="292"/>
      <c r="IK59" s="292"/>
      <c r="IL59" s="292"/>
      <c r="IM59" s="292"/>
      <c r="IN59" s="292"/>
      <c r="IO59" s="292"/>
      <c r="IP59" s="292"/>
      <c r="IQ59" s="292"/>
      <c r="IR59" s="292"/>
      <c r="IS59" s="292"/>
      <c r="IT59" s="292"/>
      <c r="IU59" s="292"/>
      <c r="IV59" s="292"/>
      <c r="IW59" s="292"/>
      <c r="IX59" s="292"/>
      <c r="IY59" s="292"/>
      <c r="IZ59" s="292"/>
      <c r="JA59" s="292"/>
      <c r="JB59" s="292"/>
      <c r="JC59" s="292"/>
      <c r="JD59" s="292"/>
      <c r="JE59" s="292"/>
      <c r="JF59" s="292"/>
      <c r="JG59" s="292"/>
      <c r="JH59" s="292"/>
      <c r="JI59" s="292"/>
      <c r="JJ59" s="292"/>
      <c r="JK59" s="292"/>
      <c r="JL59" s="292"/>
      <c r="JM59" s="292"/>
      <c r="JN59" s="292"/>
      <c r="JO59" s="292"/>
      <c r="JP59" s="292"/>
      <c r="JQ59" s="292"/>
      <c r="JR59" s="292"/>
      <c r="JS59" s="292"/>
      <c r="JT59" s="292"/>
      <c r="JU59" s="292"/>
      <c r="JV59" s="292"/>
      <c r="JW59" s="292"/>
      <c r="JX59" s="292"/>
      <c r="JY59" s="292"/>
      <c r="JZ59" s="292"/>
      <c r="KA59" s="292"/>
      <c r="KB59" s="292"/>
      <c r="KC59" s="292"/>
      <c r="KD59" s="292"/>
      <c r="KE59" s="292"/>
      <c r="KF59" s="292"/>
      <c r="KG59" s="292"/>
      <c r="KH59" s="292"/>
      <c r="KI59" s="292"/>
      <c r="KJ59" s="292"/>
      <c r="KK59" s="292"/>
      <c r="KL59" s="292"/>
      <c r="KM59" s="292"/>
      <c r="KN59" s="292"/>
      <c r="KO59" s="292"/>
      <c r="KP59" s="292"/>
      <c r="KQ59" s="292"/>
      <c r="KR59" s="292"/>
      <c r="KS59" s="292"/>
      <c r="KT59" s="292"/>
      <c r="KU59" s="292"/>
      <c r="KV59" s="292"/>
      <c r="KW59" s="292"/>
      <c r="KX59" s="292"/>
      <c r="KY59" s="292"/>
      <c r="KZ59" s="292"/>
      <c r="LA59" s="292"/>
      <c r="LB59" s="292"/>
      <c r="LC59" s="292"/>
      <c r="LD59" s="292"/>
      <c r="LE59" s="292"/>
      <c r="LF59" s="292"/>
      <c r="LG59" s="292"/>
      <c r="LH59" s="292"/>
      <c r="LI59" s="292"/>
      <c r="LJ59" s="292"/>
      <c r="LK59" s="292"/>
      <c r="LL59" s="292"/>
      <c r="LM59" s="292"/>
      <c r="LN59" s="292"/>
      <c r="LO59" s="292"/>
      <c r="LP59" s="292"/>
      <c r="LQ59" s="292"/>
      <c r="LR59" s="292"/>
      <c r="LS59" s="292"/>
      <c r="LT59" s="292"/>
      <c r="LU59" s="292"/>
      <c r="LV59" s="292"/>
      <c r="LW59" s="292"/>
      <c r="LX59" s="292"/>
      <c r="LY59" s="292"/>
      <c r="LZ59" s="292"/>
      <c r="MA59" s="292"/>
      <c r="MB59" s="292"/>
      <c r="MC59" s="292"/>
      <c r="MD59" s="292"/>
      <c r="ME59" s="292"/>
      <c r="MF59" s="292"/>
      <c r="MG59" s="292"/>
      <c r="MH59" s="292"/>
      <c r="MI59" s="292"/>
      <c r="MJ59" s="292"/>
      <c r="MK59" s="292"/>
      <c r="ML59" s="292"/>
      <c r="MM59" s="292"/>
      <c r="MN59" s="292"/>
      <c r="MO59" s="292"/>
      <c r="MP59" s="292"/>
      <c r="MQ59" s="292"/>
      <c r="MR59" s="292"/>
      <c r="MS59" s="292"/>
      <c r="MT59" s="292"/>
      <c r="MU59" s="292"/>
      <c r="MV59" s="292"/>
      <c r="MW59" s="292"/>
      <c r="MX59" s="292"/>
      <c r="MY59" s="292"/>
      <c r="MZ59" s="292"/>
      <c r="NA59" s="292"/>
      <c r="NB59" s="292"/>
      <c r="NC59" s="292"/>
      <c r="ND59" s="292"/>
      <c r="NE59" s="292"/>
      <c r="NF59" s="292"/>
      <c r="NG59" s="292"/>
      <c r="NH59" s="292"/>
      <c r="NI59" s="292"/>
      <c r="NJ59" s="292"/>
      <c r="NK59" s="292"/>
      <c r="NL59" s="292"/>
      <c r="NM59" s="292"/>
      <c r="NN59" s="292"/>
      <c r="NO59" s="292"/>
      <c r="NP59" s="292"/>
      <c r="NQ59" s="292"/>
      <c r="NR59" s="292"/>
      <c r="NS59" s="292"/>
      <c r="NT59" s="292"/>
      <c r="NU59" s="292"/>
      <c r="NV59" s="292"/>
      <c r="NW59" s="292"/>
      <c r="NX59" s="292"/>
      <c r="NY59" s="292"/>
      <c r="NZ59" s="292"/>
      <c r="OA59" s="292"/>
      <c r="OB59" s="292"/>
      <c r="OC59" s="292"/>
      <c r="OD59" s="292"/>
      <c r="OE59" s="292"/>
      <c r="OF59" s="292"/>
      <c r="OG59" s="292"/>
      <c r="OH59" s="292"/>
      <c r="OI59" s="292"/>
      <c r="OJ59" s="292"/>
      <c r="OK59" s="292"/>
      <c r="OL59" s="292"/>
      <c r="OM59" s="292"/>
      <c r="ON59" s="292"/>
      <c r="OO59" s="292"/>
      <c r="OP59" s="292"/>
      <c r="OQ59" s="292"/>
      <c r="OR59" s="292"/>
      <c r="OS59" s="292"/>
      <c r="OT59" s="292"/>
      <c r="OU59" s="292"/>
      <c r="OV59" s="292"/>
      <c r="OW59" s="292"/>
      <c r="OX59" s="292"/>
      <c r="OY59" s="292"/>
      <c r="OZ59" s="292"/>
      <c r="PA59" s="292"/>
      <c r="PB59" s="292"/>
      <c r="PC59" s="292"/>
      <c r="PD59" s="292"/>
      <c r="PE59" s="292"/>
      <c r="PF59" s="292"/>
      <c r="PG59" s="292"/>
      <c r="PH59" s="292"/>
      <c r="PI59" s="292"/>
      <c r="PJ59" s="292"/>
      <c r="PK59" s="292"/>
      <c r="PL59" s="292"/>
      <c r="PM59" s="292"/>
      <c r="PN59" s="292"/>
      <c r="PO59" s="292"/>
      <c r="PP59" s="292"/>
      <c r="PQ59" s="292"/>
      <c r="PR59" s="292"/>
      <c r="PS59" s="292"/>
      <c r="PT59" s="292"/>
      <c r="PU59" s="292"/>
      <c r="PV59" s="292"/>
      <c r="PW59" s="292"/>
      <c r="PX59" s="292"/>
      <c r="PY59" s="292"/>
      <c r="PZ59" s="292"/>
      <c r="QA59" s="292"/>
      <c r="QB59" s="292"/>
      <c r="QC59" s="292"/>
      <c r="QD59" s="292"/>
      <c r="QE59" s="292"/>
      <c r="QF59" s="292"/>
      <c r="QG59" s="292"/>
      <c r="QH59" s="292"/>
      <c r="QI59" s="292"/>
      <c r="QJ59" s="292"/>
      <c r="QK59" s="292"/>
      <c r="QL59" s="292"/>
      <c r="QM59" s="292"/>
      <c r="QN59" s="292"/>
      <c r="QO59" s="292"/>
      <c r="QP59" s="292"/>
      <c r="QQ59" s="292"/>
      <c r="QR59" s="292"/>
      <c r="QS59" s="292"/>
      <c r="QT59" s="292"/>
      <c r="QU59" s="292"/>
      <c r="QV59" s="292"/>
      <c r="QW59" s="292"/>
      <c r="QX59" s="292"/>
      <c r="QY59" s="292"/>
      <c r="QZ59" s="292"/>
      <c r="RA59" s="292"/>
      <c r="RB59" s="292"/>
      <c r="RC59" s="292"/>
      <c r="RD59" s="292"/>
      <c r="RE59" s="292"/>
      <c r="RF59" s="292"/>
      <c r="RG59" s="292"/>
      <c r="RH59" s="292"/>
      <c r="RI59" s="292"/>
      <c r="RJ59" s="292"/>
      <c r="RK59" s="292"/>
      <c r="RL59" s="292"/>
      <c r="RM59" s="292"/>
      <c r="RN59" s="292"/>
      <c r="RO59" s="292"/>
      <c r="RP59" s="292"/>
      <c r="RQ59" s="292"/>
      <c r="RR59" s="292"/>
      <c r="RS59" s="292"/>
      <c r="RT59" s="292"/>
      <c r="RU59" s="292"/>
      <c r="RV59" s="292"/>
      <c r="RW59" s="292"/>
      <c r="RX59" s="292"/>
      <c r="RY59" s="292"/>
      <c r="RZ59" s="292"/>
      <c r="SA59" s="292"/>
      <c r="SB59" s="292"/>
      <c r="SC59" s="292"/>
      <c r="SD59" s="292"/>
      <c r="SE59" s="292"/>
      <c r="SF59" s="292"/>
      <c r="SG59" s="292"/>
      <c r="SH59" s="292"/>
      <c r="SI59" s="292"/>
      <c r="SJ59" s="292"/>
      <c r="SK59" s="292"/>
      <c r="SL59" s="292"/>
      <c r="SM59" s="292"/>
      <c r="SN59" s="292"/>
      <c r="SO59" s="292"/>
      <c r="SP59" s="292"/>
      <c r="SQ59" s="292"/>
      <c r="SR59" s="292"/>
      <c r="SS59" s="292"/>
      <c r="ST59" s="292"/>
      <c r="SU59" s="292"/>
    </row>
    <row r="60" spans="1:515" s="478" customFormat="1" ht="13" customHeight="1" x14ac:dyDescent="0.25">
      <c r="A60" s="986"/>
      <c r="B60" s="984"/>
      <c r="C60" s="984"/>
      <c r="D60" s="962"/>
      <c r="E60" s="960"/>
      <c r="F60" s="976"/>
      <c r="G60" s="981"/>
      <c r="H60" s="957"/>
      <c r="I60" s="960"/>
      <c r="J60" s="981"/>
      <c r="K60" s="981"/>
      <c r="L60" s="957"/>
      <c r="M60" s="960"/>
      <c r="N60" s="985"/>
      <c r="O60" s="981"/>
      <c r="P60" s="957"/>
      <c r="Q60" s="960"/>
      <c r="R60" s="981"/>
      <c r="S60" s="981"/>
      <c r="T60" s="957"/>
      <c r="U60" s="957"/>
      <c r="V60" s="957"/>
      <c r="W60" s="981"/>
      <c r="X60" s="957"/>
      <c r="Y60" s="957"/>
      <c r="Z60" s="957"/>
      <c r="AA60" s="981"/>
      <c r="AB60" s="976"/>
      <c r="AC60" s="957"/>
      <c r="AD60" s="976"/>
      <c r="AE60" s="971"/>
      <c r="AF60" s="292"/>
      <c r="AG60" s="292"/>
      <c r="AH60" s="292"/>
      <c r="AI60" s="292"/>
      <c r="AJ60" s="292"/>
      <c r="AK60" s="292"/>
      <c r="AL60" s="292"/>
      <c r="AM60" s="292"/>
      <c r="AN60" s="292"/>
      <c r="AO60" s="292"/>
      <c r="AP60" s="292"/>
      <c r="AQ60" s="292"/>
      <c r="AR60" s="292"/>
      <c r="AS60" s="292"/>
      <c r="AT60" s="292"/>
      <c r="AU60" s="292"/>
      <c r="AV60" s="292"/>
      <c r="AW60" s="292"/>
      <c r="AX60" s="292"/>
      <c r="AY60" s="292"/>
      <c r="AZ60" s="292"/>
      <c r="BA60" s="292"/>
      <c r="BB60" s="292"/>
      <c r="BC60" s="292"/>
      <c r="BD60" s="292"/>
      <c r="BE60" s="292"/>
      <c r="BF60" s="292"/>
      <c r="BG60" s="292"/>
      <c r="BH60" s="292"/>
      <c r="BI60" s="292"/>
      <c r="BJ60" s="292"/>
      <c r="BK60" s="292"/>
      <c r="BL60" s="292"/>
      <c r="BM60" s="292"/>
      <c r="BN60" s="292"/>
      <c r="BO60" s="292"/>
      <c r="BP60" s="292"/>
      <c r="BQ60" s="292"/>
      <c r="BR60" s="292"/>
      <c r="BS60" s="292"/>
      <c r="BT60" s="292"/>
      <c r="BU60" s="292"/>
      <c r="BV60" s="292"/>
      <c r="BW60" s="292"/>
      <c r="BX60" s="292"/>
      <c r="BY60" s="292"/>
      <c r="BZ60" s="292"/>
      <c r="CA60" s="292"/>
      <c r="CB60" s="292"/>
      <c r="CC60" s="292"/>
      <c r="CD60" s="292"/>
      <c r="CE60" s="292"/>
      <c r="CF60" s="292"/>
      <c r="CG60" s="292"/>
      <c r="CH60" s="292"/>
      <c r="CI60" s="292"/>
      <c r="CJ60" s="292"/>
      <c r="CK60" s="292"/>
      <c r="CL60" s="292"/>
      <c r="CM60" s="292"/>
      <c r="CN60" s="292"/>
      <c r="CO60" s="292"/>
      <c r="CP60" s="292"/>
      <c r="CQ60" s="292"/>
      <c r="CR60" s="292"/>
      <c r="CS60" s="292"/>
      <c r="CT60" s="292"/>
      <c r="CU60" s="292"/>
      <c r="CV60" s="292"/>
      <c r="CW60" s="292"/>
      <c r="CX60" s="292"/>
      <c r="CY60" s="292"/>
      <c r="CZ60" s="292"/>
      <c r="DA60" s="292"/>
      <c r="DB60" s="292"/>
      <c r="DC60" s="292"/>
      <c r="DD60" s="292"/>
      <c r="DE60" s="292"/>
      <c r="DF60" s="292"/>
      <c r="DG60" s="292"/>
      <c r="DH60" s="292"/>
      <c r="DI60" s="292"/>
      <c r="DJ60" s="292"/>
      <c r="DK60" s="292"/>
      <c r="DL60" s="292"/>
      <c r="DM60" s="292"/>
      <c r="DN60" s="292"/>
      <c r="DO60" s="292"/>
      <c r="DP60" s="292"/>
      <c r="DQ60" s="292"/>
      <c r="DR60" s="292"/>
      <c r="DS60" s="292"/>
      <c r="DT60" s="292"/>
      <c r="DU60" s="292"/>
      <c r="DV60" s="292"/>
      <c r="DW60" s="292"/>
      <c r="DX60" s="292"/>
      <c r="DY60" s="292"/>
      <c r="DZ60" s="292"/>
      <c r="EA60" s="292"/>
      <c r="EB60" s="292"/>
      <c r="EC60" s="292"/>
      <c r="ED60" s="292"/>
      <c r="EE60" s="292"/>
      <c r="EF60" s="292"/>
      <c r="EG60" s="292"/>
      <c r="EH60" s="292"/>
      <c r="EI60" s="292"/>
      <c r="EJ60" s="292"/>
      <c r="EK60" s="292"/>
      <c r="EL60" s="292"/>
      <c r="EM60" s="292"/>
      <c r="EN60" s="292"/>
      <c r="EO60" s="292"/>
      <c r="EP60" s="292"/>
      <c r="EQ60" s="292"/>
      <c r="ER60" s="292"/>
      <c r="ES60" s="292"/>
      <c r="ET60" s="292"/>
      <c r="EU60" s="292"/>
      <c r="EV60" s="292"/>
      <c r="EW60" s="292"/>
      <c r="EX60" s="292"/>
      <c r="EY60" s="292"/>
      <c r="EZ60" s="292"/>
      <c r="FA60" s="292"/>
      <c r="FB60" s="292"/>
      <c r="FC60" s="292"/>
      <c r="FD60" s="292"/>
      <c r="FE60" s="292"/>
      <c r="FF60" s="292"/>
      <c r="FG60" s="292"/>
      <c r="FH60" s="292"/>
      <c r="FI60" s="292"/>
      <c r="FJ60" s="292"/>
      <c r="FK60" s="292"/>
      <c r="FL60" s="292"/>
      <c r="FM60" s="292"/>
      <c r="FN60" s="292"/>
      <c r="FO60" s="292"/>
      <c r="FP60" s="292"/>
      <c r="FQ60" s="292"/>
      <c r="FR60" s="292"/>
      <c r="FS60" s="292"/>
      <c r="FT60" s="292"/>
      <c r="FU60" s="292"/>
      <c r="FV60" s="292"/>
      <c r="FW60" s="292"/>
      <c r="FX60" s="292"/>
      <c r="FY60" s="292"/>
      <c r="FZ60" s="292"/>
      <c r="GA60" s="292"/>
      <c r="GB60" s="292"/>
      <c r="GC60" s="292"/>
      <c r="GD60" s="292"/>
      <c r="GE60" s="292"/>
      <c r="GF60" s="292"/>
      <c r="GG60" s="292"/>
      <c r="GH60" s="292"/>
      <c r="GI60" s="292"/>
      <c r="GJ60" s="292"/>
      <c r="GK60" s="292"/>
      <c r="GL60" s="292"/>
      <c r="GM60" s="292"/>
      <c r="GN60" s="292"/>
      <c r="GO60" s="292"/>
      <c r="GP60" s="292"/>
      <c r="GQ60" s="292"/>
      <c r="GR60" s="292"/>
      <c r="GS60" s="292"/>
      <c r="GT60" s="292"/>
      <c r="GU60" s="292"/>
      <c r="GV60" s="292"/>
      <c r="GW60" s="292"/>
      <c r="GX60" s="292"/>
      <c r="GY60" s="292"/>
      <c r="GZ60" s="292"/>
      <c r="HA60" s="292"/>
      <c r="HB60" s="292"/>
      <c r="HC60" s="292"/>
      <c r="HD60" s="292"/>
      <c r="HE60" s="292"/>
      <c r="HF60" s="292"/>
      <c r="HG60" s="292"/>
      <c r="HH60" s="292"/>
      <c r="HI60" s="292"/>
      <c r="HJ60" s="292"/>
      <c r="HK60" s="292"/>
      <c r="HL60" s="292"/>
      <c r="HM60" s="292"/>
      <c r="HN60" s="292"/>
      <c r="HO60" s="292"/>
      <c r="HP60" s="292"/>
      <c r="HQ60" s="292"/>
      <c r="HR60" s="292"/>
      <c r="HS60" s="292"/>
      <c r="HT60" s="292"/>
      <c r="HU60" s="292"/>
      <c r="HV60" s="292"/>
      <c r="HW60" s="292"/>
      <c r="HX60" s="292"/>
      <c r="HY60" s="292"/>
      <c r="HZ60" s="292"/>
      <c r="IA60" s="292"/>
      <c r="IB60" s="292"/>
      <c r="IC60" s="292"/>
      <c r="ID60" s="292"/>
      <c r="IE60" s="292"/>
      <c r="IF60" s="292"/>
      <c r="IG60" s="292"/>
      <c r="IH60" s="292"/>
      <c r="II60" s="292"/>
      <c r="IJ60" s="292"/>
      <c r="IK60" s="292"/>
      <c r="IL60" s="292"/>
      <c r="IM60" s="292"/>
      <c r="IN60" s="292"/>
      <c r="IO60" s="292"/>
      <c r="IP60" s="292"/>
      <c r="IQ60" s="292"/>
      <c r="IR60" s="292"/>
      <c r="IS60" s="292"/>
      <c r="IT60" s="292"/>
      <c r="IU60" s="292"/>
      <c r="IV60" s="292"/>
      <c r="IW60" s="292"/>
      <c r="IX60" s="292"/>
      <c r="IY60" s="292"/>
      <c r="IZ60" s="292"/>
      <c r="JA60" s="292"/>
      <c r="JB60" s="292"/>
      <c r="JC60" s="292"/>
      <c r="JD60" s="292"/>
      <c r="JE60" s="292"/>
      <c r="JF60" s="292"/>
      <c r="JG60" s="292"/>
      <c r="JH60" s="292"/>
      <c r="JI60" s="292"/>
      <c r="JJ60" s="292"/>
      <c r="JK60" s="292"/>
      <c r="JL60" s="292"/>
      <c r="JM60" s="292"/>
      <c r="JN60" s="292"/>
      <c r="JO60" s="292"/>
      <c r="JP60" s="292"/>
      <c r="JQ60" s="292"/>
      <c r="JR60" s="292"/>
      <c r="JS60" s="292"/>
      <c r="JT60" s="292"/>
      <c r="JU60" s="292"/>
      <c r="JV60" s="292"/>
      <c r="JW60" s="292"/>
      <c r="JX60" s="292"/>
      <c r="JY60" s="292"/>
      <c r="JZ60" s="292"/>
      <c r="KA60" s="292"/>
      <c r="KB60" s="292"/>
      <c r="KC60" s="292"/>
      <c r="KD60" s="292"/>
      <c r="KE60" s="292"/>
      <c r="KF60" s="292"/>
      <c r="KG60" s="292"/>
      <c r="KH60" s="292"/>
      <c r="KI60" s="292"/>
      <c r="KJ60" s="292"/>
      <c r="KK60" s="292"/>
      <c r="KL60" s="292"/>
      <c r="KM60" s="292"/>
      <c r="KN60" s="292"/>
      <c r="KO60" s="292"/>
      <c r="KP60" s="292"/>
      <c r="KQ60" s="292"/>
      <c r="KR60" s="292"/>
      <c r="KS60" s="292"/>
      <c r="KT60" s="292"/>
      <c r="KU60" s="292"/>
      <c r="KV60" s="292"/>
      <c r="KW60" s="292"/>
      <c r="KX60" s="292"/>
      <c r="KY60" s="292"/>
      <c r="KZ60" s="292"/>
      <c r="LA60" s="292"/>
      <c r="LB60" s="292"/>
      <c r="LC60" s="292"/>
      <c r="LD60" s="292"/>
      <c r="LE60" s="292"/>
      <c r="LF60" s="292"/>
      <c r="LG60" s="292"/>
      <c r="LH60" s="292"/>
      <c r="LI60" s="292"/>
      <c r="LJ60" s="292"/>
      <c r="LK60" s="292"/>
      <c r="LL60" s="292"/>
      <c r="LM60" s="292"/>
      <c r="LN60" s="292"/>
      <c r="LO60" s="292"/>
      <c r="LP60" s="292"/>
      <c r="LQ60" s="292"/>
      <c r="LR60" s="292"/>
      <c r="LS60" s="292"/>
      <c r="LT60" s="292"/>
      <c r="LU60" s="292"/>
      <c r="LV60" s="292"/>
      <c r="LW60" s="292"/>
      <c r="LX60" s="292"/>
      <c r="LY60" s="292"/>
      <c r="LZ60" s="292"/>
      <c r="MA60" s="292"/>
      <c r="MB60" s="292"/>
      <c r="MC60" s="292"/>
      <c r="MD60" s="292"/>
      <c r="ME60" s="292"/>
      <c r="MF60" s="292"/>
      <c r="MG60" s="292"/>
      <c r="MH60" s="292"/>
      <c r="MI60" s="292"/>
      <c r="MJ60" s="292"/>
      <c r="MK60" s="292"/>
      <c r="ML60" s="292"/>
      <c r="MM60" s="292"/>
      <c r="MN60" s="292"/>
      <c r="MO60" s="292"/>
      <c r="MP60" s="292"/>
      <c r="MQ60" s="292"/>
      <c r="MR60" s="292"/>
      <c r="MS60" s="292"/>
      <c r="MT60" s="292"/>
      <c r="MU60" s="292"/>
      <c r="MV60" s="292"/>
      <c r="MW60" s="292"/>
      <c r="MX60" s="292"/>
      <c r="MY60" s="292"/>
      <c r="MZ60" s="292"/>
      <c r="NA60" s="292"/>
      <c r="NB60" s="292"/>
      <c r="NC60" s="292"/>
      <c r="ND60" s="292"/>
      <c r="NE60" s="292"/>
      <c r="NF60" s="292"/>
      <c r="NG60" s="292"/>
      <c r="NH60" s="292"/>
      <c r="NI60" s="292"/>
      <c r="NJ60" s="292"/>
      <c r="NK60" s="292"/>
      <c r="NL60" s="292"/>
      <c r="NM60" s="292"/>
      <c r="NN60" s="292"/>
      <c r="NO60" s="292"/>
      <c r="NP60" s="292"/>
      <c r="NQ60" s="292"/>
      <c r="NR60" s="292"/>
      <c r="NS60" s="292"/>
      <c r="NT60" s="292"/>
      <c r="NU60" s="292"/>
      <c r="NV60" s="292"/>
      <c r="NW60" s="292"/>
      <c r="NX60" s="292"/>
      <c r="NY60" s="292"/>
      <c r="NZ60" s="292"/>
      <c r="OA60" s="292"/>
      <c r="OB60" s="292"/>
      <c r="OC60" s="292"/>
      <c r="OD60" s="292"/>
      <c r="OE60" s="292"/>
      <c r="OF60" s="292"/>
      <c r="OG60" s="292"/>
      <c r="OH60" s="292"/>
      <c r="OI60" s="292"/>
      <c r="OJ60" s="292"/>
      <c r="OK60" s="292"/>
      <c r="OL60" s="292"/>
      <c r="OM60" s="292"/>
      <c r="ON60" s="292"/>
      <c r="OO60" s="292"/>
      <c r="OP60" s="292"/>
      <c r="OQ60" s="292"/>
      <c r="OR60" s="292"/>
      <c r="OS60" s="292"/>
      <c r="OT60" s="292"/>
      <c r="OU60" s="292"/>
      <c r="OV60" s="292"/>
      <c r="OW60" s="292"/>
      <c r="OX60" s="292"/>
      <c r="OY60" s="292"/>
      <c r="OZ60" s="292"/>
      <c r="PA60" s="292"/>
      <c r="PB60" s="292"/>
      <c r="PC60" s="292"/>
      <c r="PD60" s="292"/>
      <c r="PE60" s="292"/>
      <c r="PF60" s="292"/>
      <c r="PG60" s="292"/>
      <c r="PH60" s="292"/>
      <c r="PI60" s="292"/>
      <c r="PJ60" s="292"/>
      <c r="PK60" s="292"/>
      <c r="PL60" s="292"/>
      <c r="PM60" s="292"/>
      <c r="PN60" s="292"/>
      <c r="PO60" s="292"/>
      <c r="PP60" s="292"/>
      <c r="PQ60" s="292"/>
      <c r="PR60" s="292"/>
      <c r="PS60" s="292"/>
      <c r="PT60" s="292"/>
      <c r="PU60" s="292"/>
      <c r="PV60" s="292"/>
      <c r="PW60" s="292"/>
      <c r="PX60" s="292"/>
      <c r="PY60" s="292"/>
      <c r="PZ60" s="292"/>
      <c r="QA60" s="292"/>
      <c r="QB60" s="292"/>
      <c r="QC60" s="292"/>
      <c r="QD60" s="292"/>
      <c r="QE60" s="292"/>
      <c r="QF60" s="292"/>
      <c r="QG60" s="292"/>
      <c r="QH60" s="292"/>
      <c r="QI60" s="292"/>
      <c r="QJ60" s="292"/>
      <c r="QK60" s="292"/>
      <c r="QL60" s="292"/>
      <c r="QM60" s="292"/>
      <c r="QN60" s="292"/>
      <c r="QO60" s="292"/>
      <c r="QP60" s="292"/>
      <c r="QQ60" s="292"/>
      <c r="QR60" s="292"/>
      <c r="QS60" s="292"/>
      <c r="QT60" s="292"/>
      <c r="QU60" s="292"/>
      <c r="QV60" s="292"/>
      <c r="QW60" s="292"/>
      <c r="QX60" s="292"/>
      <c r="QY60" s="292"/>
      <c r="QZ60" s="292"/>
      <c r="RA60" s="292"/>
      <c r="RB60" s="292"/>
      <c r="RC60" s="292"/>
      <c r="RD60" s="292"/>
      <c r="RE60" s="292"/>
      <c r="RF60" s="292"/>
      <c r="RG60" s="292"/>
      <c r="RH60" s="292"/>
      <c r="RI60" s="292"/>
      <c r="RJ60" s="292"/>
      <c r="RK60" s="292"/>
      <c r="RL60" s="292"/>
      <c r="RM60" s="292"/>
      <c r="RN60" s="292"/>
      <c r="RO60" s="292"/>
      <c r="RP60" s="292"/>
      <c r="RQ60" s="292"/>
      <c r="RR60" s="292"/>
      <c r="RS60" s="292"/>
      <c r="RT60" s="292"/>
      <c r="RU60" s="292"/>
      <c r="RV60" s="292"/>
      <c r="RW60" s="292"/>
      <c r="RX60" s="292"/>
      <c r="RY60" s="292"/>
      <c r="RZ60" s="292"/>
      <c r="SA60" s="292"/>
      <c r="SB60" s="292"/>
      <c r="SC60" s="292"/>
      <c r="SD60" s="292"/>
      <c r="SE60" s="292"/>
      <c r="SF60" s="292"/>
      <c r="SG60" s="292"/>
      <c r="SH60" s="292"/>
      <c r="SI60" s="292"/>
      <c r="SJ60" s="292"/>
      <c r="SK60" s="292"/>
      <c r="SL60" s="292"/>
      <c r="SM60" s="292"/>
      <c r="SN60" s="292"/>
      <c r="SO60" s="292"/>
      <c r="SP60" s="292"/>
      <c r="SQ60" s="292"/>
      <c r="SR60" s="292"/>
      <c r="SS60" s="292"/>
      <c r="ST60" s="292"/>
      <c r="SU60" s="292"/>
    </row>
    <row r="61" spans="1:515" s="478" customFormat="1" ht="13" customHeight="1" x14ac:dyDescent="0.25">
      <c r="A61" s="986"/>
      <c r="B61" s="984"/>
      <c r="C61" s="984"/>
      <c r="D61" s="962"/>
      <c r="E61" s="960"/>
      <c r="F61" s="976"/>
      <c r="G61" s="981"/>
      <c r="H61" s="957"/>
      <c r="I61" s="960"/>
      <c r="J61" s="981"/>
      <c r="K61" s="981"/>
      <c r="L61" s="957"/>
      <c r="M61" s="960"/>
      <c r="N61" s="985"/>
      <c r="O61" s="981"/>
      <c r="P61" s="957"/>
      <c r="Q61" s="960"/>
      <c r="R61" s="981"/>
      <c r="S61" s="981"/>
      <c r="T61" s="957"/>
      <c r="U61" s="957"/>
      <c r="V61" s="957"/>
      <c r="W61" s="981"/>
      <c r="X61" s="957"/>
      <c r="Y61" s="957"/>
      <c r="Z61" s="957"/>
      <c r="AA61" s="981"/>
      <c r="AB61" s="976"/>
      <c r="AC61" s="957"/>
      <c r="AD61" s="976"/>
      <c r="AE61" s="971"/>
      <c r="AF61" s="292"/>
      <c r="AG61" s="292"/>
      <c r="AH61" s="292"/>
      <c r="AI61" s="292"/>
      <c r="AJ61" s="292"/>
      <c r="AK61" s="292"/>
      <c r="AL61" s="292"/>
      <c r="AM61" s="292"/>
      <c r="AN61" s="292"/>
      <c r="AO61" s="292"/>
      <c r="AP61" s="292"/>
      <c r="AQ61" s="292"/>
      <c r="AR61" s="292"/>
      <c r="AS61" s="292"/>
      <c r="AT61" s="292"/>
      <c r="AU61" s="292"/>
      <c r="AV61" s="292"/>
      <c r="AW61" s="292"/>
      <c r="AX61" s="292"/>
      <c r="AY61" s="292"/>
      <c r="AZ61" s="292"/>
      <c r="BA61" s="292"/>
      <c r="BB61" s="292"/>
      <c r="BC61" s="292"/>
      <c r="BD61" s="292"/>
      <c r="BE61" s="292"/>
      <c r="BF61" s="292"/>
      <c r="BG61" s="292"/>
      <c r="BH61" s="292"/>
      <c r="BI61" s="292"/>
      <c r="BJ61" s="292"/>
      <c r="BK61" s="292"/>
      <c r="BL61" s="292"/>
      <c r="BM61" s="292"/>
      <c r="BN61" s="292"/>
      <c r="BO61" s="292"/>
      <c r="BP61" s="292"/>
      <c r="BQ61" s="292"/>
      <c r="BR61" s="292"/>
      <c r="BS61" s="292"/>
      <c r="BT61" s="292"/>
      <c r="BU61" s="292"/>
      <c r="BV61" s="292"/>
      <c r="BW61" s="292"/>
      <c r="BX61" s="292"/>
      <c r="BY61" s="292"/>
      <c r="BZ61" s="292"/>
      <c r="CA61" s="292"/>
      <c r="CB61" s="292"/>
      <c r="CC61" s="292"/>
      <c r="CD61" s="292"/>
      <c r="CE61" s="292"/>
      <c r="CF61" s="292"/>
      <c r="CG61" s="292"/>
      <c r="CH61" s="292"/>
      <c r="CI61" s="292"/>
      <c r="CJ61" s="292"/>
      <c r="CK61" s="292"/>
      <c r="CL61" s="292"/>
      <c r="CM61" s="292"/>
      <c r="CN61" s="292"/>
      <c r="CO61" s="292"/>
      <c r="CP61" s="292"/>
      <c r="CQ61" s="292"/>
      <c r="CR61" s="292"/>
      <c r="CS61" s="292"/>
      <c r="CT61" s="292"/>
      <c r="CU61" s="292"/>
      <c r="CV61" s="292"/>
      <c r="CW61" s="292"/>
      <c r="CX61" s="292"/>
      <c r="CY61" s="292"/>
      <c r="CZ61" s="292"/>
      <c r="DA61" s="292"/>
      <c r="DB61" s="292"/>
      <c r="DC61" s="292"/>
      <c r="DD61" s="292"/>
      <c r="DE61" s="292"/>
      <c r="DF61" s="292"/>
      <c r="DG61" s="292"/>
      <c r="DH61" s="292"/>
      <c r="DI61" s="292"/>
      <c r="DJ61" s="292"/>
      <c r="DK61" s="292"/>
      <c r="DL61" s="292"/>
      <c r="DM61" s="292"/>
      <c r="DN61" s="292"/>
      <c r="DO61" s="292"/>
      <c r="DP61" s="292"/>
      <c r="DQ61" s="292"/>
      <c r="DR61" s="292"/>
      <c r="DS61" s="292"/>
      <c r="DT61" s="292"/>
      <c r="DU61" s="292"/>
      <c r="DV61" s="292"/>
      <c r="DW61" s="292"/>
      <c r="DX61" s="292"/>
      <c r="DY61" s="292"/>
      <c r="DZ61" s="292"/>
      <c r="EA61" s="292"/>
      <c r="EB61" s="292"/>
      <c r="EC61" s="292"/>
      <c r="ED61" s="292"/>
      <c r="EE61" s="292"/>
      <c r="EF61" s="292"/>
      <c r="EG61" s="292"/>
      <c r="EH61" s="292"/>
      <c r="EI61" s="292"/>
      <c r="EJ61" s="292"/>
      <c r="EK61" s="292"/>
      <c r="EL61" s="292"/>
      <c r="EM61" s="292"/>
      <c r="EN61" s="292"/>
      <c r="EO61" s="292"/>
      <c r="EP61" s="292"/>
      <c r="EQ61" s="292"/>
      <c r="ER61" s="292"/>
      <c r="ES61" s="292"/>
      <c r="ET61" s="292"/>
      <c r="EU61" s="292"/>
      <c r="EV61" s="292"/>
      <c r="EW61" s="292"/>
      <c r="EX61" s="292"/>
      <c r="EY61" s="292"/>
      <c r="EZ61" s="292"/>
      <c r="FA61" s="292"/>
      <c r="FB61" s="292"/>
      <c r="FC61" s="292"/>
      <c r="FD61" s="292"/>
      <c r="FE61" s="292"/>
      <c r="FF61" s="292"/>
      <c r="FG61" s="292"/>
      <c r="FH61" s="292"/>
      <c r="FI61" s="292"/>
      <c r="FJ61" s="292"/>
      <c r="FK61" s="292"/>
      <c r="FL61" s="292"/>
      <c r="FM61" s="292"/>
      <c r="FN61" s="292"/>
      <c r="FO61" s="292"/>
      <c r="FP61" s="292"/>
      <c r="FQ61" s="292"/>
      <c r="FR61" s="292"/>
      <c r="FS61" s="292"/>
      <c r="FT61" s="292"/>
      <c r="FU61" s="292"/>
      <c r="FV61" s="292"/>
      <c r="FW61" s="292"/>
      <c r="FX61" s="292"/>
      <c r="FY61" s="292"/>
      <c r="FZ61" s="292"/>
      <c r="GA61" s="292"/>
      <c r="GB61" s="292"/>
      <c r="GC61" s="292"/>
      <c r="GD61" s="292"/>
      <c r="GE61" s="292"/>
      <c r="GF61" s="292"/>
      <c r="GG61" s="292"/>
      <c r="GH61" s="292"/>
      <c r="GI61" s="292"/>
      <c r="GJ61" s="292"/>
      <c r="GK61" s="292"/>
      <c r="GL61" s="292"/>
      <c r="GM61" s="292"/>
      <c r="GN61" s="292"/>
      <c r="GO61" s="292"/>
      <c r="GP61" s="292"/>
      <c r="GQ61" s="292"/>
      <c r="GR61" s="292"/>
      <c r="GS61" s="292"/>
      <c r="GT61" s="292"/>
      <c r="GU61" s="292"/>
      <c r="GV61" s="292"/>
      <c r="GW61" s="292"/>
      <c r="GX61" s="292"/>
      <c r="GY61" s="292"/>
      <c r="GZ61" s="292"/>
      <c r="HA61" s="292"/>
      <c r="HB61" s="292"/>
      <c r="HC61" s="292"/>
      <c r="HD61" s="292"/>
      <c r="HE61" s="292"/>
      <c r="HF61" s="292"/>
      <c r="HG61" s="292"/>
      <c r="HH61" s="292"/>
      <c r="HI61" s="292"/>
      <c r="HJ61" s="292"/>
      <c r="HK61" s="292"/>
      <c r="HL61" s="292"/>
      <c r="HM61" s="292"/>
      <c r="HN61" s="292"/>
      <c r="HO61" s="292"/>
      <c r="HP61" s="292"/>
      <c r="HQ61" s="292"/>
      <c r="HR61" s="292"/>
      <c r="HS61" s="292"/>
      <c r="HT61" s="292"/>
      <c r="HU61" s="292"/>
      <c r="HV61" s="292"/>
      <c r="HW61" s="292"/>
      <c r="HX61" s="292"/>
      <c r="HY61" s="292"/>
      <c r="HZ61" s="292"/>
      <c r="IA61" s="292"/>
      <c r="IB61" s="292"/>
      <c r="IC61" s="292"/>
      <c r="ID61" s="292"/>
      <c r="IE61" s="292"/>
      <c r="IF61" s="292"/>
      <c r="IG61" s="292"/>
      <c r="IH61" s="292"/>
      <c r="II61" s="292"/>
      <c r="IJ61" s="292"/>
      <c r="IK61" s="292"/>
      <c r="IL61" s="292"/>
      <c r="IM61" s="292"/>
      <c r="IN61" s="292"/>
      <c r="IO61" s="292"/>
      <c r="IP61" s="292"/>
      <c r="IQ61" s="292"/>
      <c r="IR61" s="292"/>
      <c r="IS61" s="292"/>
      <c r="IT61" s="292"/>
      <c r="IU61" s="292"/>
      <c r="IV61" s="292"/>
      <c r="IW61" s="292"/>
      <c r="IX61" s="292"/>
      <c r="IY61" s="292"/>
      <c r="IZ61" s="292"/>
      <c r="JA61" s="292"/>
      <c r="JB61" s="292"/>
      <c r="JC61" s="292"/>
      <c r="JD61" s="292"/>
      <c r="JE61" s="292"/>
      <c r="JF61" s="292"/>
      <c r="JG61" s="292"/>
      <c r="JH61" s="292"/>
      <c r="JI61" s="292"/>
      <c r="JJ61" s="292"/>
      <c r="JK61" s="292"/>
      <c r="JL61" s="292"/>
      <c r="JM61" s="292"/>
      <c r="JN61" s="292"/>
      <c r="JO61" s="292"/>
      <c r="JP61" s="292"/>
      <c r="JQ61" s="292"/>
      <c r="JR61" s="292"/>
      <c r="JS61" s="292"/>
      <c r="JT61" s="292"/>
      <c r="JU61" s="292"/>
      <c r="JV61" s="292"/>
      <c r="JW61" s="292"/>
      <c r="JX61" s="292"/>
      <c r="JY61" s="292"/>
      <c r="JZ61" s="292"/>
      <c r="KA61" s="292"/>
      <c r="KB61" s="292"/>
      <c r="KC61" s="292"/>
      <c r="KD61" s="292"/>
      <c r="KE61" s="292"/>
      <c r="KF61" s="292"/>
      <c r="KG61" s="292"/>
      <c r="KH61" s="292"/>
      <c r="KI61" s="292"/>
      <c r="KJ61" s="292"/>
      <c r="KK61" s="292"/>
      <c r="KL61" s="292"/>
      <c r="KM61" s="292"/>
      <c r="KN61" s="292"/>
      <c r="KO61" s="292"/>
      <c r="KP61" s="292"/>
      <c r="KQ61" s="292"/>
      <c r="KR61" s="292"/>
      <c r="KS61" s="292"/>
      <c r="KT61" s="292"/>
      <c r="KU61" s="292"/>
      <c r="KV61" s="292"/>
      <c r="KW61" s="292"/>
      <c r="KX61" s="292"/>
      <c r="KY61" s="292"/>
      <c r="KZ61" s="292"/>
      <c r="LA61" s="292"/>
      <c r="LB61" s="292"/>
      <c r="LC61" s="292"/>
      <c r="LD61" s="292"/>
      <c r="LE61" s="292"/>
      <c r="LF61" s="292"/>
      <c r="LG61" s="292"/>
      <c r="LH61" s="292"/>
      <c r="LI61" s="292"/>
      <c r="LJ61" s="292"/>
      <c r="LK61" s="292"/>
      <c r="LL61" s="292"/>
      <c r="LM61" s="292"/>
      <c r="LN61" s="292"/>
      <c r="LO61" s="292"/>
      <c r="LP61" s="292"/>
      <c r="LQ61" s="292"/>
      <c r="LR61" s="292"/>
      <c r="LS61" s="292"/>
      <c r="LT61" s="292"/>
      <c r="LU61" s="292"/>
      <c r="LV61" s="292"/>
      <c r="LW61" s="292"/>
      <c r="LX61" s="292"/>
      <c r="LY61" s="292"/>
      <c r="LZ61" s="292"/>
      <c r="MA61" s="292"/>
      <c r="MB61" s="292"/>
      <c r="MC61" s="292"/>
      <c r="MD61" s="292"/>
      <c r="ME61" s="292"/>
      <c r="MF61" s="292"/>
      <c r="MG61" s="292"/>
      <c r="MH61" s="292"/>
      <c r="MI61" s="292"/>
      <c r="MJ61" s="292"/>
      <c r="MK61" s="292"/>
      <c r="ML61" s="292"/>
      <c r="MM61" s="292"/>
      <c r="MN61" s="292"/>
      <c r="MO61" s="292"/>
      <c r="MP61" s="292"/>
      <c r="MQ61" s="292"/>
      <c r="MR61" s="292"/>
      <c r="MS61" s="292"/>
      <c r="MT61" s="292"/>
      <c r="MU61" s="292"/>
      <c r="MV61" s="292"/>
      <c r="MW61" s="292"/>
      <c r="MX61" s="292"/>
      <c r="MY61" s="292"/>
      <c r="MZ61" s="292"/>
      <c r="NA61" s="292"/>
      <c r="NB61" s="292"/>
      <c r="NC61" s="292"/>
      <c r="ND61" s="292"/>
      <c r="NE61" s="292"/>
      <c r="NF61" s="292"/>
      <c r="NG61" s="292"/>
      <c r="NH61" s="292"/>
      <c r="NI61" s="292"/>
      <c r="NJ61" s="292"/>
      <c r="NK61" s="292"/>
      <c r="NL61" s="292"/>
      <c r="NM61" s="292"/>
      <c r="NN61" s="292"/>
      <c r="NO61" s="292"/>
      <c r="NP61" s="292"/>
      <c r="NQ61" s="292"/>
      <c r="NR61" s="292"/>
      <c r="NS61" s="292"/>
      <c r="NT61" s="292"/>
      <c r="NU61" s="292"/>
      <c r="NV61" s="292"/>
      <c r="NW61" s="292"/>
      <c r="NX61" s="292"/>
      <c r="NY61" s="292"/>
      <c r="NZ61" s="292"/>
      <c r="OA61" s="292"/>
      <c r="OB61" s="292"/>
      <c r="OC61" s="292"/>
      <c r="OD61" s="292"/>
      <c r="OE61" s="292"/>
      <c r="OF61" s="292"/>
      <c r="OG61" s="292"/>
      <c r="OH61" s="292"/>
      <c r="OI61" s="292"/>
      <c r="OJ61" s="292"/>
      <c r="OK61" s="292"/>
      <c r="OL61" s="292"/>
      <c r="OM61" s="292"/>
      <c r="ON61" s="292"/>
      <c r="OO61" s="292"/>
      <c r="OP61" s="292"/>
      <c r="OQ61" s="292"/>
      <c r="OR61" s="292"/>
      <c r="OS61" s="292"/>
      <c r="OT61" s="292"/>
      <c r="OU61" s="292"/>
      <c r="OV61" s="292"/>
      <c r="OW61" s="292"/>
      <c r="OX61" s="292"/>
      <c r="OY61" s="292"/>
      <c r="OZ61" s="292"/>
      <c r="PA61" s="292"/>
      <c r="PB61" s="292"/>
      <c r="PC61" s="292"/>
      <c r="PD61" s="292"/>
      <c r="PE61" s="292"/>
      <c r="PF61" s="292"/>
      <c r="PG61" s="292"/>
      <c r="PH61" s="292"/>
      <c r="PI61" s="292"/>
      <c r="PJ61" s="292"/>
      <c r="PK61" s="292"/>
      <c r="PL61" s="292"/>
      <c r="PM61" s="292"/>
      <c r="PN61" s="292"/>
      <c r="PO61" s="292"/>
      <c r="PP61" s="292"/>
      <c r="PQ61" s="292"/>
      <c r="PR61" s="292"/>
      <c r="PS61" s="292"/>
      <c r="PT61" s="292"/>
      <c r="PU61" s="292"/>
      <c r="PV61" s="292"/>
      <c r="PW61" s="292"/>
      <c r="PX61" s="292"/>
      <c r="PY61" s="292"/>
      <c r="PZ61" s="292"/>
      <c r="QA61" s="292"/>
      <c r="QB61" s="292"/>
      <c r="QC61" s="292"/>
      <c r="QD61" s="292"/>
      <c r="QE61" s="292"/>
      <c r="QF61" s="292"/>
      <c r="QG61" s="292"/>
      <c r="QH61" s="292"/>
      <c r="QI61" s="292"/>
      <c r="QJ61" s="292"/>
      <c r="QK61" s="292"/>
      <c r="QL61" s="292"/>
      <c r="QM61" s="292"/>
      <c r="QN61" s="292"/>
      <c r="QO61" s="292"/>
      <c r="QP61" s="292"/>
      <c r="QQ61" s="292"/>
      <c r="QR61" s="292"/>
      <c r="QS61" s="292"/>
      <c r="QT61" s="292"/>
      <c r="QU61" s="292"/>
      <c r="QV61" s="292"/>
      <c r="QW61" s="292"/>
      <c r="QX61" s="292"/>
      <c r="QY61" s="292"/>
      <c r="QZ61" s="292"/>
      <c r="RA61" s="292"/>
      <c r="RB61" s="292"/>
      <c r="RC61" s="292"/>
      <c r="RD61" s="292"/>
      <c r="RE61" s="292"/>
      <c r="RF61" s="292"/>
      <c r="RG61" s="292"/>
      <c r="RH61" s="292"/>
      <c r="RI61" s="292"/>
      <c r="RJ61" s="292"/>
      <c r="RK61" s="292"/>
      <c r="RL61" s="292"/>
      <c r="RM61" s="292"/>
      <c r="RN61" s="292"/>
      <c r="RO61" s="292"/>
      <c r="RP61" s="292"/>
      <c r="RQ61" s="292"/>
      <c r="RR61" s="292"/>
      <c r="RS61" s="292"/>
      <c r="RT61" s="292"/>
      <c r="RU61" s="292"/>
      <c r="RV61" s="292"/>
      <c r="RW61" s="292"/>
      <c r="RX61" s="292"/>
      <c r="RY61" s="292"/>
      <c r="RZ61" s="292"/>
      <c r="SA61" s="292"/>
      <c r="SB61" s="292"/>
      <c r="SC61" s="292"/>
      <c r="SD61" s="292"/>
      <c r="SE61" s="292"/>
      <c r="SF61" s="292"/>
      <c r="SG61" s="292"/>
      <c r="SH61" s="292"/>
      <c r="SI61" s="292"/>
      <c r="SJ61" s="292"/>
      <c r="SK61" s="292"/>
      <c r="SL61" s="292"/>
      <c r="SM61" s="292"/>
      <c r="SN61" s="292"/>
      <c r="SO61" s="292"/>
      <c r="SP61" s="292"/>
      <c r="SQ61" s="292"/>
      <c r="SR61" s="292"/>
      <c r="SS61" s="292"/>
      <c r="ST61" s="292"/>
      <c r="SU61" s="292"/>
    </row>
    <row r="62" spans="1:515" s="478" customFormat="1" ht="28.5" customHeight="1" x14ac:dyDescent="0.25">
      <c r="A62" s="986"/>
      <c r="B62" s="984"/>
      <c r="C62" s="984"/>
      <c r="D62" s="962"/>
      <c r="E62" s="1294" t="s">
        <v>367</v>
      </c>
      <c r="F62" s="1294"/>
      <c r="G62" s="1294"/>
      <c r="H62" s="957"/>
      <c r="I62" s="1294" t="s">
        <v>367</v>
      </c>
      <c r="J62" s="1294"/>
      <c r="K62" s="1294"/>
      <c r="L62" s="957"/>
      <c r="M62" s="1294" t="s">
        <v>367</v>
      </c>
      <c r="N62" s="1294"/>
      <c r="O62" s="1294"/>
      <c r="P62" s="957"/>
      <c r="Q62" s="1294" t="s">
        <v>367</v>
      </c>
      <c r="R62" s="1294"/>
      <c r="S62" s="1294"/>
      <c r="T62" s="957"/>
      <c r="U62" s="1294" t="s">
        <v>367</v>
      </c>
      <c r="V62" s="1294"/>
      <c r="W62" s="1294"/>
      <c r="X62" s="957"/>
      <c r="Y62" s="1294" t="s">
        <v>367</v>
      </c>
      <c r="Z62" s="1294"/>
      <c r="AA62" s="1294"/>
      <c r="AB62" s="976"/>
      <c r="AC62" s="957"/>
      <c r="AD62" s="1181" t="s">
        <v>367</v>
      </c>
      <c r="AE62" s="971"/>
      <c r="AF62" s="292"/>
      <c r="AG62" s="292"/>
      <c r="AH62" s="292"/>
      <c r="AI62" s="292"/>
      <c r="AJ62" s="292"/>
      <c r="AK62" s="292"/>
      <c r="AL62" s="292"/>
      <c r="AM62" s="292"/>
      <c r="AN62" s="292"/>
      <c r="AO62" s="292"/>
      <c r="AP62" s="292"/>
      <c r="AQ62" s="292"/>
      <c r="AR62" s="292"/>
      <c r="AS62" s="292"/>
      <c r="AT62" s="292"/>
      <c r="AU62" s="292"/>
      <c r="AV62" s="292"/>
      <c r="AW62" s="292"/>
      <c r="AX62" s="292"/>
      <c r="AY62" s="292"/>
      <c r="AZ62" s="292"/>
      <c r="BA62" s="292"/>
      <c r="BB62" s="292"/>
      <c r="BC62" s="292"/>
      <c r="BD62" s="292"/>
      <c r="BE62" s="292"/>
      <c r="BF62" s="292"/>
      <c r="BG62" s="292"/>
      <c r="BH62" s="292"/>
      <c r="BI62" s="292"/>
      <c r="BJ62" s="292"/>
      <c r="BK62" s="292"/>
      <c r="BL62" s="292"/>
      <c r="BM62" s="292"/>
      <c r="BN62" s="292"/>
      <c r="BO62" s="292"/>
      <c r="BP62" s="292"/>
      <c r="BQ62" s="292"/>
      <c r="BR62" s="292"/>
      <c r="BS62" s="292"/>
      <c r="BT62" s="292"/>
      <c r="BU62" s="292"/>
      <c r="BV62" s="292"/>
      <c r="BW62" s="292"/>
      <c r="BX62" s="292"/>
      <c r="BY62" s="292"/>
      <c r="BZ62" s="292"/>
      <c r="CA62" s="292"/>
      <c r="CB62" s="292"/>
      <c r="CC62" s="292"/>
      <c r="CD62" s="292"/>
      <c r="CE62" s="292"/>
      <c r="CF62" s="292"/>
      <c r="CG62" s="292"/>
      <c r="CH62" s="292"/>
      <c r="CI62" s="292"/>
      <c r="CJ62" s="292"/>
      <c r="CK62" s="292"/>
      <c r="CL62" s="292"/>
      <c r="CM62" s="292"/>
      <c r="CN62" s="292"/>
      <c r="CO62" s="292"/>
      <c r="CP62" s="292"/>
      <c r="CQ62" s="292"/>
      <c r="CR62" s="292"/>
      <c r="CS62" s="292"/>
      <c r="CT62" s="292"/>
      <c r="CU62" s="292"/>
      <c r="CV62" s="292"/>
      <c r="CW62" s="292"/>
      <c r="CX62" s="292"/>
      <c r="CY62" s="292"/>
      <c r="CZ62" s="292"/>
      <c r="DA62" s="292"/>
      <c r="DB62" s="292"/>
      <c r="DC62" s="292"/>
      <c r="DD62" s="292"/>
      <c r="DE62" s="292"/>
      <c r="DF62" s="292"/>
      <c r="DG62" s="292"/>
      <c r="DH62" s="292"/>
      <c r="DI62" s="292"/>
      <c r="DJ62" s="292"/>
      <c r="DK62" s="292"/>
      <c r="DL62" s="292"/>
      <c r="DM62" s="292"/>
      <c r="DN62" s="292"/>
      <c r="DO62" s="292"/>
      <c r="DP62" s="292"/>
      <c r="DQ62" s="292"/>
      <c r="DR62" s="292"/>
      <c r="DS62" s="292"/>
      <c r="DT62" s="292"/>
      <c r="DU62" s="292"/>
      <c r="DV62" s="292"/>
      <c r="DW62" s="292"/>
      <c r="DX62" s="292"/>
      <c r="DY62" s="292"/>
      <c r="DZ62" s="292"/>
      <c r="EA62" s="292"/>
      <c r="EB62" s="292"/>
      <c r="EC62" s="292"/>
      <c r="ED62" s="292"/>
      <c r="EE62" s="292"/>
      <c r="EF62" s="292"/>
      <c r="EG62" s="292"/>
      <c r="EH62" s="292"/>
      <c r="EI62" s="292"/>
      <c r="EJ62" s="292"/>
      <c r="EK62" s="292"/>
      <c r="EL62" s="292"/>
      <c r="EM62" s="292"/>
      <c r="EN62" s="292"/>
      <c r="EO62" s="292"/>
      <c r="EP62" s="292"/>
      <c r="EQ62" s="292"/>
      <c r="ER62" s="292"/>
      <c r="ES62" s="292"/>
      <c r="ET62" s="292"/>
      <c r="EU62" s="292"/>
      <c r="EV62" s="292"/>
      <c r="EW62" s="292"/>
      <c r="EX62" s="292"/>
      <c r="EY62" s="292"/>
      <c r="EZ62" s="292"/>
      <c r="FA62" s="292"/>
      <c r="FB62" s="292"/>
      <c r="FC62" s="292"/>
      <c r="FD62" s="292"/>
      <c r="FE62" s="292"/>
      <c r="FF62" s="292"/>
      <c r="FG62" s="292"/>
      <c r="FH62" s="292"/>
      <c r="FI62" s="292"/>
      <c r="FJ62" s="292"/>
      <c r="FK62" s="292"/>
      <c r="FL62" s="292"/>
      <c r="FM62" s="292"/>
      <c r="FN62" s="292"/>
      <c r="FO62" s="292"/>
      <c r="FP62" s="292"/>
      <c r="FQ62" s="292"/>
      <c r="FR62" s="292"/>
      <c r="FS62" s="292"/>
      <c r="FT62" s="292"/>
      <c r="FU62" s="292"/>
      <c r="FV62" s="292"/>
      <c r="FW62" s="292"/>
      <c r="FX62" s="292"/>
      <c r="FY62" s="292"/>
      <c r="FZ62" s="292"/>
      <c r="GA62" s="292"/>
      <c r="GB62" s="292"/>
      <c r="GC62" s="292"/>
      <c r="GD62" s="292"/>
      <c r="GE62" s="292"/>
      <c r="GF62" s="292"/>
      <c r="GG62" s="292"/>
      <c r="GH62" s="292"/>
      <c r="GI62" s="292"/>
      <c r="GJ62" s="292"/>
      <c r="GK62" s="292"/>
      <c r="GL62" s="292"/>
      <c r="GM62" s="292"/>
      <c r="GN62" s="292"/>
      <c r="GO62" s="292"/>
      <c r="GP62" s="292"/>
      <c r="GQ62" s="292"/>
      <c r="GR62" s="292"/>
      <c r="GS62" s="292"/>
      <c r="GT62" s="292"/>
      <c r="GU62" s="292"/>
      <c r="GV62" s="292"/>
      <c r="GW62" s="292"/>
      <c r="GX62" s="292"/>
      <c r="GY62" s="292"/>
      <c r="GZ62" s="292"/>
      <c r="HA62" s="292"/>
      <c r="HB62" s="292"/>
      <c r="HC62" s="292"/>
      <c r="HD62" s="292"/>
      <c r="HE62" s="292"/>
      <c r="HF62" s="292"/>
      <c r="HG62" s="292"/>
      <c r="HH62" s="292"/>
      <c r="HI62" s="292"/>
      <c r="HJ62" s="292"/>
      <c r="HK62" s="292"/>
      <c r="HL62" s="292"/>
      <c r="HM62" s="292"/>
      <c r="HN62" s="292"/>
      <c r="HO62" s="292"/>
      <c r="HP62" s="292"/>
      <c r="HQ62" s="292"/>
      <c r="HR62" s="292"/>
      <c r="HS62" s="292"/>
      <c r="HT62" s="292"/>
      <c r="HU62" s="292"/>
      <c r="HV62" s="292"/>
      <c r="HW62" s="292"/>
      <c r="HX62" s="292"/>
      <c r="HY62" s="292"/>
      <c r="HZ62" s="292"/>
      <c r="IA62" s="292"/>
      <c r="IB62" s="292"/>
      <c r="IC62" s="292"/>
      <c r="ID62" s="292"/>
      <c r="IE62" s="292"/>
      <c r="IF62" s="292"/>
      <c r="IG62" s="292"/>
      <c r="IH62" s="292"/>
      <c r="II62" s="292"/>
      <c r="IJ62" s="292"/>
      <c r="IK62" s="292"/>
      <c r="IL62" s="292"/>
      <c r="IM62" s="292"/>
      <c r="IN62" s="292"/>
      <c r="IO62" s="292"/>
      <c r="IP62" s="292"/>
      <c r="IQ62" s="292"/>
      <c r="IR62" s="292"/>
      <c r="IS62" s="292"/>
      <c r="IT62" s="292"/>
      <c r="IU62" s="292"/>
      <c r="IV62" s="292"/>
      <c r="IW62" s="292"/>
      <c r="IX62" s="292"/>
      <c r="IY62" s="292"/>
      <c r="IZ62" s="292"/>
      <c r="JA62" s="292"/>
      <c r="JB62" s="292"/>
      <c r="JC62" s="292"/>
      <c r="JD62" s="292"/>
      <c r="JE62" s="292"/>
      <c r="JF62" s="292"/>
      <c r="JG62" s="292"/>
      <c r="JH62" s="292"/>
      <c r="JI62" s="292"/>
      <c r="JJ62" s="292"/>
      <c r="JK62" s="292"/>
      <c r="JL62" s="292"/>
      <c r="JM62" s="292"/>
      <c r="JN62" s="292"/>
      <c r="JO62" s="292"/>
      <c r="JP62" s="292"/>
      <c r="JQ62" s="292"/>
      <c r="JR62" s="292"/>
      <c r="JS62" s="292"/>
      <c r="JT62" s="292"/>
      <c r="JU62" s="292"/>
      <c r="JV62" s="292"/>
      <c r="JW62" s="292"/>
      <c r="JX62" s="292"/>
      <c r="JY62" s="292"/>
      <c r="JZ62" s="292"/>
      <c r="KA62" s="292"/>
      <c r="KB62" s="292"/>
      <c r="KC62" s="292"/>
      <c r="KD62" s="292"/>
      <c r="KE62" s="292"/>
      <c r="KF62" s="292"/>
      <c r="KG62" s="292"/>
      <c r="KH62" s="292"/>
      <c r="KI62" s="292"/>
      <c r="KJ62" s="292"/>
      <c r="KK62" s="292"/>
      <c r="KL62" s="292"/>
      <c r="KM62" s="292"/>
      <c r="KN62" s="292"/>
      <c r="KO62" s="292"/>
      <c r="KP62" s="292"/>
      <c r="KQ62" s="292"/>
      <c r="KR62" s="292"/>
      <c r="KS62" s="292"/>
      <c r="KT62" s="292"/>
      <c r="KU62" s="292"/>
      <c r="KV62" s="292"/>
      <c r="KW62" s="292"/>
      <c r="KX62" s="292"/>
      <c r="KY62" s="292"/>
      <c r="KZ62" s="292"/>
      <c r="LA62" s="292"/>
      <c r="LB62" s="292"/>
      <c r="LC62" s="292"/>
      <c r="LD62" s="292"/>
      <c r="LE62" s="292"/>
      <c r="LF62" s="292"/>
      <c r="LG62" s="292"/>
      <c r="LH62" s="292"/>
      <c r="LI62" s="292"/>
      <c r="LJ62" s="292"/>
      <c r="LK62" s="292"/>
      <c r="LL62" s="292"/>
      <c r="LM62" s="292"/>
      <c r="LN62" s="292"/>
      <c r="LO62" s="292"/>
      <c r="LP62" s="292"/>
      <c r="LQ62" s="292"/>
      <c r="LR62" s="292"/>
      <c r="LS62" s="292"/>
      <c r="LT62" s="292"/>
      <c r="LU62" s="292"/>
      <c r="LV62" s="292"/>
      <c r="LW62" s="292"/>
      <c r="LX62" s="292"/>
      <c r="LY62" s="292"/>
      <c r="LZ62" s="292"/>
      <c r="MA62" s="292"/>
      <c r="MB62" s="292"/>
      <c r="MC62" s="292"/>
      <c r="MD62" s="292"/>
      <c r="ME62" s="292"/>
      <c r="MF62" s="292"/>
      <c r="MG62" s="292"/>
      <c r="MH62" s="292"/>
      <c r="MI62" s="292"/>
      <c r="MJ62" s="292"/>
      <c r="MK62" s="292"/>
      <c r="ML62" s="292"/>
      <c r="MM62" s="292"/>
      <c r="MN62" s="292"/>
      <c r="MO62" s="292"/>
      <c r="MP62" s="292"/>
      <c r="MQ62" s="292"/>
      <c r="MR62" s="292"/>
      <c r="MS62" s="292"/>
      <c r="MT62" s="292"/>
      <c r="MU62" s="292"/>
      <c r="MV62" s="292"/>
      <c r="MW62" s="292"/>
      <c r="MX62" s="292"/>
      <c r="MY62" s="292"/>
      <c r="MZ62" s="292"/>
      <c r="NA62" s="292"/>
      <c r="NB62" s="292"/>
      <c r="NC62" s="292"/>
      <c r="ND62" s="292"/>
      <c r="NE62" s="292"/>
      <c r="NF62" s="292"/>
      <c r="NG62" s="292"/>
      <c r="NH62" s="292"/>
      <c r="NI62" s="292"/>
      <c r="NJ62" s="292"/>
      <c r="NK62" s="292"/>
      <c r="NL62" s="292"/>
      <c r="NM62" s="292"/>
      <c r="NN62" s="292"/>
      <c r="NO62" s="292"/>
      <c r="NP62" s="292"/>
      <c r="NQ62" s="292"/>
      <c r="NR62" s="292"/>
      <c r="NS62" s="292"/>
      <c r="NT62" s="292"/>
      <c r="NU62" s="292"/>
      <c r="NV62" s="292"/>
      <c r="NW62" s="292"/>
      <c r="NX62" s="292"/>
      <c r="NY62" s="292"/>
      <c r="NZ62" s="292"/>
      <c r="OA62" s="292"/>
      <c r="OB62" s="292"/>
      <c r="OC62" s="292"/>
      <c r="OD62" s="292"/>
      <c r="OE62" s="292"/>
      <c r="OF62" s="292"/>
      <c r="OG62" s="292"/>
      <c r="OH62" s="292"/>
      <c r="OI62" s="292"/>
      <c r="OJ62" s="292"/>
      <c r="OK62" s="292"/>
      <c r="OL62" s="292"/>
      <c r="OM62" s="292"/>
      <c r="ON62" s="292"/>
      <c r="OO62" s="292"/>
      <c r="OP62" s="292"/>
      <c r="OQ62" s="292"/>
      <c r="OR62" s="292"/>
      <c r="OS62" s="292"/>
      <c r="OT62" s="292"/>
      <c r="OU62" s="292"/>
      <c r="OV62" s="292"/>
      <c r="OW62" s="292"/>
      <c r="OX62" s="292"/>
      <c r="OY62" s="292"/>
      <c r="OZ62" s="292"/>
      <c r="PA62" s="292"/>
      <c r="PB62" s="292"/>
      <c r="PC62" s="292"/>
      <c r="PD62" s="292"/>
      <c r="PE62" s="292"/>
      <c r="PF62" s="292"/>
      <c r="PG62" s="292"/>
      <c r="PH62" s="292"/>
      <c r="PI62" s="292"/>
      <c r="PJ62" s="292"/>
      <c r="PK62" s="292"/>
      <c r="PL62" s="292"/>
      <c r="PM62" s="292"/>
      <c r="PN62" s="292"/>
      <c r="PO62" s="292"/>
      <c r="PP62" s="292"/>
      <c r="PQ62" s="292"/>
      <c r="PR62" s="292"/>
      <c r="PS62" s="292"/>
      <c r="PT62" s="292"/>
      <c r="PU62" s="292"/>
      <c r="PV62" s="292"/>
      <c r="PW62" s="292"/>
      <c r="PX62" s="292"/>
      <c r="PY62" s="292"/>
      <c r="PZ62" s="292"/>
      <c r="QA62" s="292"/>
      <c r="QB62" s="292"/>
      <c r="QC62" s="292"/>
      <c r="QD62" s="292"/>
      <c r="QE62" s="292"/>
      <c r="QF62" s="292"/>
      <c r="QG62" s="292"/>
      <c r="QH62" s="292"/>
      <c r="QI62" s="292"/>
      <c r="QJ62" s="292"/>
      <c r="QK62" s="292"/>
      <c r="QL62" s="292"/>
      <c r="QM62" s="292"/>
      <c r="QN62" s="292"/>
      <c r="QO62" s="292"/>
      <c r="QP62" s="292"/>
      <c r="QQ62" s="292"/>
      <c r="QR62" s="292"/>
      <c r="QS62" s="292"/>
      <c r="QT62" s="292"/>
      <c r="QU62" s="292"/>
      <c r="QV62" s="292"/>
      <c r="QW62" s="292"/>
      <c r="QX62" s="292"/>
      <c r="QY62" s="292"/>
      <c r="QZ62" s="292"/>
      <c r="RA62" s="292"/>
      <c r="RB62" s="292"/>
      <c r="RC62" s="292"/>
      <c r="RD62" s="292"/>
      <c r="RE62" s="292"/>
      <c r="RF62" s="292"/>
      <c r="RG62" s="292"/>
      <c r="RH62" s="292"/>
      <c r="RI62" s="292"/>
      <c r="RJ62" s="292"/>
      <c r="RK62" s="292"/>
      <c r="RL62" s="292"/>
      <c r="RM62" s="292"/>
      <c r="RN62" s="292"/>
      <c r="RO62" s="292"/>
      <c r="RP62" s="292"/>
      <c r="RQ62" s="292"/>
      <c r="RR62" s="292"/>
      <c r="RS62" s="292"/>
      <c r="RT62" s="292"/>
      <c r="RU62" s="292"/>
      <c r="RV62" s="292"/>
      <c r="RW62" s="292"/>
      <c r="RX62" s="292"/>
      <c r="RY62" s="292"/>
      <c r="RZ62" s="292"/>
      <c r="SA62" s="292"/>
      <c r="SB62" s="292"/>
      <c r="SC62" s="292"/>
      <c r="SD62" s="292"/>
      <c r="SE62" s="292"/>
      <c r="SF62" s="292"/>
      <c r="SG62" s="292"/>
      <c r="SH62" s="292"/>
      <c r="SI62" s="292"/>
      <c r="SJ62" s="292"/>
      <c r="SK62" s="292"/>
      <c r="SL62" s="292"/>
      <c r="SM62" s="292"/>
      <c r="SN62" s="292"/>
      <c r="SO62" s="292"/>
      <c r="SP62" s="292"/>
      <c r="SQ62" s="292"/>
      <c r="SR62" s="292"/>
      <c r="SS62" s="292"/>
      <c r="ST62" s="292"/>
      <c r="SU62" s="292"/>
    </row>
    <row r="63" spans="1:515" s="603" customFormat="1" ht="23.15" customHeight="1" x14ac:dyDescent="0.25">
      <c r="A63" s="1323" t="s">
        <v>368</v>
      </c>
      <c r="B63" s="1324"/>
      <c r="C63" s="1324"/>
      <c r="D63" s="962"/>
      <c r="E63" s="1296">
        <f>G33+G40+G47+G54+G59</f>
        <v>0</v>
      </c>
      <c r="F63" s="1296"/>
      <c r="G63" s="1296"/>
      <c r="H63" s="962"/>
      <c r="I63" s="1296">
        <f>K33+K40+K47+K54+K59</f>
        <v>0</v>
      </c>
      <c r="J63" s="1296"/>
      <c r="K63" s="1296"/>
      <c r="L63" s="962"/>
      <c r="M63" s="1296">
        <f>O33+O40+O47+O54+O59</f>
        <v>0</v>
      </c>
      <c r="N63" s="1296"/>
      <c r="O63" s="1296"/>
      <c r="P63" s="962"/>
      <c r="Q63" s="1296">
        <f>S33+S40+S47+S54+S59</f>
        <v>0</v>
      </c>
      <c r="R63" s="1296"/>
      <c r="S63" s="1296"/>
      <c r="T63" s="962"/>
      <c r="U63" s="1296">
        <f>W33+W40+W47+W54+W59</f>
        <v>0</v>
      </c>
      <c r="V63" s="1296"/>
      <c r="W63" s="1296"/>
      <c r="X63" s="962"/>
      <c r="Y63" s="1296">
        <f>AA33+AA40+AA47+AA54+AA59</f>
        <v>0</v>
      </c>
      <c r="Z63" s="1296"/>
      <c r="AA63" s="1296"/>
      <c r="AB63" s="976"/>
      <c r="AC63" s="1144"/>
      <c r="AD63" s="1176">
        <f>E63+I63+M63+Q63+U63+Y63</f>
        <v>0</v>
      </c>
      <c r="AE63" s="971"/>
      <c r="AF63" s="613"/>
      <c r="AG63" s="613"/>
      <c r="AH63" s="613"/>
      <c r="AI63" s="613"/>
      <c r="AJ63" s="613"/>
      <c r="AK63" s="613"/>
      <c r="AL63" s="613"/>
      <c r="AM63" s="613"/>
      <c r="AN63" s="613"/>
      <c r="AO63" s="613"/>
      <c r="AP63" s="613"/>
      <c r="AQ63" s="613"/>
      <c r="AR63" s="613"/>
      <c r="AS63" s="613"/>
      <c r="AT63" s="613"/>
      <c r="AU63" s="613"/>
      <c r="AV63" s="613"/>
      <c r="AW63" s="613"/>
      <c r="AX63" s="613"/>
      <c r="AY63" s="613"/>
      <c r="AZ63" s="613"/>
      <c r="BA63" s="613"/>
      <c r="BB63" s="613"/>
      <c r="BC63" s="613"/>
      <c r="BD63" s="613"/>
      <c r="BE63" s="613"/>
      <c r="BF63" s="613"/>
      <c r="BG63" s="613"/>
      <c r="BH63" s="613"/>
      <c r="BI63" s="613"/>
      <c r="BJ63" s="613"/>
      <c r="BK63" s="613"/>
      <c r="BL63" s="613"/>
      <c r="BM63" s="613"/>
      <c r="BN63" s="613"/>
      <c r="BO63" s="613"/>
      <c r="BP63" s="613"/>
      <c r="BQ63" s="613"/>
      <c r="BR63" s="613"/>
      <c r="BS63" s="613"/>
      <c r="BT63" s="613"/>
      <c r="BU63" s="613"/>
      <c r="BV63" s="613"/>
      <c r="BW63" s="613"/>
      <c r="BX63" s="613"/>
      <c r="BY63" s="613"/>
      <c r="BZ63" s="613"/>
      <c r="CA63" s="613"/>
      <c r="CB63" s="613"/>
      <c r="CC63" s="613"/>
      <c r="CD63" s="613"/>
      <c r="CE63" s="613"/>
      <c r="CF63" s="613"/>
      <c r="CG63" s="613"/>
      <c r="CH63" s="613"/>
      <c r="CI63" s="613"/>
      <c r="CJ63" s="613"/>
      <c r="CK63" s="613"/>
      <c r="CL63" s="613"/>
      <c r="CM63" s="613"/>
      <c r="CN63" s="613"/>
      <c r="CO63" s="613"/>
      <c r="CP63" s="613"/>
      <c r="CQ63" s="613"/>
      <c r="CR63" s="613"/>
      <c r="CS63" s="613"/>
      <c r="CT63" s="613"/>
      <c r="CU63" s="613"/>
      <c r="CV63" s="613"/>
      <c r="CW63" s="613"/>
      <c r="CX63" s="613"/>
      <c r="CY63" s="613"/>
      <c r="CZ63" s="613"/>
      <c r="DA63" s="613"/>
      <c r="DB63" s="613"/>
      <c r="DC63" s="613"/>
      <c r="DD63" s="613"/>
      <c r="DE63" s="613"/>
      <c r="DF63" s="613"/>
      <c r="DG63" s="613"/>
      <c r="DH63" s="613"/>
      <c r="DI63" s="613"/>
      <c r="DJ63" s="613"/>
      <c r="DK63" s="613"/>
      <c r="DL63" s="613"/>
      <c r="DM63" s="613"/>
      <c r="DN63" s="613"/>
      <c r="DO63" s="613"/>
      <c r="DP63" s="613"/>
      <c r="DQ63" s="613"/>
      <c r="DR63" s="613"/>
      <c r="DS63" s="613"/>
      <c r="DT63" s="613"/>
      <c r="DU63" s="613"/>
      <c r="DV63" s="613"/>
      <c r="DW63" s="613"/>
      <c r="DX63" s="613"/>
      <c r="DY63" s="613"/>
      <c r="DZ63" s="613"/>
      <c r="EA63" s="613"/>
      <c r="EB63" s="613"/>
      <c r="EC63" s="613"/>
      <c r="ED63" s="613"/>
      <c r="EE63" s="613"/>
      <c r="EF63" s="613"/>
      <c r="EG63" s="613"/>
      <c r="EH63" s="613"/>
      <c r="EI63" s="613"/>
      <c r="EJ63" s="613"/>
      <c r="EK63" s="613"/>
      <c r="EL63" s="613"/>
      <c r="EM63" s="613"/>
      <c r="EN63" s="613"/>
      <c r="EO63" s="613"/>
      <c r="EP63" s="613"/>
      <c r="EQ63" s="613"/>
      <c r="ER63" s="613"/>
      <c r="ES63" s="613"/>
      <c r="ET63" s="613"/>
      <c r="EU63" s="613"/>
      <c r="EV63" s="613"/>
      <c r="EW63" s="613"/>
      <c r="EX63" s="613"/>
      <c r="EY63" s="613"/>
      <c r="EZ63" s="613"/>
      <c r="FA63" s="613"/>
      <c r="FB63" s="613"/>
      <c r="FC63" s="613"/>
      <c r="FD63" s="613"/>
      <c r="FE63" s="613"/>
      <c r="FF63" s="613"/>
      <c r="FG63" s="613"/>
      <c r="FH63" s="613"/>
      <c r="FI63" s="613"/>
      <c r="FJ63" s="613"/>
      <c r="FK63" s="613"/>
      <c r="FL63" s="613"/>
      <c r="FM63" s="613"/>
      <c r="FN63" s="613"/>
      <c r="FO63" s="613"/>
      <c r="FP63" s="613"/>
      <c r="FQ63" s="613"/>
      <c r="FR63" s="613"/>
      <c r="FS63" s="613"/>
      <c r="FT63" s="613"/>
      <c r="FU63" s="613"/>
      <c r="FV63" s="613"/>
      <c r="FW63" s="613"/>
      <c r="FX63" s="613"/>
      <c r="FY63" s="613"/>
      <c r="FZ63" s="613"/>
      <c r="GA63" s="613"/>
      <c r="GB63" s="613"/>
      <c r="GC63" s="613"/>
      <c r="GD63" s="613"/>
      <c r="GE63" s="613"/>
      <c r="GF63" s="613"/>
      <c r="GG63" s="613"/>
      <c r="GH63" s="613"/>
      <c r="GI63" s="613"/>
      <c r="GJ63" s="613"/>
      <c r="GK63" s="613"/>
      <c r="GL63" s="613"/>
      <c r="GM63" s="613"/>
      <c r="GN63" s="613"/>
      <c r="GO63" s="613"/>
      <c r="GP63" s="613"/>
      <c r="GQ63" s="613"/>
      <c r="GR63" s="613"/>
      <c r="GS63" s="613"/>
      <c r="GT63" s="613"/>
      <c r="GU63" s="613"/>
      <c r="GV63" s="613"/>
      <c r="GW63" s="613"/>
      <c r="GX63" s="613"/>
      <c r="GY63" s="613"/>
      <c r="GZ63" s="613"/>
      <c r="HA63" s="613"/>
      <c r="HB63" s="613"/>
      <c r="HC63" s="613"/>
      <c r="HD63" s="613"/>
      <c r="HE63" s="613"/>
      <c r="HF63" s="613"/>
      <c r="HG63" s="613"/>
      <c r="HH63" s="613"/>
      <c r="HI63" s="613"/>
      <c r="HJ63" s="613"/>
      <c r="HK63" s="613"/>
      <c r="HL63" s="613"/>
      <c r="HM63" s="613"/>
      <c r="HN63" s="613"/>
      <c r="HO63" s="613"/>
      <c r="HP63" s="613"/>
      <c r="HQ63" s="613"/>
      <c r="HR63" s="613"/>
      <c r="HS63" s="613"/>
      <c r="HT63" s="613"/>
      <c r="HU63" s="613"/>
      <c r="HV63" s="613"/>
      <c r="HW63" s="613"/>
      <c r="HX63" s="613"/>
      <c r="HY63" s="613"/>
      <c r="HZ63" s="613"/>
      <c r="IA63" s="613"/>
      <c r="IB63" s="613"/>
      <c r="IC63" s="613"/>
      <c r="ID63" s="613"/>
      <c r="IE63" s="613"/>
      <c r="IF63" s="613"/>
      <c r="IG63" s="613"/>
      <c r="IH63" s="613"/>
      <c r="II63" s="613"/>
      <c r="IJ63" s="613"/>
      <c r="IK63" s="613"/>
      <c r="IL63" s="613"/>
      <c r="IM63" s="613"/>
      <c r="IN63" s="613"/>
      <c r="IO63" s="613"/>
      <c r="IP63" s="613"/>
      <c r="IQ63" s="613"/>
      <c r="IR63" s="613"/>
      <c r="IS63" s="613"/>
      <c r="IT63" s="613"/>
      <c r="IU63" s="613"/>
      <c r="IV63" s="613"/>
      <c r="IW63" s="613"/>
      <c r="IX63" s="613"/>
      <c r="IY63" s="613"/>
      <c r="IZ63" s="613"/>
      <c r="JA63" s="613"/>
      <c r="JB63" s="613"/>
      <c r="JC63" s="613"/>
      <c r="JD63" s="613"/>
      <c r="JE63" s="613"/>
      <c r="JF63" s="613"/>
      <c r="JG63" s="613"/>
      <c r="JH63" s="613"/>
      <c r="JI63" s="613"/>
      <c r="JJ63" s="613"/>
      <c r="JK63" s="613"/>
      <c r="JL63" s="613"/>
      <c r="JM63" s="613"/>
      <c r="JN63" s="613"/>
      <c r="JO63" s="613"/>
      <c r="JP63" s="613"/>
      <c r="JQ63" s="613"/>
      <c r="JR63" s="613"/>
      <c r="JS63" s="613"/>
      <c r="JT63" s="613"/>
      <c r="JU63" s="613"/>
      <c r="JV63" s="613"/>
      <c r="JW63" s="613"/>
      <c r="JX63" s="613"/>
      <c r="JY63" s="613"/>
      <c r="JZ63" s="613"/>
      <c r="KA63" s="613"/>
      <c r="KB63" s="613"/>
      <c r="KC63" s="613"/>
      <c r="KD63" s="613"/>
      <c r="KE63" s="613"/>
      <c r="KF63" s="613"/>
      <c r="KG63" s="613"/>
      <c r="KH63" s="613"/>
      <c r="KI63" s="613"/>
      <c r="KJ63" s="613"/>
      <c r="KK63" s="613"/>
      <c r="KL63" s="613"/>
      <c r="KM63" s="613"/>
      <c r="KN63" s="613"/>
      <c r="KO63" s="613"/>
      <c r="KP63" s="613"/>
      <c r="KQ63" s="613"/>
      <c r="KR63" s="613"/>
      <c r="KS63" s="613"/>
      <c r="KT63" s="613"/>
      <c r="KU63" s="613"/>
      <c r="KV63" s="613"/>
      <c r="KW63" s="613"/>
      <c r="KX63" s="613"/>
      <c r="KY63" s="613"/>
      <c r="KZ63" s="613"/>
      <c r="LA63" s="613"/>
      <c r="LB63" s="613"/>
      <c r="LC63" s="613"/>
      <c r="LD63" s="613"/>
      <c r="LE63" s="613"/>
      <c r="LF63" s="613"/>
      <c r="LG63" s="613"/>
      <c r="LH63" s="613"/>
      <c r="LI63" s="613"/>
      <c r="LJ63" s="613"/>
      <c r="LK63" s="613"/>
      <c r="LL63" s="613"/>
      <c r="LM63" s="613"/>
      <c r="LN63" s="613"/>
      <c r="LO63" s="613"/>
      <c r="LP63" s="613"/>
      <c r="LQ63" s="613"/>
      <c r="LR63" s="613"/>
      <c r="LS63" s="613"/>
      <c r="LT63" s="613"/>
      <c r="LU63" s="613"/>
      <c r="LV63" s="613"/>
      <c r="LW63" s="613"/>
      <c r="LX63" s="613"/>
      <c r="LY63" s="613"/>
      <c r="LZ63" s="613"/>
      <c r="MA63" s="613"/>
      <c r="MB63" s="613"/>
      <c r="MC63" s="613"/>
      <c r="MD63" s="613"/>
      <c r="ME63" s="613"/>
      <c r="MF63" s="613"/>
      <c r="MG63" s="613"/>
      <c r="MH63" s="613"/>
      <c r="MI63" s="613"/>
      <c r="MJ63" s="613"/>
      <c r="MK63" s="613"/>
      <c r="ML63" s="613"/>
      <c r="MM63" s="613"/>
      <c r="MN63" s="613"/>
      <c r="MO63" s="613"/>
      <c r="MP63" s="613"/>
      <c r="MQ63" s="613"/>
      <c r="MR63" s="613"/>
      <c r="MS63" s="613"/>
      <c r="MT63" s="613"/>
      <c r="MU63" s="613"/>
      <c r="MV63" s="613"/>
      <c r="MW63" s="613"/>
      <c r="MX63" s="613"/>
      <c r="MY63" s="613"/>
      <c r="MZ63" s="613"/>
      <c r="NA63" s="613"/>
      <c r="NB63" s="613"/>
      <c r="NC63" s="613"/>
      <c r="ND63" s="613"/>
      <c r="NE63" s="613"/>
      <c r="NF63" s="613"/>
      <c r="NG63" s="613"/>
      <c r="NH63" s="613"/>
      <c r="NI63" s="613"/>
      <c r="NJ63" s="613"/>
      <c r="NK63" s="613"/>
      <c r="NL63" s="613"/>
      <c r="NM63" s="613"/>
      <c r="NN63" s="613"/>
      <c r="NO63" s="613"/>
      <c r="NP63" s="613"/>
      <c r="NQ63" s="613"/>
      <c r="NR63" s="613"/>
      <c r="NS63" s="613"/>
      <c r="NT63" s="613"/>
      <c r="NU63" s="613"/>
      <c r="NV63" s="613"/>
      <c r="NW63" s="613"/>
      <c r="NX63" s="613"/>
      <c r="NY63" s="613"/>
      <c r="NZ63" s="613"/>
      <c r="OA63" s="613"/>
      <c r="OB63" s="613"/>
      <c r="OC63" s="613"/>
      <c r="OD63" s="613"/>
      <c r="OE63" s="613"/>
      <c r="OF63" s="613"/>
      <c r="OG63" s="613"/>
      <c r="OH63" s="613"/>
      <c r="OI63" s="613"/>
      <c r="OJ63" s="613"/>
      <c r="OK63" s="613"/>
      <c r="OL63" s="613"/>
      <c r="OM63" s="613"/>
      <c r="ON63" s="613"/>
      <c r="OO63" s="613"/>
      <c r="OP63" s="613"/>
      <c r="OQ63" s="613"/>
      <c r="OR63" s="613"/>
      <c r="OS63" s="613"/>
      <c r="OT63" s="613"/>
      <c r="OU63" s="613"/>
      <c r="OV63" s="613"/>
      <c r="OW63" s="613"/>
      <c r="OX63" s="613"/>
      <c r="OY63" s="613"/>
      <c r="OZ63" s="613"/>
      <c r="PA63" s="613"/>
      <c r="PB63" s="613"/>
      <c r="PC63" s="613"/>
      <c r="PD63" s="613"/>
      <c r="PE63" s="613"/>
      <c r="PF63" s="613"/>
      <c r="PG63" s="613"/>
      <c r="PH63" s="613"/>
      <c r="PI63" s="613"/>
      <c r="PJ63" s="613"/>
      <c r="PK63" s="613"/>
      <c r="PL63" s="613"/>
      <c r="PM63" s="613"/>
      <c r="PN63" s="613"/>
      <c r="PO63" s="613"/>
      <c r="PP63" s="613"/>
      <c r="PQ63" s="613"/>
      <c r="PR63" s="613"/>
      <c r="PS63" s="613"/>
      <c r="PT63" s="613"/>
      <c r="PU63" s="613"/>
      <c r="PV63" s="613"/>
      <c r="PW63" s="613"/>
      <c r="PX63" s="613"/>
      <c r="PY63" s="613"/>
      <c r="PZ63" s="613"/>
      <c r="QA63" s="613"/>
      <c r="QB63" s="613"/>
      <c r="QC63" s="613"/>
      <c r="QD63" s="613"/>
      <c r="QE63" s="613"/>
      <c r="QF63" s="613"/>
      <c r="QG63" s="613"/>
      <c r="QH63" s="613"/>
      <c r="QI63" s="613"/>
      <c r="QJ63" s="613"/>
      <c r="QK63" s="613"/>
      <c r="QL63" s="613"/>
      <c r="QM63" s="613"/>
      <c r="QN63" s="613"/>
      <c r="QO63" s="613"/>
      <c r="QP63" s="613"/>
      <c r="QQ63" s="613"/>
      <c r="QR63" s="613"/>
      <c r="QS63" s="613"/>
      <c r="QT63" s="613"/>
      <c r="QU63" s="613"/>
      <c r="QV63" s="613"/>
      <c r="QW63" s="613"/>
      <c r="QX63" s="613"/>
      <c r="QY63" s="613"/>
      <c r="QZ63" s="613"/>
      <c r="RA63" s="613"/>
      <c r="RB63" s="613"/>
      <c r="RC63" s="613"/>
      <c r="RD63" s="613"/>
      <c r="RE63" s="613"/>
      <c r="RF63" s="613"/>
      <c r="RG63" s="613"/>
      <c r="RH63" s="613"/>
      <c r="RI63" s="613"/>
      <c r="RJ63" s="613"/>
      <c r="RK63" s="613"/>
      <c r="RL63" s="613"/>
      <c r="RM63" s="613"/>
      <c r="RN63" s="613"/>
      <c r="RO63" s="613"/>
      <c r="RP63" s="613"/>
      <c r="RQ63" s="613"/>
      <c r="RR63" s="613"/>
      <c r="RS63" s="613"/>
      <c r="RT63" s="613"/>
      <c r="RU63" s="613"/>
      <c r="RV63" s="613"/>
      <c r="RW63" s="613"/>
      <c r="RX63" s="613"/>
      <c r="RY63" s="613"/>
      <c r="RZ63" s="613"/>
      <c r="SA63" s="613"/>
      <c r="SB63" s="613"/>
      <c r="SC63" s="613"/>
      <c r="SD63" s="613"/>
      <c r="SE63" s="613"/>
      <c r="SF63" s="613"/>
      <c r="SG63" s="613"/>
      <c r="SH63" s="613"/>
      <c r="SI63" s="613"/>
      <c r="SJ63" s="613"/>
      <c r="SK63" s="613"/>
      <c r="SL63" s="613"/>
      <c r="SM63" s="613"/>
      <c r="SN63" s="613"/>
      <c r="SO63" s="613"/>
      <c r="SP63" s="613"/>
      <c r="SQ63" s="613"/>
      <c r="SR63" s="613"/>
      <c r="SS63" s="613"/>
      <c r="ST63" s="613"/>
      <c r="SU63" s="613"/>
    </row>
    <row r="64" spans="1:515" s="801" customFormat="1" ht="15" customHeight="1" x14ac:dyDescent="0.25">
      <c r="A64" s="986"/>
      <c r="B64" s="984"/>
      <c r="C64" s="984"/>
      <c r="D64" s="962"/>
      <c r="E64" s="981"/>
      <c r="F64" s="981"/>
      <c r="G64" s="981"/>
      <c r="H64" s="962"/>
      <c r="I64" s="981"/>
      <c r="J64" s="981"/>
      <c r="K64" s="981"/>
      <c r="L64" s="962"/>
      <c r="M64" s="981"/>
      <c r="N64" s="981"/>
      <c r="O64" s="981"/>
      <c r="P64" s="962"/>
      <c r="Q64" s="981"/>
      <c r="R64" s="981"/>
      <c r="S64" s="981"/>
      <c r="T64" s="962"/>
      <c r="U64" s="981"/>
      <c r="V64" s="981"/>
      <c r="W64" s="981"/>
      <c r="X64" s="962"/>
      <c r="Y64" s="981"/>
      <c r="Z64" s="981"/>
      <c r="AA64" s="981"/>
      <c r="AB64" s="976"/>
      <c r="AC64" s="1144"/>
      <c r="AD64" s="981"/>
      <c r="AE64" s="971"/>
      <c r="AF64" s="613"/>
      <c r="AG64" s="613"/>
      <c r="AH64" s="613"/>
      <c r="AI64" s="613"/>
      <c r="AJ64" s="613"/>
      <c r="AK64" s="613"/>
      <c r="AL64" s="613"/>
      <c r="AM64" s="613"/>
      <c r="AN64" s="613"/>
      <c r="AO64" s="613"/>
      <c r="AP64" s="613"/>
      <c r="AQ64" s="613"/>
      <c r="AR64" s="613"/>
      <c r="AS64" s="613"/>
      <c r="AT64" s="613"/>
      <c r="AU64" s="613"/>
      <c r="AV64" s="613"/>
      <c r="AW64" s="613"/>
      <c r="AX64" s="613"/>
      <c r="AY64" s="613"/>
      <c r="AZ64" s="613"/>
      <c r="BA64" s="613"/>
      <c r="BB64" s="613"/>
      <c r="BC64" s="613"/>
      <c r="BD64" s="613"/>
      <c r="BE64" s="613"/>
      <c r="BF64" s="613"/>
      <c r="BG64" s="613"/>
      <c r="BH64" s="613"/>
      <c r="BI64" s="613"/>
      <c r="BJ64" s="613"/>
      <c r="BK64" s="613"/>
      <c r="BL64" s="613"/>
    </row>
    <row r="65" spans="1:515" s="624" customFormat="1" ht="23.15" customHeight="1" x14ac:dyDescent="0.25">
      <c r="A65" s="1347" t="s">
        <v>369</v>
      </c>
      <c r="B65" s="1348"/>
      <c r="C65" s="1348"/>
      <c r="D65" s="957"/>
      <c r="E65" s="1173" t="s">
        <v>15</v>
      </c>
      <c r="F65" s="1173" t="s">
        <v>363</v>
      </c>
      <c r="G65" s="1136" t="s">
        <v>370</v>
      </c>
      <c r="H65" s="957"/>
      <c r="I65" s="1173" t="s">
        <v>15</v>
      </c>
      <c r="J65" s="1173" t="s">
        <v>363</v>
      </c>
      <c r="K65" s="1136" t="s">
        <v>370</v>
      </c>
      <c r="L65" s="957"/>
      <c r="M65" s="1173" t="s">
        <v>15</v>
      </c>
      <c r="N65" s="1173" t="s">
        <v>363</v>
      </c>
      <c r="O65" s="1136" t="s">
        <v>370</v>
      </c>
      <c r="P65" s="957"/>
      <c r="Q65" s="1173" t="s">
        <v>15</v>
      </c>
      <c r="R65" s="1173" t="s">
        <v>363</v>
      </c>
      <c r="S65" s="1136" t="s">
        <v>370</v>
      </c>
      <c r="T65" s="957"/>
      <c r="U65" s="1173" t="s">
        <v>15</v>
      </c>
      <c r="V65" s="1173" t="s">
        <v>363</v>
      </c>
      <c r="W65" s="1136" t="s">
        <v>370</v>
      </c>
      <c r="X65" s="957"/>
      <c r="Y65" s="1173" t="s">
        <v>15</v>
      </c>
      <c r="Z65" s="1173" t="s">
        <v>363</v>
      </c>
      <c r="AA65" s="1136" t="s">
        <v>370</v>
      </c>
      <c r="AB65" s="957"/>
      <c r="AC65" s="957"/>
      <c r="AD65" s="1136" t="s">
        <v>370</v>
      </c>
      <c r="AE65" s="971"/>
      <c r="AF65" s="292"/>
      <c r="AG65" s="292"/>
      <c r="AH65" s="292"/>
      <c r="AI65" s="292"/>
      <c r="AJ65" s="292"/>
      <c r="AK65" s="292"/>
      <c r="AL65" s="292"/>
      <c r="AM65" s="292"/>
      <c r="AN65" s="292"/>
      <c r="AO65" s="292"/>
      <c r="AP65" s="292"/>
      <c r="AQ65" s="292"/>
      <c r="AR65" s="292"/>
      <c r="AS65" s="292"/>
      <c r="AT65" s="292"/>
      <c r="AU65" s="292"/>
      <c r="AV65" s="292"/>
      <c r="AW65" s="292"/>
      <c r="AX65" s="292"/>
      <c r="AY65" s="292"/>
      <c r="AZ65" s="292"/>
      <c r="BA65" s="292"/>
      <c r="BB65" s="292"/>
      <c r="BC65" s="292"/>
      <c r="BD65" s="292"/>
      <c r="BE65" s="292"/>
      <c r="BF65" s="292"/>
      <c r="BG65" s="292"/>
      <c r="BH65" s="292"/>
      <c r="BI65" s="292"/>
      <c r="BJ65" s="292"/>
      <c r="BK65" s="292"/>
      <c r="BL65" s="292"/>
      <c r="BM65" s="292"/>
      <c r="BN65" s="292"/>
      <c r="BO65" s="292"/>
      <c r="BP65" s="292"/>
      <c r="BQ65" s="292"/>
      <c r="BR65" s="292"/>
      <c r="BS65" s="292"/>
      <c r="BT65" s="292"/>
      <c r="BU65" s="292"/>
      <c r="BV65" s="292"/>
      <c r="BW65" s="292"/>
      <c r="BX65" s="292"/>
      <c r="BY65" s="292"/>
      <c r="BZ65" s="292"/>
      <c r="CA65" s="292"/>
      <c r="CB65" s="292"/>
      <c r="CC65" s="292"/>
      <c r="CD65" s="292"/>
      <c r="CE65" s="292"/>
      <c r="CF65" s="292"/>
      <c r="CG65" s="292"/>
      <c r="CH65" s="292"/>
      <c r="CI65" s="292"/>
      <c r="CJ65" s="292"/>
      <c r="CK65" s="292"/>
      <c r="CL65" s="292"/>
      <c r="CM65" s="292"/>
      <c r="CN65" s="292"/>
      <c r="CO65" s="292"/>
      <c r="CP65" s="292"/>
      <c r="CQ65" s="292"/>
      <c r="CR65" s="292"/>
      <c r="CS65" s="292"/>
      <c r="CT65" s="292"/>
      <c r="CU65" s="292"/>
      <c r="CV65" s="292"/>
      <c r="CW65" s="292"/>
      <c r="CX65" s="292"/>
      <c r="CY65" s="292"/>
      <c r="CZ65" s="292"/>
      <c r="DA65" s="292"/>
      <c r="DB65" s="292"/>
      <c r="DC65" s="292"/>
      <c r="DD65" s="292"/>
      <c r="DE65" s="292"/>
      <c r="DF65" s="292"/>
      <c r="DG65" s="292"/>
      <c r="DH65" s="292"/>
      <c r="DI65" s="292"/>
      <c r="DJ65" s="292"/>
      <c r="DK65" s="292"/>
      <c r="DL65" s="292"/>
      <c r="DM65" s="292"/>
      <c r="DN65" s="292"/>
      <c r="DO65" s="292"/>
      <c r="DP65" s="292"/>
      <c r="DQ65" s="292"/>
      <c r="DR65" s="292"/>
      <c r="DS65" s="292"/>
      <c r="DT65" s="292"/>
      <c r="DU65" s="292"/>
      <c r="DV65" s="292"/>
      <c r="DW65" s="292"/>
      <c r="DX65" s="292"/>
      <c r="DY65" s="292"/>
      <c r="DZ65" s="292"/>
      <c r="EA65" s="292"/>
      <c r="EB65" s="292"/>
      <c r="EC65" s="292"/>
      <c r="ED65" s="292"/>
      <c r="EE65" s="292"/>
      <c r="EF65" s="292"/>
      <c r="EG65" s="292"/>
      <c r="EH65" s="292"/>
      <c r="EI65" s="292"/>
      <c r="EJ65" s="292"/>
      <c r="EK65" s="292"/>
      <c r="EL65" s="292"/>
      <c r="EM65" s="292"/>
      <c r="EN65" s="292"/>
      <c r="EO65" s="292"/>
      <c r="EP65" s="292"/>
      <c r="EQ65" s="292"/>
      <c r="ER65" s="292"/>
      <c r="ES65" s="292"/>
      <c r="ET65" s="292"/>
      <c r="EU65" s="292"/>
      <c r="EV65" s="292"/>
      <c r="EW65" s="292"/>
      <c r="EX65" s="292"/>
      <c r="EY65" s="292"/>
      <c r="EZ65" s="292"/>
      <c r="FA65" s="292"/>
      <c r="FB65" s="292"/>
      <c r="FC65" s="292"/>
      <c r="FD65" s="292"/>
      <c r="FE65" s="292"/>
      <c r="FF65" s="292"/>
      <c r="FG65" s="292"/>
      <c r="FH65" s="292"/>
      <c r="FI65" s="292"/>
      <c r="FJ65" s="292"/>
      <c r="FK65" s="292"/>
      <c r="FL65" s="292"/>
      <c r="FM65" s="292"/>
      <c r="FN65" s="292"/>
      <c r="FO65" s="292"/>
      <c r="FP65" s="292"/>
      <c r="FQ65" s="292"/>
      <c r="FR65" s="292"/>
      <c r="FS65" s="292"/>
      <c r="FT65" s="292"/>
      <c r="FU65" s="292"/>
      <c r="FV65" s="292"/>
      <c r="FW65" s="292"/>
      <c r="FX65" s="292"/>
      <c r="FY65" s="292"/>
      <c r="FZ65" s="292"/>
      <c r="GA65" s="292"/>
      <c r="GB65" s="292"/>
      <c r="GC65" s="292"/>
      <c r="GD65" s="292"/>
      <c r="GE65" s="292"/>
      <c r="GF65" s="292"/>
      <c r="GG65" s="292"/>
      <c r="GH65" s="292"/>
      <c r="GI65" s="292"/>
      <c r="GJ65" s="292"/>
      <c r="GK65" s="292"/>
      <c r="GL65" s="292"/>
      <c r="GM65" s="292"/>
      <c r="GN65" s="292"/>
      <c r="GO65" s="292"/>
      <c r="GP65" s="292"/>
      <c r="GQ65" s="292"/>
      <c r="GR65" s="292"/>
      <c r="GS65" s="292"/>
      <c r="GT65" s="292"/>
      <c r="GU65" s="292"/>
      <c r="GV65" s="292"/>
      <c r="GW65" s="292"/>
      <c r="GX65" s="292"/>
      <c r="GY65" s="292"/>
      <c r="GZ65" s="292"/>
      <c r="HA65" s="292"/>
      <c r="HB65" s="292"/>
      <c r="HC65" s="292"/>
      <c r="HD65" s="292"/>
      <c r="HE65" s="292"/>
      <c r="HF65" s="292"/>
      <c r="HG65" s="292"/>
      <c r="HH65" s="292"/>
      <c r="HI65" s="292"/>
      <c r="HJ65" s="292"/>
      <c r="HK65" s="292"/>
      <c r="HL65" s="292"/>
      <c r="HM65" s="292"/>
      <c r="HN65" s="292"/>
      <c r="HO65" s="292"/>
      <c r="HP65" s="292"/>
      <c r="HQ65" s="292"/>
      <c r="HR65" s="292"/>
      <c r="HS65" s="292"/>
      <c r="HT65" s="292"/>
      <c r="HU65" s="292"/>
      <c r="HV65" s="292"/>
      <c r="HW65" s="292"/>
      <c r="HX65" s="292"/>
      <c r="HY65" s="292"/>
      <c r="HZ65" s="292"/>
      <c r="IA65" s="292"/>
      <c r="IB65" s="292"/>
      <c r="IC65" s="292"/>
      <c r="ID65" s="292"/>
      <c r="IE65" s="292"/>
      <c r="IF65" s="292"/>
      <c r="IG65" s="292"/>
      <c r="IH65" s="292"/>
      <c r="II65" s="292"/>
      <c r="IJ65" s="292"/>
      <c r="IK65" s="292"/>
      <c r="IL65" s="292"/>
      <c r="IM65" s="292"/>
      <c r="IN65" s="292"/>
      <c r="IO65" s="292"/>
      <c r="IP65" s="292"/>
      <c r="IQ65" s="292"/>
      <c r="IR65" s="292"/>
      <c r="IS65" s="292"/>
      <c r="IT65" s="292"/>
      <c r="IU65" s="292"/>
      <c r="IV65" s="292"/>
      <c r="IW65" s="292"/>
      <c r="IX65" s="292"/>
      <c r="IY65" s="292"/>
      <c r="IZ65" s="292"/>
      <c r="JA65" s="292"/>
      <c r="JB65" s="292"/>
      <c r="JC65" s="292"/>
      <c r="JD65" s="292"/>
      <c r="JE65" s="292"/>
      <c r="JF65" s="292"/>
      <c r="JG65" s="292"/>
      <c r="JH65" s="292"/>
      <c r="JI65" s="292"/>
      <c r="JJ65" s="292"/>
      <c r="JK65" s="292"/>
      <c r="JL65" s="292"/>
      <c r="JM65" s="292"/>
      <c r="JN65" s="292"/>
      <c r="JO65" s="292"/>
      <c r="JP65" s="292"/>
      <c r="JQ65" s="292"/>
      <c r="JR65" s="292"/>
      <c r="JS65" s="292"/>
      <c r="JT65" s="292"/>
      <c r="JU65" s="292"/>
      <c r="JV65" s="292"/>
      <c r="JW65" s="292"/>
      <c r="JX65" s="292"/>
      <c r="JY65" s="292"/>
      <c r="JZ65" s="292"/>
      <c r="KA65" s="292"/>
      <c r="KB65" s="292"/>
      <c r="KC65" s="292"/>
      <c r="KD65" s="292"/>
      <c r="KE65" s="292"/>
      <c r="KF65" s="292"/>
      <c r="KG65" s="292"/>
      <c r="KH65" s="292"/>
      <c r="KI65" s="292"/>
      <c r="KJ65" s="292"/>
      <c r="KK65" s="292"/>
      <c r="KL65" s="292"/>
      <c r="KM65" s="292"/>
      <c r="KN65" s="292"/>
      <c r="KO65" s="292"/>
      <c r="KP65" s="292"/>
      <c r="KQ65" s="292"/>
      <c r="KR65" s="292"/>
      <c r="KS65" s="292"/>
      <c r="KT65" s="292"/>
      <c r="KU65" s="292"/>
      <c r="KV65" s="292"/>
      <c r="KW65" s="292"/>
      <c r="KX65" s="292"/>
      <c r="KY65" s="292"/>
      <c r="KZ65" s="292"/>
      <c r="LA65" s="292"/>
      <c r="LB65" s="292"/>
      <c r="LC65" s="292"/>
      <c r="LD65" s="292"/>
      <c r="LE65" s="292"/>
      <c r="LF65" s="292"/>
      <c r="LG65" s="292"/>
      <c r="LH65" s="292"/>
      <c r="LI65" s="292"/>
      <c r="LJ65" s="292"/>
      <c r="LK65" s="292"/>
      <c r="LL65" s="292"/>
      <c r="LM65" s="292"/>
      <c r="LN65" s="292"/>
      <c r="LO65" s="292"/>
      <c r="LP65" s="292"/>
      <c r="LQ65" s="292"/>
      <c r="LR65" s="292"/>
      <c r="LS65" s="292"/>
      <c r="LT65" s="292"/>
      <c r="LU65" s="292"/>
      <c r="LV65" s="292"/>
      <c r="LW65" s="292"/>
      <c r="LX65" s="292"/>
      <c r="LY65" s="292"/>
      <c r="LZ65" s="292"/>
      <c r="MA65" s="292"/>
      <c r="MB65" s="292"/>
      <c r="MC65" s="292"/>
      <c r="MD65" s="292"/>
      <c r="ME65" s="292"/>
      <c r="MF65" s="292"/>
      <c r="MG65" s="292"/>
      <c r="MH65" s="292"/>
      <c r="MI65" s="292"/>
      <c r="MJ65" s="292"/>
      <c r="MK65" s="292"/>
      <c r="ML65" s="292"/>
      <c r="MM65" s="292"/>
      <c r="MN65" s="292"/>
      <c r="MO65" s="292"/>
      <c r="MP65" s="292"/>
      <c r="MQ65" s="292"/>
      <c r="MR65" s="292"/>
      <c r="MS65" s="292"/>
      <c r="MT65" s="292"/>
      <c r="MU65" s="292"/>
      <c r="MV65" s="292"/>
      <c r="MW65" s="292"/>
      <c r="MX65" s="292"/>
      <c r="MY65" s="292"/>
      <c r="MZ65" s="292"/>
      <c r="NA65" s="292"/>
      <c r="NB65" s="292"/>
      <c r="NC65" s="292"/>
      <c r="ND65" s="292"/>
      <c r="NE65" s="292"/>
      <c r="NF65" s="292"/>
      <c r="NG65" s="292"/>
      <c r="NH65" s="292"/>
      <c r="NI65" s="292"/>
      <c r="NJ65" s="292"/>
      <c r="NK65" s="292"/>
      <c r="NL65" s="292"/>
      <c r="NM65" s="292"/>
      <c r="NN65" s="292"/>
      <c r="NO65" s="292"/>
      <c r="NP65" s="292"/>
      <c r="NQ65" s="292"/>
      <c r="NR65" s="292"/>
      <c r="NS65" s="292"/>
      <c r="NT65" s="292"/>
      <c r="NU65" s="292"/>
      <c r="NV65" s="292"/>
      <c r="NW65" s="292"/>
      <c r="NX65" s="292"/>
      <c r="NY65" s="292"/>
      <c r="NZ65" s="292"/>
      <c r="OA65" s="292"/>
      <c r="OB65" s="292"/>
      <c r="OC65" s="292"/>
      <c r="OD65" s="292"/>
      <c r="OE65" s="292"/>
      <c r="OF65" s="292"/>
      <c r="OG65" s="292"/>
      <c r="OH65" s="292"/>
      <c r="OI65" s="292"/>
      <c r="OJ65" s="292"/>
      <c r="OK65" s="292"/>
      <c r="OL65" s="292"/>
      <c r="OM65" s="292"/>
      <c r="ON65" s="292"/>
      <c r="OO65" s="292"/>
      <c r="OP65" s="292"/>
      <c r="OQ65" s="292"/>
      <c r="OR65" s="292"/>
      <c r="OS65" s="292"/>
      <c r="OT65" s="292"/>
      <c r="OU65" s="292"/>
      <c r="OV65" s="292"/>
      <c r="OW65" s="292"/>
      <c r="OX65" s="292"/>
      <c r="OY65" s="292"/>
      <c r="OZ65" s="292"/>
      <c r="PA65" s="292"/>
      <c r="PB65" s="292"/>
      <c r="PC65" s="292"/>
      <c r="PD65" s="292"/>
      <c r="PE65" s="292"/>
      <c r="PF65" s="292"/>
      <c r="PG65" s="292"/>
      <c r="PH65" s="292"/>
      <c r="PI65" s="292"/>
      <c r="PJ65" s="292"/>
      <c r="PK65" s="292"/>
      <c r="PL65" s="292"/>
      <c r="PM65" s="292"/>
      <c r="PN65" s="292"/>
      <c r="PO65" s="292"/>
      <c r="PP65" s="292"/>
      <c r="PQ65" s="292"/>
      <c r="PR65" s="292"/>
      <c r="PS65" s="292"/>
      <c r="PT65" s="292"/>
      <c r="PU65" s="292"/>
      <c r="PV65" s="292"/>
      <c r="PW65" s="292"/>
      <c r="PX65" s="292"/>
      <c r="PY65" s="292"/>
      <c r="PZ65" s="292"/>
      <c r="QA65" s="292"/>
      <c r="QB65" s="292"/>
      <c r="QC65" s="292"/>
      <c r="QD65" s="292"/>
      <c r="QE65" s="292"/>
      <c r="QF65" s="292"/>
      <c r="QG65" s="292"/>
      <c r="QH65" s="292"/>
      <c r="QI65" s="292"/>
      <c r="QJ65" s="292"/>
      <c r="QK65" s="292"/>
      <c r="QL65" s="292"/>
      <c r="QM65" s="292"/>
      <c r="QN65" s="292"/>
      <c r="QO65" s="292"/>
      <c r="QP65" s="292"/>
      <c r="QQ65" s="292"/>
      <c r="QR65" s="292"/>
      <c r="QS65" s="292"/>
      <c r="QT65" s="292"/>
      <c r="QU65" s="292"/>
      <c r="QV65" s="292"/>
      <c r="QW65" s="292"/>
      <c r="QX65" s="292"/>
      <c r="QY65" s="292"/>
      <c r="QZ65" s="292"/>
      <c r="RA65" s="292"/>
      <c r="RB65" s="292"/>
      <c r="RC65" s="292"/>
      <c r="RD65" s="292"/>
      <c r="RE65" s="292"/>
      <c r="RF65" s="292"/>
      <c r="RG65" s="292"/>
      <c r="RH65" s="292"/>
      <c r="RI65" s="292"/>
      <c r="RJ65" s="292"/>
      <c r="RK65" s="292"/>
      <c r="RL65" s="292"/>
      <c r="RM65" s="292"/>
      <c r="RN65" s="292"/>
      <c r="RO65" s="292"/>
      <c r="RP65" s="292"/>
      <c r="RQ65" s="292"/>
      <c r="RR65" s="292"/>
      <c r="RS65" s="292"/>
      <c r="RT65" s="292"/>
      <c r="RU65" s="292"/>
      <c r="RV65" s="292"/>
      <c r="RW65" s="292"/>
      <c r="RX65" s="292"/>
      <c r="RY65" s="292"/>
      <c r="RZ65" s="292"/>
      <c r="SA65" s="292"/>
      <c r="SB65" s="292"/>
      <c r="SC65" s="292"/>
      <c r="SD65" s="292"/>
      <c r="SE65" s="292"/>
      <c r="SF65" s="292"/>
      <c r="SG65" s="292"/>
      <c r="SH65" s="292"/>
      <c r="SI65" s="292"/>
      <c r="SJ65" s="292"/>
      <c r="SK65" s="292"/>
      <c r="SL65" s="292"/>
      <c r="SM65" s="292"/>
      <c r="SN65" s="292"/>
      <c r="SO65" s="292"/>
      <c r="SP65" s="292"/>
      <c r="SQ65" s="292"/>
      <c r="SR65" s="292"/>
      <c r="SS65" s="292"/>
      <c r="ST65" s="292"/>
      <c r="SU65" s="292"/>
    </row>
    <row r="66" spans="1:515" ht="15" customHeight="1" x14ac:dyDescent="0.25">
      <c r="A66" s="1327" t="str">
        <f>IF(LaborCollection="Academia","F&amp;A","G&amp;A")</f>
        <v>G&amp;A</v>
      </c>
      <c r="B66" s="1328"/>
      <c r="C66" s="1368" t="s">
        <v>371</v>
      </c>
      <c r="D66" s="957" t="s">
        <v>358</v>
      </c>
      <c r="E66" s="622">
        <f>G33</f>
        <v>0</v>
      </c>
      <c r="F66" s="626">
        <v>0</v>
      </c>
      <c r="G66" s="999">
        <f>E66*F66</f>
        <v>0</v>
      </c>
      <c r="H66" s="957"/>
      <c r="I66" s="622">
        <f>K33</f>
        <v>0</v>
      </c>
      <c r="J66" s="626">
        <v>0</v>
      </c>
      <c r="K66" s="999">
        <f>I66*J66</f>
        <v>0</v>
      </c>
      <c r="L66" s="957"/>
      <c r="M66" s="622">
        <f>O33</f>
        <v>0</v>
      </c>
      <c r="N66" s="626">
        <v>0</v>
      </c>
      <c r="O66" s="999">
        <f>M66*N66</f>
        <v>0</v>
      </c>
      <c r="P66" s="957"/>
      <c r="Q66" s="622">
        <f>S33</f>
        <v>0</v>
      </c>
      <c r="R66" s="626">
        <v>0</v>
      </c>
      <c r="S66" s="999">
        <f>Q66*R66</f>
        <v>0</v>
      </c>
      <c r="T66" s="957"/>
      <c r="U66" s="622">
        <f>W33</f>
        <v>0</v>
      </c>
      <c r="V66" s="626">
        <v>0</v>
      </c>
      <c r="W66" s="999">
        <f>U66*V66</f>
        <v>0</v>
      </c>
      <c r="X66" s="957"/>
      <c r="Y66" s="622">
        <f>AA33</f>
        <v>0</v>
      </c>
      <c r="Z66" s="626">
        <v>0</v>
      </c>
      <c r="AA66" s="999">
        <f>Y66*Z66</f>
        <v>0</v>
      </c>
      <c r="AB66" s="975"/>
      <c r="AC66" s="957"/>
      <c r="AD66" s="999">
        <f>G66+K66+O66+S66+W66+AA66</f>
        <v>0</v>
      </c>
      <c r="AE66" s="971"/>
    </row>
    <row r="67" spans="1:515" ht="15" customHeight="1" x14ac:dyDescent="0.25">
      <c r="A67" s="1329" t="s">
        <v>372</v>
      </c>
      <c r="B67" s="1330"/>
      <c r="C67" s="1370"/>
      <c r="D67" s="957"/>
      <c r="E67" s="622">
        <v>0</v>
      </c>
      <c r="F67" s="626">
        <v>0</v>
      </c>
      <c r="G67" s="999">
        <f>E67*F67</f>
        <v>0</v>
      </c>
      <c r="H67" s="957"/>
      <c r="I67" s="622">
        <v>0</v>
      </c>
      <c r="J67" s="626">
        <v>0</v>
      </c>
      <c r="K67" s="999">
        <f>I67*J67</f>
        <v>0</v>
      </c>
      <c r="L67" s="957"/>
      <c r="M67" s="622">
        <v>0</v>
      </c>
      <c r="N67" s="626">
        <v>0</v>
      </c>
      <c r="O67" s="999">
        <f>M67*N67</f>
        <v>0</v>
      </c>
      <c r="P67" s="957"/>
      <c r="Q67" s="622">
        <v>0</v>
      </c>
      <c r="R67" s="626">
        <v>0</v>
      </c>
      <c r="S67" s="999">
        <f>Q67*R67</f>
        <v>0</v>
      </c>
      <c r="T67" s="957"/>
      <c r="U67" s="622">
        <v>0</v>
      </c>
      <c r="V67" s="626">
        <v>0</v>
      </c>
      <c r="W67" s="999">
        <f>U67*V67</f>
        <v>0</v>
      </c>
      <c r="X67" s="957"/>
      <c r="Y67" s="622">
        <v>0</v>
      </c>
      <c r="Z67" s="626">
        <v>0</v>
      </c>
      <c r="AA67" s="999">
        <f>Y67*Z67</f>
        <v>0</v>
      </c>
      <c r="AB67" s="975"/>
      <c r="AC67" s="957"/>
      <c r="AD67" s="999">
        <f>G67+K67+O67+S67+W67+AA67</f>
        <v>0</v>
      </c>
      <c r="AE67" s="971"/>
    </row>
    <row r="68" spans="1:515" s="624" customFormat="1" ht="23.15" customHeight="1" x14ac:dyDescent="0.25">
      <c r="A68" s="1319" t="s">
        <v>373</v>
      </c>
      <c r="B68" s="1320"/>
      <c r="C68" s="1320"/>
      <c r="D68" s="957"/>
      <c r="E68" s="960"/>
      <c r="F68" s="989"/>
      <c r="G68" s="792">
        <f>SUM(G65:G67)</f>
        <v>0</v>
      </c>
      <c r="H68" s="957"/>
      <c r="I68" s="990"/>
      <c r="J68" s="991"/>
      <c r="K68" s="792">
        <f>SUM(K66:K67)</f>
        <v>0</v>
      </c>
      <c r="L68" s="957"/>
      <c r="M68" s="990"/>
      <c r="N68" s="991"/>
      <c r="O68" s="792">
        <f>SUM(O66:O67)</f>
        <v>0</v>
      </c>
      <c r="P68" s="957"/>
      <c r="Q68" s="957"/>
      <c r="R68" s="957"/>
      <c r="S68" s="792">
        <f>SUM(S66:S67)</f>
        <v>0</v>
      </c>
      <c r="T68" s="957"/>
      <c r="U68" s="1295"/>
      <c r="V68" s="1295"/>
      <c r="W68" s="792">
        <f>SUM(W66:W67)</f>
        <v>0</v>
      </c>
      <c r="X68" s="957"/>
      <c r="Y68" s="1297"/>
      <c r="Z68" s="1298"/>
      <c r="AA68" s="792">
        <f>SUM(AA66:AA67)</f>
        <v>0</v>
      </c>
      <c r="AB68" s="976"/>
      <c r="AC68" s="957"/>
      <c r="AD68" s="787">
        <f>G68+K68+O68+S68+W68+AA68</f>
        <v>0</v>
      </c>
      <c r="AE68" s="971"/>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292"/>
      <c r="BH68" s="292"/>
      <c r="BI68" s="292"/>
      <c r="BJ68" s="292"/>
      <c r="BK68" s="292"/>
      <c r="BL68" s="292"/>
      <c r="BM68" s="292"/>
      <c r="BN68" s="292"/>
      <c r="BO68" s="292"/>
      <c r="BP68" s="292"/>
      <c r="BQ68" s="292"/>
      <c r="BR68" s="292"/>
      <c r="BS68" s="292"/>
      <c r="BT68" s="292"/>
      <c r="BU68" s="292"/>
      <c r="BV68" s="292"/>
      <c r="BW68" s="292"/>
      <c r="BX68" s="292"/>
      <c r="BY68" s="292"/>
      <c r="BZ68" s="292"/>
      <c r="CA68" s="292"/>
      <c r="CB68" s="292"/>
      <c r="CC68" s="292"/>
      <c r="CD68" s="292"/>
      <c r="CE68" s="292"/>
      <c r="CF68" s="292"/>
      <c r="CG68" s="292"/>
      <c r="CH68" s="292"/>
      <c r="CI68" s="292"/>
      <c r="CJ68" s="292"/>
      <c r="CK68" s="292"/>
      <c r="CL68" s="292"/>
      <c r="CM68" s="292"/>
      <c r="CN68" s="292"/>
      <c r="CO68" s="292"/>
      <c r="CP68" s="292"/>
      <c r="CQ68" s="292"/>
      <c r="CR68" s="292"/>
      <c r="CS68" s="292"/>
      <c r="CT68" s="292"/>
      <c r="CU68" s="292"/>
      <c r="CV68" s="292"/>
      <c r="CW68" s="292"/>
      <c r="CX68" s="292"/>
      <c r="CY68" s="292"/>
      <c r="CZ68" s="292"/>
      <c r="DA68" s="292"/>
      <c r="DB68" s="292"/>
      <c r="DC68" s="292"/>
      <c r="DD68" s="292"/>
      <c r="DE68" s="292"/>
      <c r="DF68" s="292"/>
      <c r="DG68" s="292"/>
      <c r="DH68" s="292"/>
      <c r="DI68" s="292"/>
      <c r="DJ68" s="292"/>
      <c r="DK68" s="292"/>
      <c r="DL68" s="292"/>
      <c r="DM68" s="292"/>
      <c r="DN68" s="292"/>
      <c r="DO68" s="292"/>
      <c r="DP68" s="292"/>
      <c r="DQ68" s="292"/>
      <c r="DR68" s="292"/>
      <c r="DS68" s="292"/>
      <c r="DT68" s="292"/>
      <c r="DU68" s="292"/>
      <c r="DV68" s="292"/>
      <c r="DW68" s="292"/>
      <c r="DX68" s="292"/>
      <c r="DY68" s="292"/>
      <c r="DZ68" s="292"/>
      <c r="EA68" s="292"/>
      <c r="EB68" s="292"/>
      <c r="EC68" s="292"/>
      <c r="ED68" s="292"/>
      <c r="EE68" s="292"/>
      <c r="EF68" s="292"/>
      <c r="EG68" s="292"/>
      <c r="EH68" s="292"/>
      <c r="EI68" s="292"/>
      <c r="EJ68" s="292"/>
      <c r="EK68" s="292"/>
      <c r="EL68" s="292"/>
      <c r="EM68" s="292"/>
      <c r="EN68" s="292"/>
      <c r="EO68" s="292"/>
      <c r="EP68" s="292"/>
      <c r="EQ68" s="292"/>
      <c r="ER68" s="292"/>
      <c r="ES68" s="292"/>
      <c r="ET68" s="292"/>
      <c r="EU68" s="292"/>
      <c r="EV68" s="292"/>
      <c r="EW68" s="292"/>
      <c r="EX68" s="292"/>
      <c r="EY68" s="292"/>
      <c r="EZ68" s="292"/>
      <c r="FA68" s="292"/>
      <c r="FB68" s="292"/>
      <c r="FC68" s="292"/>
      <c r="FD68" s="292"/>
      <c r="FE68" s="292"/>
      <c r="FF68" s="292"/>
      <c r="FG68" s="292"/>
      <c r="FH68" s="292"/>
      <c r="FI68" s="292"/>
      <c r="FJ68" s="292"/>
      <c r="FK68" s="292"/>
      <c r="FL68" s="292"/>
      <c r="FM68" s="292"/>
      <c r="FN68" s="292"/>
      <c r="FO68" s="292"/>
      <c r="FP68" s="292"/>
      <c r="FQ68" s="292"/>
      <c r="FR68" s="292"/>
      <c r="FS68" s="292"/>
      <c r="FT68" s="292"/>
      <c r="FU68" s="292"/>
      <c r="FV68" s="292"/>
      <c r="FW68" s="292"/>
      <c r="FX68" s="292"/>
      <c r="FY68" s="292"/>
      <c r="FZ68" s="292"/>
      <c r="GA68" s="292"/>
      <c r="GB68" s="292"/>
      <c r="GC68" s="292"/>
      <c r="GD68" s="292"/>
      <c r="GE68" s="292"/>
      <c r="GF68" s="292"/>
      <c r="GG68" s="292"/>
      <c r="GH68" s="292"/>
      <c r="GI68" s="292"/>
      <c r="GJ68" s="292"/>
      <c r="GK68" s="292"/>
      <c r="GL68" s="292"/>
      <c r="GM68" s="292"/>
      <c r="GN68" s="292"/>
      <c r="GO68" s="292"/>
      <c r="GP68" s="292"/>
      <c r="GQ68" s="292"/>
      <c r="GR68" s="292"/>
      <c r="GS68" s="292"/>
      <c r="GT68" s="292"/>
      <c r="GU68" s="292"/>
      <c r="GV68" s="292"/>
      <c r="GW68" s="292"/>
      <c r="GX68" s="292"/>
      <c r="GY68" s="292"/>
      <c r="GZ68" s="292"/>
      <c r="HA68" s="292"/>
      <c r="HB68" s="292"/>
      <c r="HC68" s="292"/>
      <c r="HD68" s="292"/>
      <c r="HE68" s="292"/>
      <c r="HF68" s="292"/>
      <c r="HG68" s="292"/>
      <c r="HH68" s="292"/>
      <c r="HI68" s="292"/>
      <c r="HJ68" s="292"/>
      <c r="HK68" s="292"/>
      <c r="HL68" s="292"/>
      <c r="HM68" s="292"/>
      <c r="HN68" s="292"/>
      <c r="HO68" s="292"/>
      <c r="HP68" s="292"/>
      <c r="HQ68" s="292"/>
      <c r="HR68" s="292"/>
      <c r="HS68" s="292"/>
      <c r="HT68" s="292"/>
      <c r="HU68" s="292"/>
      <c r="HV68" s="292"/>
      <c r="HW68" s="292"/>
      <c r="HX68" s="292"/>
      <c r="HY68" s="292"/>
      <c r="HZ68" s="292"/>
      <c r="IA68" s="292"/>
      <c r="IB68" s="292"/>
      <c r="IC68" s="292"/>
      <c r="ID68" s="292"/>
      <c r="IE68" s="292"/>
      <c r="IF68" s="292"/>
      <c r="IG68" s="292"/>
      <c r="IH68" s="292"/>
      <c r="II68" s="292"/>
      <c r="IJ68" s="292"/>
      <c r="IK68" s="292"/>
      <c r="IL68" s="292"/>
      <c r="IM68" s="292"/>
      <c r="IN68" s="292"/>
      <c r="IO68" s="292"/>
      <c r="IP68" s="292"/>
      <c r="IQ68" s="292"/>
      <c r="IR68" s="292"/>
      <c r="IS68" s="292"/>
      <c r="IT68" s="292"/>
      <c r="IU68" s="292"/>
      <c r="IV68" s="292"/>
      <c r="IW68" s="292"/>
      <c r="IX68" s="292"/>
      <c r="IY68" s="292"/>
      <c r="IZ68" s="292"/>
      <c r="JA68" s="292"/>
      <c r="JB68" s="292"/>
      <c r="JC68" s="292"/>
      <c r="JD68" s="292"/>
      <c r="JE68" s="292"/>
      <c r="JF68" s="292"/>
      <c r="JG68" s="292"/>
      <c r="JH68" s="292"/>
      <c r="JI68" s="292"/>
      <c r="JJ68" s="292"/>
      <c r="JK68" s="292"/>
      <c r="JL68" s="292"/>
      <c r="JM68" s="292"/>
      <c r="JN68" s="292"/>
      <c r="JO68" s="292"/>
      <c r="JP68" s="292"/>
      <c r="JQ68" s="292"/>
      <c r="JR68" s="292"/>
      <c r="JS68" s="292"/>
      <c r="JT68" s="292"/>
      <c r="JU68" s="292"/>
      <c r="JV68" s="292"/>
      <c r="JW68" s="292"/>
      <c r="JX68" s="292"/>
      <c r="JY68" s="292"/>
      <c r="JZ68" s="292"/>
      <c r="KA68" s="292"/>
      <c r="KB68" s="292"/>
      <c r="KC68" s="292"/>
      <c r="KD68" s="292"/>
      <c r="KE68" s="292"/>
      <c r="KF68" s="292"/>
      <c r="KG68" s="292"/>
      <c r="KH68" s="292"/>
      <c r="KI68" s="292"/>
      <c r="KJ68" s="292"/>
      <c r="KK68" s="292"/>
      <c r="KL68" s="292"/>
      <c r="KM68" s="292"/>
      <c r="KN68" s="292"/>
      <c r="KO68" s="292"/>
      <c r="KP68" s="292"/>
      <c r="KQ68" s="292"/>
      <c r="KR68" s="292"/>
      <c r="KS68" s="292"/>
      <c r="KT68" s="292"/>
      <c r="KU68" s="292"/>
      <c r="KV68" s="292"/>
      <c r="KW68" s="292"/>
      <c r="KX68" s="292"/>
      <c r="KY68" s="292"/>
      <c r="KZ68" s="292"/>
      <c r="LA68" s="292"/>
      <c r="LB68" s="292"/>
      <c r="LC68" s="292"/>
      <c r="LD68" s="292"/>
      <c r="LE68" s="292"/>
      <c r="LF68" s="292"/>
      <c r="LG68" s="292"/>
      <c r="LH68" s="292"/>
      <c r="LI68" s="292"/>
      <c r="LJ68" s="292"/>
      <c r="LK68" s="292"/>
      <c r="LL68" s="292"/>
      <c r="LM68" s="292"/>
      <c r="LN68" s="292"/>
      <c r="LO68" s="292"/>
      <c r="LP68" s="292"/>
      <c r="LQ68" s="292"/>
      <c r="LR68" s="292"/>
      <c r="LS68" s="292"/>
      <c r="LT68" s="292"/>
      <c r="LU68" s="292"/>
      <c r="LV68" s="292"/>
      <c r="LW68" s="292"/>
      <c r="LX68" s="292"/>
      <c r="LY68" s="292"/>
      <c r="LZ68" s="292"/>
      <c r="MA68" s="292"/>
      <c r="MB68" s="292"/>
      <c r="MC68" s="292"/>
      <c r="MD68" s="292"/>
      <c r="ME68" s="292"/>
      <c r="MF68" s="292"/>
      <c r="MG68" s="292"/>
      <c r="MH68" s="292"/>
      <c r="MI68" s="292"/>
      <c r="MJ68" s="292"/>
      <c r="MK68" s="292"/>
      <c r="ML68" s="292"/>
      <c r="MM68" s="292"/>
      <c r="MN68" s="292"/>
      <c r="MO68" s="292"/>
      <c r="MP68" s="292"/>
      <c r="MQ68" s="292"/>
      <c r="MR68" s="292"/>
      <c r="MS68" s="292"/>
      <c r="MT68" s="292"/>
      <c r="MU68" s="292"/>
      <c r="MV68" s="292"/>
      <c r="MW68" s="292"/>
      <c r="MX68" s="292"/>
      <c r="MY68" s="292"/>
      <c r="MZ68" s="292"/>
      <c r="NA68" s="292"/>
      <c r="NB68" s="292"/>
      <c r="NC68" s="292"/>
      <c r="ND68" s="292"/>
      <c r="NE68" s="292"/>
      <c r="NF68" s="292"/>
      <c r="NG68" s="292"/>
      <c r="NH68" s="292"/>
      <c r="NI68" s="292"/>
      <c r="NJ68" s="292"/>
      <c r="NK68" s="292"/>
      <c r="NL68" s="292"/>
      <c r="NM68" s="292"/>
      <c r="NN68" s="292"/>
      <c r="NO68" s="292"/>
      <c r="NP68" s="292"/>
      <c r="NQ68" s="292"/>
      <c r="NR68" s="292"/>
      <c r="NS68" s="292"/>
      <c r="NT68" s="292"/>
      <c r="NU68" s="292"/>
      <c r="NV68" s="292"/>
      <c r="NW68" s="292"/>
      <c r="NX68" s="292"/>
      <c r="NY68" s="292"/>
      <c r="NZ68" s="292"/>
      <c r="OA68" s="292"/>
      <c r="OB68" s="292"/>
      <c r="OC68" s="292"/>
      <c r="OD68" s="292"/>
      <c r="OE68" s="292"/>
      <c r="OF68" s="292"/>
      <c r="OG68" s="292"/>
      <c r="OH68" s="292"/>
      <c r="OI68" s="292"/>
      <c r="OJ68" s="292"/>
      <c r="OK68" s="292"/>
      <c r="OL68" s="292"/>
      <c r="OM68" s="292"/>
      <c r="ON68" s="292"/>
      <c r="OO68" s="292"/>
      <c r="OP68" s="292"/>
      <c r="OQ68" s="292"/>
      <c r="OR68" s="292"/>
      <c r="OS68" s="292"/>
      <c r="OT68" s="292"/>
      <c r="OU68" s="292"/>
      <c r="OV68" s="292"/>
      <c r="OW68" s="292"/>
      <c r="OX68" s="292"/>
      <c r="OY68" s="292"/>
      <c r="OZ68" s="292"/>
      <c r="PA68" s="292"/>
      <c r="PB68" s="292"/>
      <c r="PC68" s="292"/>
      <c r="PD68" s="292"/>
      <c r="PE68" s="292"/>
      <c r="PF68" s="292"/>
      <c r="PG68" s="292"/>
      <c r="PH68" s="292"/>
      <c r="PI68" s="292"/>
      <c r="PJ68" s="292"/>
      <c r="PK68" s="292"/>
      <c r="PL68" s="292"/>
      <c r="PM68" s="292"/>
      <c r="PN68" s="292"/>
      <c r="PO68" s="292"/>
      <c r="PP68" s="292"/>
      <c r="PQ68" s="292"/>
      <c r="PR68" s="292"/>
      <c r="PS68" s="292"/>
      <c r="PT68" s="292"/>
      <c r="PU68" s="292"/>
      <c r="PV68" s="292"/>
      <c r="PW68" s="292"/>
      <c r="PX68" s="292"/>
      <c r="PY68" s="292"/>
      <c r="PZ68" s="292"/>
      <c r="QA68" s="292"/>
      <c r="QB68" s="292"/>
      <c r="QC68" s="292"/>
      <c r="QD68" s="292"/>
      <c r="QE68" s="292"/>
      <c r="QF68" s="292"/>
      <c r="QG68" s="292"/>
      <c r="QH68" s="292"/>
      <c r="QI68" s="292"/>
      <c r="QJ68" s="292"/>
      <c r="QK68" s="292"/>
      <c r="QL68" s="292"/>
      <c r="QM68" s="292"/>
      <c r="QN68" s="292"/>
      <c r="QO68" s="292"/>
      <c r="QP68" s="292"/>
      <c r="QQ68" s="292"/>
      <c r="QR68" s="292"/>
      <c r="QS68" s="292"/>
      <c r="QT68" s="292"/>
      <c r="QU68" s="292"/>
      <c r="QV68" s="292"/>
      <c r="QW68" s="292"/>
      <c r="QX68" s="292"/>
      <c r="QY68" s="292"/>
      <c r="QZ68" s="292"/>
      <c r="RA68" s="292"/>
      <c r="RB68" s="292"/>
      <c r="RC68" s="292"/>
      <c r="RD68" s="292"/>
      <c r="RE68" s="292"/>
      <c r="RF68" s="292"/>
      <c r="RG68" s="292"/>
      <c r="RH68" s="292"/>
      <c r="RI68" s="292"/>
      <c r="RJ68" s="292"/>
      <c r="RK68" s="292"/>
      <c r="RL68" s="292"/>
      <c r="RM68" s="292"/>
      <c r="RN68" s="292"/>
      <c r="RO68" s="292"/>
      <c r="RP68" s="292"/>
      <c r="RQ68" s="292"/>
      <c r="RR68" s="292"/>
      <c r="RS68" s="292"/>
      <c r="RT68" s="292"/>
      <c r="RU68" s="292"/>
      <c r="RV68" s="292"/>
      <c r="RW68" s="292"/>
      <c r="RX68" s="292"/>
      <c r="RY68" s="292"/>
      <c r="RZ68" s="292"/>
      <c r="SA68" s="292"/>
      <c r="SB68" s="292"/>
      <c r="SC68" s="292"/>
      <c r="SD68" s="292"/>
      <c r="SE68" s="292"/>
      <c r="SF68" s="292"/>
      <c r="SG68" s="292"/>
      <c r="SH68" s="292"/>
      <c r="SI68" s="292"/>
      <c r="SJ68" s="292"/>
      <c r="SK68" s="292"/>
      <c r="SL68" s="292"/>
      <c r="SM68" s="292"/>
      <c r="SN68" s="292"/>
      <c r="SO68" s="292"/>
      <c r="SP68" s="292"/>
      <c r="SQ68" s="292"/>
      <c r="SR68" s="292"/>
      <c r="SS68" s="292"/>
      <c r="ST68" s="292"/>
      <c r="SU68" s="292"/>
    </row>
    <row r="69" spans="1:515" s="624" customFormat="1" ht="11.5" customHeight="1" x14ac:dyDescent="0.25">
      <c r="A69" s="986"/>
      <c r="B69" s="984"/>
      <c r="C69" s="984"/>
      <c r="D69" s="957"/>
      <c r="E69" s="960"/>
      <c r="F69" s="960"/>
      <c r="G69" s="981"/>
      <c r="H69" s="957"/>
      <c r="I69" s="957"/>
      <c r="J69" s="957"/>
      <c r="K69" s="981"/>
      <c r="L69" s="957"/>
      <c r="M69" s="957"/>
      <c r="N69" s="957"/>
      <c r="O69" s="981"/>
      <c r="P69" s="957"/>
      <c r="Q69" s="957"/>
      <c r="R69" s="957"/>
      <c r="S69" s="981"/>
      <c r="T69" s="957"/>
      <c r="U69" s="1180"/>
      <c r="V69" s="1180"/>
      <c r="W69" s="981"/>
      <c r="X69" s="957"/>
      <c r="Y69" s="1180"/>
      <c r="Z69" s="1180"/>
      <c r="AA69" s="981"/>
      <c r="AB69" s="976"/>
      <c r="AC69" s="957"/>
      <c r="AD69" s="976"/>
      <c r="AE69" s="971"/>
      <c r="AF69" s="292"/>
      <c r="AG69" s="292"/>
      <c r="AH69" s="292"/>
      <c r="AI69" s="292"/>
      <c r="AJ69" s="292"/>
      <c r="AK69" s="292"/>
      <c r="AL69" s="292"/>
      <c r="AM69" s="292"/>
      <c r="AN69" s="292"/>
      <c r="AO69" s="292"/>
      <c r="AP69" s="292"/>
      <c r="AQ69" s="292"/>
      <c r="AR69" s="292"/>
      <c r="AS69" s="292"/>
      <c r="AT69" s="292"/>
      <c r="AU69" s="292"/>
      <c r="AV69" s="292"/>
      <c r="AW69" s="292"/>
      <c r="AX69" s="292"/>
      <c r="AY69" s="292"/>
      <c r="AZ69" s="292"/>
      <c r="BA69" s="292"/>
      <c r="BB69" s="292"/>
      <c r="BC69" s="292"/>
      <c r="BD69" s="292"/>
      <c r="BE69" s="292"/>
      <c r="BF69" s="292"/>
      <c r="BG69" s="292"/>
      <c r="BH69" s="292"/>
      <c r="BI69" s="292"/>
      <c r="BJ69" s="292"/>
      <c r="BK69" s="292"/>
      <c r="BL69" s="292"/>
      <c r="BM69" s="292"/>
      <c r="BN69" s="292"/>
      <c r="BO69" s="292"/>
      <c r="BP69" s="292"/>
      <c r="BQ69" s="292"/>
      <c r="BR69" s="292"/>
      <c r="BS69" s="292"/>
      <c r="BT69" s="292"/>
      <c r="BU69" s="292"/>
      <c r="BV69" s="292"/>
      <c r="BW69" s="292"/>
      <c r="BX69" s="292"/>
      <c r="BY69" s="292"/>
      <c r="BZ69" s="292"/>
      <c r="CA69" s="292"/>
      <c r="CB69" s="292"/>
      <c r="CC69" s="292"/>
      <c r="CD69" s="292"/>
      <c r="CE69" s="292"/>
      <c r="CF69" s="292"/>
      <c r="CG69" s="292"/>
      <c r="CH69" s="292"/>
      <c r="CI69" s="292"/>
      <c r="CJ69" s="292"/>
      <c r="CK69" s="292"/>
      <c r="CL69" s="292"/>
      <c r="CM69" s="292"/>
      <c r="CN69" s="292"/>
      <c r="CO69" s="292"/>
      <c r="CP69" s="292"/>
      <c r="CQ69" s="292"/>
      <c r="CR69" s="292"/>
      <c r="CS69" s="292"/>
      <c r="CT69" s="292"/>
      <c r="CU69" s="292"/>
      <c r="CV69" s="292"/>
      <c r="CW69" s="292"/>
      <c r="CX69" s="292"/>
      <c r="CY69" s="292"/>
      <c r="CZ69" s="292"/>
      <c r="DA69" s="292"/>
      <c r="DB69" s="292"/>
      <c r="DC69" s="292"/>
      <c r="DD69" s="292"/>
      <c r="DE69" s="292"/>
      <c r="DF69" s="292"/>
      <c r="DG69" s="292"/>
      <c r="DH69" s="292"/>
      <c r="DI69" s="292"/>
      <c r="DJ69" s="292"/>
      <c r="DK69" s="292"/>
      <c r="DL69" s="292"/>
      <c r="DM69" s="292"/>
      <c r="DN69" s="292"/>
      <c r="DO69" s="292"/>
      <c r="DP69" s="292"/>
      <c r="DQ69" s="292"/>
      <c r="DR69" s="292"/>
      <c r="DS69" s="292"/>
      <c r="DT69" s="292"/>
      <c r="DU69" s="292"/>
      <c r="DV69" s="292"/>
      <c r="DW69" s="292"/>
      <c r="DX69" s="292"/>
      <c r="DY69" s="292"/>
      <c r="DZ69" s="292"/>
      <c r="EA69" s="292"/>
      <c r="EB69" s="292"/>
      <c r="EC69" s="292"/>
      <c r="ED69" s="292"/>
      <c r="EE69" s="292"/>
      <c r="EF69" s="292"/>
      <c r="EG69" s="292"/>
      <c r="EH69" s="292"/>
      <c r="EI69" s="292"/>
      <c r="EJ69" s="292"/>
      <c r="EK69" s="292"/>
      <c r="EL69" s="292"/>
      <c r="EM69" s="292"/>
      <c r="EN69" s="292"/>
      <c r="EO69" s="292"/>
      <c r="EP69" s="292"/>
      <c r="EQ69" s="292"/>
      <c r="ER69" s="292"/>
      <c r="ES69" s="292"/>
      <c r="ET69" s="292"/>
      <c r="EU69" s="292"/>
      <c r="EV69" s="292"/>
      <c r="EW69" s="292"/>
      <c r="EX69" s="292"/>
      <c r="EY69" s="292"/>
      <c r="EZ69" s="292"/>
      <c r="FA69" s="292"/>
      <c r="FB69" s="292"/>
      <c r="FC69" s="292"/>
      <c r="FD69" s="292"/>
      <c r="FE69" s="292"/>
      <c r="FF69" s="292"/>
      <c r="FG69" s="292"/>
      <c r="FH69" s="292"/>
      <c r="FI69" s="292"/>
      <c r="FJ69" s="292"/>
      <c r="FK69" s="292"/>
      <c r="FL69" s="292"/>
      <c r="FM69" s="292"/>
      <c r="FN69" s="292"/>
      <c r="FO69" s="292"/>
      <c r="FP69" s="292"/>
      <c r="FQ69" s="292"/>
      <c r="FR69" s="292"/>
      <c r="FS69" s="292"/>
      <c r="FT69" s="292"/>
      <c r="FU69" s="292"/>
      <c r="FV69" s="292"/>
      <c r="FW69" s="292"/>
      <c r="FX69" s="292"/>
      <c r="FY69" s="292"/>
      <c r="FZ69" s="292"/>
      <c r="GA69" s="292"/>
      <c r="GB69" s="292"/>
      <c r="GC69" s="292"/>
      <c r="GD69" s="292"/>
      <c r="GE69" s="292"/>
      <c r="GF69" s="292"/>
      <c r="GG69" s="292"/>
      <c r="GH69" s="292"/>
      <c r="GI69" s="292"/>
      <c r="GJ69" s="292"/>
      <c r="GK69" s="292"/>
      <c r="GL69" s="292"/>
      <c r="GM69" s="292"/>
      <c r="GN69" s="292"/>
      <c r="GO69" s="292"/>
      <c r="GP69" s="292"/>
      <c r="GQ69" s="292"/>
      <c r="GR69" s="292"/>
      <c r="GS69" s="292"/>
      <c r="GT69" s="292"/>
      <c r="GU69" s="292"/>
      <c r="GV69" s="292"/>
      <c r="GW69" s="292"/>
      <c r="GX69" s="292"/>
      <c r="GY69" s="292"/>
      <c r="GZ69" s="292"/>
      <c r="HA69" s="292"/>
      <c r="HB69" s="292"/>
      <c r="HC69" s="292"/>
      <c r="HD69" s="292"/>
      <c r="HE69" s="292"/>
      <c r="HF69" s="292"/>
      <c r="HG69" s="292"/>
      <c r="HH69" s="292"/>
      <c r="HI69" s="292"/>
      <c r="HJ69" s="292"/>
      <c r="HK69" s="292"/>
      <c r="HL69" s="292"/>
      <c r="HM69" s="292"/>
      <c r="HN69" s="292"/>
      <c r="HO69" s="292"/>
      <c r="HP69" s="292"/>
      <c r="HQ69" s="292"/>
      <c r="HR69" s="292"/>
      <c r="HS69" s="292"/>
      <c r="HT69" s="292"/>
      <c r="HU69" s="292"/>
      <c r="HV69" s="292"/>
      <c r="HW69" s="292"/>
      <c r="HX69" s="292"/>
      <c r="HY69" s="292"/>
      <c r="HZ69" s="292"/>
      <c r="IA69" s="292"/>
      <c r="IB69" s="292"/>
      <c r="IC69" s="292"/>
      <c r="ID69" s="292"/>
      <c r="IE69" s="292"/>
      <c r="IF69" s="292"/>
      <c r="IG69" s="292"/>
      <c r="IH69" s="292"/>
      <c r="II69" s="292"/>
      <c r="IJ69" s="292"/>
      <c r="IK69" s="292"/>
      <c r="IL69" s="292"/>
      <c r="IM69" s="292"/>
      <c r="IN69" s="292"/>
      <c r="IO69" s="292"/>
      <c r="IP69" s="292"/>
      <c r="IQ69" s="292"/>
      <c r="IR69" s="292"/>
      <c r="IS69" s="292"/>
      <c r="IT69" s="292"/>
      <c r="IU69" s="292"/>
      <c r="IV69" s="292"/>
      <c r="IW69" s="292"/>
      <c r="IX69" s="292"/>
      <c r="IY69" s="292"/>
      <c r="IZ69" s="292"/>
      <c r="JA69" s="292"/>
      <c r="JB69" s="292"/>
      <c r="JC69" s="292"/>
      <c r="JD69" s="292"/>
      <c r="JE69" s="292"/>
      <c r="JF69" s="292"/>
      <c r="JG69" s="292"/>
      <c r="JH69" s="292"/>
      <c r="JI69" s="292"/>
      <c r="JJ69" s="292"/>
      <c r="JK69" s="292"/>
      <c r="JL69" s="292"/>
      <c r="JM69" s="292"/>
      <c r="JN69" s="292"/>
      <c r="JO69" s="292"/>
      <c r="JP69" s="292"/>
      <c r="JQ69" s="292"/>
      <c r="JR69" s="292"/>
      <c r="JS69" s="292"/>
      <c r="JT69" s="292"/>
      <c r="JU69" s="292"/>
      <c r="JV69" s="292"/>
      <c r="JW69" s="292"/>
      <c r="JX69" s="292"/>
      <c r="JY69" s="292"/>
      <c r="JZ69" s="292"/>
      <c r="KA69" s="292"/>
      <c r="KB69" s="292"/>
      <c r="KC69" s="292"/>
      <c r="KD69" s="292"/>
      <c r="KE69" s="292"/>
      <c r="KF69" s="292"/>
      <c r="KG69" s="292"/>
      <c r="KH69" s="292"/>
      <c r="KI69" s="292"/>
      <c r="KJ69" s="292"/>
      <c r="KK69" s="292"/>
      <c r="KL69" s="292"/>
      <c r="KM69" s="292"/>
      <c r="KN69" s="292"/>
      <c r="KO69" s="292"/>
      <c r="KP69" s="292"/>
      <c r="KQ69" s="292"/>
      <c r="KR69" s="292"/>
      <c r="KS69" s="292"/>
      <c r="KT69" s="292"/>
      <c r="KU69" s="292"/>
      <c r="KV69" s="292"/>
      <c r="KW69" s="292"/>
      <c r="KX69" s="292"/>
      <c r="KY69" s="292"/>
      <c r="KZ69" s="292"/>
      <c r="LA69" s="292"/>
      <c r="LB69" s="292"/>
      <c r="LC69" s="292"/>
      <c r="LD69" s="292"/>
      <c r="LE69" s="292"/>
      <c r="LF69" s="292"/>
      <c r="LG69" s="292"/>
      <c r="LH69" s="292"/>
      <c r="LI69" s="292"/>
      <c r="LJ69" s="292"/>
      <c r="LK69" s="292"/>
      <c r="LL69" s="292"/>
      <c r="LM69" s="292"/>
      <c r="LN69" s="292"/>
      <c r="LO69" s="292"/>
      <c r="LP69" s="292"/>
      <c r="LQ69" s="292"/>
      <c r="LR69" s="292"/>
      <c r="LS69" s="292"/>
      <c r="LT69" s="292"/>
      <c r="LU69" s="292"/>
      <c r="LV69" s="292"/>
      <c r="LW69" s="292"/>
      <c r="LX69" s="292"/>
      <c r="LY69" s="292"/>
      <c r="LZ69" s="292"/>
      <c r="MA69" s="292"/>
      <c r="MB69" s="292"/>
      <c r="MC69" s="292"/>
      <c r="MD69" s="292"/>
      <c r="ME69" s="292"/>
      <c r="MF69" s="292"/>
      <c r="MG69" s="292"/>
      <c r="MH69" s="292"/>
      <c r="MI69" s="292"/>
      <c r="MJ69" s="292"/>
      <c r="MK69" s="292"/>
      <c r="ML69" s="292"/>
      <c r="MM69" s="292"/>
      <c r="MN69" s="292"/>
      <c r="MO69" s="292"/>
      <c r="MP69" s="292"/>
      <c r="MQ69" s="292"/>
      <c r="MR69" s="292"/>
      <c r="MS69" s="292"/>
      <c r="MT69" s="292"/>
      <c r="MU69" s="292"/>
      <c r="MV69" s="292"/>
      <c r="MW69" s="292"/>
      <c r="MX69" s="292"/>
      <c r="MY69" s="292"/>
      <c r="MZ69" s="292"/>
      <c r="NA69" s="292"/>
      <c r="NB69" s="292"/>
      <c r="NC69" s="292"/>
      <c r="ND69" s="292"/>
      <c r="NE69" s="292"/>
      <c r="NF69" s="292"/>
      <c r="NG69" s="292"/>
      <c r="NH69" s="292"/>
      <c r="NI69" s="292"/>
      <c r="NJ69" s="292"/>
      <c r="NK69" s="292"/>
      <c r="NL69" s="292"/>
      <c r="NM69" s="292"/>
      <c r="NN69" s="292"/>
      <c r="NO69" s="292"/>
      <c r="NP69" s="292"/>
      <c r="NQ69" s="292"/>
      <c r="NR69" s="292"/>
      <c r="NS69" s="292"/>
      <c r="NT69" s="292"/>
      <c r="NU69" s="292"/>
      <c r="NV69" s="292"/>
      <c r="NW69" s="292"/>
      <c r="NX69" s="292"/>
      <c r="NY69" s="292"/>
      <c r="NZ69" s="292"/>
      <c r="OA69" s="292"/>
      <c r="OB69" s="292"/>
      <c r="OC69" s="292"/>
      <c r="OD69" s="292"/>
      <c r="OE69" s="292"/>
      <c r="OF69" s="292"/>
      <c r="OG69" s="292"/>
      <c r="OH69" s="292"/>
      <c r="OI69" s="292"/>
      <c r="OJ69" s="292"/>
      <c r="OK69" s="292"/>
      <c r="OL69" s="292"/>
      <c r="OM69" s="292"/>
      <c r="ON69" s="292"/>
      <c r="OO69" s="292"/>
      <c r="OP69" s="292"/>
      <c r="OQ69" s="292"/>
      <c r="OR69" s="292"/>
      <c r="OS69" s="292"/>
      <c r="OT69" s="292"/>
      <c r="OU69" s="292"/>
      <c r="OV69" s="292"/>
      <c r="OW69" s="292"/>
      <c r="OX69" s="292"/>
      <c r="OY69" s="292"/>
      <c r="OZ69" s="292"/>
      <c r="PA69" s="292"/>
      <c r="PB69" s="292"/>
      <c r="PC69" s="292"/>
      <c r="PD69" s="292"/>
      <c r="PE69" s="292"/>
      <c r="PF69" s="292"/>
      <c r="PG69" s="292"/>
      <c r="PH69" s="292"/>
      <c r="PI69" s="292"/>
      <c r="PJ69" s="292"/>
      <c r="PK69" s="292"/>
      <c r="PL69" s="292"/>
      <c r="PM69" s="292"/>
      <c r="PN69" s="292"/>
      <c r="PO69" s="292"/>
      <c r="PP69" s="292"/>
      <c r="PQ69" s="292"/>
      <c r="PR69" s="292"/>
      <c r="PS69" s="292"/>
      <c r="PT69" s="292"/>
      <c r="PU69" s="292"/>
      <c r="PV69" s="292"/>
      <c r="PW69" s="292"/>
      <c r="PX69" s="292"/>
      <c r="PY69" s="292"/>
      <c r="PZ69" s="292"/>
      <c r="QA69" s="292"/>
      <c r="QB69" s="292"/>
      <c r="QC69" s="292"/>
      <c r="QD69" s="292"/>
      <c r="QE69" s="292"/>
      <c r="QF69" s="292"/>
      <c r="QG69" s="292"/>
      <c r="QH69" s="292"/>
      <c r="QI69" s="292"/>
      <c r="QJ69" s="292"/>
      <c r="QK69" s="292"/>
      <c r="QL69" s="292"/>
      <c r="QM69" s="292"/>
      <c r="QN69" s="292"/>
      <c r="QO69" s="292"/>
      <c r="QP69" s="292"/>
      <c r="QQ69" s="292"/>
      <c r="QR69" s="292"/>
      <c r="QS69" s="292"/>
      <c r="QT69" s="292"/>
      <c r="QU69" s="292"/>
      <c r="QV69" s="292"/>
      <c r="QW69" s="292"/>
      <c r="QX69" s="292"/>
      <c r="QY69" s="292"/>
      <c r="QZ69" s="292"/>
      <c r="RA69" s="292"/>
      <c r="RB69" s="292"/>
      <c r="RC69" s="292"/>
      <c r="RD69" s="292"/>
      <c r="RE69" s="292"/>
      <c r="RF69" s="292"/>
      <c r="RG69" s="292"/>
      <c r="RH69" s="292"/>
      <c r="RI69" s="292"/>
      <c r="RJ69" s="292"/>
      <c r="RK69" s="292"/>
      <c r="RL69" s="292"/>
      <c r="RM69" s="292"/>
      <c r="RN69" s="292"/>
      <c r="RO69" s="292"/>
      <c r="RP69" s="292"/>
      <c r="RQ69" s="292"/>
      <c r="RR69" s="292"/>
      <c r="RS69" s="292"/>
      <c r="RT69" s="292"/>
      <c r="RU69" s="292"/>
      <c r="RV69" s="292"/>
      <c r="RW69" s="292"/>
      <c r="RX69" s="292"/>
      <c r="RY69" s="292"/>
      <c r="RZ69" s="292"/>
      <c r="SA69" s="292"/>
      <c r="SB69" s="292"/>
      <c r="SC69" s="292"/>
      <c r="SD69" s="292"/>
      <c r="SE69" s="292"/>
      <c r="SF69" s="292"/>
      <c r="SG69" s="292"/>
      <c r="SH69" s="292"/>
      <c r="SI69" s="292"/>
      <c r="SJ69" s="292"/>
      <c r="SK69" s="292"/>
      <c r="SL69" s="292"/>
      <c r="SM69" s="292"/>
      <c r="SN69" s="292"/>
      <c r="SO69" s="292"/>
      <c r="SP69" s="292"/>
      <c r="SQ69" s="292"/>
      <c r="SR69" s="292"/>
      <c r="SS69" s="292"/>
      <c r="ST69" s="292"/>
      <c r="SU69" s="292"/>
    </row>
    <row r="70" spans="1:515" s="624" customFormat="1" ht="11.5" customHeight="1" x14ac:dyDescent="0.25">
      <c r="A70" s="986"/>
      <c r="B70" s="984"/>
      <c r="C70" s="984"/>
      <c r="D70" s="957"/>
      <c r="E70" s="960"/>
      <c r="F70" s="960"/>
      <c r="G70" s="981"/>
      <c r="H70" s="957"/>
      <c r="I70" s="957"/>
      <c r="J70" s="957"/>
      <c r="K70" s="981"/>
      <c r="L70" s="957"/>
      <c r="M70" s="957"/>
      <c r="N70" s="957"/>
      <c r="O70" s="981"/>
      <c r="P70" s="957"/>
      <c r="Q70" s="957"/>
      <c r="R70" s="957"/>
      <c r="S70" s="981"/>
      <c r="T70" s="957"/>
      <c r="U70" s="1180"/>
      <c r="V70" s="1180"/>
      <c r="W70" s="981"/>
      <c r="X70" s="957"/>
      <c r="Y70" s="1180"/>
      <c r="Z70" s="1180"/>
      <c r="AA70" s="981"/>
      <c r="AB70" s="976"/>
      <c r="AC70" s="957"/>
      <c r="AD70" s="976"/>
      <c r="AE70" s="971"/>
      <c r="AF70" s="292"/>
      <c r="AG70" s="292"/>
      <c r="AH70" s="292"/>
      <c r="AI70" s="292"/>
      <c r="AJ70" s="292"/>
      <c r="AK70" s="292"/>
      <c r="AL70" s="292"/>
      <c r="AM70" s="292"/>
      <c r="AN70" s="292"/>
      <c r="AO70" s="292"/>
      <c r="AP70" s="292"/>
      <c r="AQ70" s="292"/>
      <c r="AR70" s="292"/>
      <c r="AS70" s="292"/>
      <c r="AT70" s="292"/>
      <c r="AU70" s="292"/>
      <c r="AV70" s="292"/>
      <c r="AW70" s="292"/>
      <c r="AX70" s="292"/>
      <c r="AY70" s="292"/>
      <c r="AZ70" s="292"/>
      <c r="BA70" s="292"/>
      <c r="BB70" s="292"/>
      <c r="BC70" s="292"/>
      <c r="BD70" s="292"/>
      <c r="BE70" s="292"/>
      <c r="BF70" s="292"/>
      <c r="BG70" s="292"/>
      <c r="BH70" s="292"/>
      <c r="BI70" s="292"/>
      <c r="BJ70" s="292"/>
      <c r="BK70" s="292"/>
      <c r="BL70" s="292"/>
      <c r="BM70" s="292"/>
      <c r="BN70" s="292"/>
      <c r="BO70" s="292"/>
      <c r="BP70" s="292"/>
      <c r="BQ70" s="292"/>
      <c r="BR70" s="292"/>
      <c r="BS70" s="292"/>
      <c r="BT70" s="292"/>
      <c r="BU70" s="292"/>
      <c r="BV70" s="292"/>
      <c r="BW70" s="292"/>
      <c r="BX70" s="292"/>
      <c r="BY70" s="292"/>
      <c r="BZ70" s="292"/>
      <c r="CA70" s="292"/>
      <c r="CB70" s="292"/>
      <c r="CC70" s="292"/>
      <c r="CD70" s="292"/>
      <c r="CE70" s="292"/>
      <c r="CF70" s="292"/>
      <c r="CG70" s="292"/>
      <c r="CH70" s="292"/>
      <c r="CI70" s="292"/>
      <c r="CJ70" s="292"/>
      <c r="CK70" s="292"/>
      <c r="CL70" s="292"/>
      <c r="CM70" s="292"/>
      <c r="CN70" s="292"/>
      <c r="CO70" s="292"/>
      <c r="CP70" s="292"/>
      <c r="CQ70" s="292"/>
      <c r="CR70" s="292"/>
      <c r="CS70" s="292"/>
      <c r="CT70" s="292"/>
      <c r="CU70" s="292"/>
      <c r="CV70" s="292"/>
      <c r="CW70" s="292"/>
      <c r="CX70" s="292"/>
      <c r="CY70" s="292"/>
      <c r="CZ70" s="292"/>
      <c r="DA70" s="292"/>
      <c r="DB70" s="292"/>
      <c r="DC70" s="292"/>
      <c r="DD70" s="292"/>
      <c r="DE70" s="292"/>
      <c r="DF70" s="292"/>
      <c r="DG70" s="292"/>
      <c r="DH70" s="292"/>
      <c r="DI70" s="292"/>
      <c r="DJ70" s="292"/>
      <c r="DK70" s="292"/>
      <c r="DL70" s="292"/>
      <c r="DM70" s="292"/>
      <c r="DN70" s="292"/>
      <c r="DO70" s="292"/>
      <c r="DP70" s="292"/>
      <c r="DQ70" s="292"/>
      <c r="DR70" s="292"/>
      <c r="DS70" s="292"/>
      <c r="DT70" s="292"/>
      <c r="DU70" s="292"/>
      <c r="DV70" s="292"/>
      <c r="DW70" s="292"/>
      <c r="DX70" s="292"/>
      <c r="DY70" s="292"/>
      <c r="DZ70" s="292"/>
      <c r="EA70" s="292"/>
      <c r="EB70" s="292"/>
      <c r="EC70" s="292"/>
      <c r="ED70" s="292"/>
      <c r="EE70" s="292"/>
      <c r="EF70" s="292"/>
      <c r="EG70" s="292"/>
      <c r="EH70" s="292"/>
      <c r="EI70" s="292"/>
      <c r="EJ70" s="292"/>
      <c r="EK70" s="292"/>
      <c r="EL70" s="292"/>
      <c r="EM70" s="292"/>
      <c r="EN70" s="292"/>
      <c r="EO70" s="292"/>
      <c r="EP70" s="292"/>
      <c r="EQ70" s="292"/>
      <c r="ER70" s="292"/>
      <c r="ES70" s="292"/>
      <c r="ET70" s="292"/>
      <c r="EU70" s="292"/>
      <c r="EV70" s="292"/>
      <c r="EW70" s="292"/>
      <c r="EX70" s="292"/>
      <c r="EY70" s="292"/>
      <c r="EZ70" s="292"/>
      <c r="FA70" s="292"/>
      <c r="FB70" s="292"/>
      <c r="FC70" s="292"/>
      <c r="FD70" s="292"/>
      <c r="FE70" s="292"/>
      <c r="FF70" s="292"/>
      <c r="FG70" s="292"/>
      <c r="FH70" s="292"/>
      <c r="FI70" s="292"/>
      <c r="FJ70" s="292"/>
      <c r="FK70" s="292"/>
      <c r="FL70" s="292"/>
      <c r="FM70" s="292"/>
      <c r="FN70" s="292"/>
      <c r="FO70" s="292"/>
      <c r="FP70" s="292"/>
      <c r="FQ70" s="292"/>
      <c r="FR70" s="292"/>
      <c r="FS70" s="292"/>
      <c r="FT70" s="292"/>
      <c r="FU70" s="292"/>
      <c r="FV70" s="292"/>
      <c r="FW70" s="292"/>
      <c r="FX70" s="292"/>
      <c r="FY70" s="292"/>
      <c r="FZ70" s="292"/>
      <c r="GA70" s="292"/>
      <c r="GB70" s="292"/>
      <c r="GC70" s="292"/>
      <c r="GD70" s="292"/>
      <c r="GE70" s="292"/>
      <c r="GF70" s="292"/>
      <c r="GG70" s="292"/>
      <c r="GH70" s="292"/>
      <c r="GI70" s="292"/>
      <c r="GJ70" s="292"/>
      <c r="GK70" s="292"/>
      <c r="GL70" s="292"/>
      <c r="GM70" s="292"/>
      <c r="GN70" s="292"/>
      <c r="GO70" s="292"/>
      <c r="GP70" s="292"/>
      <c r="GQ70" s="292"/>
      <c r="GR70" s="292"/>
      <c r="GS70" s="292"/>
      <c r="GT70" s="292"/>
      <c r="GU70" s="292"/>
      <c r="GV70" s="292"/>
      <c r="GW70" s="292"/>
      <c r="GX70" s="292"/>
      <c r="GY70" s="292"/>
      <c r="GZ70" s="292"/>
      <c r="HA70" s="292"/>
      <c r="HB70" s="292"/>
      <c r="HC70" s="292"/>
      <c r="HD70" s="292"/>
      <c r="HE70" s="292"/>
      <c r="HF70" s="292"/>
      <c r="HG70" s="292"/>
      <c r="HH70" s="292"/>
      <c r="HI70" s="292"/>
      <c r="HJ70" s="292"/>
      <c r="HK70" s="292"/>
      <c r="HL70" s="292"/>
      <c r="HM70" s="292"/>
      <c r="HN70" s="292"/>
      <c r="HO70" s="292"/>
      <c r="HP70" s="292"/>
      <c r="HQ70" s="292"/>
      <c r="HR70" s="292"/>
      <c r="HS70" s="292"/>
      <c r="HT70" s="292"/>
      <c r="HU70" s="292"/>
      <c r="HV70" s="292"/>
      <c r="HW70" s="292"/>
      <c r="HX70" s="292"/>
      <c r="HY70" s="292"/>
      <c r="HZ70" s="292"/>
      <c r="IA70" s="292"/>
      <c r="IB70" s="292"/>
      <c r="IC70" s="292"/>
      <c r="ID70" s="292"/>
      <c r="IE70" s="292"/>
      <c r="IF70" s="292"/>
      <c r="IG70" s="292"/>
      <c r="IH70" s="292"/>
      <c r="II70" s="292"/>
      <c r="IJ70" s="292"/>
      <c r="IK70" s="292"/>
      <c r="IL70" s="292"/>
      <c r="IM70" s="292"/>
      <c r="IN70" s="292"/>
      <c r="IO70" s="292"/>
      <c r="IP70" s="292"/>
      <c r="IQ70" s="292"/>
      <c r="IR70" s="292"/>
      <c r="IS70" s="292"/>
      <c r="IT70" s="292"/>
      <c r="IU70" s="292"/>
      <c r="IV70" s="292"/>
      <c r="IW70" s="292"/>
      <c r="IX70" s="292"/>
      <c r="IY70" s="292"/>
      <c r="IZ70" s="292"/>
      <c r="JA70" s="292"/>
      <c r="JB70" s="292"/>
      <c r="JC70" s="292"/>
      <c r="JD70" s="292"/>
      <c r="JE70" s="292"/>
      <c r="JF70" s="292"/>
      <c r="JG70" s="292"/>
      <c r="JH70" s="292"/>
      <c r="JI70" s="292"/>
      <c r="JJ70" s="292"/>
      <c r="JK70" s="292"/>
      <c r="JL70" s="292"/>
      <c r="JM70" s="292"/>
      <c r="JN70" s="292"/>
      <c r="JO70" s="292"/>
      <c r="JP70" s="292"/>
      <c r="JQ70" s="292"/>
      <c r="JR70" s="292"/>
      <c r="JS70" s="292"/>
      <c r="JT70" s="292"/>
      <c r="JU70" s="292"/>
      <c r="JV70" s="292"/>
      <c r="JW70" s="292"/>
      <c r="JX70" s="292"/>
      <c r="JY70" s="292"/>
      <c r="JZ70" s="292"/>
      <c r="KA70" s="292"/>
      <c r="KB70" s="292"/>
      <c r="KC70" s="292"/>
      <c r="KD70" s="292"/>
      <c r="KE70" s="292"/>
      <c r="KF70" s="292"/>
      <c r="KG70" s="292"/>
      <c r="KH70" s="292"/>
      <c r="KI70" s="292"/>
      <c r="KJ70" s="292"/>
      <c r="KK70" s="292"/>
      <c r="KL70" s="292"/>
      <c r="KM70" s="292"/>
      <c r="KN70" s="292"/>
      <c r="KO70" s="292"/>
      <c r="KP70" s="292"/>
      <c r="KQ70" s="292"/>
      <c r="KR70" s="292"/>
      <c r="KS70" s="292"/>
      <c r="KT70" s="292"/>
      <c r="KU70" s="292"/>
      <c r="KV70" s="292"/>
      <c r="KW70" s="292"/>
      <c r="KX70" s="292"/>
      <c r="KY70" s="292"/>
      <c r="KZ70" s="292"/>
      <c r="LA70" s="292"/>
      <c r="LB70" s="292"/>
      <c r="LC70" s="292"/>
      <c r="LD70" s="292"/>
      <c r="LE70" s="292"/>
      <c r="LF70" s="292"/>
      <c r="LG70" s="292"/>
      <c r="LH70" s="292"/>
      <c r="LI70" s="292"/>
      <c r="LJ70" s="292"/>
      <c r="LK70" s="292"/>
      <c r="LL70" s="292"/>
      <c r="LM70" s="292"/>
      <c r="LN70" s="292"/>
      <c r="LO70" s="292"/>
      <c r="LP70" s="292"/>
      <c r="LQ70" s="292"/>
      <c r="LR70" s="292"/>
      <c r="LS70" s="292"/>
      <c r="LT70" s="292"/>
      <c r="LU70" s="292"/>
      <c r="LV70" s="292"/>
      <c r="LW70" s="292"/>
      <c r="LX70" s="292"/>
      <c r="LY70" s="292"/>
      <c r="LZ70" s="292"/>
      <c r="MA70" s="292"/>
      <c r="MB70" s="292"/>
      <c r="MC70" s="292"/>
      <c r="MD70" s="292"/>
      <c r="ME70" s="292"/>
      <c r="MF70" s="292"/>
      <c r="MG70" s="292"/>
      <c r="MH70" s="292"/>
      <c r="MI70" s="292"/>
      <c r="MJ70" s="292"/>
      <c r="MK70" s="292"/>
      <c r="ML70" s="292"/>
      <c r="MM70" s="292"/>
      <c r="MN70" s="292"/>
      <c r="MO70" s="292"/>
      <c r="MP70" s="292"/>
      <c r="MQ70" s="292"/>
      <c r="MR70" s="292"/>
      <c r="MS70" s="292"/>
      <c r="MT70" s="292"/>
      <c r="MU70" s="292"/>
      <c r="MV70" s="292"/>
      <c r="MW70" s="292"/>
      <c r="MX70" s="292"/>
      <c r="MY70" s="292"/>
      <c r="MZ70" s="292"/>
      <c r="NA70" s="292"/>
      <c r="NB70" s="292"/>
      <c r="NC70" s="292"/>
      <c r="ND70" s="292"/>
      <c r="NE70" s="292"/>
      <c r="NF70" s="292"/>
      <c r="NG70" s="292"/>
      <c r="NH70" s="292"/>
      <c r="NI70" s="292"/>
      <c r="NJ70" s="292"/>
      <c r="NK70" s="292"/>
      <c r="NL70" s="292"/>
      <c r="NM70" s="292"/>
      <c r="NN70" s="292"/>
      <c r="NO70" s="292"/>
      <c r="NP70" s="292"/>
      <c r="NQ70" s="292"/>
      <c r="NR70" s="292"/>
      <c r="NS70" s="292"/>
      <c r="NT70" s="292"/>
      <c r="NU70" s="292"/>
      <c r="NV70" s="292"/>
      <c r="NW70" s="292"/>
      <c r="NX70" s="292"/>
      <c r="NY70" s="292"/>
      <c r="NZ70" s="292"/>
      <c r="OA70" s="292"/>
      <c r="OB70" s="292"/>
      <c r="OC70" s="292"/>
      <c r="OD70" s="292"/>
      <c r="OE70" s="292"/>
      <c r="OF70" s="292"/>
      <c r="OG70" s="292"/>
      <c r="OH70" s="292"/>
      <c r="OI70" s="292"/>
      <c r="OJ70" s="292"/>
      <c r="OK70" s="292"/>
      <c r="OL70" s="292"/>
      <c r="OM70" s="292"/>
      <c r="ON70" s="292"/>
      <c r="OO70" s="292"/>
      <c r="OP70" s="292"/>
      <c r="OQ70" s="292"/>
      <c r="OR70" s="292"/>
      <c r="OS70" s="292"/>
      <c r="OT70" s="292"/>
      <c r="OU70" s="292"/>
      <c r="OV70" s="292"/>
      <c r="OW70" s="292"/>
      <c r="OX70" s="292"/>
      <c r="OY70" s="292"/>
      <c r="OZ70" s="292"/>
      <c r="PA70" s="292"/>
      <c r="PB70" s="292"/>
      <c r="PC70" s="292"/>
      <c r="PD70" s="292"/>
      <c r="PE70" s="292"/>
      <c r="PF70" s="292"/>
      <c r="PG70" s="292"/>
      <c r="PH70" s="292"/>
      <c r="PI70" s="292"/>
      <c r="PJ70" s="292"/>
      <c r="PK70" s="292"/>
      <c r="PL70" s="292"/>
      <c r="PM70" s="292"/>
      <c r="PN70" s="292"/>
      <c r="PO70" s="292"/>
      <c r="PP70" s="292"/>
      <c r="PQ70" s="292"/>
      <c r="PR70" s="292"/>
      <c r="PS70" s="292"/>
      <c r="PT70" s="292"/>
      <c r="PU70" s="292"/>
      <c r="PV70" s="292"/>
      <c r="PW70" s="292"/>
      <c r="PX70" s="292"/>
      <c r="PY70" s="292"/>
      <c r="PZ70" s="292"/>
      <c r="QA70" s="292"/>
      <c r="QB70" s="292"/>
      <c r="QC70" s="292"/>
      <c r="QD70" s="292"/>
      <c r="QE70" s="292"/>
      <c r="QF70" s="292"/>
      <c r="QG70" s="292"/>
      <c r="QH70" s="292"/>
      <c r="QI70" s="292"/>
      <c r="QJ70" s="292"/>
      <c r="QK70" s="292"/>
      <c r="QL70" s="292"/>
      <c r="QM70" s="292"/>
      <c r="QN70" s="292"/>
      <c r="QO70" s="292"/>
      <c r="QP70" s="292"/>
      <c r="QQ70" s="292"/>
      <c r="QR70" s="292"/>
      <c r="QS70" s="292"/>
      <c r="QT70" s="292"/>
      <c r="QU70" s="292"/>
      <c r="QV70" s="292"/>
      <c r="QW70" s="292"/>
      <c r="QX70" s="292"/>
      <c r="QY70" s="292"/>
      <c r="QZ70" s="292"/>
      <c r="RA70" s="292"/>
      <c r="RB70" s="292"/>
      <c r="RC70" s="292"/>
      <c r="RD70" s="292"/>
      <c r="RE70" s="292"/>
      <c r="RF70" s="292"/>
      <c r="RG70" s="292"/>
      <c r="RH70" s="292"/>
      <c r="RI70" s="292"/>
      <c r="RJ70" s="292"/>
      <c r="RK70" s="292"/>
      <c r="RL70" s="292"/>
      <c r="RM70" s="292"/>
      <c r="RN70" s="292"/>
      <c r="RO70" s="292"/>
      <c r="RP70" s="292"/>
      <c r="RQ70" s="292"/>
      <c r="RR70" s="292"/>
      <c r="RS70" s="292"/>
      <c r="RT70" s="292"/>
      <c r="RU70" s="292"/>
      <c r="RV70" s="292"/>
      <c r="RW70" s="292"/>
      <c r="RX70" s="292"/>
      <c r="RY70" s="292"/>
      <c r="RZ70" s="292"/>
      <c r="SA70" s="292"/>
      <c r="SB70" s="292"/>
      <c r="SC70" s="292"/>
      <c r="SD70" s="292"/>
      <c r="SE70" s="292"/>
      <c r="SF70" s="292"/>
      <c r="SG70" s="292"/>
      <c r="SH70" s="292"/>
      <c r="SI70" s="292"/>
      <c r="SJ70" s="292"/>
      <c r="SK70" s="292"/>
      <c r="SL70" s="292"/>
      <c r="SM70" s="292"/>
      <c r="SN70" s="292"/>
      <c r="SO70" s="292"/>
      <c r="SP70" s="292"/>
      <c r="SQ70" s="292"/>
      <c r="SR70" s="292"/>
      <c r="SS70" s="292"/>
      <c r="ST70" s="292"/>
      <c r="SU70" s="292"/>
    </row>
    <row r="71" spans="1:515" s="624" customFormat="1" ht="20.5" customHeight="1" x14ac:dyDescent="0.25">
      <c r="A71" s="986"/>
      <c r="B71" s="984"/>
      <c r="C71" s="984"/>
      <c r="D71" s="957"/>
      <c r="E71" s="1294" t="s">
        <v>374</v>
      </c>
      <c r="F71" s="1294"/>
      <c r="G71" s="1294"/>
      <c r="H71" s="957"/>
      <c r="I71" s="1294" t="s">
        <v>374</v>
      </c>
      <c r="J71" s="1294"/>
      <c r="K71" s="1294"/>
      <c r="L71" s="957"/>
      <c r="M71" s="1294" t="s">
        <v>374</v>
      </c>
      <c r="N71" s="1294"/>
      <c r="O71" s="1294"/>
      <c r="P71" s="957"/>
      <c r="Q71" s="1294" t="s">
        <v>374</v>
      </c>
      <c r="R71" s="1294"/>
      <c r="S71" s="1294"/>
      <c r="T71" s="957"/>
      <c r="U71" s="1294" t="s">
        <v>374</v>
      </c>
      <c r="V71" s="1294"/>
      <c r="W71" s="1294"/>
      <c r="X71" s="957"/>
      <c r="Y71" s="1294" t="s">
        <v>374</v>
      </c>
      <c r="Z71" s="1294"/>
      <c r="AA71" s="1294"/>
      <c r="AB71" s="976"/>
      <c r="AC71" s="957"/>
      <c r="AD71" s="1145" t="s">
        <v>374</v>
      </c>
      <c r="AE71" s="971"/>
      <c r="AF71" s="292"/>
      <c r="AG71" s="292"/>
      <c r="AH71" s="292"/>
      <c r="AI71" s="292"/>
      <c r="AJ71" s="292"/>
      <c r="AK71" s="292"/>
      <c r="AL71" s="292"/>
      <c r="AM71" s="292"/>
      <c r="AN71" s="292"/>
      <c r="AO71" s="292"/>
      <c r="AP71" s="292"/>
      <c r="AQ71" s="292"/>
      <c r="AR71" s="292"/>
      <c r="AS71" s="292"/>
      <c r="AT71" s="292"/>
      <c r="AU71" s="292"/>
      <c r="AV71" s="292"/>
      <c r="AW71" s="292"/>
      <c r="AX71" s="292"/>
      <c r="AY71" s="292"/>
      <c r="AZ71" s="292"/>
      <c r="BA71" s="292"/>
      <c r="BB71" s="292"/>
      <c r="BC71" s="292"/>
      <c r="BD71" s="292"/>
      <c r="BE71" s="292"/>
      <c r="BF71" s="292"/>
      <c r="BG71" s="292"/>
      <c r="BH71" s="292"/>
      <c r="BI71" s="292"/>
      <c r="BJ71" s="292"/>
      <c r="BK71" s="292"/>
      <c r="BL71" s="292"/>
      <c r="BM71" s="292"/>
      <c r="BN71" s="292"/>
      <c r="BO71" s="292"/>
      <c r="BP71" s="292"/>
      <c r="BQ71" s="292"/>
      <c r="BR71" s="292"/>
      <c r="BS71" s="292"/>
      <c r="BT71" s="292"/>
      <c r="BU71" s="292"/>
      <c r="BV71" s="292"/>
      <c r="BW71" s="292"/>
      <c r="BX71" s="292"/>
      <c r="BY71" s="292"/>
      <c r="BZ71" s="292"/>
      <c r="CA71" s="292"/>
      <c r="CB71" s="292"/>
      <c r="CC71" s="292"/>
      <c r="CD71" s="292"/>
      <c r="CE71" s="292"/>
      <c r="CF71" s="292"/>
      <c r="CG71" s="292"/>
      <c r="CH71" s="292"/>
      <c r="CI71" s="292"/>
      <c r="CJ71" s="292"/>
      <c r="CK71" s="292"/>
      <c r="CL71" s="292"/>
      <c r="CM71" s="292"/>
      <c r="CN71" s="292"/>
      <c r="CO71" s="292"/>
      <c r="CP71" s="292"/>
      <c r="CQ71" s="292"/>
      <c r="CR71" s="292"/>
      <c r="CS71" s="292"/>
      <c r="CT71" s="292"/>
      <c r="CU71" s="292"/>
      <c r="CV71" s="292"/>
      <c r="CW71" s="292"/>
      <c r="CX71" s="292"/>
      <c r="CY71" s="292"/>
      <c r="CZ71" s="292"/>
      <c r="DA71" s="292"/>
      <c r="DB71" s="292"/>
      <c r="DC71" s="292"/>
      <c r="DD71" s="292"/>
      <c r="DE71" s="292"/>
      <c r="DF71" s="292"/>
      <c r="DG71" s="292"/>
      <c r="DH71" s="292"/>
      <c r="DI71" s="292"/>
      <c r="DJ71" s="292"/>
      <c r="DK71" s="292"/>
      <c r="DL71" s="292"/>
      <c r="DM71" s="292"/>
      <c r="DN71" s="292"/>
      <c r="DO71" s="292"/>
      <c r="DP71" s="292"/>
      <c r="DQ71" s="292"/>
      <c r="DR71" s="292"/>
      <c r="DS71" s="292"/>
      <c r="DT71" s="292"/>
      <c r="DU71" s="292"/>
      <c r="DV71" s="292"/>
      <c r="DW71" s="292"/>
      <c r="DX71" s="292"/>
      <c r="DY71" s="292"/>
      <c r="DZ71" s="292"/>
      <c r="EA71" s="292"/>
      <c r="EB71" s="292"/>
      <c r="EC71" s="292"/>
      <c r="ED71" s="292"/>
      <c r="EE71" s="292"/>
      <c r="EF71" s="292"/>
      <c r="EG71" s="292"/>
      <c r="EH71" s="292"/>
      <c r="EI71" s="292"/>
      <c r="EJ71" s="292"/>
      <c r="EK71" s="292"/>
      <c r="EL71" s="292"/>
      <c r="EM71" s="292"/>
      <c r="EN71" s="292"/>
      <c r="EO71" s="292"/>
      <c r="EP71" s="292"/>
      <c r="EQ71" s="292"/>
      <c r="ER71" s="292"/>
      <c r="ES71" s="292"/>
      <c r="ET71" s="292"/>
      <c r="EU71" s="292"/>
      <c r="EV71" s="292"/>
      <c r="EW71" s="292"/>
      <c r="EX71" s="292"/>
      <c r="EY71" s="292"/>
      <c r="EZ71" s="292"/>
      <c r="FA71" s="292"/>
      <c r="FB71" s="292"/>
      <c r="FC71" s="292"/>
      <c r="FD71" s="292"/>
      <c r="FE71" s="292"/>
      <c r="FF71" s="292"/>
      <c r="FG71" s="292"/>
      <c r="FH71" s="292"/>
      <c r="FI71" s="292"/>
      <c r="FJ71" s="292"/>
      <c r="FK71" s="292"/>
      <c r="FL71" s="292"/>
      <c r="FM71" s="292"/>
      <c r="FN71" s="292"/>
      <c r="FO71" s="292"/>
      <c r="FP71" s="292"/>
      <c r="FQ71" s="292"/>
      <c r="FR71" s="292"/>
      <c r="FS71" s="292"/>
      <c r="FT71" s="292"/>
      <c r="FU71" s="292"/>
      <c r="FV71" s="292"/>
      <c r="FW71" s="292"/>
      <c r="FX71" s="292"/>
      <c r="FY71" s="292"/>
      <c r="FZ71" s="292"/>
      <c r="GA71" s="292"/>
      <c r="GB71" s="292"/>
      <c r="GC71" s="292"/>
      <c r="GD71" s="292"/>
      <c r="GE71" s="292"/>
      <c r="GF71" s="292"/>
      <c r="GG71" s="292"/>
      <c r="GH71" s="292"/>
      <c r="GI71" s="292"/>
      <c r="GJ71" s="292"/>
      <c r="GK71" s="292"/>
      <c r="GL71" s="292"/>
      <c r="GM71" s="292"/>
      <c r="GN71" s="292"/>
      <c r="GO71" s="292"/>
      <c r="GP71" s="292"/>
      <c r="GQ71" s="292"/>
      <c r="GR71" s="292"/>
      <c r="GS71" s="292"/>
      <c r="GT71" s="292"/>
      <c r="GU71" s="292"/>
      <c r="GV71" s="292"/>
      <c r="GW71" s="292"/>
      <c r="GX71" s="292"/>
      <c r="GY71" s="292"/>
      <c r="GZ71" s="292"/>
      <c r="HA71" s="292"/>
      <c r="HB71" s="292"/>
      <c r="HC71" s="292"/>
      <c r="HD71" s="292"/>
      <c r="HE71" s="292"/>
      <c r="HF71" s="292"/>
      <c r="HG71" s="292"/>
      <c r="HH71" s="292"/>
      <c r="HI71" s="292"/>
      <c r="HJ71" s="292"/>
      <c r="HK71" s="292"/>
      <c r="HL71" s="292"/>
      <c r="HM71" s="292"/>
      <c r="HN71" s="292"/>
      <c r="HO71" s="292"/>
      <c r="HP71" s="292"/>
      <c r="HQ71" s="292"/>
      <c r="HR71" s="292"/>
      <c r="HS71" s="292"/>
      <c r="HT71" s="292"/>
      <c r="HU71" s="292"/>
      <c r="HV71" s="292"/>
      <c r="HW71" s="292"/>
      <c r="HX71" s="292"/>
      <c r="HY71" s="292"/>
      <c r="HZ71" s="292"/>
      <c r="IA71" s="292"/>
      <c r="IB71" s="292"/>
      <c r="IC71" s="292"/>
      <c r="ID71" s="292"/>
      <c r="IE71" s="292"/>
      <c r="IF71" s="292"/>
      <c r="IG71" s="292"/>
      <c r="IH71" s="292"/>
      <c r="II71" s="292"/>
      <c r="IJ71" s="292"/>
      <c r="IK71" s="292"/>
      <c r="IL71" s="292"/>
      <c r="IM71" s="292"/>
      <c r="IN71" s="292"/>
      <c r="IO71" s="292"/>
      <c r="IP71" s="292"/>
      <c r="IQ71" s="292"/>
      <c r="IR71" s="292"/>
      <c r="IS71" s="292"/>
      <c r="IT71" s="292"/>
      <c r="IU71" s="292"/>
      <c r="IV71" s="292"/>
      <c r="IW71" s="292"/>
      <c r="IX71" s="292"/>
      <c r="IY71" s="292"/>
      <c r="IZ71" s="292"/>
      <c r="JA71" s="292"/>
      <c r="JB71" s="292"/>
      <c r="JC71" s="292"/>
      <c r="JD71" s="292"/>
      <c r="JE71" s="292"/>
      <c r="JF71" s="292"/>
      <c r="JG71" s="292"/>
      <c r="JH71" s="292"/>
      <c r="JI71" s="292"/>
      <c r="JJ71" s="292"/>
      <c r="JK71" s="292"/>
      <c r="JL71" s="292"/>
      <c r="JM71" s="292"/>
      <c r="JN71" s="292"/>
      <c r="JO71" s="292"/>
      <c r="JP71" s="292"/>
      <c r="JQ71" s="292"/>
      <c r="JR71" s="292"/>
      <c r="JS71" s="292"/>
      <c r="JT71" s="292"/>
      <c r="JU71" s="292"/>
      <c r="JV71" s="292"/>
      <c r="JW71" s="292"/>
      <c r="JX71" s="292"/>
      <c r="JY71" s="292"/>
      <c r="JZ71" s="292"/>
      <c r="KA71" s="292"/>
      <c r="KB71" s="292"/>
      <c r="KC71" s="292"/>
      <c r="KD71" s="292"/>
      <c r="KE71" s="292"/>
      <c r="KF71" s="292"/>
      <c r="KG71" s="292"/>
      <c r="KH71" s="292"/>
      <c r="KI71" s="292"/>
      <c r="KJ71" s="292"/>
      <c r="KK71" s="292"/>
      <c r="KL71" s="292"/>
      <c r="KM71" s="292"/>
      <c r="KN71" s="292"/>
      <c r="KO71" s="292"/>
      <c r="KP71" s="292"/>
      <c r="KQ71" s="292"/>
      <c r="KR71" s="292"/>
      <c r="KS71" s="292"/>
      <c r="KT71" s="292"/>
      <c r="KU71" s="292"/>
      <c r="KV71" s="292"/>
      <c r="KW71" s="292"/>
      <c r="KX71" s="292"/>
      <c r="KY71" s="292"/>
      <c r="KZ71" s="292"/>
      <c r="LA71" s="292"/>
      <c r="LB71" s="292"/>
      <c r="LC71" s="292"/>
      <c r="LD71" s="292"/>
      <c r="LE71" s="292"/>
      <c r="LF71" s="292"/>
      <c r="LG71" s="292"/>
      <c r="LH71" s="292"/>
      <c r="LI71" s="292"/>
      <c r="LJ71" s="292"/>
      <c r="LK71" s="292"/>
      <c r="LL71" s="292"/>
      <c r="LM71" s="292"/>
      <c r="LN71" s="292"/>
      <c r="LO71" s="292"/>
      <c r="LP71" s="292"/>
      <c r="LQ71" s="292"/>
      <c r="LR71" s="292"/>
      <c r="LS71" s="292"/>
      <c r="LT71" s="292"/>
      <c r="LU71" s="292"/>
      <c r="LV71" s="292"/>
      <c r="LW71" s="292"/>
      <c r="LX71" s="292"/>
      <c r="LY71" s="292"/>
      <c r="LZ71" s="292"/>
      <c r="MA71" s="292"/>
      <c r="MB71" s="292"/>
      <c r="MC71" s="292"/>
      <c r="MD71" s="292"/>
      <c r="ME71" s="292"/>
      <c r="MF71" s="292"/>
      <c r="MG71" s="292"/>
      <c r="MH71" s="292"/>
      <c r="MI71" s="292"/>
      <c r="MJ71" s="292"/>
      <c r="MK71" s="292"/>
      <c r="ML71" s="292"/>
      <c r="MM71" s="292"/>
      <c r="MN71" s="292"/>
      <c r="MO71" s="292"/>
      <c r="MP71" s="292"/>
      <c r="MQ71" s="292"/>
      <c r="MR71" s="292"/>
      <c r="MS71" s="292"/>
      <c r="MT71" s="292"/>
      <c r="MU71" s="292"/>
      <c r="MV71" s="292"/>
      <c r="MW71" s="292"/>
      <c r="MX71" s="292"/>
      <c r="MY71" s="292"/>
      <c r="MZ71" s="292"/>
      <c r="NA71" s="292"/>
      <c r="NB71" s="292"/>
      <c r="NC71" s="292"/>
      <c r="ND71" s="292"/>
      <c r="NE71" s="292"/>
      <c r="NF71" s="292"/>
      <c r="NG71" s="292"/>
      <c r="NH71" s="292"/>
      <c r="NI71" s="292"/>
      <c r="NJ71" s="292"/>
      <c r="NK71" s="292"/>
      <c r="NL71" s="292"/>
      <c r="NM71" s="292"/>
      <c r="NN71" s="292"/>
      <c r="NO71" s="292"/>
      <c r="NP71" s="292"/>
      <c r="NQ71" s="292"/>
      <c r="NR71" s="292"/>
      <c r="NS71" s="292"/>
      <c r="NT71" s="292"/>
      <c r="NU71" s="292"/>
      <c r="NV71" s="292"/>
      <c r="NW71" s="292"/>
      <c r="NX71" s="292"/>
      <c r="NY71" s="292"/>
      <c r="NZ71" s="292"/>
      <c r="OA71" s="292"/>
      <c r="OB71" s="292"/>
      <c r="OC71" s="292"/>
      <c r="OD71" s="292"/>
      <c r="OE71" s="292"/>
      <c r="OF71" s="292"/>
      <c r="OG71" s="292"/>
      <c r="OH71" s="292"/>
      <c r="OI71" s="292"/>
      <c r="OJ71" s="292"/>
      <c r="OK71" s="292"/>
      <c r="OL71" s="292"/>
      <c r="OM71" s="292"/>
      <c r="ON71" s="292"/>
      <c r="OO71" s="292"/>
      <c r="OP71" s="292"/>
      <c r="OQ71" s="292"/>
      <c r="OR71" s="292"/>
      <c r="OS71" s="292"/>
      <c r="OT71" s="292"/>
      <c r="OU71" s="292"/>
      <c r="OV71" s="292"/>
      <c r="OW71" s="292"/>
      <c r="OX71" s="292"/>
      <c r="OY71" s="292"/>
      <c r="OZ71" s="292"/>
      <c r="PA71" s="292"/>
      <c r="PB71" s="292"/>
      <c r="PC71" s="292"/>
      <c r="PD71" s="292"/>
      <c r="PE71" s="292"/>
      <c r="PF71" s="292"/>
      <c r="PG71" s="292"/>
      <c r="PH71" s="292"/>
      <c r="PI71" s="292"/>
      <c r="PJ71" s="292"/>
      <c r="PK71" s="292"/>
      <c r="PL71" s="292"/>
      <c r="PM71" s="292"/>
      <c r="PN71" s="292"/>
      <c r="PO71" s="292"/>
      <c r="PP71" s="292"/>
      <c r="PQ71" s="292"/>
      <c r="PR71" s="292"/>
      <c r="PS71" s="292"/>
      <c r="PT71" s="292"/>
      <c r="PU71" s="292"/>
      <c r="PV71" s="292"/>
      <c r="PW71" s="292"/>
      <c r="PX71" s="292"/>
      <c r="PY71" s="292"/>
      <c r="PZ71" s="292"/>
      <c r="QA71" s="292"/>
      <c r="QB71" s="292"/>
      <c r="QC71" s="292"/>
      <c r="QD71" s="292"/>
      <c r="QE71" s="292"/>
      <c r="QF71" s="292"/>
      <c r="QG71" s="292"/>
      <c r="QH71" s="292"/>
      <c r="QI71" s="292"/>
      <c r="QJ71" s="292"/>
      <c r="QK71" s="292"/>
      <c r="QL71" s="292"/>
      <c r="QM71" s="292"/>
      <c r="QN71" s="292"/>
      <c r="QO71" s="292"/>
      <c r="QP71" s="292"/>
      <c r="QQ71" s="292"/>
      <c r="QR71" s="292"/>
      <c r="QS71" s="292"/>
      <c r="QT71" s="292"/>
      <c r="QU71" s="292"/>
      <c r="QV71" s="292"/>
      <c r="QW71" s="292"/>
      <c r="QX71" s="292"/>
      <c r="QY71" s="292"/>
      <c r="QZ71" s="292"/>
      <c r="RA71" s="292"/>
      <c r="RB71" s="292"/>
      <c r="RC71" s="292"/>
      <c r="RD71" s="292"/>
      <c r="RE71" s="292"/>
      <c r="RF71" s="292"/>
      <c r="RG71" s="292"/>
      <c r="RH71" s="292"/>
      <c r="RI71" s="292"/>
      <c r="RJ71" s="292"/>
      <c r="RK71" s="292"/>
      <c r="RL71" s="292"/>
      <c r="RM71" s="292"/>
      <c r="RN71" s="292"/>
      <c r="RO71" s="292"/>
      <c r="RP71" s="292"/>
      <c r="RQ71" s="292"/>
      <c r="RR71" s="292"/>
      <c r="RS71" s="292"/>
      <c r="RT71" s="292"/>
      <c r="RU71" s="292"/>
      <c r="RV71" s="292"/>
      <c r="RW71" s="292"/>
      <c r="RX71" s="292"/>
      <c r="RY71" s="292"/>
      <c r="RZ71" s="292"/>
      <c r="SA71" s="292"/>
      <c r="SB71" s="292"/>
      <c r="SC71" s="292"/>
      <c r="SD71" s="292"/>
      <c r="SE71" s="292"/>
      <c r="SF71" s="292"/>
      <c r="SG71" s="292"/>
      <c r="SH71" s="292"/>
      <c r="SI71" s="292"/>
      <c r="SJ71" s="292"/>
      <c r="SK71" s="292"/>
      <c r="SL71" s="292"/>
      <c r="SM71" s="292"/>
      <c r="SN71" s="292"/>
      <c r="SO71" s="292"/>
      <c r="SP71" s="292"/>
      <c r="SQ71" s="292"/>
      <c r="SR71" s="292"/>
      <c r="SS71" s="292"/>
      <c r="ST71" s="292"/>
      <c r="SU71" s="292"/>
    </row>
    <row r="72" spans="1:515" s="538" customFormat="1" ht="23.15" customHeight="1" x14ac:dyDescent="0.25">
      <c r="A72" s="1323" t="s">
        <v>375</v>
      </c>
      <c r="B72" s="1324"/>
      <c r="C72" s="1324"/>
      <c r="D72" s="957"/>
      <c r="E72" s="1296">
        <f>E63+G68</f>
        <v>0</v>
      </c>
      <c r="F72" s="1296"/>
      <c r="G72" s="1296"/>
      <c r="H72" s="957"/>
      <c r="I72" s="1296">
        <f>I63+K68</f>
        <v>0</v>
      </c>
      <c r="J72" s="1296"/>
      <c r="K72" s="1296"/>
      <c r="L72" s="957"/>
      <c r="M72" s="1296">
        <f>M63+O68</f>
        <v>0</v>
      </c>
      <c r="N72" s="1296"/>
      <c r="O72" s="1296"/>
      <c r="P72" s="957"/>
      <c r="Q72" s="1296">
        <f>Q63+S68</f>
        <v>0</v>
      </c>
      <c r="R72" s="1296"/>
      <c r="S72" s="1296"/>
      <c r="T72" s="957"/>
      <c r="U72" s="1296">
        <f>U63+W68</f>
        <v>0</v>
      </c>
      <c r="V72" s="1296"/>
      <c r="W72" s="1296"/>
      <c r="X72" s="957"/>
      <c r="Y72" s="1296">
        <f>Y63+AA68</f>
        <v>0</v>
      </c>
      <c r="Z72" s="1296"/>
      <c r="AA72" s="1296"/>
      <c r="AB72" s="976"/>
      <c r="AC72" s="1144"/>
      <c r="AD72" s="1176">
        <f>E72+I72+M72+Q72+U72+Y72</f>
        <v>0</v>
      </c>
      <c r="AE72" s="971"/>
      <c r="AF72" s="292"/>
      <c r="AG72" s="292"/>
      <c r="AH72" s="292"/>
      <c r="AI72" s="292"/>
      <c r="AJ72" s="292"/>
      <c r="AK72" s="292"/>
      <c r="AL72" s="292"/>
      <c r="AM72" s="292"/>
      <c r="AN72" s="292"/>
      <c r="AO72" s="292"/>
      <c r="AP72" s="292"/>
      <c r="AQ72" s="292"/>
      <c r="AR72" s="292"/>
      <c r="AS72" s="292"/>
      <c r="AT72" s="292"/>
      <c r="AU72" s="292"/>
      <c r="AV72" s="292"/>
      <c r="AW72" s="292"/>
      <c r="AX72" s="292"/>
      <c r="AY72" s="292"/>
      <c r="AZ72" s="292"/>
      <c r="BA72" s="292"/>
      <c r="BB72" s="292"/>
      <c r="BC72" s="292"/>
      <c r="BD72" s="292"/>
      <c r="BE72" s="292"/>
      <c r="BF72" s="292"/>
      <c r="BG72" s="292"/>
      <c r="BH72" s="292"/>
      <c r="BI72" s="292"/>
      <c r="BJ72" s="292"/>
      <c r="BK72" s="292"/>
      <c r="BL72" s="292"/>
      <c r="BM72" s="292"/>
      <c r="BN72" s="292"/>
      <c r="BO72" s="292"/>
      <c r="BP72" s="292"/>
      <c r="BQ72" s="292"/>
      <c r="BR72" s="292"/>
      <c r="BS72" s="292"/>
      <c r="BT72" s="292"/>
      <c r="BU72" s="292"/>
      <c r="BV72" s="292"/>
      <c r="BW72" s="292"/>
      <c r="BX72" s="292"/>
      <c r="BY72" s="292"/>
      <c r="BZ72" s="292"/>
      <c r="CA72" s="292"/>
      <c r="CB72" s="292"/>
      <c r="CC72" s="292"/>
      <c r="CD72" s="292"/>
      <c r="CE72" s="292"/>
      <c r="CF72" s="292"/>
      <c r="CG72" s="292"/>
      <c r="CH72" s="292"/>
      <c r="CI72" s="292"/>
      <c r="CJ72" s="292"/>
      <c r="CK72" s="292"/>
      <c r="CL72" s="292"/>
      <c r="CM72" s="292"/>
      <c r="CN72" s="292"/>
      <c r="CO72" s="292"/>
      <c r="CP72" s="292"/>
      <c r="CQ72" s="292"/>
      <c r="CR72" s="292"/>
      <c r="CS72" s="292"/>
      <c r="CT72" s="292"/>
      <c r="CU72" s="292"/>
      <c r="CV72" s="292"/>
      <c r="CW72" s="292"/>
      <c r="CX72" s="292"/>
      <c r="CY72" s="292"/>
      <c r="CZ72" s="292"/>
      <c r="DA72" s="292"/>
      <c r="DB72" s="292"/>
      <c r="DC72" s="292"/>
      <c r="DD72" s="292"/>
      <c r="DE72" s="292"/>
      <c r="DF72" s="292"/>
      <c r="DG72" s="292"/>
      <c r="DH72" s="292"/>
      <c r="DI72" s="292"/>
      <c r="DJ72" s="292"/>
      <c r="DK72" s="292"/>
      <c r="DL72" s="292"/>
      <c r="DM72" s="292"/>
      <c r="DN72" s="292"/>
      <c r="DO72" s="292"/>
      <c r="DP72" s="292"/>
      <c r="DQ72" s="292"/>
      <c r="DR72" s="292"/>
      <c r="DS72" s="292"/>
      <c r="DT72" s="292"/>
      <c r="DU72" s="292"/>
      <c r="DV72" s="292"/>
      <c r="DW72" s="292"/>
      <c r="DX72" s="292"/>
      <c r="DY72" s="292"/>
      <c r="DZ72" s="292"/>
      <c r="EA72" s="292"/>
      <c r="EB72" s="292"/>
      <c r="EC72" s="292"/>
      <c r="ED72" s="292"/>
      <c r="EE72" s="292"/>
      <c r="EF72" s="292"/>
      <c r="EG72" s="292"/>
      <c r="EH72" s="292"/>
      <c r="EI72" s="292"/>
      <c r="EJ72" s="292"/>
      <c r="EK72" s="292"/>
      <c r="EL72" s="292"/>
      <c r="EM72" s="292"/>
      <c r="EN72" s="292"/>
      <c r="EO72" s="292"/>
      <c r="EP72" s="292"/>
      <c r="EQ72" s="292"/>
      <c r="ER72" s="292"/>
      <c r="ES72" s="292"/>
      <c r="ET72" s="292"/>
      <c r="EU72" s="292"/>
      <c r="EV72" s="292"/>
      <c r="EW72" s="292"/>
      <c r="EX72" s="292"/>
      <c r="EY72" s="292"/>
      <c r="EZ72" s="292"/>
      <c r="FA72" s="292"/>
      <c r="FB72" s="292"/>
      <c r="FC72" s="292"/>
      <c r="FD72" s="292"/>
      <c r="FE72" s="292"/>
      <c r="FF72" s="292"/>
      <c r="FG72" s="292"/>
      <c r="FH72" s="292"/>
      <c r="FI72" s="292"/>
      <c r="FJ72" s="292"/>
      <c r="FK72" s="292"/>
      <c r="FL72" s="292"/>
      <c r="FM72" s="292"/>
      <c r="FN72" s="292"/>
      <c r="FO72" s="292"/>
      <c r="FP72" s="292"/>
      <c r="FQ72" s="292"/>
      <c r="FR72" s="292"/>
      <c r="FS72" s="292"/>
      <c r="FT72" s="292"/>
      <c r="FU72" s="292"/>
      <c r="FV72" s="292"/>
      <c r="FW72" s="292"/>
      <c r="FX72" s="292"/>
      <c r="FY72" s="292"/>
      <c r="FZ72" s="292"/>
      <c r="GA72" s="292"/>
      <c r="GB72" s="292"/>
      <c r="GC72" s="292"/>
      <c r="GD72" s="292"/>
      <c r="GE72" s="292"/>
      <c r="GF72" s="292"/>
      <c r="GG72" s="292"/>
      <c r="GH72" s="292"/>
      <c r="GI72" s="292"/>
      <c r="GJ72" s="292"/>
      <c r="GK72" s="292"/>
      <c r="GL72" s="292"/>
      <c r="GM72" s="292"/>
      <c r="GN72" s="292"/>
      <c r="GO72" s="292"/>
      <c r="GP72" s="292"/>
      <c r="GQ72" s="292"/>
      <c r="GR72" s="292"/>
      <c r="GS72" s="292"/>
      <c r="GT72" s="292"/>
      <c r="GU72" s="292"/>
      <c r="GV72" s="292"/>
      <c r="GW72" s="292"/>
      <c r="GX72" s="292"/>
      <c r="GY72" s="292"/>
      <c r="GZ72" s="292"/>
      <c r="HA72" s="292"/>
      <c r="HB72" s="292"/>
      <c r="HC72" s="292"/>
      <c r="HD72" s="292"/>
      <c r="HE72" s="292"/>
      <c r="HF72" s="292"/>
      <c r="HG72" s="292"/>
      <c r="HH72" s="292"/>
      <c r="HI72" s="292"/>
      <c r="HJ72" s="292"/>
      <c r="HK72" s="292"/>
      <c r="HL72" s="292"/>
      <c r="HM72" s="292"/>
      <c r="HN72" s="292"/>
      <c r="HO72" s="292"/>
      <c r="HP72" s="292"/>
      <c r="HQ72" s="292"/>
      <c r="HR72" s="292"/>
      <c r="HS72" s="292"/>
      <c r="HT72" s="292"/>
      <c r="HU72" s="292"/>
      <c r="HV72" s="292"/>
      <c r="HW72" s="292"/>
      <c r="HX72" s="292"/>
      <c r="HY72" s="292"/>
      <c r="HZ72" s="292"/>
      <c r="IA72" s="292"/>
      <c r="IB72" s="292"/>
      <c r="IC72" s="292"/>
      <c r="ID72" s="292"/>
      <c r="IE72" s="292"/>
      <c r="IF72" s="292"/>
      <c r="IG72" s="292"/>
      <c r="IH72" s="292"/>
      <c r="II72" s="292"/>
      <c r="IJ72" s="292"/>
      <c r="IK72" s="292"/>
      <c r="IL72" s="292"/>
      <c r="IM72" s="292"/>
      <c r="IN72" s="292"/>
      <c r="IO72" s="292"/>
      <c r="IP72" s="292"/>
      <c r="IQ72" s="292"/>
      <c r="IR72" s="292"/>
      <c r="IS72" s="292"/>
      <c r="IT72" s="292"/>
      <c r="IU72" s="292"/>
      <c r="IV72" s="292"/>
      <c r="IW72" s="292"/>
      <c r="IX72" s="292"/>
      <c r="IY72" s="292"/>
      <c r="IZ72" s="292"/>
      <c r="JA72" s="292"/>
      <c r="JB72" s="292"/>
      <c r="JC72" s="292"/>
      <c r="JD72" s="292"/>
      <c r="JE72" s="292"/>
      <c r="JF72" s="292"/>
      <c r="JG72" s="292"/>
      <c r="JH72" s="292"/>
      <c r="JI72" s="292"/>
      <c r="JJ72" s="292"/>
      <c r="JK72" s="292"/>
      <c r="JL72" s="292"/>
      <c r="JM72" s="292"/>
      <c r="JN72" s="292"/>
      <c r="JO72" s="292"/>
      <c r="JP72" s="292"/>
      <c r="JQ72" s="292"/>
      <c r="JR72" s="292"/>
      <c r="JS72" s="292"/>
      <c r="JT72" s="292"/>
      <c r="JU72" s="292"/>
      <c r="JV72" s="292"/>
      <c r="JW72" s="292"/>
      <c r="JX72" s="292"/>
      <c r="JY72" s="292"/>
      <c r="JZ72" s="292"/>
      <c r="KA72" s="292"/>
      <c r="KB72" s="292"/>
      <c r="KC72" s="292"/>
      <c r="KD72" s="292"/>
      <c r="KE72" s="292"/>
      <c r="KF72" s="292"/>
      <c r="KG72" s="292"/>
      <c r="KH72" s="292"/>
      <c r="KI72" s="292"/>
      <c r="KJ72" s="292"/>
      <c r="KK72" s="292"/>
      <c r="KL72" s="292"/>
      <c r="KM72" s="292"/>
      <c r="KN72" s="292"/>
      <c r="KO72" s="292"/>
      <c r="KP72" s="292"/>
      <c r="KQ72" s="292"/>
      <c r="KR72" s="292"/>
      <c r="KS72" s="292"/>
      <c r="KT72" s="292"/>
      <c r="KU72" s="292"/>
      <c r="KV72" s="292"/>
      <c r="KW72" s="292"/>
      <c r="KX72" s="292"/>
      <c r="KY72" s="292"/>
      <c r="KZ72" s="292"/>
      <c r="LA72" s="292"/>
      <c r="LB72" s="292"/>
      <c r="LC72" s="292"/>
      <c r="LD72" s="292"/>
      <c r="LE72" s="292"/>
      <c r="LF72" s="292"/>
      <c r="LG72" s="292"/>
      <c r="LH72" s="292"/>
      <c r="LI72" s="292"/>
      <c r="LJ72" s="292"/>
      <c r="LK72" s="292"/>
      <c r="LL72" s="292"/>
      <c r="LM72" s="292"/>
      <c r="LN72" s="292"/>
      <c r="LO72" s="292"/>
      <c r="LP72" s="292"/>
      <c r="LQ72" s="292"/>
      <c r="LR72" s="292"/>
      <c r="LS72" s="292"/>
      <c r="LT72" s="292"/>
      <c r="LU72" s="292"/>
      <c r="LV72" s="292"/>
      <c r="LW72" s="292"/>
      <c r="LX72" s="292"/>
      <c r="LY72" s="292"/>
      <c r="LZ72" s="292"/>
      <c r="MA72" s="292"/>
      <c r="MB72" s="292"/>
      <c r="MC72" s="292"/>
      <c r="MD72" s="292"/>
      <c r="ME72" s="292"/>
      <c r="MF72" s="292"/>
      <c r="MG72" s="292"/>
      <c r="MH72" s="292"/>
      <c r="MI72" s="292"/>
      <c r="MJ72" s="292"/>
      <c r="MK72" s="292"/>
      <c r="ML72" s="292"/>
      <c r="MM72" s="292"/>
      <c r="MN72" s="292"/>
      <c r="MO72" s="292"/>
      <c r="MP72" s="292"/>
      <c r="MQ72" s="292"/>
      <c r="MR72" s="292"/>
      <c r="MS72" s="292"/>
      <c r="MT72" s="292"/>
      <c r="MU72" s="292"/>
      <c r="MV72" s="292"/>
      <c r="MW72" s="292"/>
      <c r="MX72" s="292"/>
      <c r="MY72" s="292"/>
      <c r="MZ72" s="292"/>
      <c r="NA72" s="292"/>
      <c r="NB72" s="292"/>
      <c r="NC72" s="292"/>
      <c r="ND72" s="292"/>
      <c r="NE72" s="292"/>
      <c r="NF72" s="292"/>
      <c r="NG72" s="292"/>
      <c r="NH72" s="292"/>
      <c r="NI72" s="292"/>
      <c r="NJ72" s="292"/>
      <c r="NK72" s="292"/>
      <c r="NL72" s="292"/>
      <c r="NM72" s="292"/>
      <c r="NN72" s="292"/>
      <c r="NO72" s="292"/>
      <c r="NP72" s="292"/>
      <c r="NQ72" s="292"/>
      <c r="NR72" s="292"/>
      <c r="NS72" s="292"/>
      <c r="NT72" s="292"/>
      <c r="NU72" s="292"/>
      <c r="NV72" s="292"/>
      <c r="NW72" s="292"/>
      <c r="NX72" s="292"/>
      <c r="NY72" s="292"/>
      <c r="NZ72" s="292"/>
      <c r="OA72" s="292"/>
      <c r="OB72" s="292"/>
      <c r="OC72" s="292"/>
      <c r="OD72" s="292"/>
      <c r="OE72" s="292"/>
      <c r="OF72" s="292"/>
      <c r="OG72" s="292"/>
      <c r="OH72" s="292"/>
      <c r="OI72" s="292"/>
      <c r="OJ72" s="292"/>
      <c r="OK72" s="292"/>
      <c r="OL72" s="292"/>
      <c r="OM72" s="292"/>
      <c r="ON72" s="292"/>
      <c r="OO72" s="292"/>
      <c r="OP72" s="292"/>
      <c r="OQ72" s="292"/>
      <c r="OR72" s="292"/>
      <c r="OS72" s="292"/>
      <c r="OT72" s="292"/>
      <c r="OU72" s="292"/>
      <c r="OV72" s="292"/>
      <c r="OW72" s="292"/>
      <c r="OX72" s="292"/>
      <c r="OY72" s="292"/>
      <c r="OZ72" s="292"/>
      <c r="PA72" s="292"/>
      <c r="PB72" s="292"/>
      <c r="PC72" s="292"/>
      <c r="PD72" s="292"/>
      <c r="PE72" s="292"/>
      <c r="PF72" s="292"/>
      <c r="PG72" s="292"/>
      <c r="PH72" s="292"/>
      <c r="PI72" s="292"/>
      <c r="PJ72" s="292"/>
      <c r="PK72" s="292"/>
      <c r="PL72" s="292"/>
      <c r="PM72" s="292"/>
      <c r="PN72" s="292"/>
      <c r="PO72" s="292"/>
      <c r="PP72" s="292"/>
      <c r="PQ72" s="292"/>
      <c r="PR72" s="292"/>
      <c r="PS72" s="292"/>
      <c r="PT72" s="292"/>
      <c r="PU72" s="292"/>
      <c r="PV72" s="292"/>
      <c r="PW72" s="292"/>
      <c r="PX72" s="292"/>
      <c r="PY72" s="292"/>
      <c r="PZ72" s="292"/>
      <c r="QA72" s="292"/>
      <c r="QB72" s="292"/>
      <c r="QC72" s="292"/>
      <c r="QD72" s="292"/>
      <c r="QE72" s="292"/>
      <c r="QF72" s="292"/>
      <c r="QG72" s="292"/>
      <c r="QH72" s="292"/>
      <c r="QI72" s="292"/>
      <c r="QJ72" s="292"/>
      <c r="QK72" s="292"/>
      <c r="QL72" s="292"/>
      <c r="QM72" s="292"/>
      <c r="QN72" s="292"/>
      <c r="QO72" s="292"/>
      <c r="QP72" s="292"/>
      <c r="QQ72" s="292"/>
      <c r="QR72" s="292"/>
      <c r="QS72" s="292"/>
      <c r="QT72" s="292"/>
      <c r="QU72" s="292"/>
      <c r="QV72" s="292"/>
      <c r="QW72" s="292"/>
      <c r="QX72" s="292"/>
      <c r="QY72" s="292"/>
      <c r="QZ72" s="292"/>
      <c r="RA72" s="292"/>
      <c r="RB72" s="292"/>
      <c r="RC72" s="292"/>
      <c r="RD72" s="292"/>
      <c r="RE72" s="292"/>
      <c r="RF72" s="292"/>
      <c r="RG72" s="292"/>
      <c r="RH72" s="292"/>
      <c r="RI72" s="292"/>
      <c r="RJ72" s="292"/>
      <c r="RK72" s="292"/>
      <c r="RL72" s="292"/>
      <c r="RM72" s="292"/>
      <c r="RN72" s="292"/>
      <c r="RO72" s="292"/>
      <c r="RP72" s="292"/>
      <c r="RQ72" s="292"/>
      <c r="RR72" s="292"/>
      <c r="RS72" s="292"/>
      <c r="RT72" s="292"/>
      <c r="RU72" s="292"/>
      <c r="RV72" s="292"/>
      <c r="RW72" s="292"/>
      <c r="RX72" s="292"/>
      <c r="RY72" s="292"/>
      <c r="RZ72" s="292"/>
      <c r="SA72" s="292"/>
      <c r="SB72" s="292"/>
      <c r="SC72" s="292"/>
      <c r="SD72" s="292"/>
      <c r="SE72" s="292"/>
      <c r="SF72" s="292"/>
      <c r="SG72" s="292"/>
      <c r="SH72" s="292"/>
      <c r="SI72" s="292"/>
      <c r="SJ72" s="292"/>
      <c r="SK72" s="292"/>
      <c r="SL72" s="292"/>
      <c r="SM72" s="292"/>
      <c r="SN72" s="292"/>
      <c r="SO72" s="292"/>
      <c r="SP72" s="292"/>
      <c r="SQ72" s="292"/>
      <c r="SR72" s="292"/>
      <c r="SS72" s="292"/>
      <c r="ST72" s="292"/>
      <c r="SU72" s="292"/>
    </row>
    <row r="73" spans="1:515" s="538" customFormat="1" ht="15" customHeight="1" x14ac:dyDescent="0.25">
      <c r="A73" s="986"/>
      <c r="B73" s="984"/>
      <c r="C73" s="984"/>
      <c r="D73" s="957"/>
      <c r="E73" s="981"/>
      <c r="F73" s="981"/>
      <c r="G73" s="981"/>
      <c r="H73" s="957"/>
      <c r="I73" s="981"/>
      <c r="J73" s="981"/>
      <c r="K73" s="981"/>
      <c r="L73" s="957"/>
      <c r="M73" s="981"/>
      <c r="N73" s="981"/>
      <c r="O73" s="981"/>
      <c r="P73" s="957"/>
      <c r="Q73" s="981"/>
      <c r="R73" s="981"/>
      <c r="S73" s="981"/>
      <c r="T73" s="957"/>
      <c r="U73" s="981"/>
      <c r="V73" s="981"/>
      <c r="W73" s="981"/>
      <c r="X73" s="957"/>
      <c r="Y73" s="981"/>
      <c r="Z73" s="981"/>
      <c r="AA73" s="981"/>
      <c r="AB73" s="976"/>
      <c r="AC73" s="1144"/>
      <c r="AD73" s="981"/>
      <c r="AE73" s="971"/>
      <c r="AF73" s="292"/>
      <c r="AG73" s="292"/>
      <c r="AH73" s="292"/>
      <c r="AI73" s="292"/>
      <c r="AJ73" s="292"/>
      <c r="AK73" s="292"/>
      <c r="AL73" s="292"/>
      <c r="AM73" s="292"/>
      <c r="AN73" s="292"/>
      <c r="AO73" s="292"/>
      <c r="AP73" s="292"/>
      <c r="AQ73" s="292"/>
      <c r="AR73" s="292"/>
      <c r="AS73" s="292"/>
      <c r="AT73" s="292"/>
      <c r="AU73" s="292"/>
      <c r="AV73" s="292"/>
      <c r="AW73" s="292"/>
      <c r="AX73" s="292"/>
      <c r="AY73" s="292"/>
      <c r="AZ73" s="292"/>
      <c r="BA73" s="292"/>
      <c r="BB73" s="292"/>
      <c r="BC73" s="292"/>
      <c r="BD73" s="292"/>
      <c r="BE73" s="292"/>
      <c r="BF73" s="292"/>
      <c r="BG73" s="292"/>
      <c r="BH73" s="292"/>
      <c r="BI73" s="292"/>
      <c r="BJ73" s="292"/>
      <c r="BK73" s="292"/>
      <c r="BL73" s="292"/>
      <c r="BM73" s="292"/>
      <c r="BN73" s="292"/>
      <c r="BO73" s="292"/>
      <c r="BP73" s="292"/>
      <c r="BQ73" s="292"/>
      <c r="BR73" s="292"/>
      <c r="BS73" s="292"/>
      <c r="BT73" s="292"/>
      <c r="BU73" s="292"/>
      <c r="BV73" s="292"/>
      <c r="BW73" s="292"/>
      <c r="BX73" s="292"/>
      <c r="BY73" s="292"/>
      <c r="BZ73" s="292"/>
      <c r="CA73" s="292"/>
      <c r="CB73" s="292"/>
      <c r="CC73" s="292"/>
      <c r="CD73" s="292"/>
      <c r="CE73" s="292"/>
      <c r="CF73" s="292"/>
      <c r="CG73" s="292"/>
      <c r="CH73" s="292"/>
      <c r="CI73" s="292"/>
      <c r="CJ73" s="292"/>
      <c r="CK73" s="292"/>
      <c r="CL73" s="292"/>
      <c r="CM73" s="292"/>
      <c r="CN73" s="292"/>
      <c r="CO73" s="292"/>
      <c r="CP73" s="292"/>
      <c r="CQ73" s="292"/>
      <c r="CR73" s="292"/>
      <c r="CS73" s="292"/>
      <c r="CT73" s="292"/>
      <c r="CU73" s="292"/>
      <c r="CV73" s="292"/>
      <c r="CW73" s="292"/>
      <c r="CX73" s="292"/>
      <c r="CY73" s="292"/>
      <c r="CZ73" s="292"/>
      <c r="DA73" s="292"/>
      <c r="DB73" s="292"/>
      <c r="DC73" s="292"/>
      <c r="DD73" s="292"/>
      <c r="DE73" s="292"/>
      <c r="DF73" s="292"/>
      <c r="DG73" s="292"/>
      <c r="DH73" s="292"/>
      <c r="DI73" s="292"/>
      <c r="DJ73" s="292"/>
      <c r="DK73" s="292"/>
      <c r="DL73" s="292"/>
      <c r="DM73" s="292"/>
      <c r="DN73" s="292"/>
      <c r="DO73" s="292"/>
      <c r="DP73" s="292"/>
      <c r="DQ73" s="292"/>
      <c r="DR73" s="292"/>
      <c r="DS73" s="292"/>
      <c r="DT73" s="292"/>
      <c r="DU73" s="292"/>
      <c r="DV73" s="292"/>
      <c r="DW73" s="292"/>
      <c r="DX73" s="292"/>
      <c r="DY73" s="292"/>
      <c r="DZ73" s="292"/>
      <c r="EA73" s="292"/>
      <c r="EB73" s="292"/>
      <c r="EC73" s="292"/>
      <c r="ED73" s="292"/>
      <c r="EE73" s="292"/>
      <c r="EF73" s="292"/>
      <c r="EG73" s="292"/>
      <c r="EH73" s="292"/>
      <c r="EI73" s="292"/>
      <c r="EJ73" s="292"/>
      <c r="EK73" s="292"/>
      <c r="EL73" s="292"/>
      <c r="EM73" s="292"/>
      <c r="EN73" s="292"/>
      <c r="EO73" s="292"/>
      <c r="EP73" s="292"/>
      <c r="EQ73" s="292"/>
      <c r="ER73" s="292"/>
      <c r="ES73" s="292"/>
      <c r="ET73" s="292"/>
      <c r="EU73" s="292"/>
      <c r="EV73" s="292"/>
      <c r="EW73" s="292"/>
      <c r="EX73" s="292"/>
      <c r="EY73" s="292"/>
      <c r="EZ73" s="292"/>
      <c r="FA73" s="292"/>
      <c r="FB73" s="292"/>
      <c r="FC73" s="292"/>
      <c r="FD73" s="292"/>
      <c r="FE73" s="292"/>
      <c r="FF73" s="292"/>
      <c r="FG73" s="292"/>
      <c r="FH73" s="292"/>
      <c r="FI73" s="292"/>
      <c r="FJ73" s="292"/>
      <c r="FK73" s="292"/>
      <c r="FL73" s="292"/>
      <c r="FM73" s="292"/>
      <c r="FN73" s="292"/>
      <c r="FO73" s="292"/>
      <c r="FP73" s="292"/>
      <c r="FQ73" s="292"/>
      <c r="FR73" s="292"/>
      <c r="FS73" s="292"/>
      <c r="FT73" s="292"/>
      <c r="FU73" s="292"/>
      <c r="FV73" s="292"/>
      <c r="FW73" s="292"/>
      <c r="FX73" s="292"/>
      <c r="FY73" s="292"/>
      <c r="FZ73" s="292"/>
      <c r="GA73" s="292"/>
      <c r="GB73" s="292"/>
      <c r="GC73" s="292"/>
      <c r="GD73" s="292"/>
      <c r="GE73" s="292"/>
      <c r="GF73" s="292"/>
      <c r="GG73" s="292"/>
      <c r="GH73" s="292"/>
      <c r="GI73" s="292"/>
      <c r="GJ73" s="292"/>
      <c r="GK73" s="292"/>
      <c r="GL73" s="292"/>
      <c r="GM73" s="292"/>
      <c r="GN73" s="292"/>
      <c r="GO73" s="292"/>
      <c r="GP73" s="292"/>
      <c r="GQ73" s="292"/>
      <c r="GR73" s="292"/>
      <c r="GS73" s="292"/>
      <c r="GT73" s="292"/>
      <c r="GU73" s="292"/>
      <c r="GV73" s="292"/>
      <c r="GW73" s="292"/>
      <c r="GX73" s="292"/>
      <c r="GY73" s="292"/>
      <c r="GZ73" s="292"/>
      <c r="HA73" s="292"/>
      <c r="HB73" s="292"/>
      <c r="HC73" s="292"/>
      <c r="HD73" s="292"/>
      <c r="HE73" s="292"/>
      <c r="HF73" s="292"/>
      <c r="HG73" s="292"/>
      <c r="HH73" s="292"/>
      <c r="HI73" s="292"/>
      <c r="HJ73" s="292"/>
      <c r="HK73" s="292"/>
      <c r="HL73" s="292"/>
      <c r="HM73" s="292"/>
      <c r="HN73" s="292"/>
      <c r="HO73" s="292"/>
      <c r="HP73" s="292"/>
      <c r="HQ73" s="292"/>
      <c r="HR73" s="292"/>
      <c r="HS73" s="292"/>
      <c r="HT73" s="292"/>
      <c r="HU73" s="292"/>
      <c r="HV73" s="292"/>
      <c r="HW73" s="292"/>
      <c r="HX73" s="292"/>
      <c r="HY73" s="292"/>
      <c r="HZ73" s="292"/>
      <c r="IA73" s="292"/>
      <c r="IB73" s="292"/>
      <c r="IC73" s="292"/>
      <c r="ID73" s="292"/>
      <c r="IE73" s="292"/>
      <c r="IF73" s="292"/>
      <c r="IG73" s="292"/>
      <c r="IH73" s="292"/>
      <c r="II73" s="292"/>
      <c r="IJ73" s="292"/>
      <c r="IK73" s="292"/>
      <c r="IL73" s="292"/>
      <c r="IM73" s="292"/>
      <c r="IN73" s="292"/>
      <c r="IO73" s="292"/>
      <c r="IP73" s="292"/>
      <c r="IQ73" s="292"/>
      <c r="IR73" s="292"/>
      <c r="IS73" s="292"/>
      <c r="IT73" s="292"/>
      <c r="IU73" s="292"/>
      <c r="IV73" s="292"/>
      <c r="IW73" s="292"/>
      <c r="IX73" s="292"/>
      <c r="IY73" s="292"/>
      <c r="IZ73" s="292"/>
      <c r="JA73" s="292"/>
      <c r="JB73" s="292"/>
      <c r="JC73" s="292"/>
      <c r="JD73" s="292"/>
      <c r="JE73" s="292"/>
      <c r="JF73" s="292"/>
      <c r="JG73" s="292"/>
      <c r="JH73" s="292"/>
      <c r="JI73" s="292"/>
      <c r="JJ73" s="292"/>
      <c r="JK73" s="292"/>
      <c r="JL73" s="292"/>
      <c r="JM73" s="292"/>
      <c r="JN73" s="292"/>
      <c r="JO73" s="292"/>
      <c r="JP73" s="292"/>
      <c r="JQ73" s="292"/>
      <c r="JR73" s="292"/>
      <c r="JS73" s="292"/>
      <c r="JT73" s="292"/>
      <c r="JU73" s="292"/>
      <c r="JV73" s="292"/>
      <c r="JW73" s="292"/>
      <c r="JX73" s="292"/>
      <c r="JY73" s="292"/>
      <c r="JZ73" s="292"/>
      <c r="KA73" s="292"/>
      <c r="KB73" s="292"/>
      <c r="KC73" s="292"/>
      <c r="KD73" s="292"/>
      <c r="KE73" s="292"/>
      <c r="KF73" s="292"/>
      <c r="KG73" s="292"/>
      <c r="KH73" s="292"/>
      <c r="KI73" s="292"/>
      <c r="KJ73" s="292"/>
      <c r="KK73" s="292"/>
      <c r="KL73" s="292"/>
      <c r="KM73" s="292"/>
      <c r="KN73" s="292"/>
      <c r="KO73" s="292"/>
      <c r="KP73" s="292"/>
      <c r="KQ73" s="292"/>
      <c r="KR73" s="292"/>
      <c r="KS73" s="292"/>
      <c r="KT73" s="292"/>
      <c r="KU73" s="292"/>
      <c r="KV73" s="292"/>
      <c r="KW73" s="292"/>
      <c r="KX73" s="292"/>
      <c r="KY73" s="292"/>
      <c r="KZ73" s="292"/>
      <c r="LA73" s="292"/>
      <c r="LB73" s="292"/>
      <c r="LC73" s="292"/>
      <c r="LD73" s="292"/>
      <c r="LE73" s="292"/>
      <c r="LF73" s="292"/>
      <c r="LG73" s="292"/>
      <c r="LH73" s="292"/>
      <c r="LI73" s="292"/>
      <c r="LJ73" s="292"/>
      <c r="LK73" s="292"/>
      <c r="LL73" s="292"/>
      <c r="LM73" s="292"/>
      <c r="LN73" s="292"/>
      <c r="LO73" s="292"/>
      <c r="LP73" s="292"/>
      <c r="LQ73" s="292"/>
      <c r="LR73" s="292"/>
      <c r="LS73" s="292"/>
      <c r="LT73" s="292"/>
      <c r="LU73" s="292"/>
      <c r="LV73" s="292"/>
      <c r="LW73" s="292"/>
      <c r="LX73" s="292"/>
      <c r="LY73" s="292"/>
      <c r="LZ73" s="292"/>
      <c r="MA73" s="292"/>
      <c r="MB73" s="292"/>
      <c r="MC73" s="292"/>
      <c r="MD73" s="292"/>
      <c r="ME73" s="292"/>
      <c r="MF73" s="292"/>
      <c r="MG73" s="292"/>
      <c r="MH73" s="292"/>
      <c r="MI73" s="292"/>
      <c r="MJ73" s="292"/>
      <c r="MK73" s="292"/>
      <c r="ML73" s="292"/>
      <c r="MM73" s="292"/>
      <c r="MN73" s="292"/>
      <c r="MO73" s="292"/>
      <c r="MP73" s="292"/>
      <c r="MQ73" s="292"/>
      <c r="MR73" s="292"/>
      <c r="MS73" s="292"/>
      <c r="MT73" s="292"/>
      <c r="MU73" s="292"/>
      <c r="MV73" s="292"/>
      <c r="MW73" s="292"/>
      <c r="MX73" s="292"/>
      <c r="MY73" s="292"/>
      <c r="MZ73" s="292"/>
      <c r="NA73" s="292"/>
      <c r="NB73" s="292"/>
      <c r="NC73" s="292"/>
      <c r="ND73" s="292"/>
      <c r="NE73" s="292"/>
      <c r="NF73" s="292"/>
      <c r="NG73" s="292"/>
      <c r="NH73" s="292"/>
      <c r="NI73" s="292"/>
      <c r="NJ73" s="292"/>
      <c r="NK73" s="292"/>
      <c r="NL73" s="292"/>
      <c r="NM73" s="292"/>
      <c r="NN73" s="292"/>
      <c r="NO73" s="292"/>
      <c r="NP73" s="292"/>
      <c r="NQ73" s="292"/>
      <c r="NR73" s="292"/>
      <c r="NS73" s="292"/>
      <c r="NT73" s="292"/>
      <c r="NU73" s="292"/>
      <c r="NV73" s="292"/>
      <c r="NW73" s="292"/>
      <c r="NX73" s="292"/>
      <c r="NY73" s="292"/>
      <c r="NZ73" s="292"/>
      <c r="OA73" s="292"/>
      <c r="OB73" s="292"/>
      <c r="OC73" s="292"/>
      <c r="OD73" s="292"/>
      <c r="OE73" s="292"/>
      <c r="OF73" s="292"/>
      <c r="OG73" s="292"/>
      <c r="OH73" s="292"/>
      <c r="OI73" s="292"/>
      <c r="OJ73" s="292"/>
      <c r="OK73" s="292"/>
      <c r="OL73" s="292"/>
      <c r="OM73" s="292"/>
      <c r="ON73" s="292"/>
      <c r="OO73" s="292"/>
      <c r="OP73" s="292"/>
      <c r="OQ73" s="292"/>
      <c r="OR73" s="292"/>
      <c r="OS73" s="292"/>
      <c r="OT73" s="292"/>
      <c r="OU73" s="292"/>
      <c r="OV73" s="292"/>
      <c r="OW73" s="292"/>
      <c r="OX73" s="292"/>
      <c r="OY73" s="292"/>
      <c r="OZ73" s="292"/>
      <c r="PA73" s="292"/>
      <c r="PB73" s="292"/>
      <c r="PC73" s="292"/>
      <c r="PD73" s="292"/>
      <c r="PE73" s="292"/>
      <c r="PF73" s="292"/>
      <c r="PG73" s="292"/>
      <c r="PH73" s="292"/>
      <c r="PI73" s="292"/>
      <c r="PJ73" s="292"/>
      <c r="PK73" s="292"/>
      <c r="PL73" s="292"/>
      <c r="PM73" s="292"/>
      <c r="PN73" s="292"/>
      <c r="PO73" s="292"/>
      <c r="PP73" s="292"/>
      <c r="PQ73" s="292"/>
      <c r="PR73" s="292"/>
      <c r="PS73" s="292"/>
      <c r="PT73" s="292"/>
      <c r="PU73" s="292"/>
      <c r="PV73" s="292"/>
      <c r="PW73" s="292"/>
      <c r="PX73" s="292"/>
      <c r="PY73" s="292"/>
      <c r="PZ73" s="292"/>
      <c r="QA73" s="292"/>
      <c r="QB73" s="292"/>
      <c r="QC73" s="292"/>
      <c r="QD73" s="292"/>
      <c r="QE73" s="292"/>
      <c r="QF73" s="292"/>
      <c r="QG73" s="292"/>
      <c r="QH73" s="292"/>
      <c r="QI73" s="292"/>
      <c r="QJ73" s="292"/>
      <c r="QK73" s="292"/>
      <c r="QL73" s="292"/>
      <c r="QM73" s="292"/>
      <c r="QN73" s="292"/>
      <c r="QO73" s="292"/>
      <c r="QP73" s="292"/>
      <c r="QQ73" s="292"/>
      <c r="QR73" s="292"/>
      <c r="QS73" s="292"/>
      <c r="QT73" s="292"/>
      <c r="QU73" s="292"/>
      <c r="QV73" s="292"/>
      <c r="QW73" s="292"/>
      <c r="QX73" s="292"/>
      <c r="QY73" s="292"/>
      <c r="QZ73" s="292"/>
      <c r="RA73" s="292"/>
      <c r="RB73" s="292"/>
      <c r="RC73" s="292"/>
      <c r="RD73" s="292"/>
      <c r="RE73" s="292"/>
      <c r="RF73" s="292"/>
      <c r="RG73" s="292"/>
      <c r="RH73" s="292"/>
      <c r="RI73" s="292"/>
      <c r="RJ73" s="292"/>
      <c r="RK73" s="292"/>
      <c r="RL73" s="292"/>
      <c r="RM73" s="292"/>
      <c r="RN73" s="292"/>
      <c r="RO73" s="292"/>
      <c r="RP73" s="292"/>
      <c r="RQ73" s="292"/>
      <c r="RR73" s="292"/>
      <c r="RS73" s="292"/>
      <c r="RT73" s="292"/>
      <c r="RU73" s="292"/>
      <c r="RV73" s="292"/>
      <c r="RW73" s="292"/>
      <c r="RX73" s="292"/>
      <c r="RY73" s="292"/>
      <c r="RZ73" s="292"/>
      <c r="SA73" s="292"/>
      <c r="SB73" s="292"/>
      <c r="SC73" s="292"/>
      <c r="SD73" s="292"/>
      <c r="SE73" s="292"/>
      <c r="SF73" s="292"/>
      <c r="SG73" s="292"/>
      <c r="SH73" s="292"/>
      <c r="SI73" s="292"/>
      <c r="SJ73" s="292"/>
      <c r="SK73" s="292"/>
      <c r="SL73" s="292"/>
      <c r="SM73" s="292"/>
      <c r="SN73" s="292"/>
      <c r="SO73" s="292"/>
      <c r="SP73" s="292"/>
      <c r="SQ73" s="292"/>
      <c r="SR73" s="292"/>
      <c r="SS73" s="292"/>
      <c r="ST73" s="292"/>
      <c r="SU73" s="292"/>
    </row>
    <row r="74" spans="1:515" s="627" customFormat="1" ht="23.15" customHeight="1" x14ac:dyDescent="0.25">
      <c r="A74" s="1353" t="s">
        <v>376</v>
      </c>
      <c r="B74" s="1354"/>
      <c r="C74" s="1354"/>
      <c r="D74" s="957"/>
      <c r="E74" s="1174" t="s">
        <v>15</v>
      </c>
      <c r="F74" s="1174" t="s">
        <v>363</v>
      </c>
      <c r="G74" s="1174" t="s">
        <v>377</v>
      </c>
      <c r="H74" s="957"/>
      <c r="I74" s="1174" t="s">
        <v>15</v>
      </c>
      <c r="J74" s="1174" t="s">
        <v>363</v>
      </c>
      <c r="K74" s="1174" t="s">
        <v>377</v>
      </c>
      <c r="L74" s="957"/>
      <c r="M74" s="1174" t="s">
        <v>15</v>
      </c>
      <c r="N74" s="1174" t="s">
        <v>363</v>
      </c>
      <c r="O74" s="1174" t="s">
        <v>377</v>
      </c>
      <c r="P74" s="957"/>
      <c r="Q74" s="1174" t="s">
        <v>15</v>
      </c>
      <c r="R74" s="1174" t="s">
        <v>363</v>
      </c>
      <c r="S74" s="1174" t="s">
        <v>377</v>
      </c>
      <c r="T74" s="957"/>
      <c r="U74" s="1174" t="s">
        <v>15</v>
      </c>
      <c r="V74" s="1174" t="s">
        <v>363</v>
      </c>
      <c r="W74" s="1174" t="s">
        <v>377</v>
      </c>
      <c r="X74" s="960"/>
      <c r="Y74" s="1174" t="s">
        <v>15</v>
      </c>
      <c r="Z74" s="1174" t="s">
        <v>363</v>
      </c>
      <c r="AA74" s="1174" t="s">
        <v>377</v>
      </c>
      <c r="AB74" s="957"/>
      <c r="AC74" s="957"/>
      <c r="AD74" s="1174" t="s">
        <v>377</v>
      </c>
      <c r="AE74" s="971"/>
      <c r="AF74" s="292"/>
      <c r="AG74" s="292"/>
      <c r="AH74" s="292"/>
      <c r="AI74" s="292"/>
      <c r="AJ74" s="292"/>
      <c r="AK74" s="292"/>
      <c r="AL74" s="292"/>
      <c r="AM74" s="292"/>
      <c r="AN74" s="292"/>
      <c r="AO74" s="292"/>
      <c r="AP74" s="292"/>
      <c r="AQ74" s="292"/>
      <c r="AR74" s="292"/>
      <c r="AS74" s="292"/>
      <c r="AT74" s="292"/>
      <c r="AU74" s="292"/>
      <c r="AV74" s="292"/>
      <c r="AW74" s="292"/>
      <c r="AX74" s="292"/>
      <c r="AY74" s="292"/>
      <c r="AZ74" s="292"/>
      <c r="BA74" s="292"/>
      <c r="BB74" s="292"/>
      <c r="BC74" s="292"/>
      <c r="BD74" s="292"/>
      <c r="BE74" s="292"/>
      <c r="BF74" s="292"/>
      <c r="BG74" s="292"/>
      <c r="BH74" s="292"/>
      <c r="BI74" s="292"/>
      <c r="BJ74" s="292"/>
      <c r="BK74" s="292"/>
      <c r="BL74" s="292"/>
      <c r="BM74" s="292"/>
      <c r="BN74" s="292"/>
      <c r="BO74" s="292"/>
      <c r="BP74" s="292"/>
      <c r="BQ74" s="292"/>
      <c r="BR74" s="292"/>
      <c r="BS74" s="292"/>
      <c r="BT74" s="292"/>
      <c r="BU74" s="292"/>
      <c r="BV74" s="292"/>
      <c r="BW74" s="292"/>
      <c r="BX74" s="292"/>
      <c r="BY74" s="292"/>
      <c r="BZ74" s="292"/>
      <c r="CA74" s="292"/>
      <c r="CB74" s="292"/>
      <c r="CC74" s="292"/>
      <c r="CD74" s="292"/>
      <c r="CE74" s="292"/>
      <c r="CF74" s="292"/>
      <c r="CG74" s="292"/>
      <c r="CH74" s="292"/>
      <c r="CI74" s="292"/>
      <c r="CJ74" s="292"/>
      <c r="CK74" s="292"/>
      <c r="CL74" s="292"/>
      <c r="CM74" s="292"/>
      <c r="CN74" s="292"/>
      <c r="CO74" s="292"/>
      <c r="CP74" s="292"/>
      <c r="CQ74" s="292"/>
      <c r="CR74" s="292"/>
      <c r="CS74" s="292"/>
      <c r="CT74" s="292"/>
      <c r="CU74" s="292"/>
      <c r="CV74" s="292"/>
      <c r="CW74" s="292"/>
      <c r="CX74" s="292"/>
      <c r="CY74" s="292"/>
      <c r="CZ74" s="292"/>
      <c r="DA74" s="292"/>
      <c r="DB74" s="292"/>
      <c r="DC74" s="292"/>
      <c r="DD74" s="292"/>
      <c r="DE74" s="292"/>
      <c r="DF74" s="292"/>
      <c r="DG74" s="292"/>
      <c r="DH74" s="292"/>
      <c r="DI74" s="292"/>
      <c r="DJ74" s="292"/>
      <c r="DK74" s="292"/>
      <c r="DL74" s="292"/>
      <c r="DM74" s="292"/>
      <c r="DN74" s="292"/>
      <c r="DO74" s="292"/>
      <c r="DP74" s="292"/>
      <c r="DQ74" s="292"/>
      <c r="DR74" s="292"/>
      <c r="DS74" s="292"/>
      <c r="DT74" s="292"/>
      <c r="DU74" s="292"/>
      <c r="DV74" s="292"/>
      <c r="DW74" s="292"/>
      <c r="DX74" s="292"/>
      <c r="DY74" s="292"/>
      <c r="DZ74" s="292"/>
      <c r="EA74" s="292"/>
      <c r="EB74" s="292"/>
      <c r="EC74" s="292"/>
      <c r="ED74" s="292"/>
      <c r="EE74" s="292"/>
      <c r="EF74" s="292"/>
      <c r="EG74" s="292"/>
      <c r="EH74" s="292"/>
      <c r="EI74" s="292"/>
      <c r="EJ74" s="292"/>
      <c r="EK74" s="292"/>
      <c r="EL74" s="292"/>
      <c r="EM74" s="292"/>
      <c r="EN74" s="292"/>
      <c r="EO74" s="292"/>
      <c r="EP74" s="292"/>
      <c r="EQ74" s="292"/>
      <c r="ER74" s="292"/>
      <c r="ES74" s="292"/>
      <c r="ET74" s="292"/>
      <c r="EU74" s="292"/>
      <c r="EV74" s="292"/>
      <c r="EW74" s="292"/>
      <c r="EX74" s="292"/>
      <c r="EY74" s="292"/>
      <c r="EZ74" s="292"/>
      <c r="FA74" s="292"/>
      <c r="FB74" s="292"/>
      <c r="FC74" s="292"/>
      <c r="FD74" s="292"/>
      <c r="FE74" s="292"/>
      <c r="FF74" s="292"/>
      <c r="FG74" s="292"/>
      <c r="FH74" s="292"/>
      <c r="FI74" s="292"/>
      <c r="FJ74" s="292"/>
      <c r="FK74" s="292"/>
      <c r="FL74" s="292"/>
      <c r="FM74" s="292"/>
      <c r="FN74" s="292"/>
      <c r="FO74" s="292"/>
      <c r="FP74" s="292"/>
      <c r="FQ74" s="292"/>
      <c r="FR74" s="292"/>
      <c r="FS74" s="292"/>
      <c r="FT74" s="292"/>
      <c r="FU74" s="292"/>
      <c r="FV74" s="292"/>
      <c r="FW74" s="292"/>
      <c r="FX74" s="292"/>
      <c r="FY74" s="292"/>
      <c r="FZ74" s="292"/>
      <c r="GA74" s="292"/>
      <c r="GB74" s="292"/>
      <c r="GC74" s="292"/>
      <c r="GD74" s="292"/>
      <c r="GE74" s="292"/>
      <c r="GF74" s="292"/>
      <c r="GG74" s="292"/>
      <c r="GH74" s="292"/>
      <c r="GI74" s="292"/>
      <c r="GJ74" s="292"/>
      <c r="GK74" s="292"/>
      <c r="GL74" s="292"/>
      <c r="GM74" s="292"/>
      <c r="GN74" s="292"/>
      <c r="GO74" s="292"/>
      <c r="GP74" s="292"/>
      <c r="GQ74" s="292"/>
      <c r="GR74" s="292"/>
      <c r="GS74" s="292"/>
      <c r="GT74" s="292"/>
      <c r="GU74" s="292"/>
      <c r="GV74" s="292"/>
      <c r="GW74" s="292"/>
      <c r="GX74" s="292"/>
      <c r="GY74" s="292"/>
      <c r="GZ74" s="292"/>
      <c r="HA74" s="292"/>
      <c r="HB74" s="292"/>
      <c r="HC74" s="292"/>
      <c r="HD74" s="292"/>
      <c r="HE74" s="292"/>
      <c r="HF74" s="292"/>
      <c r="HG74" s="292"/>
      <c r="HH74" s="292"/>
      <c r="HI74" s="292"/>
      <c r="HJ74" s="292"/>
      <c r="HK74" s="292"/>
      <c r="HL74" s="292"/>
      <c r="HM74" s="292"/>
      <c r="HN74" s="292"/>
      <c r="HO74" s="292"/>
      <c r="HP74" s="292"/>
      <c r="HQ74" s="292"/>
      <c r="HR74" s="292"/>
      <c r="HS74" s="292"/>
      <c r="HT74" s="292"/>
      <c r="HU74" s="292"/>
      <c r="HV74" s="292"/>
      <c r="HW74" s="292"/>
      <c r="HX74" s="292"/>
      <c r="HY74" s="292"/>
      <c r="HZ74" s="292"/>
      <c r="IA74" s="292"/>
      <c r="IB74" s="292"/>
      <c r="IC74" s="292"/>
      <c r="ID74" s="292"/>
      <c r="IE74" s="292"/>
      <c r="IF74" s="292"/>
      <c r="IG74" s="292"/>
      <c r="IH74" s="292"/>
      <c r="II74" s="292"/>
      <c r="IJ74" s="292"/>
      <c r="IK74" s="292"/>
      <c r="IL74" s="292"/>
      <c r="IM74" s="292"/>
      <c r="IN74" s="292"/>
      <c r="IO74" s="292"/>
      <c r="IP74" s="292"/>
      <c r="IQ74" s="292"/>
      <c r="IR74" s="292"/>
      <c r="IS74" s="292"/>
      <c r="IT74" s="292"/>
      <c r="IU74" s="292"/>
      <c r="IV74" s="292"/>
      <c r="IW74" s="292"/>
      <c r="IX74" s="292"/>
      <c r="IY74" s="292"/>
      <c r="IZ74" s="292"/>
      <c r="JA74" s="292"/>
      <c r="JB74" s="292"/>
      <c r="JC74" s="292"/>
      <c r="JD74" s="292"/>
      <c r="JE74" s="292"/>
      <c r="JF74" s="292"/>
      <c r="JG74" s="292"/>
      <c r="JH74" s="292"/>
      <c r="JI74" s="292"/>
      <c r="JJ74" s="292"/>
      <c r="JK74" s="292"/>
      <c r="JL74" s="292"/>
      <c r="JM74" s="292"/>
      <c r="JN74" s="292"/>
      <c r="JO74" s="292"/>
      <c r="JP74" s="292"/>
      <c r="JQ74" s="292"/>
      <c r="JR74" s="292"/>
      <c r="JS74" s="292"/>
      <c r="JT74" s="292"/>
      <c r="JU74" s="292"/>
      <c r="JV74" s="292"/>
      <c r="JW74" s="292"/>
      <c r="JX74" s="292"/>
      <c r="JY74" s="292"/>
      <c r="JZ74" s="292"/>
      <c r="KA74" s="292"/>
      <c r="KB74" s="292"/>
      <c r="KC74" s="292"/>
      <c r="KD74" s="292"/>
      <c r="KE74" s="292"/>
      <c r="KF74" s="292"/>
      <c r="KG74" s="292"/>
      <c r="KH74" s="292"/>
      <c r="KI74" s="292"/>
      <c r="KJ74" s="292"/>
      <c r="KK74" s="292"/>
      <c r="KL74" s="292"/>
      <c r="KM74" s="292"/>
      <c r="KN74" s="292"/>
      <c r="KO74" s="292"/>
      <c r="KP74" s="292"/>
      <c r="KQ74" s="292"/>
      <c r="KR74" s="292"/>
      <c r="KS74" s="292"/>
      <c r="KT74" s="292"/>
      <c r="KU74" s="292"/>
      <c r="KV74" s="292"/>
      <c r="KW74" s="292"/>
      <c r="KX74" s="292"/>
      <c r="KY74" s="292"/>
      <c r="KZ74" s="292"/>
      <c r="LA74" s="292"/>
      <c r="LB74" s="292"/>
      <c r="LC74" s="292"/>
      <c r="LD74" s="292"/>
      <c r="LE74" s="292"/>
      <c r="LF74" s="292"/>
      <c r="LG74" s="292"/>
      <c r="LH74" s="292"/>
      <c r="LI74" s="292"/>
      <c r="LJ74" s="292"/>
      <c r="LK74" s="292"/>
      <c r="LL74" s="292"/>
      <c r="LM74" s="292"/>
      <c r="LN74" s="292"/>
      <c r="LO74" s="292"/>
      <c r="LP74" s="292"/>
      <c r="LQ74" s="292"/>
      <c r="LR74" s="292"/>
      <c r="LS74" s="292"/>
      <c r="LT74" s="292"/>
      <c r="LU74" s="292"/>
      <c r="LV74" s="292"/>
      <c r="LW74" s="292"/>
      <c r="LX74" s="292"/>
      <c r="LY74" s="292"/>
      <c r="LZ74" s="292"/>
      <c r="MA74" s="292"/>
      <c r="MB74" s="292"/>
      <c r="MC74" s="292"/>
      <c r="MD74" s="292"/>
      <c r="ME74" s="292"/>
      <c r="MF74" s="292"/>
      <c r="MG74" s="292"/>
      <c r="MH74" s="292"/>
      <c r="MI74" s="292"/>
      <c r="MJ74" s="292"/>
      <c r="MK74" s="292"/>
      <c r="ML74" s="292"/>
      <c r="MM74" s="292"/>
      <c r="MN74" s="292"/>
      <c r="MO74" s="292"/>
      <c r="MP74" s="292"/>
      <c r="MQ74" s="292"/>
      <c r="MR74" s="292"/>
      <c r="MS74" s="292"/>
      <c r="MT74" s="292"/>
      <c r="MU74" s="292"/>
      <c r="MV74" s="292"/>
      <c r="MW74" s="292"/>
      <c r="MX74" s="292"/>
      <c r="MY74" s="292"/>
      <c r="MZ74" s="292"/>
      <c r="NA74" s="292"/>
      <c r="NB74" s="292"/>
      <c r="NC74" s="292"/>
      <c r="ND74" s="292"/>
      <c r="NE74" s="292"/>
      <c r="NF74" s="292"/>
      <c r="NG74" s="292"/>
      <c r="NH74" s="292"/>
      <c r="NI74" s="292"/>
      <c r="NJ74" s="292"/>
      <c r="NK74" s="292"/>
      <c r="NL74" s="292"/>
      <c r="NM74" s="292"/>
      <c r="NN74" s="292"/>
      <c r="NO74" s="292"/>
      <c r="NP74" s="292"/>
      <c r="NQ74" s="292"/>
      <c r="NR74" s="292"/>
      <c r="NS74" s="292"/>
      <c r="NT74" s="292"/>
      <c r="NU74" s="292"/>
      <c r="NV74" s="292"/>
      <c r="NW74" s="292"/>
      <c r="NX74" s="292"/>
      <c r="NY74" s="292"/>
      <c r="NZ74" s="292"/>
      <c r="OA74" s="292"/>
      <c r="OB74" s="292"/>
      <c r="OC74" s="292"/>
      <c r="OD74" s="292"/>
      <c r="OE74" s="292"/>
      <c r="OF74" s="292"/>
      <c r="OG74" s="292"/>
      <c r="OH74" s="292"/>
      <c r="OI74" s="292"/>
      <c r="OJ74" s="292"/>
      <c r="OK74" s="292"/>
      <c r="OL74" s="292"/>
      <c r="OM74" s="292"/>
      <c r="ON74" s="292"/>
      <c r="OO74" s="292"/>
      <c r="OP74" s="292"/>
      <c r="OQ74" s="292"/>
      <c r="OR74" s="292"/>
      <c r="OS74" s="292"/>
      <c r="OT74" s="292"/>
      <c r="OU74" s="292"/>
      <c r="OV74" s="292"/>
      <c r="OW74" s="292"/>
      <c r="OX74" s="292"/>
      <c r="OY74" s="292"/>
      <c r="OZ74" s="292"/>
      <c r="PA74" s="292"/>
      <c r="PB74" s="292"/>
      <c r="PC74" s="292"/>
      <c r="PD74" s="292"/>
      <c r="PE74" s="292"/>
      <c r="PF74" s="292"/>
      <c r="PG74" s="292"/>
      <c r="PH74" s="292"/>
      <c r="PI74" s="292"/>
      <c r="PJ74" s="292"/>
      <c r="PK74" s="292"/>
      <c r="PL74" s="292"/>
      <c r="PM74" s="292"/>
      <c r="PN74" s="292"/>
      <c r="PO74" s="292"/>
      <c r="PP74" s="292"/>
      <c r="PQ74" s="292"/>
      <c r="PR74" s="292"/>
      <c r="PS74" s="292"/>
      <c r="PT74" s="292"/>
      <c r="PU74" s="292"/>
      <c r="PV74" s="292"/>
      <c r="PW74" s="292"/>
      <c r="PX74" s="292"/>
      <c r="PY74" s="292"/>
      <c r="PZ74" s="292"/>
      <c r="QA74" s="292"/>
      <c r="QB74" s="292"/>
      <c r="QC74" s="292"/>
      <c r="QD74" s="292"/>
      <c r="QE74" s="292"/>
      <c r="QF74" s="292"/>
      <c r="QG74" s="292"/>
      <c r="QH74" s="292"/>
      <c r="QI74" s="292"/>
      <c r="QJ74" s="292"/>
      <c r="QK74" s="292"/>
      <c r="QL74" s="292"/>
      <c r="QM74" s="292"/>
      <c r="QN74" s="292"/>
      <c r="QO74" s="292"/>
      <c r="QP74" s="292"/>
      <c r="QQ74" s="292"/>
      <c r="QR74" s="292"/>
      <c r="QS74" s="292"/>
      <c r="QT74" s="292"/>
      <c r="QU74" s="292"/>
      <c r="QV74" s="292"/>
      <c r="QW74" s="292"/>
      <c r="QX74" s="292"/>
      <c r="QY74" s="292"/>
      <c r="QZ74" s="292"/>
      <c r="RA74" s="292"/>
      <c r="RB74" s="292"/>
      <c r="RC74" s="292"/>
      <c r="RD74" s="292"/>
      <c r="RE74" s="292"/>
      <c r="RF74" s="292"/>
      <c r="RG74" s="292"/>
      <c r="RH74" s="292"/>
      <c r="RI74" s="292"/>
      <c r="RJ74" s="292"/>
      <c r="RK74" s="292"/>
      <c r="RL74" s="292"/>
      <c r="RM74" s="292"/>
      <c r="RN74" s="292"/>
      <c r="RO74" s="292"/>
      <c r="RP74" s="292"/>
      <c r="RQ74" s="292"/>
      <c r="RR74" s="292"/>
      <c r="RS74" s="292"/>
      <c r="RT74" s="292"/>
      <c r="RU74" s="292"/>
      <c r="RV74" s="292"/>
      <c r="RW74" s="292"/>
      <c r="RX74" s="292"/>
      <c r="RY74" s="292"/>
      <c r="RZ74" s="292"/>
      <c r="SA74" s="292"/>
      <c r="SB74" s="292"/>
      <c r="SC74" s="292"/>
      <c r="SD74" s="292"/>
      <c r="SE74" s="292"/>
      <c r="SF74" s="292"/>
      <c r="SG74" s="292"/>
      <c r="SH74" s="292"/>
      <c r="SI74" s="292"/>
      <c r="SJ74" s="292"/>
      <c r="SK74" s="292"/>
      <c r="SL74" s="292"/>
      <c r="SM74" s="292"/>
      <c r="SN74" s="292"/>
      <c r="SO74" s="292"/>
      <c r="SP74" s="292"/>
      <c r="SQ74" s="292"/>
      <c r="SR74" s="292"/>
      <c r="SS74" s="292"/>
      <c r="ST74" s="292"/>
      <c r="SU74" s="292"/>
    </row>
    <row r="75" spans="1:515" ht="15" customHeight="1" x14ac:dyDescent="0.25">
      <c r="A75" s="1349" t="s">
        <v>378</v>
      </c>
      <c r="B75" s="1350"/>
      <c r="C75" s="1350"/>
      <c r="D75" s="957"/>
      <c r="E75" s="622">
        <v>0</v>
      </c>
      <c r="F75" s="626">
        <v>0</v>
      </c>
      <c r="G75" s="1003">
        <f>E75*F75</f>
        <v>0</v>
      </c>
      <c r="H75" s="957"/>
      <c r="I75" s="622">
        <v>0</v>
      </c>
      <c r="J75" s="626">
        <v>0</v>
      </c>
      <c r="K75" s="1003">
        <f>I75*J75</f>
        <v>0</v>
      </c>
      <c r="L75" s="957"/>
      <c r="M75" s="622">
        <v>0</v>
      </c>
      <c r="N75" s="626">
        <v>0</v>
      </c>
      <c r="O75" s="1003">
        <f>M75*N75</f>
        <v>0</v>
      </c>
      <c r="P75" s="957"/>
      <c r="Q75" s="622">
        <v>0</v>
      </c>
      <c r="R75" s="626">
        <v>0.01</v>
      </c>
      <c r="S75" s="1003">
        <f>Q75*R75</f>
        <v>0</v>
      </c>
      <c r="T75" s="957"/>
      <c r="U75" s="622">
        <v>0</v>
      </c>
      <c r="V75" s="626">
        <v>0</v>
      </c>
      <c r="W75" s="1003">
        <f>U75*V75</f>
        <v>0</v>
      </c>
      <c r="X75" s="960"/>
      <c r="Y75" s="622">
        <v>0</v>
      </c>
      <c r="Z75" s="626">
        <v>0</v>
      </c>
      <c r="AA75" s="1003">
        <f>Y75*Z75</f>
        <v>0</v>
      </c>
      <c r="AB75" s="975"/>
      <c r="AC75" s="957"/>
      <c r="AD75" s="1003">
        <f>G75+K75+O75+S75+W75+AA75</f>
        <v>0</v>
      </c>
      <c r="AE75" s="971"/>
    </row>
    <row r="76" spans="1:515" ht="15" customHeight="1" x14ac:dyDescent="0.25">
      <c r="A76" s="1351" t="s">
        <v>379</v>
      </c>
      <c r="B76" s="1352"/>
      <c r="C76" s="1352"/>
      <c r="D76" s="957"/>
      <c r="E76" s="622">
        <v>0</v>
      </c>
      <c r="F76" s="626">
        <v>0</v>
      </c>
      <c r="G76" s="1003">
        <f>E76*F76</f>
        <v>0</v>
      </c>
      <c r="H76" s="957"/>
      <c r="I76" s="622">
        <v>0</v>
      </c>
      <c r="J76" s="626">
        <v>0</v>
      </c>
      <c r="K76" s="1003">
        <f>I76*J76</f>
        <v>0</v>
      </c>
      <c r="L76" s="957"/>
      <c r="M76" s="622">
        <v>0</v>
      </c>
      <c r="N76" s="626">
        <v>0</v>
      </c>
      <c r="O76" s="1003">
        <f>M76*N76</f>
        <v>0</v>
      </c>
      <c r="P76" s="957"/>
      <c r="Q76" s="622">
        <v>0</v>
      </c>
      <c r="R76" s="626">
        <v>0.01</v>
      </c>
      <c r="S76" s="1003">
        <f>Q76*R76</f>
        <v>0</v>
      </c>
      <c r="T76" s="957"/>
      <c r="U76" s="622">
        <v>0</v>
      </c>
      <c r="V76" s="626">
        <v>0</v>
      </c>
      <c r="W76" s="1003">
        <f>U76*V76</f>
        <v>0</v>
      </c>
      <c r="X76" s="960"/>
      <c r="Y76" s="622">
        <v>0</v>
      </c>
      <c r="Z76" s="626">
        <v>0</v>
      </c>
      <c r="AA76" s="1003">
        <f>Y76*Z76</f>
        <v>0</v>
      </c>
      <c r="AB76" s="975"/>
      <c r="AC76" s="957"/>
      <c r="AD76" s="1003">
        <f>G76+K76+O76+S76+W76+AA76</f>
        <v>0</v>
      </c>
      <c r="AE76" s="971"/>
    </row>
    <row r="77" spans="1:515" s="627" customFormat="1" ht="23.15" customHeight="1" x14ac:dyDescent="0.25">
      <c r="A77" s="1325" t="s">
        <v>380</v>
      </c>
      <c r="B77" s="1326"/>
      <c r="C77" s="1326"/>
      <c r="D77" s="957"/>
      <c r="E77" s="957"/>
      <c r="F77" s="992"/>
      <c r="G77" s="793">
        <f>SUM(G74:G76)</f>
        <v>0</v>
      </c>
      <c r="H77" s="957"/>
      <c r="I77" s="990"/>
      <c r="J77" s="991"/>
      <c r="K77" s="793">
        <f>SUM(K75:K76)</f>
        <v>0</v>
      </c>
      <c r="L77" s="957"/>
      <c r="M77" s="960"/>
      <c r="N77" s="993"/>
      <c r="O77" s="793">
        <f>SUM(O75:O76)</f>
        <v>0</v>
      </c>
      <c r="P77" s="957"/>
      <c r="Q77" s="957"/>
      <c r="R77" s="957"/>
      <c r="S77" s="793">
        <f>SUM(S75:S76)</f>
        <v>0</v>
      </c>
      <c r="T77" s="957"/>
      <c r="U77" s="1295"/>
      <c r="V77" s="1295"/>
      <c r="W77" s="793">
        <f>SUM(W75:W76)</f>
        <v>0</v>
      </c>
      <c r="X77" s="960"/>
      <c r="Y77" s="1304"/>
      <c r="Z77" s="1304"/>
      <c r="AA77" s="793">
        <f>SUM(AA75:AA76)</f>
        <v>0</v>
      </c>
      <c r="AB77" s="976"/>
      <c r="AC77" s="957"/>
      <c r="AD77" s="793">
        <f>G77+K77+O77+S77+W77+AA77</f>
        <v>0</v>
      </c>
      <c r="AE77" s="971"/>
      <c r="AF77" s="292"/>
      <c r="AG77" s="292"/>
      <c r="AH77" s="292"/>
      <c r="AI77" s="292"/>
      <c r="AJ77" s="292"/>
      <c r="AK77" s="292"/>
      <c r="AL77" s="292"/>
      <c r="AM77" s="292"/>
      <c r="AN77" s="292"/>
      <c r="AO77" s="292"/>
      <c r="AP77" s="292"/>
      <c r="AQ77" s="292"/>
      <c r="AR77" s="292"/>
      <c r="AS77" s="292"/>
      <c r="AT77" s="292"/>
      <c r="AU77" s="292"/>
      <c r="AV77" s="292"/>
      <c r="AW77" s="292"/>
      <c r="AX77" s="292"/>
      <c r="AY77" s="292"/>
      <c r="AZ77" s="292"/>
      <c r="BA77" s="292"/>
      <c r="BB77" s="292"/>
      <c r="BC77" s="292"/>
      <c r="BD77" s="292"/>
      <c r="BE77" s="292"/>
      <c r="BF77" s="292"/>
      <c r="BG77" s="292"/>
      <c r="BH77" s="292"/>
      <c r="BI77" s="292"/>
      <c r="BJ77" s="292"/>
      <c r="BK77" s="292"/>
      <c r="BL77" s="292"/>
      <c r="BM77" s="292"/>
      <c r="BN77" s="292"/>
      <c r="BO77" s="292"/>
      <c r="BP77" s="292"/>
      <c r="BQ77" s="292"/>
      <c r="BR77" s="292"/>
      <c r="BS77" s="292"/>
      <c r="BT77" s="292"/>
      <c r="BU77" s="292"/>
      <c r="BV77" s="292"/>
      <c r="BW77" s="292"/>
      <c r="BX77" s="292"/>
      <c r="BY77" s="292"/>
      <c r="BZ77" s="292"/>
      <c r="CA77" s="292"/>
      <c r="CB77" s="292"/>
      <c r="CC77" s="292"/>
      <c r="CD77" s="292"/>
      <c r="CE77" s="292"/>
      <c r="CF77" s="292"/>
      <c r="CG77" s="292"/>
      <c r="CH77" s="292"/>
      <c r="CI77" s="292"/>
      <c r="CJ77" s="292"/>
      <c r="CK77" s="292"/>
      <c r="CL77" s="292"/>
      <c r="CM77" s="292"/>
      <c r="CN77" s="292"/>
      <c r="CO77" s="292"/>
      <c r="CP77" s="292"/>
      <c r="CQ77" s="292"/>
      <c r="CR77" s="292"/>
      <c r="CS77" s="292"/>
      <c r="CT77" s="292"/>
      <c r="CU77" s="292"/>
      <c r="CV77" s="292"/>
      <c r="CW77" s="292"/>
      <c r="CX77" s="292"/>
      <c r="CY77" s="292"/>
      <c r="CZ77" s="292"/>
      <c r="DA77" s="292"/>
      <c r="DB77" s="292"/>
      <c r="DC77" s="292"/>
      <c r="DD77" s="292"/>
      <c r="DE77" s="292"/>
      <c r="DF77" s="292"/>
      <c r="DG77" s="292"/>
      <c r="DH77" s="292"/>
      <c r="DI77" s="292"/>
      <c r="DJ77" s="292"/>
      <c r="DK77" s="292"/>
      <c r="DL77" s="292"/>
      <c r="DM77" s="292"/>
      <c r="DN77" s="292"/>
      <c r="DO77" s="292"/>
      <c r="DP77" s="292"/>
      <c r="DQ77" s="292"/>
      <c r="DR77" s="292"/>
      <c r="DS77" s="292"/>
      <c r="DT77" s="292"/>
      <c r="DU77" s="292"/>
      <c r="DV77" s="292"/>
      <c r="DW77" s="292"/>
      <c r="DX77" s="292"/>
      <c r="DY77" s="292"/>
      <c r="DZ77" s="292"/>
      <c r="EA77" s="292"/>
      <c r="EB77" s="292"/>
      <c r="EC77" s="292"/>
      <c r="ED77" s="292"/>
      <c r="EE77" s="292"/>
      <c r="EF77" s="292"/>
      <c r="EG77" s="292"/>
      <c r="EH77" s="292"/>
      <c r="EI77" s="292"/>
      <c r="EJ77" s="292"/>
      <c r="EK77" s="292"/>
      <c r="EL77" s="292"/>
      <c r="EM77" s="292"/>
      <c r="EN77" s="292"/>
      <c r="EO77" s="292"/>
      <c r="EP77" s="292"/>
      <c r="EQ77" s="292"/>
      <c r="ER77" s="292"/>
      <c r="ES77" s="292"/>
      <c r="ET77" s="292"/>
      <c r="EU77" s="292"/>
      <c r="EV77" s="292"/>
      <c r="EW77" s="292"/>
      <c r="EX77" s="292"/>
      <c r="EY77" s="292"/>
      <c r="EZ77" s="292"/>
      <c r="FA77" s="292"/>
      <c r="FB77" s="292"/>
      <c r="FC77" s="292"/>
      <c r="FD77" s="292"/>
      <c r="FE77" s="292"/>
      <c r="FF77" s="292"/>
      <c r="FG77" s="292"/>
      <c r="FH77" s="292"/>
      <c r="FI77" s="292"/>
      <c r="FJ77" s="292"/>
      <c r="FK77" s="292"/>
      <c r="FL77" s="292"/>
      <c r="FM77" s="292"/>
      <c r="FN77" s="292"/>
      <c r="FO77" s="292"/>
      <c r="FP77" s="292"/>
      <c r="FQ77" s="292"/>
      <c r="FR77" s="292"/>
      <c r="FS77" s="292"/>
      <c r="FT77" s="292"/>
      <c r="FU77" s="292"/>
      <c r="FV77" s="292"/>
      <c r="FW77" s="292"/>
      <c r="FX77" s="292"/>
      <c r="FY77" s="292"/>
      <c r="FZ77" s="292"/>
      <c r="GA77" s="292"/>
      <c r="GB77" s="292"/>
      <c r="GC77" s="292"/>
      <c r="GD77" s="292"/>
      <c r="GE77" s="292"/>
      <c r="GF77" s="292"/>
      <c r="GG77" s="292"/>
      <c r="GH77" s="292"/>
      <c r="GI77" s="292"/>
      <c r="GJ77" s="292"/>
      <c r="GK77" s="292"/>
      <c r="GL77" s="292"/>
      <c r="GM77" s="292"/>
      <c r="GN77" s="292"/>
      <c r="GO77" s="292"/>
      <c r="GP77" s="292"/>
      <c r="GQ77" s="292"/>
      <c r="GR77" s="292"/>
      <c r="GS77" s="292"/>
      <c r="GT77" s="292"/>
      <c r="GU77" s="292"/>
      <c r="GV77" s="292"/>
      <c r="GW77" s="292"/>
      <c r="GX77" s="292"/>
      <c r="GY77" s="292"/>
      <c r="GZ77" s="292"/>
      <c r="HA77" s="292"/>
      <c r="HB77" s="292"/>
      <c r="HC77" s="292"/>
      <c r="HD77" s="292"/>
      <c r="HE77" s="292"/>
      <c r="HF77" s="292"/>
      <c r="HG77" s="292"/>
      <c r="HH77" s="292"/>
      <c r="HI77" s="292"/>
      <c r="HJ77" s="292"/>
      <c r="HK77" s="292"/>
      <c r="HL77" s="292"/>
      <c r="HM77" s="292"/>
      <c r="HN77" s="292"/>
      <c r="HO77" s="292"/>
      <c r="HP77" s="292"/>
      <c r="HQ77" s="292"/>
      <c r="HR77" s="292"/>
      <c r="HS77" s="292"/>
      <c r="HT77" s="292"/>
      <c r="HU77" s="292"/>
      <c r="HV77" s="292"/>
      <c r="HW77" s="292"/>
      <c r="HX77" s="292"/>
      <c r="HY77" s="292"/>
      <c r="HZ77" s="292"/>
      <c r="IA77" s="292"/>
      <c r="IB77" s="292"/>
      <c r="IC77" s="292"/>
      <c r="ID77" s="292"/>
      <c r="IE77" s="292"/>
      <c r="IF77" s="292"/>
      <c r="IG77" s="292"/>
      <c r="IH77" s="292"/>
      <c r="II77" s="292"/>
      <c r="IJ77" s="292"/>
      <c r="IK77" s="292"/>
      <c r="IL77" s="292"/>
      <c r="IM77" s="292"/>
      <c r="IN77" s="292"/>
      <c r="IO77" s="292"/>
      <c r="IP77" s="292"/>
      <c r="IQ77" s="292"/>
      <c r="IR77" s="292"/>
      <c r="IS77" s="292"/>
      <c r="IT77" s="292"/>
      <c r="IU77" s="292"/>
      <c r="IV77" s="292"/>
      <c r="IW77" s="292"/>
      <c r="IX77" s="292"/>
      <c r="IY77" s="292"/>
      <c r="IZ77" s="292"/>
      <c r="JA77" s="292"/>
      <c r="JB77" s="292"/>
      <c r="JC77" s="292"/>
      <c r="JD77" s="292"/>
      <c r="JE77" s="292"/>
      <c r="JF77" s="292"/>
      <c r="JG77" s="292"/>
      <c r="JH77" s="292"/>
      <c r="JI77" s="292"/>
      <c r="JJ77" s="292"/>
      <c r="JK77" s="292"/>
      <c r="JL77" s="292"/>
      <c r="JM77" s="292"/>
      <c r="JN77" s="292"/>
      <c r="JO77" s="292"/>
      <c r="JP77" s="292"/>
      <c r="JQ77" s="292"/>
      <c r="JR77" s="292"/>
      <c r="JS77" s="292"/>
      <c r="JT77" s="292"/>
      <c r="JU77" s="292"/>
      <c r="JV77" s="292"/>
      <c r="JW77" s="292"/>
      <c r="JX77" s="292"/>
      <c r="JY77" s="292"/>
      <c r="JZ77" s="292"/>
      <c r="KA77" s="292"/>
      <c r="KB77" s="292"/>
      <c r="KC77" s="292"/>
      <c r="KD77" s="292"/>
      <c r="KE77" s="292"/>
      <c r="KF77" s="292"/>
      <c r="KG77" s="292"/>
      <c r="KH77" s="292"/>
      <c r="KI77" s="292"/>
      <c r="KJ77" s="292"/>
      <c r="KK77" s="292"/>
      <c r="KL77" s="292"/>
      <c r="KM77" s="292"/>
      <c r="KN77" s="292"/>
      <c r="KO77" s="292"/>
      <c r="KP77" s="292"/>
      <c r="KQ77" s="292"/>
      <c r="KR77" s="292"/>
      <c r="KS77" s="292"/>
      <c r="KT77" s="292"/>
      <c r="KU77" s="292"/>
      <c r="KV77" s="292"/>
      <c r="KW77" s="292"/>
      <c r="KX77" s="292"/>
      <c r="KY77" s="292"/>
      <c r="KZ77" s="292"/>
      <c r="LA77" s="292"/>
      <c r="LB77" s="292"/>
      <c r="LC77" s="292"/>
      <c r="LD77" s="292"/>
      <c r="LE77" s="292"/>
      <c r="LF77" s="292"/>
      <c r="LG77" s="292"/>
      <c r="LH77" s="292"/>
      <c r="LI77" s="292"/>
      <c r="LJ77" s="292"/>
      <c r="LK77" s="292"/>
      <c r="LL77" s="292"/>
      <c r="LM77" s="292"/>
      <c r="LN77" s="292"/>
      <c r="LO77" s="292"/>
      <c r="LP77" s="292"/>
      <c r="LQ77" s="292"/>
      <c r="LR77" s="292"/>
      <c r="LS77" s="292"/>
      <c r="LT77" s="292"/>
      <c r="LU77" s="292"/>
      <c r="LV77" s="292"/>
      <c r="LW77" s="292"/>
      <c r="LX77" s="292"/>
      <c r="LY77" s="292"/>
      <c r="LZ77" s="292"/>
      <c r="MA77" s="292"/>
      <c r="MB77" s="292"/>
      <c r="MC77" s="292"/>
      <c r="MD77" s="292"/>
      <c r="ME77" s="292"/>
      <c r="MF77" s="292"/>
      <c r="MG77" s="292"/>
      <c r="MH77" s="292"/>
      <c r="MI77" s="292"/>
      <c r="MJ77" s="292"/>
      <c r="MK77" s="292"/>
      <c r="ML77" s="292"/>
      <c r="MM77" s="292"/>
      <c r="MN77" s="292"/>
      <c r="MO77" s="292"/>
      <c r="MP77" s="292"/>
      <c r="MQ77" s="292"/>
      <c r="MR77" s="292"/>
      <c r="MS77" s="292"/>
      <c r="MT77" s="292"/>
      <c r="MU77" s="292"/>
      <c r="MV77" s="292"/>
      <c r="MW77" s="292"/>
      <c r="MX77" s="292"/>
      <c r="MY77" s="292"/>
      <c r="MZ77" s="292"/>
      <c r="NA77" s="292"/>
      <c r="NB77" s="292"/>
      <c r="NC77" s="292"/>
      <c r="ND77" s="292"/>
      <c r="NE77" s="292"/>
      <c r="NF77" s="292"/>
      <c r="NG77" s="292"/>
      <c r="NH77" s="292"/>
      <c r="NI77" s="292"/>
      <c r="NJ77" s="292"/>
      <c r="NK77" s="292"/>
      <c r="NL77" s="292"/>
      <c r="NM77" s="292"/>
      <c r="NN77" s="292"/>
      <c r="NO77" s="292"/>
      <c r="NP77" s="292"/>
      <c r="NQ77" s="292"/>
      <c r="NR77" s="292"/>
      <c r="NS77" s="292"/>
      <c r="NT77" s="292"/>
      <c r="NU77" s="292"/>
      <c r="NV77" s="292"/>
      <c r="NW77" s="292"/>
      <c r="NX77" s="292"/>
      <c r="NY77" s="292"/>
      <c r="NZ77" s="292"/>
      <c r="OA77" s="292"/>
      <c r="OB77" s="292"/>
      <c r="OC77" s="292"/>
      <c r="OD77" s="292"/>
      <c r="OE77" s="292"/>
      <c r="OF77" s="292"/>
      <c r="OG77" s="292"/>
      <c r="OH77" s="292"/>
      <c r="OI77" s="292"/>
      <c r="OJ77" s="292"/>
      <c r="OK77" s="292"/>
      <c r="OL77" s="292"/>
      <c r="OM77" s="292"/>
      <c r="ON77" s="292"/>
      <c r="OO77" s="292"/>
      <c r="OP77" s="292"/>
      <c r="OQ77" s="292"/>
      <c r="OR77" s="292"/>
      <c r="OS77" s="292"/>
      <c r="OT77" s="292"/>
      <c r="OU77" s="292"/>
      <c r="OV77" s="292"/>
      <c r="OW77" s="292"/>
      <c r="OX77" s="292"/>
      <c r="OY77" s="292"/>
      <c r="OZ77" s="292"/>
      <c r="PA77" s="292"/>
      <c r="PB77" s="292"/>
      <c r="PC77" s="292"/>
      <c r="PD77" s="292"/>
      <c r="PE77" s="292"/>
      <c r="PF77" s="292"/>
      <c r="PG77" s="292"/>
      <c r="PH77" s="292"/>
      <c r="PI77" s="292"/>
      <c r="PJ77" s="292"/>
      <c r="PK77" s="292"/>
      <c r="PL77" s="292"/>
      <c r="PM77" s="292"/>
      <c r="PN77" s="292"/>
      <c r="PO77" s="292"/>
      <c r="PP77" s="292"/>
      <c r="PQ77" s="292"/>
      <c r="PR77" s="292"/>
      <c r="PS77" s="292"/>
      <c r="PT77" s="292"/>
      <c r="PU77" s="292"/>
      <c r="PV77" s="292"/>
      <c r="PW77" s="292"/>
      <c r="PX77" s="292"/>
      <c r="PY77" s="292"/>
      <c r="PZ77" s="292"/>
      <c r="QA77" s="292"/>
      <c r="QB77" s="292"/>
      <c r="QC77" s="292"/>
      <c r="QD77" s="292"/>
      <c r="QE77" s="292"/>
      <c r="QF77" s="292"/>
      <c r="QG77" s="292"/>
      <c r="QH77" s="292"/>
      <c r="QI77" s="292"/>
      <c r="QJ77" s="292"/>
      <c r="QK77" s="292"/>
      <c r="QL77" s="292"/>
      <c r="QM77" s="292"/>
      <c r="QN77" s="292"/>
      <c r="QO77" s="292"/>
      <c r="QP77" s="292"/>
      <c r="QQ77" s="292"/>
      <c r="QR77" s="292"/>
      <c r="QS77" s="292"/>
      <c r="QT77" s="292"/>
      <c r="QU77" s="292"/>
      <c r="QV77" s="292"/>
      <c r="QW77" s="292"/>
      <c r="QX77" s="292"/>
      <c r="QY77" s="292"/>
      <c r="QZ77" s="292"/>
      <c r="RA77" s="292"/>
      <c r="RB77" s="292"/>
      <c r="RC77" s="292"/>
      <c r="RD77" s="292"/>
      <c r="RE77" s="292"/>
      <c r="RF77" s="292"/>
      <c r="RG77" s="292"/>
      <c r="RH77" s="292"/>
      <c r="RI77" s="292"/>
      <c r="RJ77" s="292"/>
      <c r="RK77" s="292"/>
      <c r="RL77" s="292"/>
      <c r="RM77" s="292"/>
      <c r="RN77" s="292"/>
      <c r="RO77" s="292"/>
      <c r="RP77" s="292"/>
      <c r="RQ77" s="292"/>
      <c r="RR77" s="292"/>
      <c r="RS77" s="292"/>
      <c r="RT77" s="292"/>
      <c r="RU77" s="292"/>
      <c r="RV77" s="292"/>
      <c r="RW77" s="292"/>
      <c r="RX77" s="292"/>
      <c r="RY77" s="292"/>
      <c r="RZ77" s="292"/>
      <c r="SA77" s="292"/>
      <c r="SB77" s="292"/>
      <c r="SC77" s="292"/>
      <c r="SD77" s="292"/>
      <c r="SE77" s="292"/>
      <c r="SF77" s="292"/>
      <c r="SG77" s="292"/>
      <c r="SH77" s="292"/>
      <c r="SI77" s="292"/>
      <c r="SJ77" s="292"/>
      <c r="SK77" s="292"/>
      <c r="SL77" s="292"/>
      <c r="SM77" s="292"/>
      <c r="SN77" s="292"/>
      <c r="SO77" s="292"/>
      <c r="SP77" s="292"/>
      <c r="SQ77" s="292"/>
      <c r="SR77" s="292"/>
      <c r="SS77" s="292"/>
      <c r="ST77" s="292"/>
      <c r="SU77" s="292"/>
    </row>
    <row r="78" spans="1:515" s="960" customFormat="1" ht="23.15" customHeight="1" x14ac:dyDescent="0.25">
      <c r="A78" s="986"/>
      <c r="B78" s="984"/>
      <c r="C78" s="984"/>
      <c r="D78" s="957"/>
      <c r="E78" s="981"/>
      <c r="F78" s="981"/>
      <c r="G78" s="981"/>
      <c r="H78" s="957"/>
      <c r="I78" s="981"/>
      <c r="J78" s="981"/>
      <c r="K78" s="981"/>
      <c r="L78" s="957"/>
      <c r="M78" s="981"/>
      <c r="N78" s="981"/>
      <c r="O78" s="981"/>
      <c r="P78" s="957"/>
      <c r="Q78" s="981"/>
      <c r="R78" s="981"/>
      <c r="S78" s="981"/>
      <c r="T78" s="957"/>
      <c r="U78" s="981"/>
      <c r="V78" s="981"/>
      <c r="W78" s="981"/>
      <c r="X78" s="957"/>
      <c r="Y78" s="981"/>
      <c r="Z78" s="981"/>
      <c r="AA78" s="981"/>
      <c r="AB78" s="976"/>
      <c r="AC78" s="1144"/>
      <c r="AD78" s="981"/>
      <c r="AE78" s="971"/>
    </row>
    <row r="79" spans="1:515" s="628" customFormat="1" ht="22.5" customHeight="1" x14ac:dyDescent="0.25">
      <c r="A79" s="1339" t="s">
        <v>381</v>
      </c>
      <c r="B79" s="1340"/>
      <c r="C79" s="1340"/>
      <c r="D79" s="964"/>
      <c r="E79" s="1306" t="s">
        <v>382</v>
      </c>
      <c r="F79" s="1306"/>
      <c r="G79" s="1306"/>
      <c r="H79" s="964"/>
      <c r="I79" s="1306" t="s">
        <v>383</v>
      </c>
      <c r="J79" s="1306"/>
      <c r="K79" s="1306"/>
      <c r="L79" s="964"/>
      <c r="M79" s="1306" t="s">
        <v>384</v>
      </c>
      <c r="N79" s="1306"/>
      <c r="O79" s="1306"/>
      <c r="P79" s="964"/>
      <c r="Q79" s="1306" t="s">
        <v>385</v>
      </c>
      <c r="R79" s="1306"/>
      <c r="S79" s="1306"/>
      <c r="T79" s="964"/>
      <c r="U79" s="1306" t="s">
        <v>386</v>
      </c>
      <c r="V79" s="1306"/>
      <c r="W79" s="1306"/>
      <c r="X79" s="978"/>
      <c r="Y79" s="1306" t="s">
        <v>387</v>
      </c>
      <c r="Z79" s="1306"/>
      <c r="AA79" s="1306"/>
      <c r="AB79" s="976"/>
      <c r="AC79" s="1145" t="s">
        <v>388</v>
      </c>
      <c r="AD79" s="1145" t="s">
        <v>389</v>
      </c>
      <c r="AE79" s="971"/>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292"/>
      <c r="BI79" s="292"/>
      <c r="BJ79" s="292"/>
      <c r="BK79" s="292"/>
      <c r="BL79" s="292"/>
      <c r="BM79" s="292"/>
      <c r="BN79" s="292"/>
      <c r="BO79" s="292"/>
      <c r="BP79" s="292"/>
      <c r="BQ79" s="292"/>
      <c r="BR79" s="292"/>
      <c r="BS79" s="292"/>
      <c r="BT79" s="292"/>
      <c r="BU79" s="292"/>
      <c r="BV79" s="292"/>
      <c r="BW79" s="292"/>
      <c r="BX79" s="292"/>
      <c r="BY79" s="292"/>
      <c r="BZ79" s="292"/>
      <c r="CA79" s="292"/>
      <c r="CB79" s="292"/>
      <c r="CC79" s="292"/>
      <c r="CD79" s="292"/>
      <c r="CE79" s="292"/>
      <c r="CF79" s="292"/>
      <c r="CG79" s="292"/>
      <c r="CH79" s="292"/>
      <c r="CI79" s="292"/>
      <c r="CJ79" s="292"/>
      <c r="CK79" s="292"/>
      <c r="CL79" s="292"/>
      <c r="CM79" s="292"/>
      <c r="CN79" s="292"/>
      <c r="CO79" s="292"/>
      <c r="CP79" s="292"/>
      <c r="CQ79" s="292"/>
      <c r="CR79" s="292"/>
      <c r="CS79" s="292"/>
      <c r="CT79" s="292"/>
      <c r="CU79" s="292"/>
      <c r="CV79" s="292"/>
      <c r="CW79" s="292"/>
      <c r="CX79" s="292"/>
      <c r="CY79" s="292"/>
      <c r="CZ79" s="292"/>
      <c r="DA79" s="292"/>
      <c r="DB79" s="292"/>
      <c r="DC79" s="292"/>
      <c r="DD79" s="292"/>
      <c r="DE79" s="292"/>
      <c r="DF79" s="292"/>
      <c r="DG79" s="292"/>
      <c r="DH79" s="292"/>
      <c r="DI79" s="292"/>
      <c r="DJ79" s="292"/>
      <c r="DK79" s="292"/>
      <c r="DL79" s="292"/>
      <c r="DM79" s="292"/>
      <c r="DN79" s="292"/>
      <c r="DO79" s="292"/>
      <c r="DP79" s="292"/>
      <c r="DQ79" s="292"/>
      <c r="DR79" s="292"/>
      <c r="DS79" s="292"/>
      <c r="DT79" s="292"/>
      <c r="DU79" s="292"/>
      <c r="DV79" s="292"/>
      <c r="DW79" s="292"/>
      <c r="DX79" s="292"/>
      <c r="DY79" s="292"/>
      <c r="DZ79" s="292"/>
      <c r="EA79" s="292"/>
      <c r="EB79" s="292"/>
      <c r="EC79" s="292"/>
      <c r="ED79" s="292"/>
      <c r="EE79" s="292"/>
      <c r="EF79" s="292"/>
      <c r="EG79" s="292"/>
      <c r="EH79" s="292"/>
      <c r="EI79" s="292"/>
      <c r="EJ79" s="292"/>
      <c r="EK79" s="292"/>
      <c r="EL79" s="292"/>
      <c r="EM79" s="292"/>
      <c r="EN79" s="292"/>
      <c r="EO79" s="292"/>
      <c r="EP79" s="292"/>
      <c r="EQ79" s="292"/>
      <c r="ER79" s="292"/>
      <c r="ES79" s="292"/>
      <c r="ET79" s="292"/>
      <c r="EU79" s="292"/>
      <c r="EV79" s="292"/>
      <c r="EW79" s="292"/>
      <c r="EX79" s="292"/>
      <c r="EY79" s="292"/>
      <c r="EZ79" s="292"/>
      <c r="FA79" s="292"/>
      <c r="FB79" s="292"/>
      <c r="FC79" s="292"/>
      <c r="FD79" s="292"/>
      <c r="FE79" s="292"/>
      <c r="FF79" s="292"/>
      <c r="FG79" s="292"/>
      <c r="FH79" s="292"/>
      <c r="FI79" s="292"/>
      <c r="FJ79" s="292"/>
      <c r="FK79" s="292"/>
      <c r="FL79" s="292"/>
      <c r="FM79" s="292"/>
      <c r="FN79" s="292"/>
      <c r="FO79" s="292"/>
      <c r="FP79" s="292"/>
      <c r="FQ79" s="292"/>
      <c r="FR79" s="292"/>
      <c r="FS79" s="292"/>
      <c r="FT79" s="292"/>
      <c r="FU79" s="292"/>
      <c r="FV79" s="292"/>
      <c r="FW79" s="292"/>
      <c r="FX79" s="292"/>
      <c r="FY79" s="292"/>
      <c r="FZ79" s="292"/>
      <c r="GA79" s="292"/>
      <c r="GB79" s="292"/>
      <c r="GC79" s="292"/>
      <c r="GD79" s="292"/>
      <c r="GE79" s="292"/>
      <c r="GF79" s="292"/>
      <c r="GG79" s="292"/>
      <c r="GH79" s="292"/>
      <c r="GI79" s="292"/>
      <c r="GJ79" s="292"/>
      <c r="GK79" s="292"/>
      <c r="GL79" s="292"/>
      <c r="GM79" s="292"/>
      <c r="GN79" s="292"/>
      <c r="GO79" s="292"/>
      <c r="GP79" s="292"/>
      <c r="GQ79" s="292"/>
      <c r="GR79" s="292"/>
      <c r="GS79" s="292"/>
      <c r="GT79" s="292"/>
      <c r="GU79" s="292"/>
      <c r="GV79" s="292"/>
      <c r="GW79" s="292"/>
      <c r="GX79" s="292"/>
      <c r="GY79" s="292"/>
      <c r="GZ79" s="292"/>
      <c r="HA79" s="292"/>
      <c r="HB79" s="292"/>
      <c r="HC79" s="292"/>
      <c r="HD79" s="292"/>
      <c r="HE79" s="292"/>
      <c r="HF79" s="292"/>
      <c r="HG79" s="292"/>
      <c r="HH79" s="292"/>
      <c r="HI79" s="292"/>
      <c r="HJ79" s="292"/>
      <c r="HK79" s="292"/>
      <c r="HL79" s="292"/>
      <c r="HM79" s="292"/>
      <c r="HN79" s="292"/>
      <c r="HO79" s="292"/>
      <c r="HP79" s="292"/>
      <c r="HQ79" s="292"/>
      <c r="HR79" s="292"/>
      <c r="HS79" s="292"/>
      <c r="HT79" s="292"/>
      <c r="HU79" s="292"/>
      <c r="HV79" s="292"/>
      <c r="HW79" s="292"/>
      <c r="HX79" s="292"/>
      <c r="HY79" s="292"/>
      <c r="HZ79" s="292"/>
      <c r="IA79" s="292"/>
      <c r="IB79" s="292"/>
      <c r="IC79" s="292"/>
      <c r="ID79" s="292"/>
      <c r="IE79" s="292"/>
      <c r="IF79" s="292"/>
      <c r="IG79" s="292"/>
      <c r="IH79" s="292"/>
      <c r="II79" s="292"/>
      <c r="IJ79" s="292"/>
      <c r="IK79" s="292"/>
      <c r="IL79" s="292"/>
      <c r="IM79" s="292"/>
      <c r="IN79" s="292"/>
      <c r="IO79" s="292"/>
      <c r="IP79" s="292"/>
      <c r="IQ79" s="292"/>
      <c r="IR79" s="292"/>
      <c r="IS79" s="292"/>
      <c r="IT79" s="292"/>
      <c r="IU79" s="292"/>
      <c r="IV79" s="292"/>
      <c r="IW79" s="292"/>
      <c r="IX79" s="292"/>
      <c r="IY79" s="292"/>
      <c r="IZ79" s="292"/>
      <c r="JA79" s="292"/>
      <c r="JB79" s="292"/>
      <c r="JC79" s="292"/>
      <c r="JD79" s="292"/>
      <c r="JE79" s="292"/>
      <c r="JF79" s="292"/>
      <c r="JG79" s="292"/>
      <c r="JH79" s="292"/>
      <c r="JI79" s="292"/>
      <c r="JJ79" s="292"/>
      <c r="JK79" s="292"/>
      <c r="JL79" s="292"/>
      <c r="JM79" s="292"/>
      <c r="JN79" s="292"/>
      <c r="JO79" s="292"/>
      <c r="JP79" s="292"/>
      <c r="JQ79" s="292"/>
      <c r="JR79" s="292"/>
      <c r="JS79" s="292"/>
      <c r="JT79" s="292"/>
      <c r="JU79" s="292"/>
      <c r="JV79" s="292"/>
      <c r="JW79" s="292"/>
      <c r="JX79" s="292"/>
      <c r="JY79" s="292"/>
      <c r="JZ79" s="292"/>
      <c r="KA79" s="292"/>
      <c r="KB79" s="292"/>
      <c r="KC79" s="292"/>
      <c r="KD79" s="292"/>
      <c r="KE79" s="292"/>
      <c r="KF79" s="292"/>
      <c r="KG79" s="292"/>
      <c r="KH79" s="292"/>
      <c r="KI79" s="292"/>
      <c r="KJ79" s="292"/>
      <c r="KK79" s="292"/>
      <c r="KL79" s="292"/>
      <c r="KM79" s="292"/>
      <c r="KN79" s="292"/>
      <c r="KO79" s="292"/>
      <c r="KP79" s="292"/>
      <c r="KQ79" s="292"/>
      <c r="KR79" s="292"/>
      <c r="KS79" s="292"/>
      <c r="KT79" s="292"/>
      <c r="KU79" s="292"/>
      <c r="KV79" s="292"/>
      <c r="KW79" s="292"/>
      <c r="KX79" s="292"/>
      <c r="KY79" s="292"/>
      <c r="KZ79" s="292"/>
      <c r="LA79" s="292"/>
      <c r="LB79" s="292"/>
      <c r="LC79" s="292"/>
      <c r="LD79" s="292"/>
      <c r="LE79" s="292"/>
      <c r="LF79" s="292"/>
      <c r="LG79" s="292"/>
      <c r="LH79" s="292"/>
      <c r="LI79" s="292"/>
      <c r="LJ79" s="292"/>
      <c r="LK79" s="292"/>
      <c r="LL79" s="292"/>
      <c r="LM79" s="292"/>
      <c r="LN79" s="292"/>
      <c r="LO79" s="292"/>
      <c r="LP79" s="292"/>
      <c r="LQ79" s="292"/>
      <c r="LR79" s="292"/>
      <c r="LS79" s="292"/>
      <c r="LT79" s="292"/>
      <c r="LU79" s="292"/>
      <c r="LV79" s="292"/>
      <c r="LW79" s="292"/>
      <c r="LX79" s="292"/>
      <c r="LY79" s="292"/>
      <c r="LZ79" s="292"/>
      <c r="MA79" s="292"/>
      <c r="MB79" s="292"/>
      <c r="MC79" s="292"/>
      <c r="MD79" s="292"/>
      <c r="ME79" s="292"/>
      <c r="MF79" s="292"/>
      <c r="MG79" s="292"/>
      <c r="MH79" s="292"/>
      <c r="MI79" s="292"/>
      <c r="MJ79" s="292"/>
      <c r="MK79" s="292"/>
      <c r="ML79" s="292"/>
      <c r="MM79" s="292"/>
      <c r="MN79" s="292"/>
      <c r="MO79" s="292"/>
      <c r="MP79" s="292"/>
      <c r="MQ79" s="292"/>
      <c r="MR79" s="292"/>
      <c r="MS79" s="292"/>
      <c r="MT79" s="292"/>
      <c r="MU79" s="292"/>
      <c r="MV79" s="292"/>
      <c r="MW79" s="292"/>
      <c r="MX79" s="292"/>
      <c r="MY79" s="292"/>
      <c r="MZ79" s="292"/>
      <c r="NA79" s="292"/>
      <c r="NB79" s="292"/>
      <c r="NC79" s="292"/>
      <c r="ND79" s="292"/>
      <c r="NE79" s="292"/>
      <c r="NF79" s="292"/>
      <c r="NG79" s="292"/>
      <c r="NH79" s="292"/>
      <c r="NI79" s="292"/>
      <c r="NJ79" s="292"/>
      <c r="NK79" s="292"/>
      <c r="NL79" s="292"/>
      <c r="NM79" s="292"/>
      <c r="NN79" s="292"/>
      <c r="NO79" s="292"/>
      <c r="NP79" s="292"/>
      <c r="NQ79" s="292"/>
      <c r="NR79" s="292"/>
      <c r="NS79" s="292"/>
      <c r="NT79" s="292"/>
      <c r="NU79" s="292"/>
      <c r="NV79" s="292"/>
      <c r="NW79" s="292"/>
      <c r="NX79" s="292"/>
      <c r="NY79" s="292"/>
      <c r="NZ79" s="292"/>
      <c r="OA79" s="292"/>
      <c r="OB79" s="292"/>
      <c r="OC79" s="292"/>
      <c r="OD79" s="292"/>
      <c r="OE79" s="292"/>
      <c r="OF79" s="292"/>
      <c r="OG79" s="292"/>
      <c r="OH79" s="292"/>
      <c r="OI79" s="292"/>
      <c r="OJ79" s="292"/>
      <c r="OK79" s="292"/>
      <c r="OL79" s="292"/>
      <c r="OM79" s="292"/>
      <c r="ON79" s="292"/>
      <c r="OO79" s="292"/>
      <c r="OP79" s="292"/>
      <c r="OQ79" s="292"/>
      <c r="OR79" s="292"/>
      <c r="OS79" s="292"/>
      <c r="OT79" s="292"/>
      <c r="OU79" s="292"/>
      <c r="OV79" s="292"/>
      <c r="OW79" s="292"/>
      <c r="OX79" s="292"/>
      <c r="OY79" s="292"/>
      <c r="OZ79" s="292"/>
      <c r="PA79" s="292"/>
      <c r="PB79" s="292"/>
      <c r="PC79" s="292"/>
      <c r="PD79" s="292"/>
      <c r="PE79" s="292"/>
      <c r="PF79" s="292"/>
      <c r="PG79" s="292"/>
      <c r="PH79" s="292"/>
      <c r="PI79" s="292"/>
      <c r="PJ79" s="292"/>
      <c r="PK79" s="292"/>
      <c r="PL79" s="292"/>
      <c r="PM79" s="292"/>
      <c r="PN79" s="292"/>
      <c r="PO79" s="292"/>
      <c r="PP79" s="292"/>
      <c r="PQ79" s="292"/>
      <c r="PR79" s="292"/>
      <c r="PS79" s="292"/>
      <c r="PT79" s="292"/>
      <c r="PU79" s="292"/>
      <c r="PV79" s="292"/>
      <c r="PW79" s="292"/>
      <c r="PX79" s="292"/>
      <c r="PY79" s="292"/>
      <c r="PZ79" s="292"/>
      <c r="QA79" s="292"/>
      <c r="QB79" s="292"/>
      <c r="QC79" s="292"/>
      <c r="QD79" s="292"/>
      <c r="QE79" s="292"/>
      <c r="QF79" s="292"/>
      <c r="QG79" s="292"/>
      <c r="QH79" s="292"/>
      <c r="QI79" s="292"/>
      <c r="QJ79" s="292"/>
      <c r="QK79" s="292"/>
      <c r="QL79" s="292"/>
      <c r="QM79" s="292"/>
      <c r="QN79" s="292"/>
      <c r="QO79" s="292"/>
      <c r="QP79" s="292"/>
      <c r="QQ79" s="292"/>
      <c r="QR79" s="292"/>
      <c r="QS79" s="292"/>
      <c r="QT79" s="292"/>
      <c r="QU79" s="292"/>
      <c r="QV79" s="292"/>
      <c r="QW79" s="292"/>
      <c r="QX79" s="292"/>
      <c r="QY79" s="292"/>
      <c r="QZ79" s="292"/>
      <c r="RA79" s="292"/>
      <c r="RB79" s="292"/>
      <c r="RC79" s="292"/>
      <c r="RD79" s="292"/>
      <c r="RE79" s="292"/>
      <c r="RF79" s="292"/>
      <c r="RG79" s="292"/>
      <c r="RH79" s="292"/>
      <c r="RI79" s="292"/>
      <c r="RJ79" s="292"/>
      <c r="RK79" s="292"/>
      <c r="RL79" s="292"/>
      <c r="RM79" s="292"/>
      <c r="RN79" s="292"/>
      <c r="RO79" s="292"/>
      <c r="RP79" s="292"/>
      <c r="RQ79" s="292"/>
      <c r="RR79" s="292"/>
      <c r="RS79" s="292"/>
      <c r="RT79" s="292"/>
      <c r="RU79" s="292"/>
      <c r="RV79" s="292"/>
      <c r="RW79" s="292"/>
      <c r="RX79" s="292"/>
      <c r="RY79" s="292"/>
      <c r="RZ79" s="292"/>
      <c r="SA79" s="292"/>
      <c r="SB79" s="292"/>
      <c r="SC79" s="292"/>
      <c r="SD79" s="292"/>
      <c r="SE79" s="292"/>
      <c r="SF79" s="292"/>
      <c r="SG79" s="292"/>
      <c r="SH79" s="292"/>
      <c r="SI79" s="292"/>
      <c r="SJ79" s="292"/>
      <c r="SK79" s="292"/>
      <c r="SL79" s="292"/>
      <c r="SM79" s="292"/>
      <c r="SN79" s="292"/>
      <c r="SO79" s="292"/>
      <c r="SP79" s="292"/>
      <c r="SQ79" s="292"/>
      <c r="SR79" s="292"/>
      <c r="SS79" s="292"/>
      <c r="ST79" s="292"/>
      <c r="SU79" s="292"/>
    </row>
    <row r="80" spans="1:515" s="629" customFormat="1" ht="23.15" customHeight="1" x14ac:dyDescent="0.25">
      <c r="A80" s="1341"/>
      <c r="B80" s="1342"/>
      <c r="C80" s="1342"/>
      <c r="D80" s="962"/>
      <c r="E80" s="1305">
        <f>E72+G77</f>
        <v>0</v>
      </c>
      <c r="F80" s="1305"/>
      <c r="G80" s="1305"/>
      <c r="H80" s="962"/>
      <c r="I80" s="1305">
        <f>I72+K77</f>
        <v>0</v>
      </c>
      <c r="J80" s="1305"/>
      <c r="K80" s="1305"/>
      <c r="L80" s="962"/>
      <c r="M80" s="1305">
        <f>M72+O77</f>
        <v>0</v>
      </c>
      <c r="N80" s="1305"/>
      <c r="O80" s="1305"/>
      <c r="P80" s="962"/>
      <c r="Q80" s="1305">
        <f>Q72+S77</f>
        <v>0</v>
      </c>
      <c r="R80" s="1305"/>
      <c r="S80" s="1305"/>
      <c r="T80" s="962"/>
      <c r="U80" s="1305">
        <f>U72+W77</f>
        <v>0</v>
      </c>
      <c r="V80" s="1305"/>
      <c r="W80" s="1305"/>
      <c r="X80" s="962"/>
      <c r="Y80" s="1305">
        <f>Y72+AA77</f>
        <v>0</v>
      </c>
      <c r="Z80" s="1305"/>
      <c r="AA80" s="1305"/>
      <c r="AB80" s="976"/>
      <c r="AC80" s="799">
        <f>AC47+AC33</f>
        <v>0</v>
      </c>
      <c r="AD80" s="790">
        <f>E80+I80+M80+Q80+U80+Y80</f>
        <v>0</v>
      </c>
      <c r="AE80" s="971"/>
      <c r="AF80" s="292"/>
      <c r="AG80" s="292"/>
      <c r="AH80" s="292"/>
      <c r="AI80" s="292"/>
      <c r="AJ80" s="292"/>
      <c r="AK80" s="292"/>
      <c r="AL80" s="292"/>
      <c r="AM80" s="292"/>
      <c r="AN80" s="292"/>
      <c r="AO80" s="292"/>
      <c r="AP80" s="292"/>
      <c r="AQ80" s="292"/>
      <c r="AR80" s="292"/>
      <c r="AS80" s="292"/>
      <c r="AT80" s="292"/>
      <c r="AU80" s="292"/>
      <c r="AV80" s="292"/>
      <c r="AW80" s="292"/>
      <c r="AX80" s="292"/>
      <c r="AY80" s="292"/>
      <c r="AZ80" s="292"/>
      <c r="BA80" s="292"/>
      <c r="BB80" s="292"/>
      <c r="BC80" s="292"/>
      <c r="BD80" s="292"/>
      <c r="BE80" s="292"/>
      <c r="BF80" s="292"/>
      <c r="BG80" s="292"/>
      <c r="BH80" s="292"/>
      <c r="BI80" s="292"/>
      <c r="BJ80" s="292"/>
      <c r="BK80" s="292"/>
      <c r="BL80" s="292"/>
      <c r="BM80" s="292"/>
      <c r="BN80" s="292"/>
      <c r="BO80" s="292"/>
      <c r="BP80" s="292"/>
      <c r="BQ80" s="292"/>
      <c r="BR80" s="292"/>
      <c r="BS80" s="292"/>
      <c r="BT80" s="292"/>
      <c r="BU80" s="292"/>
      <c r="BV80" s="292"/>
      <c r="BW80" s="292"/>
      <c r="BX80" s="292"/>
      <c r="BY80" s="292"/>
      <c r="BZ80" s="292"/>
      <c r="CA80" s="292"/>
      <c r="CB80" s="292"/>
      <c r="CC80" s="292"/>
      <c r="CD80" s="292"/>
      <c r="CE80" s="292"/>
      <c r="CF80" s="292"/>
      <c r="CG80" s="292"/>
      <c r="CH80" s="292"/>
      <c r="CI80" s="292"/>
      <c r="CJ80" s="292"/>
      <c r="CK80" s="292"/>
      <c r="CL80" s="292"/>
      <c r="CM80" s="292"/>
      <c r="CN80" s="292"/>
      <c r="CO80" s="292"/>
      <c r="CP80" s="292"/>
      <c r="CQ80" s="292"/>
      <c r="CR80" s="292"/>
      <c r="CS80" s="292"/>
      <c r="CT80" s="292"/>
      <c r="CU80" s="292"/>
      <c r="CV80" s="292"/>
      <c r="CW80" s="292"/>
      <c r="CX80" s="292"/>
      <c r="CY80" s="292"/>
      <c r="CZ80" s="292"/>
      <c r="DA80" s="292"/>
      <c r="DB80" s="292"/>
      <c r="DC80" s="292"/>
      <c r="DD80" s="292"/>
      <c r="DE80" s="292"/>
      <c r="DF80" s="292"/>
      <c r="DG80" s="292"/>
      <c r="DH80" s="292"/>
      <c r="DI80" s="292"/>
      <c r="DJ80" s="292"/>
      <c r="DK80" s="292"/>
      <c r="DL80" s="292"/>
      <c r="DM80" s="292"/>
      <c r="DN80" s="292"/>
      <c r="DO80" s="292"/>
      <c r="DP80" s="292"/>
      <c r="DQ80" s="292"/>
      <c r="DR80" s="292"/>
      <c r="DS80" s="292"/>
      <c r="DT80" s="292"/>
      <c r="DU80" s="292"/>
      <c r="DV80" s="292"/>
      <c r="DW80" s="292"/>
      <c r="DX80" s="292"/>
      <c r="DY80" s="292"/>
      <c r="DZ80" s="292"/>
      <c r="EA80" s="292"/>
      <c r="EB80" s="292"/>
      <c r="EC80" s="292"/>
      <c r="ED80" s="292"/>
      <c r="EE80" s="292"/>
      <c r="EF80" s="292"/>
      <c r="EG80" s="292"/>
      <c r="EH80" s="292"/>
      <c r="EI80" s="292"/>
      <c r="EJ80" s="292"/>
      <c r="EK80" s="292"/>
      <c r="EL80" s="292"/>
      <c r="EM80" s="292"/>
      <c r="EN80" s="292"/>
      <c r="EO80" s="292"/>
      <c r="EP80" s="292"/>
      <c r="EQ80" s="292"/>
      <c r="ER80" s="292"/>
      <c r="ES80" s="292"/>
      <c r="ET80" s="292"/>
      <c r="EU80" s="292"/>
      <c r="EV80" s="292"/>
      <c r="EW80" s="292"/>
      <c r="EX80" s="292"/>
      <c r="EY80" s="292"/>
      <c r="EZ80" s="292"/>
      <c r="FA80" s="292"/>
      <c r="FB80" s="292"/>
      <c r="FC80" s="292"/>
      <c r="FD80" s="292"/>
      <c r="FE80" s="292"/>
      <c r="FF80" s="292"/>
      <c r="FG80" s="292"/>
      <c r="FH80" s="292"/>
      <c r="FI80" s="292"/>
      <c r="FJ80" s="292"/>
      <c r="FK80" s="292"/>
      <c r="FL80" s="292"/>
      <c r="FM80" s="292"/>
      <c r="FN80" s="292"/>
      <c r="FO80" s="292"/>
      <c r="FP80" s="292"/>
      <c r="FQ80" s="292"/>
      <c r="FR80" s="292"/>
      <c r="FS80" s="292"/>
      <c r="FT80" s="292"/>
      <c r="FU80" s="292"/>
      <c r="FV80" s="292"/>
      <c r="FW80" s="292"/>
      <c r="FX80" s="292"/>
      <c r="FY80" s="292"/>
      <c r="FZ80" s="292"/>
      <c r="GA80" s="292"/>
      <c r="GB80" s="292"/>
      <c r="GC80" s="292"/>
      <c r="GD80" s="292"/>
      <c r="GE80" s="292"/>
      <c r="GF80" s="292"/>
      <c r="GG80" s="292"/>
      <c r="GH80" s="292"/>
      <c r="GI80" s="292"/>
      <c r="GJ80" s="292"/>
      <c r="GK80" s="292"/>
      <c r="GL80" s="292"/>
      <c r="GM80" s="292"/>
      <c r="GN80" s="292"/>
      <c r="GO80" s="292"/>
      <c r="GP80" s="292"/>
      <c r="GQ80" s="292"/>
      <c r="GR80" s="292"/>
      <c r="GS80" s="292"/>
      <c r="GT80" s="292"/>
      <c r="GU80" s="292"/>
      <c r="GV80" s="292"/>
      <c r="GW80" s="292"/>
      <c r="GX80" s="292"/>
      <c r="GY80" s="292"/>
      <c r="GZ80" s="292"/>
      <c r="HA80" s="292"/>
      <c r="HB80" s="292"/>
      <c r="HC80" s="292"/>
      <c r="HD80" s="292"/>
      <c r="HE80" s="292"/>
      <c r="HF80" s="292"/>
      <c r="HG80" s="292"/>
      <c r="HH80" s="292"/>
      <c r="HI80" s="292"/>
      <c r="HJ80" s="292"/>
      <c r="HK80" s="292"/>
      <c r="HL80" s="292"/>
      <c r="HM80" s="292"/>
      <c r="HN80" s="292"/>
      <c r="HO80" s="292"/>
      <c r="HP80" s="292"/>
      <c r="HQ80" s="292"/>
      <c r="HR80" s="292"/>
      <c r="HS80" s="292"/>
      <c r="HT80" s="292"/>
      <c r="HU80" s="292"/>
      <c r="HV80" s="292"/>
      <c r="HW80" s="292"/>
      <c r="HX80" s="292"/>
      <c r="HY80" s="292"/>
      <c r="HZ80" s="292"/>
      <c r="IA80" s="292"/>
      <c r="IB80" s="292"/>
      <c r="IC80" s="292"/>
      <c r="ID80" s="292"/>
      <c r="IE80" s="292"/>
      <c r="IF80" s="292"/>
      <c r="IG80" s="292"/>
      <c r="IH80" s="292"/>
      <c r="II80" s="292"/>
      <c r="IJ80" s="292"/>
      <c r="IK80" s="292"/>
      <c r="IL80" s="292"/>
      <c r="IM80" s="292"/>
      <c r="IN80" s="292"/>
      <c r="IO80" s="292"/>
      <c r="IP80" s="292"/>
      <c r="IQ80" s="292"/>
      <c r="IR80" s="292"/>
      <c r="IS80" s="292"/>
      <c r="IT80" s="292"/>
      <c r="IU80" s="292"/>
      <c r="IV80" s="292"/>
      <c r="IW80" s="292"/>
      <c r="IX80" s="292"/>
      <c r="IY80" s="292"/>
      <c r="IZ80" s="292"/>
      <c r="JA80" s="292"/>
      <c r="JB80" s="292"/>
      <c r="JC80" s="292"/>
      <c r="JD80" s="292"/>
      <c r="JE80" s="292"/>
      <c r="JF80" s="292"/>
      <c r="JG80" s="292"/>
      <c r="JH80" s="292"/>
      <c r="JI80" s="292"/>
      <c r="JJ80" s="292"/>
      <c r="JK80" s="292"/>
      <c r="JL80" s="292"/>
      <c r="JM80" s="292"/>
      <c r="JN80" s="292"/>
      <c r="JO80" s="292"/>
      <c r="JP80" s="292"/>
      <c r="JQ80" s="292"/>
      <c r="JR80" s="292"/>
      <c r="JS80" s="292"/>
      <c r="JT80" s="292"/>
      <c r="JU80" s="292"/>
      <c r="JV80" s="292"/>
      <c r="JW80" s="292"/>
      <c r="JX80" s="292"/>
      <c r="JY80" s="292"/>
      <c r="JZ80" s="292"/>
      <c r="KA80" s="292"/>
      <c r="KB80" s="292"/>
      <c r="KC80" s="292"/>
      <c r="KD80" s="292"/>
      <c r="KE80" s="292"/>
      <c r="KF80" s="292"/>
      <c r="KG80" s="292"/>
      <c r="KH80" s="292"/>
      <c r="KI80" s="292"/>
      <c r="KJ80" s="292"/>
      <c r="KK80" s="292"/>
      <c r="KL80" s="292"/>
      <c r="KM80" s="292"/>
      <c r="KN80" s="292"/>
      <c r="KO80" s="292"/>
      <c r="KP80" s="292"/>
      <c r="KQ80" s="292"/>
      <c r="KR80" s="292"/>
      <c r="KS80" s="292"/>
      <c r="KT80" s="292"/>
      <c r="KU80" s="292"/>
      <c r="KV80" s="292"/>
      <c r="KW80" s="292"/>
      <c r="KX80" s="292"/>
      <c r="KY80" s="292"/>
      <c r="KZ80" s="292"/>
      <c r="LA80" s="292"/>
      <c r="LB80" s="292"/>
      <c r="LC80" s="292"/>
      <c r="LD80" s="292"/>
      <c r="LE80" s="292"/>
      <c r="LF80" s="292"/>
      <c r="LG80" s="292"/>
      <c r="LH80" s="292"/>
      <c r="LI80" s="292"/>
      <c r="LJ80" s="292"/>
      <c r="LK80" s="292"/>
      <c r="LL80" s="292"/>
      <c r="LM80" s="292"/>
      <c r="LN80" s="292"/>
      <c r="LO80" s="292"/>
      <c r="LP80" s="292"/>
      <c r="LQ80" s="292"/>
      <c r="LR80" s="292"/>
      <c r="LS80" s="292"/>
      <c r="LT80" s="292"/>
      <c r="LU80" s="292"/>
      <c r="LV80" s="292"/>
      <c r="LW80" s="292"/>
      <c r="LX80" s="292"/>
      <c r="LY80" s="292"/>
      <c r="LZ80" s="292"/>
      <c r="MA80" s="292"/>
      <c r="MB80" s="292"/>
      <c r="MC80" s="292"/>
      <c r="MD80" s="292"/>
      <c r="ME80" s="292"/>
      <c r="MF80" s="292"/>
      <c r="MG80" s="292"/>
      <c r="MH80" s="292"/>
      <c r="MI80" s="292"/>
      <c r="MJ80" s="292"/>
      <c r="MK80" s="292"/>
      <c r="ML80" s="292"/>
      <c r="MM80" s="292"/>
      <c r="MN80" s="292"/>
      <c r="MO80" s="292"/>
      <c r="MP80" s="292"/>
      <c r="MQ80" s="292"/>
      <c r="MR80" s="292"/>
      <c r="MS80" s="292"/>
      <c r="MT80" s="292"/>
      <c r="MU80" s="292"/>
      <c r="MV80" s="292"/>
      <c r="MW80" s="292"/>
      <c r="MX80" s="292"/>
      <c r="MY80" s="292"/>
      <c r="MZ80" s="292"/>
      <c r="NA80" s="292"/>
      <c r="NB80" s="292"/>
      <c r="NC80" s="292"/>
      <c r="ND80" s="292"/>
      <c r="NE80" s="292"/>
      <c r="NF80" s="292"/>
      <c r="NG80" s="292"/>
      <c r="NH80" s="292"/>
      <c r="NI80" s="292"/>
      <c r="NJ80" s="292"/>
      <c r="NK80" s="292"/>
      <c r="NL80" s="292"/>
      <c r="NM80" s="292"/>
      <c r="NN80" s="292"/>
      <c r="NO80" s="292"/>
      <c r="NP80" s="292"/>
      <c r="NQ80" s="292"/>
      <c r="NR80" s="292"/>
      <c r="NS80" s="292"/>
      <c r="NT80" s="292"/>
      <c r="NU80" s="292"/>
      <c r="NV80" s="292"/>
      <c r="NW80" s="292"/>
      <c r="NX80" s="292"/>
      <c r="NY80" s="292"/>
      <c r="NZ80" s="292"/>
      <c r="OA80" s="292"/>
      <c r="OB80" s="292"/>
      <c r="OC80" s="292"/>
      <c r="OD80" s="292"/>
      <c r="OE80" s="292"/>
      <c r="OF80" s="292"/>
      <c r="OG80" s="292"/>
      <c r="OH80" s="292"/>
      <c r="OI80" s="292"/>
      <c r="OJ80" s="292"/>
      <c r="OK80" s="292"/>
      <c r="OL80" s="292"/>
      <c r="OM80" s="292"/>
      <c r="ON80" s="292"/>
      <c r="OO80" s="292"/>
      <c r="OP80" s="292"/>
      <c r="OQ80" s="292"/>
      <c r="OR80" s="292"/>
      <c r="OS80" s="292"/>
      <c r="OT80" s="292"/>
      <c r="OU80" s="292"/>
      <c r="OV80" s="292"/>
      <c r="OW80" s="292"/>
      <c r="OX80" s="292"/>
      <c r="OY80" s="292"/>
      <c r="OZ80" s="292"/>
      <c r="PA80" s="292"/>
      <c r="PB80" s="292"/>
      <c r="PC80" s="292"/>
      <c r="PD80" s="292"/>
      <c r="PE80" s="292"/>
      <c r="PF80" s="292"/>
      <c r="PG80" s="292"/>
      <c r="PH80" s="292"/>
      <c r="PI80" s="292"/>
      <c r="PJ80" s="292"/>
      <c r="PK80" s="292"/>
      <c r="PL80" s="292"/>
      <c r="PM80" s="292"/>
      <c r="PN80" s="292"/>
      <c r="PO80" s="292"/>
      <c r="PP80" s="292"/>
      <c r="PQ80" s="292"/>
      <c r="PR80" s="292"/>
      <c r="PS80" s="292"/>
      <c r="PT80" s="292"/>
      <c r="PU80" s="292"/>
      <c r="PV80" s="292"/>
      <c r="PW80" s="292"/>
      <c r="PX80" s="292"/>
      <c r="PY80" s="292"/>
      <c r="PZ80" s="292"/>
      <c r="QA80" s="292"/>
      <c r="QB80" s="292"/>
      <c r="QC80" s="292"/>
      <c r="QD80" s="292"/>
      <c r="QE80" s="292"/>
      <c r="QF80" s="292"/>
      <c r="QG80" s="292"/>
      <c r="QH80" s="292"/>
      <c r="QI80" s="292"/>
      <c r="QJ80" s="292"/>
      <c r="QK80" s="292"/>
      <c r="QL80" s="292"/>
      <c r="QM80" s="292"/>
      <c r="QN80" s="292"/>
      <c r="QO80" s="292"/>
      <c r="QP80" s="292"/>
      <c r="QQ80" s="292"/>
      <c r="QR80" s="292"/>
      <c r="QS80" s="292"/>
      <c r="QT80" s="292"/>
      <c r="QU80" s="292"/>
      <c r="QV80" s="292"/>
      <c r="QW80" s="292"/>
      <c r="QX80" s="292"/>
      <c r="QY80" s="292"/>
      <c r="QZ80" s="292"/>
      <c r="RA80" s="292"/>
      <c r="RB80" s="292"/>
      <c r="RC80" s="292"/>
      <c r="RD80" s="292"/>
      <c r="RE80" s="292"/>
      <c r="RF80" s="292"/>
      <c r="RG80" s="292"/>
      <c r="RH80" s="292"/>
      <c r="RI80" s="292"/>
      <c r="RJ80" s="292"/>
      <c r="RK80" s="292"/>
      <c r="RL80" s="292"/>
      <c r="RM80" s="292"/>
      <c r="RN80" s="292"/>
      <c r="RO80" s="292"/>
      <c r="RP80" s="292"/>
      <c r="RQ80" s="292"/>
      <c r="RR80" s="292"/>
      <c r="RS80" s="292"/>
      <c r="RT80" s="292"/>
      <c r="RU80" s="292"/>
      <c r="RV80" s="292"/>
      <c r="RW80" s="292"/>
      <c r="RX80" s="292"/>
      <c r="RY80" s="292"/>
      <c r="RZ80" s="292"/>
      <c r="SA80" s="292"/>
      <c r="SB80" s="292"/>
      <c r="SC80" s="292"/>
      <c r="SD80" s="292"/>
      <c r="SE80" s="292"/>
      <c r="SF80" s="292"/>
      <c r="SG80" s="292"/>
      <c r="SH80" s="292"/>
      <c r="SI80" s="292"/>
      <c r="SJ80" s="292"/>
      <c r="SK80" s="292"/>
      <c r="SL80" s="292"/>
      <c r="SM80" s="292"/>
      <c r="SN80" s="292"/>
      <c r="SO80" s="292"/>
      <c r="SP80" s="292"/>
      <c r="SQ80" s="292"/>
      <c r="SR80" s="292"/>
      <c r="SS80" s="292"/>
      <c r="ST80" s="292"/>
      <c r="SU80" s="292"/>
    </row>
    <row r="81" spans="1:31" ht="15" customHeight="1" x14ac:dyDescent="0.25">
      <c r="A81" s="959"/>
      <c r="B81" s="960"/>
      <c r="C81" s="960"/>
      <c r="D81" s="960"/>
      <c r="E81" s="960"/>
      <c r="F81" s="960"/>
      <c r="G81" s="960"/>
      <c r="H81" s="960"/>
      <c r="I81" s="960"/>
      <c r="J81" s="960"/>
      <c r="K81" s="960"/>
      <c r="L81" s="960"/>
      <c r="M81" s="960"/>
      <c r="N81" s="960"/>
      <c r="O81" s="960"/>
      <c r="P81" s="960"/>
      <c r="Q81" s="960"/>
      <c r="R81" s="960"/>
      <c r="S81" s="960"/>
      <c r="T81" s="960"/>
      <c r="U81" s="960"/>
      <c r="V81" s="960"/>
      <c r="W81" s="960"/>
      <c r="X81" s="960"/>
      <c r="Y81" s="960"/>
      <c r="Z81" s="960"/>
      <c r="AA81" s="960"/>
      <c r="AB81" s="960"/>
      <c r="AC81" s="960"/>
      <c r="AD81" s="960"/>
      <c r="AE81" s="967"/>
    </row>
    <row r="82" spans="1:31" ht="15" customHeight="1" x14ac:dyDescent="0.25">
      <c r="A82" s="960"/>
      <c r="B82" s="960"/>
      <c r="C82" s="960"/>
      <c r="D82" s="960"/>
      <c r="E82" s="960"/>
      <c r="F82" s="960"/>
      <c r="G82" s="960"/>
      <c r="H82" s="960"/>
      <c r="I82" s="960"/>
      <c r="J82" s="960"/>
      <c r="K82" s="960"/>
      <c r="L82" s="960"/>
      <c r="M82" s="960"/>
      <c r="N82" s="960"/>
      <c r="O82" s="960"/>
      <c r="P82" s="960"/>
      <c r="Q82" s="960"/>
      <c r="R82" s="960"/>
      <c r="S82" s="960"/>
      <c r="T82" s="960"/>
      <c r="U82" s="960"/>
      <c r="V82" s="960"/>
      <c r="W82" s="960"/>
      <c r="X82" s="960"/>
      <c r="Y82" s="960"/>
      <c r="Z82" s="960"/>
      <c r="AA82" s="960"/>
      <c r="AB82" s="960"/>
      <c r="AC82" s="960"/>
      <c r="AD82" s="960"/>
      <c r="AE82" s="967"/>
    </row>
    <row r="83" spans="1:31" ht="15" customHeight="1" x14ac:dyDescent="0.25">
      <c r="A83" s="960"/>
      <c r="B83" s="960"/>
      <c r="C83" s="960"/>
      <c r="D83" s="960"/>
      <c r="E83" s="1192" t="s">
        <v>15</v>
      </c>
      <c r="F83" s="1192" t="s">
        <v>390</v>
      </c>
      <c r="G83" s="1192" t="s">
        <v>345</v>
      </c>
      <c r="H83" s="960"/>
      <c r="I83" s="1192" t="s">
        <v>15</v>
      </c>
      <c r="J83" s="1192" t="s">
        <v>390</v>
      </c>
      <c r="K83" s="1192" t="s">
        <v>345</v>
      </c>
      <c r="L83" s="960"/>
      <c r="M83" s="1192" t="s">
        <v>15</v>
      </c>
      <c r="N83" s="1192" t="s">
        <v>390</v>
      </c>
      <c r="O83" s="1192" t="s">
        <v>345</v>
      </c>
      <c r="P83" s="960"/>
      <c r="Q83" s="1192" t="s">
        <v>15</v>
      </c>
      <c r="R83" s="1192" t="s">
        <v>390</v>
      </c>
      <c r="S83" s="1192" t="s">
        <v>345</v>
      </c>
      <c r="T83" s="960"/>
      <c r="U83" s="1192" t="s">
        <v>15</v>
      </c>
      <c r="V83" s="1192" t="s">
        <v>390</v>
      </c>
      <c r="W83" s="1192" t="s">
        <v>345</v>
      </c>
      <c r="X83" s="960"/>
      <c r="Y83" s="1192" t="s">
        <v>15</v>
      </c>
      <c r="Z83" s="1192" t="s">
        <v>390</v>
      </c>
      <c r="AA83" s="1192" t="s">
        <v>345</v>
      </c>
      <c r="AB83" s="960"/>
      <c r="AC83" s="1192" t="s">
        <v>390</v>
      </c>
      <c r="AD83" s="1192" t="s">
        <v>391</v>
      </c>
      <c r="AE83" s="967"/>
    </row>
    <row r="84" spans="1:31" ht="23.5" customHeight="1" x14ac:dyDescent="0.25">
      <c r="A84" s="1368" t="s">
        <v>392</v>
      </c>
      <c r="B84" s="1369"/>
      <c r="C84" s="1178" t="s">
        <v>393</v>
      </c>
      <c r="D84" s="960"/>
      <c r="E84" s="1302">
        <f>E80</f>
        <v>0</v>
      </c>
      <c r="F84" s="1161">
        <v>0</v>
      </c>
      <c r="G84" s="1160">
        <f>E84*F84</f>
        <v>0</v>
      </c>
      <c r="H84" s="960"/>
      <c r="I84" s="1302">
        <f>I80</f>
        <v>0</v>
      </c>
      <c r="J84" s="1161">
        <v>0</v>
      </c>
      <c r="K84" s="1160">
        <f>I84*J84</f>
        <v>0</v>
      </c>
      <c r="L84" s="960"/>
      <c r="M84" s="1302">
        <f>M80</f>
        <v>0</v>
      </c>
      <c r="N84" s="1161">
        <v>0</v>
      </c>
      <c r="O84" s="1160">
        <f>M84*N84</f>
        <v>0</v>
      </c>
      <c r="P84" s="960"/>
      <c r="Q84" s="1302">
        <f>Q80</f>
        <v>0</v>
      </c>
      <c r="R84" s="1161">
        <v>0</v>
      </c>
      <c r="S84" s="1160">
        <f>Q84*R84</f>
        <v>0</v>
      </c>
      <c r="T84" s="960"/>
      <c r="U84" s="1302">
        <f>U80</f>
        <v>0</v>
      </c>
      <c r="V84" s="1161">
        <v>0</v>
      </c>
      <c r="W84" s="1160">
        <f>U84*V84</f>
        <v>0</v>
      </c>
      <c r="X84" s="960"/>
      <c r="Y84" s="1302">
        <f>Y80</f>
        <v>0</v>
      </c>
      <c r="Z84" s="1161">
        <v>0</v>
      </c>
      <c r="AA84" s="1160">
        <f>Y84*Z84</f>
        <v>0</v>
      </c>
      <c r="AB84" s="960"/>
      <c r="AC84" s="1162">
        <f>AVERAGE(Z84,V84,R84,N84,J84,F84)</f>
        <v>0</v>
      </c>
      <c r="AD84" s="1200">
        <f>AA84+W84+S84+O84+K84+G84</f>
        <v>0</v>
      </c>
      <c r="AE84" s="967"/>
    </row>
    <row r="85" spans="1:31" ht="25.5" customHeight="1" x14ac:dyDescent="0.25">
      <c r="A85" s="1370"/>
      <c r="B85" s="1371"/>
      <c r="C85" s="1178" t="s">
        <v>394</v>
      </c>
      <c r="D85" s="960"/>
      <c r="E85" s="1303"/>
      <c r="F85" s="1161">
        <v>0</v>
      </c>
      <c r="G85" s="1160">
        <f>E85*F85</f>
        <v>0</v>
      </c>
      <c r="H85" s="960"/>
      <c r="I85" s="1303"/>
      <c r="J85" s="1161">
        <v>0</v>
      </c>
      <c r="K85" s="1160">
        <f>I85*J85</f>
        <v>0</v>
      </c>
      <c r="L85" s="960"/>
      <c r="M85" s="1303"/>
      <c r="N85" s="1161">
        <v>0</v>
      </c>
      <c r="O85" s="1160">
        <f>M85*N85</f>
        <v>0</v>
      </c>
      <c r="P85" s="960"/>
      <c r="Q85" s="1303"/>
      <c r="R85" s="1161">
        <v>0</v>
      </c>
      <c r="S85" s="1160">
        <f>Q85*R85</f>
        <v>0</v>
      </c>
      <c r="T85" s="960"/>
      <c r="U85" s="1303"/>
      <c r="V85" s="1161">
        <v>0</v>
      </c>
      <c r="W85" s="1160">
        <f>U85*V85</f>
        <v>0</v>
      </c>
      <c r="X85" s="960"/>
      <c r="Y85" s="1303"/>
      <c r="Z85" s="1161">
        <v>0</v>
      </c>
      <c r="AA85" s="1160">
        <f>Y85*Z85</f>
        <v>0</v>
      </c>
      <c r="AB85" s="960"/>
      <c r="AC85" s="1162">
        <f>AVERAGE(Z85,V85,R85,N85,J85,F85)</f>
        <v>0</v>
      </c>
      <c r="AD85" s="1200">
        <f>AA85+W85+S85+O85+K85+G85</f>
        <v>0</v>
      </c>
      <c r="AE85" s="967"/>
    </row>
    <row r="86" spans="1:31" ht="15" customHeight="1" x14ac:dyDescent="0.25">
      <c r="A86" s="960"/>
      <c r="B86" s="960"/>
      <c r="C86" s="960"/>
      <c r="D86" s="960"/>
      <c r="E86" s="960"/>
      <c r="F86" s="960"/>
      <c r="G86" s="960"/>
      <c r="H86" s="960"/>
      <c r="I86" s="960"/>
      <c r="J86" s="960"/>
      <c r="K86" s="960"/>
      <c r="L86" s="960"/>
      <c r="M86" s="960"/>
      <c r="N86" s="960"/>
      <c r="O86" s="960"/>
      <c r="P86" s="960"/>
      <c r="Q86" s="960"/>
      <c r="R86" s="960"/>
      <c r="S86" s="960"/>
      <c r="T86" s="960"/>
      <c r="U86" s="960"/>
      <c r="V86" s="960"/>
      <c r="W86" s="960"/>
      <c r="X86" s="960"/>
      <c r="Y86" s="960"/>
      <c r="Z86" s="960"/>
      <c r="AA86" s="960"/>
      <c r="AB86" s="960"/>
      <c r="AC86" s="960"/>
      <c r="AD86" s="960"/>
      <c r="AE86" s="967"/>
    </row>
    <row r="87" spans="1:31" ht="15" customHeight="1" thickBot="1" x14ac:dyDescent="0.3">
      <c r="A87" s="959"/>
      <c r="B87" s="960"/>
      <c r="C87" s="960"/>
      <c r="D87" s="960"/>
      <c r="E87" s="960"/>
      <c r="F87" s="960"/>
      <c r="G87" s="960"/>
      <c r="H87" s="960"/>
      <c r="I87" s="960"/>
      <c r="J87" s="960"/>
      <c r="K87" s="960"/>
      <c r="L87" s="960"/>
      <c r="M87" s="960"/>
      <c r="N87" s="960"/>
      <c r="O87" s="960"/>
      <c r="P87" s="960"/>
      <c r="Q87" s="960"/>
      <c r="R87" s="960"/>
      <c r="S87" s="960"/>
      <c r="T87" s="960"/>
      <c r="U87" s="960"/>
      <c r="V87" s="960"/>
      <c r="W87" s="960"/>
      <c r="X87" s="960"/>
      <c r="Y87" s="960"/>
      <c r="Z87" s="960"/>
      <c r="AA87" s="960"/>
      <c r="AB87" s="960"/>
      <c r="AC87" s="960"/>
      <c r="AD87" s="960"/>
      <c r="AE87" s="967"/>
    </row>
    <row r="88" spans="1:31" ht="25.5" customHeight="1" thickBot="1" x14ac:dyDescent="0.3">
      <c r="A88" s="1355" t="s">
        <v>395</v>
      </c>
      <c r="B88" s="1356"/>
      <c r="C88" s="1357"/>
      <c r="D88" s="960"/>
      <c r="E88" s="960"/>
      <c r="F88" s="960"/>
      <c r="G88" s="960"/>
      <c r="H88" s="960"/>
      <c r="I88" s="960"/>
      <c r="J88" s="960"/>
      <c r="K88" s="960"/>
      <c r="L88" s="960"/>
      <c r="M88" s="960"/>
      <c r="N88" s="960"/>
      <c r="O88" s="960"/>
      <c r="P88" s="960"/>
      <c r="Q88" s="960"/>
      <c r="R88" s="960"/>
      <c r="S88" s="960"/>
      <c r="T88" s="960"/>
      <c r="U88" s="960"/>
      <c r="V88" s="960"/>
      <c r="W88" s="960"/>
      <c r="X88" s="960"/>
      <c r="Y88" s="960"/>
      <c r="Z88" s="960"/>
      <c r="AA88" s="960"/>
      <c r="AB88" s="960"/>
      <c r="AC88" s="960"/>
      <c r="AD88" s="960"/>
      <c r="AE88" s="967"/>
    </row>
    <row r="89" spans="1:31" ht="38.5" customHeight="1" x14ac:dyDescent="0.25">
      <c r="A89" s="1372" t="s">
        <v>396</v>
      </c>
      <c r="B89" s="1373"/>
      <c r="C89" s="1374"/>
      <c r="D89" s="960"/>
      <c r="E89" s="960"/>
      <c r="F89" s="960"/>
      <c r="G89" s="960"/>
      <c r="H89" s="960"/>
      <c r="I89" s="960"/>
      <c r="J89" s="960"/>
      <c r="K89" s="960"/>
      <c r="L89" s="960"/>
      <c r="M89" s="960"/>
      <c r="N89" s="960"/>
      <c r="O89" s="960"/>
      <c r="P89" s="960"/>
      <c r="Q89" s="960"/>
      <c r="R89" s="960"/>
      <c r="S89" s="960"/>
      <c r="T89" s="960"/>
      <c r="U89" s="960"/>
      <c r="V89" s="960"/>
      <c r="W89" s="960"/>
      <c r="X89" s="960"/>
      <c r="Y89" s="960"/>
      <c r="Z89" s="960"/>
      <c r="AA89" s="960"/>
      <c r="AB89" s="960"/>
      <c r="AC89" s="960"/>
      <c r="AD89" s="960"/>
      <c r="AE89" s="967"/>
    </row>
    <row r="90" spans="1:31" ht="30" customHeight="1" x14ac:dyDescent="0.25">
      <c r="A90" s="1299" t="s">
        <v>397</v>
      </c>
      <c r="B90" s="1300"/>
      <c r="C90" s="1301"/>
      <c r="D90" s="965"/>
      <c r="E90" s="965"/>
      <c r="F90" s="965"/>
      <c r="G90" s="965"/>
      <c r="H90" s="965"/>
      <c r="I90" s="965"/>
      <c r="J90" s="965"/>
      <c r="K90" s="965"/>
      <c r="L90" s="960"/>
      <c r="M90" s="960"/>
      <c r="N90" s="960"/>
      <c r="O90" s="960"/>
      <c r="P90" s="960"/>
      <c r="Q90" s="960"/>
      <c r="R90" s="960"/>
      <c r="S90" s="960"/>
      <c r="T90" s="960"/>
      <c r="U90" s="960"/>
      <c r="V90" s="960"/>
      <c r="W90" s="960"/>
      <c r="X90" s="960"/>
      <c r="Y90" s="960"/>
      <c r="Z90" s="960"/>
      <c r="AA90" s="960"/>
      <c r="AB90" s="960"/>
      <c r="AC90" s="960"/>
      <c r="AD90" s="960"/>
      <c r="AE90" s="967"/>
    </row>
    <row r="91" spans="1:31" ht="63" customHeight="1" x14ac:dyDescent="0.25">
      <c r="A91" s="1343" t="s">
        <v>398</v>
      </c>
      <c r="B91" s="1343"/>
      <c r="C91" s="1343"/>
      <c r="D91" s="960"/>
      <c r="E91" s="960"/>
      <c r="F91" s="960"/>
      <c r="G91" s="960"/>
      <c r="H91" s="960"/>
      <c r="I91" s="960"/>
      <c r="J91" s="960"/>
      <c r="K91" s="960"/>
      <c r="L91" s="960"/>
      <c r="M91" s="960"/>
      <c r="N91" s="960"/>
      <c r="O91" s="960"/>
      <c r="P91" s="960"/>
      <c r="Q91" s="960"/>
      <c r="R91" s="960"/>
      <c r="S91" s="960"/>
      <c r="T91" s="960"/>
      <c r="U91" s="960"/>
      <c r="V91" s="960"/>
      <c r="W91" s="960"/>
      <c r="X91" s="960"/>
      <c r="Y91" s="960"/>
      <c r="Z91" s="960"/>
      <c r="AA91" s="960"/>
      <c r="AB91" s="960"/>
      <c r="AC91" s="960"/>
      <c r="AD91" s="960"/>
      <c r="AE91" s="967"/>
    </row>
    <row r="92" spans="1:31" ht="29.5" customHeight="1" x14ac:dyDescent="0.25">
      <c r="A92" s="1299" t="s">
        <v>399</v>
      </c>
      <c r="B92" s="1300"/>
      <c r="C92" s="1301"/>
      <c r="D92" s="960"/>
      <c r="E92" s="960"/>
      <c r="F92" s="960"/>
      <c r="G92" s="960"/>
      <c r="H92" s="960"/>
      <c r="I92" s="960"/>
      <c r="J92" s="960"/>
      <c r="K92" s="960"/>
      <c r="L92" s="960"/>
      <c r="M92" s="960"/>
      <c r="N92" s="960"/>
      <c r="O92" s="960"/>
      <c r="P92" s="960"/>
      <c r="Q92" s="960"/>
      <c r="R92" s="960"/>
      <c r="S92" s="960"/>
      <c r="T92" s="960"/>
      <c r="U92" s="960"/>
      <c r="V92" s="960"/>
      <c r="W92" s="960"/>
      <c r="X92" s="960"/>
      <c r="Y92" s="960"/>
      <c r="Z92" s="960"/>
      <c r="AA92" s="960"/>
      <c r="AB92" s="960"/>
      <c r="AC92" s="960"/>
      <c r="AD92" s="960"/>
      <c r="AE92" s="967"/>
    </row>
    <row r="93" spans="1:31" ht="13" customHeight="1" thickBot="1" x14ac:dyDescent="0.3">
      <c r="A93" s="968"/>
      <c r="B93" s="969"/>
      <c r="C93" s="969"/>
      <c r="D93" s="966"/>
      <c r="E93" s="966"/>
      <c r="F93" s="966"/>
      <c r="G93" s="966"/>
      <c r="H93" s="966"/>
      <c r="I93" s="966"/>
      <c r="J93" s="966"/>
      <c r="K93" s="966"/>
      <c r="L93" s="966"/>
      <c r="M93" s="966"/>
      <c r="N93" s="966"/>
      <c r="O93" s="966"/>
      <c r="P93" s="966"/>
      <c r="Q93" s="966"/>
      <c r="R93" s="966"/>
      <c r="S93" s="966"/>
      <c r="T93" s="966"/>
      <c r="U93" s="966"/>
      <c r="V93" s="966"/>
      <c r="W93" s="966"/>
      <c r="X93" s="966"/>
      <c r="Y93" s="966"/>
      <c r="Z93" s="966"/>
      <c r="AA93" s="966"/>
      <c r="AB93" s="966"/>
      <c r="AC93" s="966"/>
      <c r="AD93" s="966"/>
      <c r="AE93" s="970"/>
    </row>
    <row r="94" spans="1:31" x14ac:dyDescent="0.25">
      <c r="A94" s="796"/>
      <c r="B94" s="796"/>
      <c r="C94" s="796"/>
    </row>
    <row r="95" spans="1:31" x14ac:dyDescent="0.25">
      <c r="A95" s="796"/>
      <c r="B95" s="796"/>
      <c r="C95" s="796"/>
    </row>
    <row r="96" spans="1:31" x14ac:dyDescent="0.25">
      <c r="A96" s="796"/>
      <c r="B96" s="796"/>
      <c r="C96" s="796"/>
    </row>
    <row r="97" spans="1:3" x14ac:dyDescent="0.25">
      <c r="A97" s="796"/>
      <c r="B97" s="796"/>
      <c r="C97" s="796"/>
    </row>
    <row r="98" spans="1:3" x14ac:dyDescent="0.25">
      <c r="A98" s="796"/>
      <c r="B98" s="796"/>
      <c r="C98" s="796"/>
    </row>
    <row r="99" spans="1:3" ht="13" customHeight="1" x14ac:dyDescent="0.25">
      <c r="B99" s="577"/>
      <c r="C99" s="577"/>
    </row>
    <row r="100" spans="1:3" x14ac:dyDescent="0.25">
      <c r="A100" s="577"/>
      <c r="B100" s="577"/>
      <c r="C100" s="577"/>
    </row>
    <row r="101" spans="1:3" x14ac:dyDescent="0.25">
      <c r="A101" s="577"/>
      <c r="B101" s="577"/>
      <c r="C101" s="577"/>
    </row>
    <row r="102" spans="1:3" x14ac:dyDescent="0.25">
      <c r="A102" s="577"/>
      <c r="B102" s="577"/>
      <c r="C102" s="577"/>
    </row>
  </sheetData>
  <mergeCells count="140">
    <mergeCell ref="A58:C58"/>
    <mergeCell ref="A68:C68"/>
    <mergeCell ref="U68:V68"/>
    <mergeCell ref="A65:C65"/>
    <mergeCell ref="A66:B66"/>
    <mergeCell ref="C66:C67"/>
    <mergeCell ref="A67:B67"/>
    <mergeCell ref="A63:C63"/>
    <mergeCell ref="Q79:S79"/>
    <mergeCell ref="U79:W79"/>
    <mergeCell ref="U62:W62"/>
    <mergeCell ref="A79:C80"/>
    <mergeCell ref="Q80:S80"/>
    <mergeCell ref="U80:W80"/>
    <mergeCell ref="E62:G62"/>
    <mergeCell ref="I62:K62"/>
    <mergeCell ref="M62:O62"/>
    <mergeCell ref="Q62:S62"/>
    <mergeCell ref="M79:O79"/>
    <mergeCell ref="A59:C59"/>
    <mergeCell ref="A84:B85"/>
    <mergeCell ref="E84:E85"/>
    <mergeCell ref="I84:I85"/>
    <mergeCell ref="M84:M85"/>
    <mergeCell ref="Q84:Q85"/>
    <mergeCell ref="U84:U85"/>
    <mergeCell ref="A88:C88"/>
    <mergeCell ref="A89:C89"/>
    <mergeCell ref="A90:C90"/>
    <mergeCell ref="A91:C91"/>
    <mergeCell ref="A92:C92"/>
    <mergeCell ref="A42:C42"/>
    <mergeCell ref="A43:B43"/>
    <mergeCell ref="A44:B44"/>
    <mergeCell ref="A45:B45"/>
    <mergeCell ref="A46:B46"/>
    <mergeCell ref="A47:C47"/>
    <mergeCell ref="Y79:AA79"/>
    <mergeCell ref="A72:C72"/>
    <mergeCell ref="A75:C75"/>
    <mergeCell ref="E72:G72"/>
    <mergeCell ref="I72:K72"/>
    <mergeCell ref="M72:O72"/>
    <mergeCell ref="Q72:S72"/>
    <mergeCell ref="U72:W72"/>
    <mergeCell ref="Y72:AA72"/>
    <mergeCell ref="A74:C74"/>
    <mergeCell ref="A76:C76"/>
    <mergeCell ref="U77:V77"/>
    <mergeCell ref="Y77:Z77"/>
    <mergeCell ref="A77:C77"/>
    <mergeCell ref="E79:G79"/>
    <mergeCell ref="I79:K79"/>
    <mergeCell ref="A25:B25"/>
    <mergeCell ref="A26:B26"/>
    <mergeCell ref="A27:B27"/>
    <mergeCell ref="A28:B28"/>
    <mergeCell ref="A29:B29"/>
    <mergeCell ref="A30:B30"/>
    <mergeCell ref="A57:C57"/>
    <mergeCell ref="A31:B31"/>
    <mergeCell ref="A32:B32"/>
    <mergeCell ref="A35:C35"/>
    <mergeCell ref="A36:B36"/>
    <mergeCell ref="A37:B37"/>
    <mergeCell ref="A38:B38"/>
    <mergeCell ref="A39:B39"/>
    <mergeCell ref="A40:C40"/>
    <mergeCell ref="A54:C54"/>
    <mergeCell ref="A49:C49"/>
    <mergeCell ref="A50:B50"/>
    <mergeCell ref="A51:B51"/>
    <mergeCell ref="A52:B52"/>
    <mergeCell ref="A53:B53"/>
    <mergeCell ref="A56:C56"/>
    <mergeCell ref="A2:B2"/>
    <mergeCell ref="B4:C4"/>
    <mergeCell ref="E4:G4"/>
    <mergeCell ref="I4:K4"/>
    <mergeCell ref="M4:O4"/>
    <mergeCell ref="Q4:S4"/>
    <mergeCell ref="U4:W4"/>
    <mergeCell ref="Y4:AA4"/>
    <mergeCell ref="B5:C5"/>
    <mergeCell ref="E6:G6"/>
    <mergeCell ref="I6:K6"/>
    <mergeCell ref="M6:O6"/>
    <mergeCell ref="Q6:S6"/>
    <mergeCell ref="U6:W6"/>
    <mergeCell ref="Y6:AA6"/>
    <mergeCell ref="BG5:BI5"/>
    <mergeCell ref="AC7:AD7"/>
    <mergeCell ref="U54:V54"/>
    <mergeCell ref="Y54:Z54"/>
    <mergeCell ref="I7:K7"/>
    <mergeCell ref="M7:O7"/>
    <mergeCell ref="Q7:S7"/>
    <mergeCell ref="U7:W7"/>
    <mergeCell ref="Y7:AA7"/>
    <mergeCell ref="Y40:Z40"/>
    <mergeCell ref="AC6:AD6"/>
    <mergeCell ref="E7:G7"/>
    <mergeCell ref="U40:V40"/>
    <mergeCell ref="A17:B17"/>
    <mergeCell ref="A18:B18"/>
    <mergeCell ref="A19:B19"/>
    <mergeCell ref="A7:C7"/>
    <mergeCell ref="A8:B8"/>
    <mergeCell ref="A9:B9"/>
    <mergeCell ref="A10:B10"/>
    <mergeCell ref="A11:B11"/>
    <mergeCell ref="A12:B12"/>
    <mergeCell ref="A13:B13"/>
    <mergeCell ref="A14:B14"/>
    <mergeCell ref="A15:B15"/>
    <mergeCell ref="A16:B16"/>
    <mergeCell ref="A20:B20"/>
    <mergeCell ref="A21:B21"/>
    <mergeCell ref="Y80:AA80"/>
    <mergeCell ref="E80:G80"/>
    <mergeCell ref="I80:K80"/>
    <mergeCell ref="M80:O80"/>
    <mergeCell ref="Y84:Y85"/>
    <mergeCell ref="Y62:AA62"/>
    <mergeCell ref="E71:G71"/>
    <mergeCell ref="I71:K71"/>
    <mergeCell ref="M71:O71"/>
    <mergeCell ref="Q71:S71"/>
    <mergeCell ref="U71:W71"/>
    <mergeCell ref="Y71:AA71"/>
    <mergeCell ref="E63:G63"/>
    <mergeCell ref="I63:K63"/>
    <mergeCell ref="M63:O63"/>
    <mergeCell ref="Q63:S63"/>
    <mergeCell ref="U63:W63"/>
    <mergeCell ref="Y63:AA63"/>
    <mergeCell ref="Y68:Z68"/>
    <mergeCell ref="A22:B22"/>
    <mergeCell ref="A23:B23"/>
    <mergeCell ref="A24:B24"/>
  </mergeCells>
  <phoneticPr fontId="20" type="noConversion"/>
  <pageMargins left="0.25" right="0.25" top="0.75" bottom="0.75" header="0.3" footer="0.3"/>
  <pageSetup scale="33" fitToHeight="3" orientation="landscape" r:id="rId1"/>
  <headerFooter alignWithMargins="0"/>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782C1-F60B-4286-A057-A50E31BED0E9}">
  <sheetPr codeName="Sheet27"/>
  <dimension ref="A1:O67"/>
  <sheetViews>
    <sheetView workbookViewId="0">
      <selection activeCell="I2" sqref="I2:M4"/>
    </sheetView>
  </sheetViews>
  <sheetFormatPr defaultColWidth="8.7265625" defaultRowHeight="13" x14ac:dyDescent="0.25"/>
  <cols>
    <col min="1" max="1" width="5.1796875" style="857" customWidth="1"/>
    <col min="2" max="2" width="13.26953125" style="857" customWidth="1"/>
    <col min="3" max="3" width="25.453125" style="857" customWidth="1"/>
    <col min="4" max="4" width="8.7265625" style="857"/>
    <col min="5" max="5" width="10.453125" style="857" customWidth="1"/>
    <col min="6" max="6" width="8.1796875" style="857" customWidth="1"/>
    <col min="7" max="7" width="11.1796875" style="857" customWidth="1"/>
    <col min="8" max="8" width="15.54296875" style="857" customWidth="1"/>
    <col min="9" max="9" width="16.453125" style="857" customWidth="1"/>
    <col min="10" max="11" width="14.7265625" style="857" customWidth="1"/>
    <col min="12" max="12" width="16.81640625" style="857" customWidth="1"/>
    <col min="13" max="13" width="14.54296875" style="857" customWidth="1"/>
    <col min="14" max="14" width="11.453125" style="857" customWidth="1"/>
    <col min="15" max="15" width="20.81640625" style="857" customWidth="1"/>
    <col min="16" max="16384" width="8.7265625" style="857"/>
  </cols>
  <sheetData>
    <row r="1" spans="1:15" ht="13.5" thickBot="1" x14ac:dyDescent="0.3">
      <c r="A1" s="1008"/>
      <c r="B1" s="1018"/>
      <c r="C1" s="1018"/>
      <c r="D1" s="1018"/>
      <c r="E1" s="1018"/>
      <c r="F1" s="1018"/>
      <c r="G1" s="1018"/>
      <c r="H1" s="1018"/>
      <c r="I1" s="1018"/>
      <c r="J1" s="1018"/>
      <c r="K1" s="1018"/>
      <c r="L1" s="1018"/>
      <c r="M1" s="1018"/>
      <c r="N1" s="1018"/>
      <c r="O1" s="1017"/>
    </row>
    <row r="2" spans="1:15" ht="36" customHeight="1" thickBot="1" x14ac:dyDescent="0.3">
      <c r="A2" s="1009"/>
      <c r="B2" s="1380" t="s">
        <v>509</v>
      </c>
      <c r="C2" s="1381"/>
      <c r="D2" s="1013"/>
      <c r="E2" s="1013"/>
      <c r="F2" s="1013"/>
      <c r="G2" s="1013"/>
      <c r="H2" s="1027" t="s">
        <v>292</v>
      </c>
      <c r="I2" s="1384" t="s">
        <v>401</v>
      </c>
      <c r="J2" s="1385"/>
      <c r="K2" s="1385"/>
      <c r="L2" s="1385"/>
      <c r="M2" s="1386"/>
      <c r="N2" s="1013"/>
      <c r="O2" s="1016"/>
    </row>
    <row r="3" spans="1:15" ht="32.15" customHeight="1" x14ac:dyDescent="0.25">
      <c r="A3" s="1009"/>
      <c r="B3" s="1013"/>
      <c r="C3" s="1019"/>
      <c r="D3" s="1013"/>
      <c r="E3" s="1013"/>
      <c r="F3" s="1013"/>
      <c r="G3" s="1020"/>
      <c r="H3" s="1020"/>
      <c r="I3" s="1387"/>
      <c r="J3" s="1388"/>
      <c r="K3" s="1388"/>
      <c r="L3" s="1388"/>
      <c r="M3" s="1389"/>
      <c r="N3" s="1013"/>
      <c r="O3" s="1016"/>
    </row>
    <row r="4" spans="1:15" x14ac:dyDescent="0.25">
      <c r="A4" s="1009"/>
      <c r="B4" s="1013"/>
      <c r="C4" s="1013"/>
      <c r="D4" s="1013"/>
      <c r="E4" s="1020"/>
      <c r="F4" s="1020"/>
      <c r="G4" s="1020"/>
      <c r="H4" s="1020"/>
      <c r="I4" s="1390"/>
      <c r="J4" s="1391"/>
      <c r="K4" s="1391"/>
      <c r="L4" s="1391"/>
      <c r="M4" s="1392"/>
      <c r="N4" s="1013"/>
      <c r="O4" s="1016"/>
    </row>
    <row r="5" spans="1:15" ht="13.5" thickBot="1" x14ac:dyDescent="0.3">
      <c r="A5" s="1009"/>
      <c r="B5" s="1013"/>
      <c r="C5" s="1013"/>
      <c r="D5" s="1013"/>
      <c r="E5" s="1013"/>
      <c r="F5" s="1013"/>
      <c r="G5" s="1013"/>
      <c r="H5" s="1013"/>
      <c r="I5" s="1013"/>
      <c r="J5" s="1013"/>
      <c r="K5" s="1013"/>
      <c r="L5" s="1022"/>
      <c r="M5" s="1022"/>
      <c r="N5" s="1013"/>
      <c r="O5" s="1016"/>
    </row>
    <row r="6" spans="1:15" ht="31" customHeight="1" thickBot="1" x14ac:dyDescent="0.3">
      <c r="A6" s="1009"/>
      <c r="B6" s="1382" t="str">
        <f>General!D4</f>
        <v>Name</v>
      </c>
      <c r="C6" s="1383"/>
      <c r="D6" s="1021"/>
      <c r="E6" s="1021"/>
      <c r="F6" s="1013"/>
      <c r="G6" s="1013"/>
      <c r="H6" s="1379"/>
      <c r="I6" s="1379"/>
      <c r="J6" s="1379"/>
      <c r="K6" s="1379"/>
      <c r="L6" s="1013"/>
      <c r="M6" s="1013"/>
      <c r="N6" s="1013"/>
      <c r="O6" s="1016"/>
    </row>
    <row r="7" spans="1:15" ht="39.5" thickBot="1" x14ac:dyDescent="0.3">
      <c r="A7" s="1009"/>
      <c r="B7" s="882" t="s">
        <v>402</v>
      </c>
      <c r="C7" s="883" t="s">
        <v>403</v>
      </c>
      <c r="D7" s="884" t="s">
        <v>404</v>
      </c>
      <c r="E7" s="884" t="s">
        <v>405</v>
      </c>
      <c r="F7" s="884" t="s">
        <v>406</v>
      </c>
      <c r="G7" s="884" t="s">
        <v>405</v>
      </c>
      <c r="H7" s="1036" t="s">
        <v>407</v>
      </c>
      <c r="I7" s="1036" t="s">
        <v>408</v>
      </c>
      <c r="J7" s="1036" t="s">
        <v>409</v>
      </c>
      <c r="K7" s="1036" t="s">
        <v>410</v>
      </c>
      <c r="L7" s="886" t="s">
        <v>411</v>
      </c>
      <c r="M7" s="887" t="s">
        <v>412</v>
      </c>
      <c r="N7" s="1013"/>
      <c r="O7" s="1016"/>
    </row>
    <row r="8" spans="1:15" x14ac:dyDescent="0.25">
      <c r="A8" s="1009"/>
      <c r="B8" s="888" t="s">
        <v>510</v>
      </c>
      <c r="C8" s="889"/>
      <c r="D8" s="889"/>
      <c r="E8" s="889"/>
      <c r="F8" s="889"/>
      <c r="G8" s="1034"/>
      <c r="H8" s="892">
        <v>0</v>
      </c>
      <c r="I8" s="892">
        <v>0</v>
      </c>
      <c r="J8" s="892">
        <v>0</v>
      </c>
      <c r="K8" s="892">
        <v>0</v>
      </c>
      <c r="L8" s="1035">
        <f t="shared" ref="L8:L14" si="0">SUM(H8:K8)</f>
        <v>0</v>
      </c>
      <c r="M8" s="1378"/>
      <c r="N8" s="1013"/>
      <c r="O8" s="1016"/>
    </row>
    <row r="9" spans="1:15" x14ac:dyDescent="0.25">
      <c r="A9" s="1009"/>
      <c r="B9" s="888" t="s">
        <v>510</v>
      </c>
      <c r="C9" s="1169"/>
      <c r="D9" s="1169"/>
      <c r="E9" s="1169"/>
      <c r="F9" s="1169"/>
      <c r="G9" s="881"/>
      <c r="H9" s="892">
        <v>0</v>
      </c>
      <c r="I9" s="892">
        <v>0</v>
      </c>
      <c r="J9" s="892">
        <v>0</v>
      </c>
      <c r="K9" s="892">
        <v>0</v>
      </c>
      <c r="L9" s="906">
        <f t="shared" si="0"/>
        <v>0</v>
      </c>
      <c r="M9" s="1378"/>
      <c r="N9" s="1013"/>
      <c r="O9" s="1016"/>
    </row>
    <row r="10" spans="1:15" x14ac:dyDescent="0.25">
      <c r="A10" s="1009"/>
      <c r="B10" s="888" t="s">
        <v>510</v>
      </c>
      <c r="C10" s="1169"/>
      <c r="D10" s="1169"/>
      <c r="E10" s="1169"/>
      <c r="F10" s="1169"/>
      <c r="G10" s="881"/>
      <c r="H10" s="892">
        <v>0</v>
      </c>
      <c r="I10" s="892">
        <v>0</v>
      </c>
      <c r="J10" s="892">
        <v>0</v>
      </c>
      <c r="K10" s="892">
        <v>0</v>
      </c>
      <c r="L10" s="906">
        <f t="shared" si="0"/>
        <v>0</v>
      </c>
      <c r="M10" s="1378"/>
      <c r="N10" s="1013"/>
      <c r="O10" s="1016"/>
    </row>
    <row r="11" spans="1:15" x14ac:dyDescent="0.25">
      <c r="A11" s="1009"/>
      <c r="B11" s="888" t="s">
        <v>510</v>
      </c>
      <c r="C11" s="1169"/>
      <c r="D11" s="1169"/>
      <c r="E11" s="1169"/>
      <c r="F11" s="1169"/>
      <c r="G11" s="881"/>
      <c r="H11" s="892">
        <v>0</v>
      </c>
      <c r="I11" s="892">
        <v>0</v>
      </c>
      <c r="J11" s="892">
        <v>0</v>
      </c>
      <c r="K11" s="892">
        <v>0</v>
      </c>
      <c r="L11" s="906">
        <f t="shared" si="0"/>
        <v>0</v>
      </c>
      <c r="M11" s="1378"/>
      <c r="N11" s="1013"/>
      <c r="O11" s="1016"/>
    </row>
    <row r="12" spans="1:15" x14ac:dyDescent="0.25">
      <c r="A12" s="1009"/>
      <c r="B12" s="888" t="s">
        <v>510</v>
      </c>
      <c r="C12" s="1169"/>
      <c r="D12" s="1169"/>
      <c r="E12" s="1169"/>
      <c r="F12" s="1169"/>
      <c r="G12" s="881"/>
      <c r="H12" s="892">
        <v>0</v>
      </c>
      <c r="I12" s="892">
        <v>0</v>
      </c>
      <c r="J12" s="892">
        <v>0</v>
      </c>
      <c r="K12" s="892">
        <v>0</v>
      </c>
      <c r="L12" s="906">
        <f t="shared" si="0"/>
        <v>0</v>
      </c>
      <c r="M12" s="1378"/>
      <c r="N12" s="1013"/>
      <c r="O12" s="1016"/>
    </row>
    <row r="13" spans="1:15" x14ac:dyDescent="0.25">
      <c r="A13" s="1009"/>
      <c r="B13" s="888" t="s">
        <v>510</v>
      </c>
      <c r="C13" s="1169"/>
      <c r="D13" s="1169"/>
      <c r="E13" s="1169"/>
      <c r="F13" s="1169"/>
      <c r="G13" s="881"/>
      <c r="H13" s="892">
        <v>0</v>
      </c>
      <c r="I13" s="892">
        <v>0</v>
      </c>
      <c r="J13" s="892">
        <v>0</v>
      </c>
      <c r="K13" s="892">
        <v>0</v>
      </c>
      <c r="L13" s="906">
        <f t="shared" si="0"/>
        <v>0</v>
      </c>
      <c r="M13" s="1378"/>
      <c r="N13" s="1013"/>
      <c r="O13" s="1016"/>
    </row>
    <row r="14" spans="1:15" ht="13.5" thickBot="1" x14ac:dyDescent="0.3">
      <c r="A14" s="1009"/>
      <c r="B14" s="888" t="s">
        <v>510</v>
      </c>
      <c r="C14" s="894"/>
      <c r="D14" s="894"/>
      <c r="E14" s="894"/>
      <c r="F14" s="894"/>
      <c r="G14" s="1032"/>
      <c r="H14" s="892">
        <v>0</v>
      </c>
      <c r="I14" s="892">
        <v>0</v>
      </c>
      <c r="J14" s="892">
        <v>0</v>
      </c>
      <c r="K14" s="892">
        <v>0</v>
      </c>
      <c r="L14" s="909">
        <f t="shared" si="0"/>
        <v>0</v>
      </c>
      <c r="M14" s="1378"/>
      <c r="N14" s="1013"/>
      <c r="O14" s="1016"/>
    </row>
    <row r="15" spans="1:15" ht="19" customHeight="1" thickBot="1" x14ac:dyDescent="0.3">
      <c r="A15" s="1009"/>
      <c r="B15" s="1375" t="s">
        <v>511</v>
      </c>
      <c r="C15" s="1376"/>
      <c r="D15" s="1376"/>
      <c r="E15" s="1376"/>
      <c r="F15" s="1376"/>
      <c r="G15" s="1376"/>
      <c r="H15" s="1028">
        <f>SUM(H8:H14)</f>
        <v>0</v>
      </c>
      <c r="I15" s="1028">
        <f>SUM(I8:I14)</f>
        <v>0</v>
      </c>
      <c r="J15" s="1028">
        <f>SUM(J8:J14)</f>
        <v>0</v>
      </c>
      <c r="K15" s="1028">
        <f>SUM(K8:K14)</f>
        <v>0</v>
      </c>
      <c r="L15" s="1013"/>
      <c r="M15" s="898">
        <f>SUM(H15:K15)</f>
        <v>0</v>
      </c>
      <c r="N15" s="1013"/>
      <c r="O15" s="1016"/>
    </row>
    <row r="16" spans="1:15" x14ac:dyDescent="0.25">
      <c r="A16" s="1009"/>
      <c r="B16" s="1378"/>
      <c r="C16" s="1378"/>
      <c r="D16" s="1378"/>
      <c r="E16" s="1378"/>
      <c r="F16" s="1378"/>
      <c r="G16" s="1378"/>
      <c r="H16" s="1378"/>
      <c r="I16" s="1378"/>
      <c r="J16" s="1378"/>
      <c r="K16" s="1378"/>
      <c r="L16" s="1378"/>
      <c r="M16" s="1378"/>
      <c r="N16" s="1013"/>
      <c r="O16" s="1016"/>
    </row>
    <row r="17" spans="1:15" ht="13.5" thickBot="1" x14ac:dyDescent="0.3">
      <c r="A17" s="1009"/>
      <c r="B17" s="1378"/>
      <c r="C17" s="1378"/>
      <c r="D17" s="1378"/>
      <c r="E17" s="1378"/>
      <c r="F17" s="1378"/>
      <c r="G17" s="1378"/>
      <c r="H17" s="1378"/>
      <c r="I17" s="1378"/>
      <c r="J17" s="1378"/>
      <c r="K17" s="1378"/>
      <c r="L17" s="1378"/>
      <c r="M17" s="1378"/>
      <c r="N17" s="1013"/>
      <c r="O17" s="1016"/>
    </row>
    <row r="18" spans="1:15" x14ac:dyDescent="0.25">
      <c r="A18" s="1009"/>
      <c r="B18" s="899" t="s">
        <v>512</v>
      </c>
      <c r="C18" s="900"/>
      <c r="D18" s="900"/>
      <c r="E18" s="900"/>
      <c r="F18" s="900"/>
      <c r="G18" s="900"/>
      <c r="H18" s="901">
        <v>0</v>
      </c>
      <c r="I18" s="901">
        <v>0</v>
      </c>
      <c r="J18" s="901">
        <v>0</v>
      </c>
      <c r="K18" s="902">
        <v>0</v>
      </c>
      <c r="L18" s="903">
        <f t="shared" ref="L18:L24" si="1">SUM(H18:K18)</f>
        <v>0</v>
      </c>
      <c r="M18" s="1378"/>
      <c r="N18" s="1013"/>
      <c r="O18" s="1016"/>
    </row>
    <row r="19" spans="1:15" x14ac:dyDescent="0.25">
      <c r="A19" s="1009"/>
      <c r="B19" s="904" t="s">
        <v>512</v>
      </c>
      <c r="C19" s="1169"/>
      <c r="D19" s="1169"/>
      <c r="E19" s="1169"/>
      <c r="F19" s="1169"/>
      <c r="G19" s="1169"/>
      <c r="H19" s="892">
        <v>0</v>
      </c>
      <c r="I19" s="892">
        <v>0</v>
      </c>
      <c r="J19" s="892">
        <v>0</v>
      </c>
      <c r="K19" s="905">
        <v>0</v>
      </c>
      <c r="L19" s="906">
        <f t="shared" si="1"/>
        <v>0</v>
      </c>
      <c r="M19" s="1378"/>
      <c r="N19" s="1013"/>
      <c r="O19" s="1016"/>
    </row>
    <row r="20" spans="1:15" x14ac:dyDescent="0.25">
      <c r="A20" s="1009"/>
      <c r="B20" s="904" t="s">
        <v>512</v>
      </c>
      <c r="C20" s="1169"/>
      <c r="D20" s="1169"/>
      <c r="E20" s="1169"/>
      <c r="F20" s="1169"/>
      <c r="G20" s="1169"/>
      <c r="H20" s="892">
        <v>0</v>
      </c>
      <c r="I20" s="892">
        <v>0</v>
      </c>
      <c r="J20" s="892">
        <v>0</v>
      </c>
      <c r="K20" s="905">
        <v>0</v>
      </c>
      <c r="L20" s="906">
        <f t="shared" si="1"/>
        <v>0</v>
      </c>
      <c r="M20" s="1378"/>
      <c r="N20" s="1013"/>
      <c r="O20" s="1016"/>
    </row>
    <row r="21" spans="1:15" x14ac:dyDescent="0.25">
      <c r="A21" s="1009"/>
      <c r="B21" s="904" t="s">
        <v>512</v>
      </c>
      <c r="C21" s="1169"/>
      <c r="D21" s="1169"/>
      <c r="E21" s="1169"/>
      <c r="F21" s="1169"/>
      <c r="G21" s="1169"/>
      <c r="H21" s="892">
        <v>0</v>
      </c>
      <c r="I21" s="892">
        <v>0</v>
      </c>
      <c r="J21" s="892">
        <v>0</v>
      </c>
      <c r="K21" s="905">
        <v>0</v>
      </c>
      <c r="L21" s="906">
        <f t="shared" si="1"/>
        <v>0</v>
      </c>
      <c r="M21" s="1378"/>
      <c r="N21" s="1013"/>
      <c r="O21" s="1016"/>
    </row>
    <row r="22" spans="1:15" x14ac:dyDescent="0.25">
      <c r="A22" s="1009"/>
      <c r="B22" s="904" t="s">
        <v>512</v>
      </c>
      <c r="C22" s="1169"/>
      <c r="D22" s="1169"/>
      <c r="E22" s="1169"/>
      <c r="F22" s="1169"/>
      <c r="G22" s="1169"/>
      <c r="H22" s="892">
        <v>0</v>
      </c>
      <c r="I22" s="892">
        <v>0</v>
      </c>
      <c r="J22" s="892">
        <v>0</v>
      </c>
      <c r="K22" s="905">
        <v>0</v>
      </c>
      <c r="L22" s="906">
        <f t="shared" si="1"/>
        <v>0</v>
      </c>
      <c r="M22" s="1378"/>
      <c r="N22" s="1013"/>
      <c r="O22" s="1016"/>
    </row>
    <row r="23" spans="1:15" x14ac:dyDescent="0.25">
      <c r="A23" s="1009"/>
      <c r="B23" s="904" t="s">
        <v>512</v>
      </c>
      <c r="C23" s="1169"/>
      <c r="D23" s="1169"/>
      <c r="E23" s="1169"/>
      <c r="F23" s="1169"/>
      <c r="G23" s="1169"/>
      <c r="H23" s="892">
        <v>0</v>
      </c>
      <c r="I23" s="892">
        <v>0</v>
      </c>
      <c r="J23" s="892">
        <v>0</v>
      </c>
      <c r="K23" s="905">
        <v>0</v>
      </c>
      <c r="L23" s="906">
        <f t="shared" si="1"/>
        <v>0</v>
      </c>
      <c r="M23" s="1378"/>
      <c r="N23" s="1013"/>
      <c r="O23" s="1016"/>
    </row>
    <row r="24" spans="1:15" ht="13.5" thickBot="1" x14ac:dyDescent="0.3">
      <c r="A24" s="1009"/>
      <c r="B24" s="904" t="s">
        <v>512</v>
      </c>
      <c r="C24" s="907"/>
      <c r="D24" s="907"/>
      <c r="E24" s="907"/>
      <c r="F24" s="907"/>
      <c r="G24" s="907"/>
      <c r="H24" s="895">
        <v>0</v>
      </c>
      <c r="I24" s="895">
        <v>0</v>
      </c>
      <c r="J24" s="895">
        <v>0</v>
      </c>
      <c r="K24" s="908">
        <v>0</v>
      </c>
      <c r="L24" s="909">
        <f t="shared" si="1"/>
        <v>0</v>
      </c>
      <c r="M24" s="1378"/>
      <c r="N24" s="1013"/>
      <c r="O24" s="1016"/>
    </row>
    <row r="25" spans="1:15" ht="17.5" customHeight="1" thickBot="1" x14ac:dyDescent="0.3">
      <c r="A25" s="1009"/>
      <c r="B25" s="1375" t="s">
        <v>513</v>
      </c>
      <c r="C25" s="1376"/>
      <c r="D25" s="1376"/>
      <c r="E25" s="1376"/>
      <c r="F25" s="1376"/>
      <c r="G25" s="1376"/>
      <c r="H25" s="1028">
        <f>SUM(H18:H24)</f>
        <v>0</v>
      </c>
      <c r="I25" s="1028">
        <f>SUM(I18:I24)</f>
        <v>0</v>
      </c>
      <c r="J25" s="1028">
        <f>SUM(J18:J24)</f>
        <v>0</v>
      </c>
      <c r="K25" s="1028">
        <f>SUM(K18:K24)</f>
        <v>0</v>
      </c>
      <c r="L25" s="1013"/>
      <c r="M25" s="898">
        <f>SUM(H25:K25)</f>
        <v>0</v>
      </c>
      <c r="N25" s="1013"/>
      <c r="O25" s="1016"/>
    </row>
    <row r="26" spans="1:15" x14ac:dyDescent="0.25">
      <c r="A26" s="1009"/>
      <c r="B26" s="1378"/>
      <c r="C26" s="1378"/>
      <c r="D26" s="1378"/>
      <c r="E26" s="1378"/>
      <c r="F26" s="1378"/>
      <c r="G26" s="1378"/>
      <c r="H26" s="1378"/>
      <c r="I26" s="1378"/>
      <c r="J26" s="1378"/>
      <c r="K26" s="1378"/>
      <c r="L26" s="1378"/>
      <c r="M26" s="1378"/>
      <c r="N26" s="1013"/>
      <c r="O26" s="1016"/>
    </row>
    <row r="27" spans="1:15" ht="13.5" thickBot="1" x14ac:dyDescent="0.3">
      <c r="A27" s="1009"/>
      <c r="B27" s="1378"/>
      <c r="C27" s="1378"/>
      <c r="D27" s="1378"/>
      <c r="E27" s="1378"/>
      <c r="F27" s="1378"/>
      <c r="G27" s="1378"/>
      <c r="H27" s="1378"/>
      <c r="I27" s="1378"/>
      <c r="J27" s="1378"/>
      <c r="K27" s="1378"/>
      <c r="L27" s="1378"/>
      <c r="M27" s="1378"/>
      <c r="N27" s="1013"/>
      <c r="O27" s="1016"/>
    </row>
    <row r="28" spans="1:15" x14ac:dyDescent="0.25">
      <c r="A28" s="1009"/>
      <c r="B28" s="899" t="s">
        <v>514</v>
      </c>
      <c r="C28" s="900"/>
      <c r="D28" s="900"/>
      <c r="E28" s="900"/>
      <c r="F28" s="900"/>
      <c r="G28" s="1031"/>
      <c r="H28" s="892">
        <v>0</v>
      </c>
      <c r="I28" s="892">
        <v>0</v>
      </c>
      <c r="J28" s="892">
        <v>0</v>
      </c>
      <c r="K28" s="892">
        <v>0</v>
      </c>
      <c r="L28" s="903">
        <f t="shared" ref="L28:L34" si="2">SUM(H28:K28)</f>
        <v>0</v>
      </c>
      <c r="M28" s="1378"/>
      <c r="N28" s="1013"/>
      <c r="O28" s="1016"/>
    </row>
    <row r="29" spans="1:15" x14ac:dyDescent="0.25">
      <c r="A29" s="1009"/>
      <c r="B29" s="904" t="s">
        <v>514</v>
      </c>
      <c r="C29" s="1169"/>
      <c r="D29" s="1169"/>
      <c r="E29" s="1169"/>
      <c r="F29" s="1169"/>
      <c r="G29" s="881"/>
      <c r="H29" s="892">
        <v>0</v>
      </c>
      <c r="I29" s="892">
        <v>0</v>
      </c>
      <c r="J29" s="892">
        <v>0</v>
      </c>
      <c r="K29" s="892">
        <v>0</v>
      </c>
      <c r="L29" s="906">
        <f t="shared" si="2"/>
        <v>0</v>
      </c>
      <c r="M29" s="1378"/>
      <c r="N29" s="1013"/>
      <c r="O29" s="1016"/>
    </row>
    <row r="30" spans="1:15" x14ac:dyDescent="0.25">
      <c r="A30" s="1009"/>
      <c r="B30" s="904" t="s">
        <v>514</v>
      </c>
      <c r="C30" s="1169"/>
      <c r="D30" s="1169"/>
      <c r="E30" s="1169"/>
      <c r="F30" s="1169"/>
      <c r="G30" s="881"/>
      <c r="H30" s="892">
        <v>0</v>
      </c>
      <c r="I30" s="892">
        <v>0</v>
      </c>
      <c r="J30" s="892">
        <v>0</v>
      </c>
      <c r="K30" s="892">
        <v>0</v>
      </c>
      <c r="L30" s="906">
        <f t="shared" si="2"/>
        <v>0</v>
      </c>
      <c r="M30" s="1378"/>
      <c r="N30" s="1013"/>
      <c r="O30" s="1016"/>
    </row>
    <row r="31" spans="1:15" x14ac:dyDescent="0.25">
      <c r="A31" s="1009"/>
      <c r="B31" s="904" t="s">
        <v>514</v>
      </c>
      <c r="C31" s="1169"/>
      <c r="D31" s="1169"/>
      <c r="E31" s="1169"/>
      <c r="F31" s="1169"/>
      <c r="G31" s="881"/>
      <c r="H31" s="892">
        <v>0</v>
      </c>
      <c r="I31" s="892">
        <v>0</v>
      </c>
      <c r="J31" s="892">
        <v>0</v>
      </c>
      <c r="K31" s="892">
        <v>0</v>
      </c>
      <c r="L31" s="906">
        <f t="shared" si="2"/>
        <v>0</v>
      </c>
      <c r="M31" s="1378"/>
      <c r="N31" s="1013"/>
      <c r="O31" s="1016"/>
    </row>
    <row r="32" spans="1:15" x14ac:dyDescent="0.25">
      <c r="A32" s="1009"/>
      <c r="B32" s="904" t="s">
        <v>514</v>
      </c>
      <c r="C32" s="1169"/>
      <c r="D32" s="1169"/>
      <c r="E32" s="1169"/>
      <c r="F32" s="1169"/>
      <c r="G32" s="881"/>
      <c r="H32" s="892">
        <v>0</v>
      </c>
      <c r="I32" s="892">
        <v>0</v>
      </c>
      <c r="J32" s="892">
        <v>0</v>
      </c>
      <c r="K32" s="892">
        <v>0</v>
      </c>
      <c r="L32" s="906">
        <f t="shared" si="2"/>
        <v>0</v>
      </c>
      <c r="M32" s="1378"/>
      <c r="N32" s="1013"/>
      <c r="O32" s="1016"/>
    </row>
    <row r="33" spans="1:15" x14ac:dyDescent="0.25">
      <c r="A33" s="1009"/>
      <c r="B33" s="904" t="s">
        <v>514</v>
      </c>
      <c r="C33" s="1169"/>
      <c r="D33" s="1169"/>
      <c r="E33" s="1169"/>
      <c r="F33" s="1169"/>
      <c r="G33" s="881"/>
      <c r="H33" s="892">
        <v>0</v>
      </c>
      <c r="I33" s="892">
        <v>0</v>
      </c>
      <c r="J33" s="892">
        <v>0</v>
      </c>
      <c r="K33" s="892">
        <v>0</v>
      </c>
      <c r="L33" s="906">
        <f t="shared" si="2"/>
        <v>0</v>
      </c>
      <c r="M33" s="1378"/>
      <c r="N33" s="1013"/>
      <c r="O33" s="1016"/>
    </row>
    <row r="34" spans="1:15" ht="13.5" thickBot="1" x14ac:dyDescent="0.3">
      <c r="A34" s="1009"/>
      <c r="B34" s="904" t="s">
        <v>514</v>
      </c>
      <c r="C34" s="894"/>
      <c r="D34" s="894"/>
      <c r="E34" s="894"/>
      <c r="F34" s="894"/>
      <c r="G34" s="1032"/>
      <c r="H34" s="892">
        <v>0</v>
      </c>
      <c r="I34" s="892">
        <v>0</v>
      </c>
      <c r="J34" s="892">
        <v>0</v>
      </c>
      <c r="K34" s="892">
        <v>0</v>
      </c>
      <c r="L34" s="909">
        <f t="shared" si="2"/>
        <v>0</v>
      </c>
      <c r="M34" s="1378"/>
      <c r="N34" s="1013"/>
      <c r="O34" s="1016"/>
    </row>
    <row r="35" spans="1:15" ht="18" customHeight="1" thickBot="1" x14ac:dyDescent="0.3">
      <c r="A35" s="1009"/>
      <c r="B35" s="1375" t="s">
        <v>515</v>
      </c>
      <c r="C35" s="1376"/>
      <c r="D35" s="1376"/>
      <c r="E35" s="1376"/>
      <c r="F35" s="1376"/>
      <c r="G35" s="1376"/>
      <c r="H35" s="1028">
        <f>SUM(H28:H34)</f>
        <v>0</v>
      </c>
      <c r="I35" s="1028">
        <f>SUM(I28:I34)</f>
        <v>0</v>
      </c>
      <c r="J35" s="1028">
        <f>SUM(J28:J34)</f>
        <v>0</v>
      </c>
      <c r="K35" s="1028">
        <f>SUM(K28:K34)</f>
        <v>0</v>
      </c>
      <c r="L35" s="1013"/>
      <c r="M35" s="898">
        <f>SUM(H35:K35)</f>
        <v>0</v>
      </c>
      <c r="N35" s="1013"/>
      <c r="O35" s="1016"/>
    </row>
    <row r="36" spans="1:15" x14ac:dyDescent="0.25">
      <c r="A36" s="1009"/>
      <c r="B36" s="1378"/>
      <c r="C36" s="1378"/>
      <c r="D36" s="1378"/>
      <c r="E36" s="1378"/>
      <c r="F36" s="1378"/>
      <c r="G36" s="1378"/>
      <c r="H36" s="1378"/>
      <c r="I36" s="1378"/>
      <c r="J36" s="1378"/>
      <c r="K36" s="1378"/>
      <c r="L36" s="1378"/>
      <c r="M36" s="1378"/>
      <c r="N36" s="1013"/>
      <c r="O36" s="1016"/>
    </row>
    <row r="37" spans="1:15" ht="13.5" thickBot="1" x14ac:dyDescent="0.3">
      <c r="A37" s="1009"/>
      <c r="B37" s="1378"/>
      <c r="C37" s="1378"/>
      <c r="D37" s="1378"/>
      <c r="E37" s="1378"/>
      <c r="F37" s="1378"/>
      <c r="G37" s="1378"/>
      <c r="H37" s="1378"/>
      <c r="I37" s="1378"/>
      <c r="J37" s="1378"/>
      <c r="K37" s="1378"/>
      <c r="L37" s="1378"/>
      <c r="M37" s="1378"/>
      <c r="N37" s="1013"/>
      <c r="O37" s="1016"/>
    </row>
    <row r="38" spans="1:15" x14ac:dyDescent="0.25">
      <c r="A38" s="1009"/>
      <c r="B38" s="899" t="s">
        <v>516</v>
      </c>
      <c r="C38" s="900"/>
      <c r="D38" s="900"/>
      <c r="E38" s="900"/>
      <c r="F38" s="900"/>
      <c r="G38" s="1031"/>
      <c r="H38" s="892">
        <v>0</v>
      </c>
      <c r="I38" s="892">
        <v>0</v>
      </c>
      <c r="J38" s="892">
        <v>0</v>
      </c>
      <c r="K38" s="892">
        <v>0</v>
      </c>
      <c r="L38" s="903">
        <f t="shared" ref="L38:L43" si="3">SUM(H38:K38)</f>
        <v>0</v>
      </c>
      <c r="M38" s="1378"/>
      <c r="N38" s="1013"/>
      <c r="O38" s="1016"/>
    </row>
    <row r="39" spans="1:15" x14ac:dyDescent="0.25">
      <c r="A39" s="1009"/>
      <c r="B39" s="904" t="s">
        <v>516</v>
      </c>
      <c r="C39" s="1169"/>
      <c r="D39" s="1169"/>
      <c r="E39" s="1169"/>
      <c r="F39" s="1169"/>
      <c r="G39" s="881"/>
      <c r="H39" s="892">
        <v>0</v>
      </c>
      <c r="I39" s="892">
        <v>0</v>
      </c>
      <c r="J39" s="892">
        <v>0</v>
      </c>
      <c r="K39" s="892">
        <v>0</v>
      </c>
      <c r="L39" s="906">
        <f t="shared" si="3"/>
        <v>0</v>
      </c>
      <c r="M39" s="1378"/>
      <c r="N39" s="1013"/>
      <c r="O39" s="1016"/>
    </row>
    <row r="40" spans="1:15" x14ac:dyDescent="0.25">
      <c r="A40" s="1009"/>
      <c r="B40" s="904" t="s">
        <v>516</v>
      </c>
      <c r="C40" s="1169"/>
      <c r="D40" s="1169"/>
      <c r="E40" s="1169"/>
      <c r="F40" s="1169"/>
      <c r="G40" s="881"/>
      <c r="H40" s="892">
        <v>0</v>
      </c>
      <c r="I40" s="892">
        <v>0</v>
      </c>
      <c r="J40" s="892">
        <v>0</v>
      </c>
      <c r="K40" s="892">
        <v>0</v>
      </c>
      <c r="L40" s="906">
        <f t="shared" si="3"/>
        <v>0</v>
      </c>
      <c r="M40" s="1378"/>
      <c r="N40" s="1013"/>
      <c r="O40" s="1016"/>
    </row>
    <row r="41" spans="1:15" x14ac:dyDescent="0.25">
      <c r="A41" s="1009"/>
      <c r="B41" s="904" t="s">
        <v>516</v>
      </c>
      <c r="C41" s="1169"/>
      <c r="D41" s="1169"/>
      <c r="E41" s="1169"/>
      <c r="F41" s="1169"/>
      <c r="G41" s="881"/>
      <c r="H41" s="892">
        <v>0</v>
      </c>
      <c r="I41" s="892">
        <v>0</v>
      </c>
      <c r="J41" s="892">
        <v>0</v>
      </c>
      <c r="K41" s="892">
        <v>0</v>
      </c>
      <c r="L41" s="906">
        <f t="shared" si="3"/>
        <v>0</v>
      </c>
      <c r="M41" s="1378"/>
      <c r="N41" s="1013"/>
      <c r="O41" s="1016"/>
    </row>
    <row r="42" spans="1:15" x14ac:dyDescent="0.25">
      <c r="A42" s="1009"/>
      <c r="B42" s="904" t="s">
        <v>516</v>
      </c>
      <c r="C42" s="1169"/>
      <c r="D42" s="1169"/>
      <c r="E42" s="1169"/>
      <c r="F42" s="1169"/>
      <c r="G42" s="881"/>
      <c r="H42" s="892">
        <v>0</v>
      </c>
      <c r="I42" s="892">
        <v>0</v>
      </c>
      <c r="J42" s="892">
        <v>0</v>
      </c>
      <c r="K42" s="892">
        <v>0</v>
      </c>
      <c r="L42" s="906">
        <f t="shared" si="3"/>
        <v>0</v>
      </c>
      <c r="M42" s="1378"/>
      <c r="N42" s="1013"/>
      <c r="O42" s="1016"/>
    </row>
    <row r="43" spans="1:15" ht="13.5" thickBot="1" x14ac:dyDescent="0.3">
      <c r="A43" s="1009"/>
      <c r="B43" s="904" t="s">
        <v>516</v>
      </c>
      <c r="C43" s="894"/>
      <c r="D43" s="894"/>
      <c r="E43" s="894"/>
      <c r="F43" s="894"/>
      <c r="G43" s="1032"/>
      <c r="H43" s="892">
        <v>0</v>
      </c>
      <c r="I43" s="892">
        <v>0</v>
      </c>
      <c r="J43" s="892">
        <v>0</v>
      </c>
      <c r="K43" s="892">
        <v>0</v>
      </c>
      <c r="L43" s="909">
        <f t="shared" si="3"/>
        <v>0</v>
      </c>
      <c r="M43" s="1378"/>
      <c r="N43" s="1013"/>
      <c r="O43" s="1016"/>
    </row>
    <row r="44" spans="1:15" ht="18" customHeight="1" thickBot="1" x14ac:dyDescent="0.3">
      <c r="A44" s="1009"/>
      <c r="B44" s="1375" t="s">
        <v>517</v>
      </c>
      <c r="C44" s="1376"/>
      <c r="D44" s="1376"/>
      <c r="E44" s="1376"/>
      <c r="F44" s="1376"/>
      <c r="G44" s="1376"/>
      <c r="H44" s="1028">
        <f>SUM(H38:H43)</f>
        <v>0</v>
      </c>
      <c r="I44" s="1028">
        <f>SUM(I38:I43)</f>
        <v>0</v>
      </c>
      <c r="J44" s="1028">
        <f>SUM(J38:J43)</f>
        <v>0</v>
      </c>
      <c r="K44" s="1028">
        <f>SUM(K38:K43)</f>
        <v>0</v>
      </c>
      <c r="L44" s="1013"/>
      <c r="M44" s="898">
        <f>SUM(H44:K44)</f>
        <v>0</v>
      </c>
      <c r="N44" s="1013"/>
      <c r="O44" s="1016"/>
    </row>
    <row r="45" spans="1:15" x14ac:dyDescent="0.25">
      <c r="A45" s="1009"/>
      <c r="B45" s="1378"/>
      <c r="C45" s="1378"/>
      <c r="D45" s="1378"/>
      <c r="E45" s="1378"/>
      <c r="F45" s="1378"/>
      <c r="G45" s="1378"/>
      <c r="H45" s="1378"/>
      <c r="I45" s="1378"/>
      <c r="J45" s="1378"/>
      <c r="K45" s="1378"/>
      <c r="L45" s="1378"/>
      <c r="M45" s="1378"/>
      <c r="N45" s="1013"/>
      <c r="O45" s="1016"/>
    </row>
    <row r="46" spans="1:15" ht="13.5" thickBot="1" x14ac:dyDescent="0.3">
      <c r="A46" s="1009"/>
      <c r="B46" s="1378"/>
      <c r="C46" s="1378"/>
      <c r="D46" s="1378"/>
      <c r="E46" s="1378"/>
      <c r="F46" s="1378"/>
      <c r="G46" s="1378"/>
      <c r="H46" s="1378"/>
      <c r="I46" s="1378"/>
      <c r="J46" s="1378"/>
      <c r="K46" s="1378"/>
      <c r="L46" s="1378"/>
      <c r="M46" s="1378"/>
      <c r="N46" s="1013"/>
      <c r="O46" s="1016"/>
    </row>
    <row r="47" spans="1:15" x14ac:dyDescent="0.25">
      <c r="A47" s="1009"/>
      <c r="B47" s="899" t="s">
        <v>518</v>
      </c>
      <c r="C47" s="900"/>
      <c r="D47" s="900"/>
      <c r="E47" s="900"/>
      <c r="F47" s="900"/>
      <c r="G47" s="1031"/>
      <c r="H47" s="892">
        <v>0</v>
      </c>
      <c r="I47" s="892">
        <v>0</v>
      </c>
      <c r="J47" s="892">
        <v>0</v>
      </c>
      <c r="K47" s="892">
        <v>0</v>
      </c>
      <c r="L47" s="903">
        <f t="shared" ref="L47:L55" si="4">SUM(H47:K47)</f>
        <v>0</v>
      </c>
      <c r="M47" s="1378"/>
      <c r="N47" s="1013"/>
      <c r="O47" s="1016"/>
    </row>
    <row r="48" spans="1:15" x14ac:dyDescent="0.25">
      <c r="A48" s="1009"/>
      <c r="B48" s="904" t="s">
        <v>518</v>
      </c>
      <c r="C48" s="1169"/>
      <c r="D48" s="1169"/>
      <c r="E48" s="1169"/>
      <c r="F48" s="1169"/>
      <c r="G48" s="881"/>
      <c r="H48" s="892">
        <v>0</v>
      </c>
      <c r="I48" s="892">
        <v>0</v>
      </c>
      <c r="J48" s="892">
        <v>0</v>
      </c>
      <c r="K48" s="892">
        <v>0</v>
      </c>
      <c r="L48" s="906">
        <f t="shared" si="4"/>
        <v>0</v>
      </c>
      <c r="M48" s="1378"/>
      <c r="N48" s="1013"/>
      <c r="O48" s="1016"/>
    </row>
    <row r="49" spans="1:15" x14ac:dyDescent="0.25">
      <c r="A49" s="1009"/>
      <c r="B49" s="904" t="s">
        <v>518</v>
      </c>
      <c r="C49" s="1169"/>
      <c r="D49" s="1169"/>
      <c r="E49" s="1169"/>
      <c r="F49" s="1169"/>
      <c r="G49" s="881"/>
      <c r="H49" s="892">
        <v>0</v>
      </c>
      <c r="I49" s="892">
        <v>0</v>
      </c>
      <c r="J49" s="892">
        <v>0</v>
      </c>
      <c r="K49" s="892">
        <v>0</v>
      </c>
      <c r="L49" s="906">
        <f t="shared" si="4"/>
        <v>0</v>
      </c>
      <c r="M49" s="1378"/>
      <c r="N49" s="1013"/>
      <c r="O49" s="1016"/>
    </row>
    <row r="50" spans="1:15" x14ac:dyDescent="0.25">
      <c r="A50" s="1009"/>
      <c r="B50" s="904" t="s">
        <v>518</v>
      </c>
      <c r="C50" s="1169"/>
      <c r="D50" s="1169"/>
      <c r="E50" s="1169"/>
      <c r="F50" s="1169"/>
      <c r="G50" s="881"/>
      <c r="H50" s="892">
        <v>0</v>
      </c>
      <c r="I50" s="892">
        <v>0</v>
      </c>
      <c r="J50" s="892">
        <v>0</v>
      </c>
      <c r="K50" s="892">
        <v>0</v>
      </c>
      <c r="L50" s="906">
        <f t="shared" si="4"/>
        <v>0</v>
      </c>
      <c r="M50" s="1378"/>
      <c r="N50" s="1013"/>
      <c r="O50" s="1016"/>
    </row>
    <row r="51" spans="1:15" x14ac:dyDescent="0.25">
      <c r="A51" s="1009"/>
      <c r="B51" s="904" t="s">
        <v>518</v>
      </c>
      <c r="C51" s="1169"/>
      <c r="D51" s="1169"/>
      <c r="E51" s="1169"/>
      <c r="F51" s="1169"/>
      <c r="G51" s="881"/>
      <c r="H51" s="892">
        <v>0</v>
      </c>
      <c r="I51" s="892">
        <v>0</v>
      </c>
      <c r="J51" s="892">
        <v>0</v>
      </c>
      <c r="K51" s="892">
        <v>0</v>
      </c>
      <c r="L51" s="906">
        <f t="shared" si="4"/>
        <v>0</v>
      </c>
      <c r="M51" s="1378"/>
      <c r="N51" s="1013"/>
      <c r="O51" s="1016"/>
    </row>
    <row r="52" spans="1:15" x14ac:dyDescent="0.25">
      <c r="A52" s="1009"/>
      <c r="B52" s="904" t="s">
        <v>518</v>
      </c>
      <c r="C52" s="1169"/>
      <c r="D52" s="1169"/>
      <c r="E52" s="1169"/>
      <c r="F52" s="1169"/>
      <c r="G52" s="881"/>
      <c r="H52" s="892">
        <v>0</v>
      </c>
      <c r="I52" s="892">
        <v>0</v>
      </c>
      <c r="J52" s="892">
        <v>0</v>
      </c>
      <c r="K52" s="892">
        <v>0</v>
      </c>
      <c r="L52" s="906">
        <f t="shared" si="4"/>
        <v>0</v>
      </c>
      <c r="M52" s="1378"/>
      <c r="N52" s="1013"/>
      <c r="O52" s="1016"/>
    </row>
    <row r="53" spans="1:15" x14ac:dyDescent="0.25">
      <c r="A53" s="1009"/>
      <c r="B53" s="904" t="s">
        <v>518</v>
      </c>
      <c r="C53" s="1169"/>
      <c r="D53" s="1169"/>
      <c r="E53" s="1169"/>
      <c r="F53" s="1169"/>
      <c r="G53" s="881"/>
      <c r="H53" s="892">
        <v>0</v>
      </c>
      <c r="I53" s="892">
        <v>0</v>
      </c>
      <c r="J53" s="892">
        <v>0</v>
      </c>
      <c r="K53" s="892">
        <v>0</v>
      </c>
      <c r="L53" s="906">
        <f t="shared" si="4"/>
        <v>0</v>
      </c>
      <c r="M53" s="1378"/>
      <c r="N53" s="1013"/>
      <c r="O53" s="1016"/>
    </row>
    <row r="54" spans="1:15" x14ac:dyDescent="0.25">
      <c r="A54" s="1009"/>
      <c r="B54" s="904" t="s">
        <v>518</v>
      </c>
      <c r="C54" s="1169"/>
      <c r="D54" s="1169"/>
      <c r="E54" s="1169"/>
      <c r="F54" s="1169"/>
      <c r="G54" s="881"/>
      <c r="H54" s="892">
        <v>0</v>
      </c>
      <c r="I54" s="892">
        <v>0</v>
      </c>
      <c r="J54" s="892">
        <v>0</v>
      </c>
      <c r="K54" s="892">
        <v>0</v>
      </c>
      <c r="L54" s="906">
        <f t="shared" si="4"/>
        <v>0</v>
      </c>
      <c r="M54" s="1378"/>
      <c r="N54" s="1013"/>
      <c r="O54" s="1016"/>
    </row>
    <row r="55" spans="1:15" ht="13.5" thickBot="1" x14ac:dyDescent="0.3">
      <c r="A55" s="1009"/>
      <c r="B55" s="916" t="s">
        <v>518</v>
      </c>
      <c r="C55" s="907"/>
      <c r="D55" s="907"/>
      <c r="E55" s="907"/>
      <c r="F55" s="907"/>
      <c r="G55" s="1033"/>
      <c r="H55" s="892">
        <v>0</v>
      </c>
      <c r="I55" s="892">
        <v>0</v>
      </c>
      <c r="J55" s="892">
        <v>0</v>
      </c>
      <c r="K55" s="892">
        <v>0</v>
      </c>
      <c r="L55" s="909">
        <f t="shared" si="4"/>
        <v>0</v>
      </c>
      <c r="M55" s="1378"/>
      <c r="N55" s="1013"/>
      <c r="O55" s="1016"/>
    </row>
    <row r="56" spans="1:15" ht="20.5" customHeight="1" thickBot="1" x14ac:dyDescent="0.3">
      <c r="A56" s="1009"/>
      <c r="B56" s="1375" t="s">
        <v>519</v>
      </c>
      <c r="C56" s="1376"/>
      <c r="D56" s="1376"/>
      <c r="E56" s="1376"/>
      <c r="F56" s="1376"/>
      <c r="G56" s="1376"/>
      <c r="H56" s="1028">
        <f>SUM(H47:H55)</f>
        <v>0</v>
      </c>
      <c r="I56" s="1028">
        <f>SUM(I47:I55)</f>
        <v>0</v>
      </c>
      <c r="J56" s="1028">
        <f>SUM(J47:J55)</f>
        <v>0</v>
      </c>
      <c r="K56" s="1028">
        <f>SUM(K47:K55)</f>
        <v>0</v>
      </c>
      <c r="L56" s="1378"/>
      <c r="M56" s="898">
        <f>SUM(H56:K56)</f>
        <v>0</v>
      </c>
      <c r="N56" s="1013"/>
      <c r="O56" s="1016"/>
    </row>
    <row r="57" spans="1:15" ht="20.5" customHeight="1" thickBot="1" x14ac:dyDescent="0.3">
      <c r="A57" s="1009"/>
      <c r="B57" s="1024"/>
      <c r="C57" s="1024"/>
      <c r="D57" s="1024"/>
      <c r="E57" s="1024"/>
      <c r="F57" s="1024"/>
      <c r="G57" s="1024"/>
      <c r="H57" s="1025"/>
      <c r="I57" s="1026"/>
      <c r="J57" s="1025"/>
      <c r="K57" s="1025"/>
      <c r="L57" s="1378"/>
      <c r="M57" s="1023"/>
      <c r="N57" s="1013"/>
      <c r="O57" s="1016"/>
    </row>
    <row r="58" spans="1:15" ht="20.5" customHeight="1" thickBot="1" x14ac:dyDescent="0.3">
      <c r="A58" s="1009"/>
      <c r="B58" s="1375" t="s">
        <v>520</v>
      </c>
      <c r="C58" s="1376"/>
      <c r="D58" s="1376"/>
      <c r="E58" s="1376"/>
      <c r="F58" s="1376"/>
      <c r="G58" s="1376"/>
      <c r="H58" s="914">
        <f>H56+H44+H35+H25+H15</f>
        <v>0</v>
      </c>
      <c r="I58" s="914">
        <f>I56+I44+I35+I25+I15</f>
        <v>0</v>
      </c>
      <c r="J58" s="914">
        <f>J56+J44+J35+J25+J15</f>
        <v>0</v>
      </c>
      <c r="K58" s="915">
        <f>K56+K44+K35+K25+K15</f>
        <v>0</v>
      </c>
      <c r="L58" s="1379"/>
      <c r="M58" s="1023"/>
      <c r="N58" s="922">
        <f>SUM(H58:K58)</f>
        <v>0</v>
      </c>
      <c r="O58" s="1016"/>
    </row>
    <row r="59" spans="1:15" s="923" customFormat="1" ht="23.5" customHeight="1" thickBot="1" x14ac:dyDescent="0.3">
      <c r="A59" s="1010"/>
      <c r="B59" s="1012"/>
      <c r="C59" s="1012"/>
      <c r="D59" s="1012"/>
      <c r="E59" s="1012"/>
      <c r="F59" s="1012"/>
      <c r="G59" s="1012"/>
      <c r="H59" s="1012"/>
      <c r="I59" s="1012"/>
      <c r="J59" s="1012"/>
      <c r="K59" s="1012"/>
      <c r="L59" s="922">
        <f>SUM(L8:L56)</f>
        <v>0</v>
      </c>
      <c r="M59" s="922">
        <f>SUM(M15:M56)</f>
        <v>0</v>
      </c>
      <c r="N59" s="1012"/>
      <c r="O59" s="1016"/>
    </row>
    <row r="60" spans="1:15" ht="26.5" thickBot="1" x14ac:dyDescent="0.3">
      <c r="A60" s="1009"/>
      <c r="B60" s="1013"/>
      <c r="C60" s="1013"/>
      <c r="D60" s="1013"/>
      <c r="E60" s="1013"/>
      <c r="F60" s="1013"/>
      <c r="G60" s="1013"/>
      <c r="H60" s="1013"/>
      <c r="I60" s="1013"/>
      <c r="J60" s="1013"/>
      <c r="K60" s="1013"/>
      <c r="L60" s="1013"/>
      <c r="M60" s="1013"/>
      <c r="N60" s="1013"/>
      <c r="O60" s="924" t="s">
        <v>521</v>
      </c>
    </row>
    <row r="61" spans="1:15" ht="25.5" customHeight="1" thickBot="1" x14ac:dyDescent="0.3">
      <c r="A61" s="1011"/>
      <c r="B61" s="1014"/>
      <c r="C61" s="1014"/>
      <c r="D61" s="1014"/>
      <c r="E61" s="1014"/>
      <c r="F61" s="1014"/>
      <c r="G61" s="1014"/>
      <c r="H61" s="1014"/>
      <c r="I61" s="1014"/>
      <c r="J61" s="1014"/>
      <c r="K61" s="1015"/>
      <c r="L61" s="1014"/>
      <c r="M61" s="1014"/>
      <c r="N61" s="1014"/>
      <c r="O61" s="925">
        <f>'Phase 4 Costs'!BA67</f>
        <v>0</v>
      </c>
    </row>
    <row r="62" spans="1:15" x14ac:dyDescent="0.25">
      <c r="K62" s="926"/>
    </row>
    <row r="63" spans="1:15" x14ac:dyDescent="0.25">
      <c r="K63" s="926"/>
    </row>
    <row r="64" spans="1:15" x14ac:dyDescent="0.25">
      <c r="K64" s="926"/>
    </row>
    <row r="65" spans="8:11" x14ac:dyDescent="0.25">
      <c r="K65" s="926"/>
    </row>
    <row r="66" spans="8:11" x14ac:dyDescent="0.25">
      <c r="K66" s="926"/>
    </row>
    <row r="67" spans="8:11" x14ac:dyDescent="0.25">
      <c r="H67" s="927"/>
      <c r="I67" s="927"/>
      <c r="J67" s="927"/>
      <c r="K67" s="926"/>
    </row>
  </sheetData>
  <mergeCells count="20">
    <mergeCell ref="B15:G15"/>
    <mergeCell ref="B2:C2"/>
    <mergeCell ref="I2:M4"/>
    <mergeCell ref="B6:C6"/>
    <mergeCell ref="H6:K6"/>
    <mergeCell ref="M8:M14"/>
    <mergeCell ref="B56:G56"/>
    <mergeCell ref="L56:L58"/>
    <mergeCell ref="B58:G58"/>
    <mergeCell ref="B16:M17"/>
    <mergeCell ref="M18:M24"/>
    <mergeCell ref="B25:G25"/>
    <mergeCell ref="B26:M27"/>
    <mergeCell ref="M28:M34"/>
    <mergeCell ref="B35:G35"/>
    <mergeCell ref="B36:M37"/>
    <mergeCell ref="M38:M43"/>
    <mergeCell ref="B44:G44"/>
    <mergeCell ref="B45:M46"/>
    <mergeCell ref="M47:M55"/>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7">
    <tabColor theme="9" tint="0.59999389629810485"/>
    <pageSetUpPr fitToPage="1"/>
  </sheetPr>
  <dimension ref="A1:TY102"/>
  <sheetViews>
    <sheetView zoomScale="85" zoomScaleNormal="85" workbookViewId="0">
      <pane xSplit="3" ySplit="6" topLeftCell="D7" activePane="bottomRight" state="frozen"/>
      <selection pane="topRight" activeCell="D1" sqref="D1"/>
      <selection pane="bottomLeft" activeCell="A7" sqref="A7"/>
      <selection pane="bottomRight" activeCell="A2" sqref="A2:B2"/>
    </sheetView>
  </sheetViews>
  <sheetFormatPr defaultColWidth="8.453125" defaultRowHeight="13" x14ac:dyDescent="0.25"/>
  <cols>
    <col min="1" max="1" width="18.81640625" style="292" customWidth="1"/>
    <col min="2" max="2" width="18.54296875" style="292" customWidth="1"/>
    <col min="3" max="3" width="31.81640625" style="292" customWidth="1"/>
    <col min="4" max="4" width="3.81640625" style="292" customWidth="1"/>
    <col min="5" max="5" width="17.1796875" style="292" customWidth="1"/>
    <col min="6" max="6" width="11.7265625" style="292" bestFit="1" customWidth="1"/>
    <col min="7" max="7" width="20.1796875" style="292" customWidth="1"/>
    <col min="8" max="8" width="4" style="292" customWidth="1"/>
    <col min="9" max="9" width="15.7265625" style="292" customWidth="1"/>
    <col min="10" max="10" width="11.7265625" style="292" bestFit="1" customWidth="1"/>
    <col min="11" max="11" width="21.7265625" style="292" customWidth="1"/>
    <col min="12" max="12" width="3.453125" style="292" customWidth="1"/>
    <col min="13" max="13" width="15.7265625" style="292" customWidth="1"/>
    <col min="14" max="14" width="12.54296875" style="292" bestFit="1" customWidth="1"/>
    <col min="15" max="15" width="14.81640625" style="292" customWidth="1"/>
    <col min="16" max="16" width="3.81640625" style="292" customWidth="1"/>
    <col min="17" max="17" width="15.453125" style="292" customWidth="1"/>
    <col min="18" max="18" width="12.81640625" style="292" bestFit="1" customWidth="1"/>
    <col min="19" max="19" width="15.453125" style="292" customWidth="1"/>
    <col min="20" max="20" width="3.81640625" style="292" customWidth="1"/>
    <col min="21" max="21" width="16.81640625" style="292" customWidth="1"/>
    <col min="22" max="22" width="12.1796875" style="292" customWidth="1"/>
    <col min="23" max="23" width="15.1796875" style="292" customWidth="1"/>
    <col min="24" max="24" width="3.81640625" style="292" customWidth="1"/>
    <col min="25" max="25" width="13.26953125" style="292" bestFit="1" customWidth="1"/>
    <col min="26" max="26" width="12.54296875" style="292" bestFit="1" customWidth="1"/>
    <col min="27" max="27" width="17.453125" style="292" customWidth="1"/>
    <col min="28" max="28" width="3.453125" style="292" customWidth="1"/>
    <col min="29" max="29" width="15.81640625" style="292" customWidth="1"/>
    <col min="30" max="30" width="23.453125" style="292" customWidth="1"/>
    <col min="31" max="31" width="6.453125" style="292" customWidth="1"/>
    <col min="32" max="16384" width="8.453125" style="292"/>
  </cols>
  <sheetData>
    <row r="1" spans="1:61" ht="12.65" customHeight="1" x14ac:dyDescent="0.25">
      <c r="A1" s="951"/>
      <c r="B1" s="952"/>
      <c r="C1" s="953"/>
      <c r="D1" s="954"/>
      <c r="E1" s="955"/>
      <c r="F1" s="955"/>
      <c r="G1" s="955"/>
      <c r="H1" s="954"/>
      <c r="I1" s="955"/>
      <c r="J1" s="955"/>
      <c r="K1" s="955"/>
      <c r="L1" s="954"/>
      <c r="M1" s="955"/>
      <c r="N1" s="955"/>
      <c r="O1" s="955"/>
      <c r="P1" s="954"/>
      <c r="Q1" s="955"/>
      <c r="R1" s="955"/>
      <c r="S1" s="955"/>
      <c r="T1" s="954"/>
      <c r="U1" s="955"/>
      <c r="V1" s="955"/>
      <c r="W1" s="955"/>
      <c r="X1" s="954"/>
      <c r="Y1" s="955"/>
      <c r="Z1" s="955"/>
      <c r="AA1" s="955"/>
      <c r="AB1" s="955"/>
      <c r="AC1" s="955"/>
      <c r="AD1" s="955"/>
      <c r="AE1" s="956"/>
      <c r="AF1" s="802"/>
      <c r="AG1" s="802"/>
      <c r="AH1" s="802"/>
      <c r="AI1" s="802"/>
      <c r="AJ1" s="802"/>
      <c r="AK1" s="802"/>
      <c r="AL1" s="802"/>
      <c r="AM1" s="802"/>
      <c r="AN1" s="802"/>
      <c r="AO1" s="802"/>
      <c r="AP1" s="802"/>
      <c r="AQ1" s="802"/>
      <c r="AR1" s="802"/>
      <c r="AS1" s="802"/>
      <c r="AT1" s="802"/>
      <c r="AU1" s="802"/>
      <c r="AV1" s="802"/>
      <c r="AW1" s="802"/>
      <c r="AX1" s="802"/>
      <c r="AY1" s="802"/>
      <c r="AZ1" s="802"/>
      <c r="BA1" s="802"/>
      <c r="BB1" s="802"/>
      <c r="BC1" s="802"/>
      <c r="BD1" s="802"/>
    </row>
    <row r="2" spans="1:61" ht="34" customHeight="1" x14ac:dyDescent="0.25">
      <c r="A2" s="1317" t="s">
        <v>522</v>
      </c>
      <c r="B2" s="1318"/>
      <c r="C2" s="614" t="s">
        <v>319</v>
      </c>
      <c r="D2" s="1180"/>
      <c r="E2" s="957"/>
      <c r="F2" s="957"/>
      <c r="G2" s="957"/>
      <c r="H2" s="1180"/>
      <c r="I2" s="957"/>
      <c r="J2" s="957"/>
      <c r="K2" s="957"/>
      <c r="L2" s="1180"/>
      <c r="M2" s="957"/>
      <c r="N2" s="957"/>
      <c r="O2" s="957"/>
      <c r="P2" s="1180"/>
      <c r="Q2" s="957"/>
      <c r="R2" s="957"/>
      <c r="S2" s="957"/>
      <c r="T2" s="1180"/>
      <c r="U2" s="957"/>
      <c r="V2" s="957"/>
      <c r="W2" s="957"/>
      <c r="X2" s="1180"/>
      <c r="Y2" s="957"/>
      <c r="Z2" s="957"/>
      <c r="AA2" s="957"/>
      <c r="AB2" s="957"/>
      <c r="AC2" s="957"/>
      <c r="AD2" s="957"/>
      <c r="AE2" s="958"/>
      <c r="AF2" s="802"/>
      <c r="AG2" s="802"/>
      <c r="AH2" s="802"/>
      <c r="AI2" s="802"/>
      <c r="AJ2" s="802"/>
      <c r="AK2" s="802"/>
      <c r="AL2" s="802"/>
      <c r="AM2" s="802"/>
      <c r="AN2" s="802"/>
      <c r="AO2" s="802"/>
      <c r="AP2" s="802"/>
      <c r="AQ2" s="802"/>
      <c r="AR2" s="802"/>
      <c r="AS2" s="802"/>
      <c r="AT2" s="802"/>
      <c r="AU2" s="802"/>
      <c r="AV2" s="802"/>
      <c r="AW2" s="802"/>
      <c r="AX2" s="802"/>
      <c r="AY2" s="802"/>
      <c r="AZ2" s="802"/>
      <c r="BA2" s="802"/>
      <c r="BB2" s="802"/>
      <c r="BC2" s="802"/>
      <c r="BD2" s="802"/>
    </row>
    <row r="3" spans="1:61" ht="10.5" customHeight="1" x14ac:dyDescent="0.25">
      <c r="A3" s="959"/>
      <c r="B3" s="960"/>
      <c r="C3" s="960"/>
      <c r="D3" s="1180"/>
      <c r="E3" s="957"/>
      <c r="F3" s="957"/>
      <c r="G3" s="957"/>
      <c r="H3" s="1180"/>
      <c r="I3" s="957"/>
      <c r="J3" s="957"/>
      <c r="K3" s="957"/>
      <c r="L3" s="1180"/>
      <c r="M3" s="957"/>
      <c r="N3" s="957"/>
      <c r="O3" s="957"/>
      <c r="P3" s="1180"/>
      <c r="Q3" s="957"/>
      <c r="R3" s="957"/>
      <c r="S3" s="957"/>
      <c r="T3" s="1180"/>
      <c r="U3" s="957"/>
      <c r="V3" s="957"/>
      <c r="W3" s="957"/>
      <c r="X3" s="1180"/>
      <c r="Y3" s="957"/>
      <c r="Z3" s="957"/>
      <c r="AA3" s="957"/>
      <c r="AB3" s="957"/>
      <c r="AC3" s="957"/>
      <c r="AD3" s="957"/>
      <c r="AE3" s="958"/>
      <c r="AF3" s="802"/>
      <c r="AG3" s="802"/>
      <c r="AH3" s="802"/>
      <c r="AI3" s="802"/>
      <c r="AJ3" s="802"/>
      <c r="AK3" s="802"/>
      <c r="AL3" s="802"/>
      <c r="AM3" s="802"/>
      <c r="AN3" s="802"/>
      <c r="AO3" s="802"/>
      <c r="AP3" s="802"/>
      <c r="AQ3" s="802"/>
      <c r="AR3" s="802"/>
      <c r="AS3" s="802"/>
      <c r="AT3" s="802"/>
      <c r="AU3" s="802"/>
      <c r="AV3" s="802"/>
      <c r="AW3" s="802"/>
      <c r="AX3" s="802"/>
      <c r="AY3" s="802"/>
      <c r="AZ3" s="802"/>
      <c r="BA3" s="802"/>
      <c r="BB3" s="802"/>
      <c r="BC3" s="802"/>
      <c r="BD3" s="802"/>
    </row>
    <row r="4" spans="1:61" ht="21" customHeight="1" x14ac:dyDescent="0.25">
      <c r="A4" s="1149" t="s">
        <v>320</v>
      </c>
      <c r="B4" s="1331" t="str">
        <f>General!D4</f>
        <v>Name</v>
      </c>
      <c r="C4" s="1331"/>
      <c r="D4" s="1180"/>
      <c r="E4" s="1309"/>
      <c r="F4" s="1309"/>
      <c r="G4" s="1309"/>
      <c r="H4" s="1180"/>
      <c r="I4" s="1309"/>
      <c r="J4" s="1309"/>
      <c r="K4" s="1309"/>
      <c r="L4" s="1180"/>
      <c r="M4" s="1309"/>
      <c r="N4" s="1309"/>
      <c r="O4" s="1309"/>
      <c r="P4" s="1180"/>
      <c r="Q4" s="1309"/>
      <c r="R4" s="1309"/>
      <c r="S4" s="1309"/>
      <c r="T4" s="1180"/>
      <c r="U4" s="1309"/>
      <c r="V4" s="1309"/>
      <c r="W4" s="1309"/>
      <c r="X4" s="1180"/>
      <c r="Y4" s="1309"/>
      <c r="Z4" s="1309"/>
      <c r="AA4" s="1309"/>
      <c r="AB4" s="1177"/>
      <c r="AC4" s="957"/>
      <c r="AD4" s="957"/>
      <c r="AE4" s="958"/>
      <c r="AF4" s="802"/>
      <c r="AG4" s="802"/>
      <c r="AH4" s="802"/>
      <c r="AI4" s="802"/>
      <c r="AJ4" s="802"/>
      <c r="AK4" s="802"/>
      <c r="AL4" s="802"/>
      <c r="AM4" s="802"/>
      <c r="AN4" s="802"/>
      <c r="AO4" s="802"/>
      <c r="AP4" s="802"/>
      <c r="AQ4" s="802"/>
      <c r="AR4" s="802"/>
      <c r="AS4" s="802"/>
      <c r="AT4" s="802"/>
      <c r="AU4" s="802"/>
      <c r="AV4" s="802"/>
      <c r="AW4" s="802"/>
      <c r="AX4" s="802"/>
      <c r="AY4" s="802"/>
      <c r="AZ4" s="802"/>
      <c r="BA4" s="802"/>
      <c r="BB4" s="802"/>
      <c r="BC4" s="802"/>
      <c r="BD4" s="802"/>
    </row>
    <row r="5" spans="1:61" ht="22" customHeight="1" x14ac:dyDescent="0.25">
      <c r="A5" s="1149" t="s">
        <v>321</v>
      </c>
      <c r="B5" s="1331" t="str">
        <f>General!D5</f>
        <v>Name</v>
      </c>
      <c r="C5" s="1331"/>
      <c r="D5" s="960"/>
      <c r="E5" s="960"/>
      <c r="F5" s="960"/>
      <c r="G5" s="960"/>
      <c r="H5" s="1180"/>
      <c r="I5" s="960"/>
      <c r="J5" s="960"/>
      <c r="K5" s="960"/>
      <c r="L5" s="1180"/>
      <c r="M5" s="960"/>
      <c r="N5" s="960"/>
      <c r="O5" s="960"/>
      <c r="P5" s="1180"/>
      <c r="Q5" s="960"/>
      <c r="R5" s="960"/>
      <c r="S5" s="960"/>
      <c r="T5" s="1180"/>
      <c r="U5" s="960"/>
      <c r="V5" s="960"/>
      <c r="W5" s="960"/>
      <c r="X5" s="1180"/>
      <c r="Y5" s="960"/>
      <c r="Z5" s="960"/>
      <c r="AA5" s="960"/>
      <c r="AB5" s="972"/>
      <c r="AC5" s="960"/>
      <c r="AD5" s="960"/>
      <c r="AE5" s="958"/>
      <c r="AF5" s="803"/>
      <c r="AG5" s="803"/>
      <c r="AH5" s="803"/>
      <c r="AR5" s="803"/>
      <c r="AS5" s="803"/>
      <c r="AT5" s="803"/>
      <c r="AU5" s="803"/>
      <c r="AV5" s="803"/>
      <c r="AW5" s="803"/>
      <c r="AX5" s="803"/>
      <c r="AZ5" s="803"/>
      <c r="BA5" s="803"/>
      <c r="BB5" s="803"/>
      <c r="BC5" s="803"/>
      <c r="BD5" s="803"/>
      <c r="BE5" s="803"/>
      <c r="BF5" s="803"/>
      <c r="BG5" s="1307"/>
      <c r="BH5" s="1307"/>
      <c r="BI5" s="1307"/>
    </row>
    <row r="6" spans="1:61" ht="24" customHeight="1" x14ac:dyDescent="0.25">
      <c r="A6" s="961"/>
      <c r="B6" s="962"/>
      <c r="C6" s="962"/>
      <c r="D6" s="960"/>
      <c r="E6" s="1314" t="str">
        <f>Period1_Label</f>
        <v>FY 1</v>
      </c>
      <c r="F6" s="1315"/>
      <c r="G6" s="1316"/>
      <c r="H6" s="1180"/>
      <c r="I6" s="1314" t="str">
        <f>Period2_Label</f>
        <v>FY 2</v>
      </c>
      <c r="J6" s="1315"/>
      <c r="K6" s="1316"/>
      <c r="L6" s="1180"/>
      <c r="M6" s="1314" t="str">
        <f>Period3_Label</f>
        <v>FY 3</v>
      </c>
      <c r="N6" s="1315"/>
      <c r="O6" s="1316"/>
      <c r="P6" s="1180"/>
      <c r="Q6" s="1314" t="str">
        <f>Period4_Label</f>
        <v>FY 4</v>
      </c>
      <c r="R6" s="1315"/>
      <c r="S6" s="1316"/>
      <c r="T6" s="1180"/>
      <c r="U6" s="1314" t="str">
        <f>Period5_Label</f>
        <v>FY 5</v>
      </c>
      <c r="V6" s="1315"/>
      <c r="W6" s="1316"/>
      <c r="X6" s="1180"/>
      <c r="Y6" s="1314" t="str">
        <f>Period6_Label</f>
        <v>FY 6</v>
      </c>
      <c r="Z6" s="1315"/>
      <c r="AA6" s="1316"/>
      <c r="AB6" s="972"/>
      <c r="AC6" s="1312" t="s">
        <v>322</v>
      </c>
      <c r="AD6" s="1313"/>
      <c r="AE6" s="958"/>
      <c r="AF6" s="804"/>
      <c r="AG6" s="804"/>
      <c r="AH6" s="804"/>
      <c r="AJ6" s="804"/>
      <c r="AK6" s="804"/>
      <c r="AL6" s="804"/>
      <c r="AM6" s="804"/>
      <c r="AN6" s="804"/>
      <c r="AO6" s="804"/>
      <c r="AP6" s="804"/>
      <c r="AR6" s="804"/>
      <c r="AS6" s="804"/>
      <c r="AT6" s="804"/>
      <c r="AU6" s="804"/>
      <c r="AV6" s="804"/>
      <c r="AW6" s="804"/>
      <c r="AX6" s="804"/>
      <c r="AZ6" s="804"/>
      <c r="BA6" s="804"/>
      <c r="BB6" s="804"/>
      <c r="BC6" s="804"/>
      <c r="BD6" s="804"/>
      <c r="BE6" s="804"/>
      <c r="BF6" s="804"/>
    </row>
    <row r="7" spans="1:61" ht="21.65" customHeight="1" x14ac:dyDescent="0.25">
      <c r="A7" s="1336" t="s">
        <v>323</v>
      </c>
      <c r="B7" s="1336"/>
      <c r="C7" s="1336"/>
      <c r="D7" s="960"/>
      <c r="E7" s="1308" t="str">
        <f>CONCATENATE(TEXT('Proposer Constants'!C14,"MM/DD/YY")," to ",TEXT('Proposer Constants'!C15,"MM/DD/YY"))</f>
        <v>06/01/25 to 05/31/26</v>
      </c>
      <c r="F7" s="1308"/>
      <c r="G7" s="1308"/>
      <c r="H7" s="1180"/>
      <c r="I7" s="1308" t="str">
        <f>CONCATENATE(TEXT('Proposer Constants'!D14,"MM/DD/YY")," to ",TEXT('Proposer Constants'!D15,"MM/DD/YY"))</f>
        <v>06/01/26 to 05/31/27</v>
      </c>
      <c r="J7" s="1308"/>
      <c r="K7" s="1308"/>
      <c r="L7" s="1180"/>
      <c r="M7" s="1308" t="str">
        <f>CONCATENATE(TEXT('Proposer Constants'!E14,"MM/DD/YY")," to ",TEXT('Proposer Constants'!E15,"MM/DD/YY"))</f>
        <v>06/01/27 to 05/31/28</v>
      </c>
      <c r="N7" s="1308"/>
      <c r="O7" s="1308"/>
      <c r="P7" s="1180"/>
      <c r="Q7" s="1308" t="str">
        <f>CONCATENATE(TEXT('Proposer Constants'!F14,"MM/DD/YY")," to ",TEXT('Proposer Constants'!F15,"MM/DD/YY"))</f>
        <v>06/01/28 to 05/31/29</v>
      </c>
      <c r="R7" s="1308"/>
      <c r="S7" s="1308"/>
      <c r="T7" s="1180"/>
      <c r="U7" s="1308" t="str">
        <f>CONCATENATE(TEXT('Proposer Constants'!G14,"MM/DD/YY")," to ",TEXT('Proposer Constants'!G15,"MM/DD/YY"))</f>
        <v>06/01/29 to 05/31/30</v>
      </c>
      <c r="V7" s="1308"/>
      <c r="W7" s="1308"/>
      <c r="X7" s="1180"/>
      <c r="Y7" s="1308" t="str">
        <f>CONCATENATE(TEXT('Proposer Constants'!H14,"MM/DD/YY")," to ",TEXT('Proposer Constants'!H15,"MM/DD/YY"))</f>
        <v>06/01/30 to 05/31/31</v>
      </c>
      <c r="Z7" s="1308"/>
      <c r="AA7" s="1308"/>
      <c r="AB7" s="973"/>
      <c r="AC7" s="1310" t="s">
        <v>324</v>
      </c>
      <c r="AD7" s="1311"/>
      <c r="AE7" s="958"/>
      <c r="AF7" s="802"/>
      <c r="AG7" s="802"/>
      <c r="AH7" s="802"/>
      <c r="AI7" s="802"/>
      <c r="AL7" s="802"/>
      <c r="AM7" s="805"/>
      <c r="AN7" s="802"/>
      <c r="AO7" s="802"/>
      <c r="AP7" s="802"/>
      <c r="AQ7" s="802"/>
      <c r="AS7" s="804"/>
      <c r="AT7" s="802"/>
      <c r="AU7" s="805"/>
      <c r="AV7" s="802"/>
    </row>
    <row r="8" spans="1:61" s="616" customFormat="1" ht="31.5" customHeight="1" x14ac:dyDescent="0.25">
      <c r="A8" s="1332" t="s">
        <v>325</v>
      </c>
      <c r="B8" s="1333"/>
      <c r="C8" s="1098" t="s">
        <v>326</v>
      </c>
      <c r="D8" s="963"/>
      <c r="E8" s="617" t="s">
        <v>327</v>
      </c>
      <c r="F8" s="617" t="s">
        <v>328</v>
      </c>
      <c r="G8" s="617" t="s">
        <v>329</v>
      </c>
      <c r="H8" s="1180"/>
      <c r="I8" s="617" t="s">
        <v>327</v>
      </c>
      <c r="J8" s="617" t="s">
        <v>328</v>
      </c>
      <c r="K8" s="617" t="s">
        <v>329</v>
      </c>
      <c r="L8" s="1180"/>
      <c r="M8" s="617" t="s">
        <v>327</v>
      </c>
      <c r="N8" s="617" t="s">
        <v>328</v>
      </c>
      <c r="O8" s="617" t="s">
        <v>329</v>
      </c>
      <c r="P8" s="1180"/>
      <c r="Q8" s="617" t="s">
        <v>327</v>
      </c>
      <c r="R8" s="617" t="s">
        <v>328</v>
      </c>
      <c r="S8" s="617" t="s">
        <v>329</v>
      </c>
      <c r="T8" s="1180"/>
      <c r="U8" s="617" t="s">
        <v>327</v>
      </c>
      <c r="V8" s="617" t="s">
        <v>328</v>
      </c>
      <c r="W8" s="617" t="s">
        <v>329</v>
      </c>
      <c r="X8" s="1180"/>
      <c r="Y8" s="617" t="s">
        <v>327</v>
      </c>
      <c r="Z8" s="617" t="s">
        <v>328</v>
      </c>
      <c r="AA8" s="617" t="s">
        <v>329</v>
      </c>
      <c r="AB8" s="974"/>
      <c r="AC8" s="617" t="s">
        <v>330</v>
      </c>
      <c r="AD8" s="617" t="s">
        <v>331</v>
      </c>
      <c r="AE8" s="958"/>
    </row>
    <row r="9" spans="1:61" ht="15" customHeight="1" x14ac:dyDescent="0.25">
      <c r="A9" s="1321" t="str">
        <f>IF(ISBLANK('Labor Rates'!D8),"",'Labor Rates'!D8)</f>
        <v/>
      </c>
      <c r="B9" s="1322"/>
      <c r="C9" s="949" t="str">
        <f>IF(ISBLANK('Labor Rates'!E8),"",'Labor Rates'!E8)</f>
        <v/>
      </c>
      <c r="D9" s="960"/>
      <c r="E9" s="791">
        <v>0</v>
      </c>
      <c r="F9" s="618">
        <f>'Labor Rates'!F8</f>
        <v>0</v>
      </c>
      <c r="G9" s="619">
        <f>E9*F9</f>
        <v>0</v>
      </c>
      <c r="H9" s="1180"/>
      <c r="I9" s="791">
        <v>0</v>
      </c>
      <c r="J9" s="618">
        <f>'Labor Rates'!H8</f>
        <v>0</v>
      </c>
      <c r="K9" s="619">
        <f>I9*J9</f>
        <v>0</v>
      </c>
      <c r="L9" s="1180"/>
      <c r="M9" s="791">
        <v>0</v>
      </c>
      <c r="N9" s="618">
        <f>'Labor Rates'!J8</f>
        <v>0</v>
      </c>
      <c r="O9" s="619">
        <f>M9*N9</f>
        <v>0</v>
      </c>
      <c r="P9" s="1180"/>
      <c r="Q9" s="791">
        <v>0</v>
      </c>
      <c r="R9" s="618">
        <f>'Labor Rates'!L8</f>
        <v>0</v>
      </c>
      <c r="S9" s="619">
        <f>Q9*R9</f>
        <v>0</v>
      </c>
      <c r="T9" s="1180"/>
      <c r="U9" s="791">
        <v>0</v>
      </c>
      <c r="V9" s="618">
        <f>'Labor Rates'!N8</f>
        <v>0</v>
      </c>
      <c r="W9" s="619">
        <f>U9*V9</f>
        <v>0</v>
      </c>
      <c r="X9" s="1180"/>
      <c r="Y9" s="791">
        <v>0</v>
      </c>
      <c r="Z9" s="618">
        <f>'Labor Rates'!P8</f>
        <v>0</v>
      </c>
      <c r="AA9" s="619">
        <f>Y9*Z9</f>
        <v>0</v>
      </c>
      <c r="AB9" s="975"/>
      <c r="AC9" s="1002">
        <f t="shared" ref="AC9:AC32" si="0">E9+I9+M9+Q9+U9+Y9</f>
        <v>0</v>
      </c>
      <c r="AD9" s="619">
        <f t="shared" ref="AD9:AD32" si="1">G9+K9+O9+S9+W9+AA9</f>
        <v>0</v>
      </c>
      <c r="AE9" s="958"/>
    </row>
    <row r="10" spans="1:61" ht="15" customHeight="1" x14ac:dyDescent="0.25">
      <c r="A10" s="1321" t="str">
        <f>IF(ISBLANK('Labor Rates'!D9),"",'Labor Rates'!D9)</f>
        <v/>
      </c>
      <c r="B10" s="1322"/>
      <c r="C10" s="949" t="str">
        <f>IF(ISBLANK('Labor Rates'!E9),"",'Labor Rates'!E9)</f>
        <v/>
      </c>
      <c r="D10" s="960"/>
      <c r="E10" s="791">
        <v>0</v>
      </c>
      <c r="F10" s="618">
        <f>'Labor Rates'!F9</f>
        <v>0</v>
      </c>
      <c r="G10" s="619">
        <f t="shared" ref="G10:G32" si="2">E10*F10</f>
        <v>0</v>
      </c>
      <c r="H10" s="1180"/>
      <c r="I10" s="791">
        <v>0</v>
      </c>
      <c r="J10" s="618">
        <f>'Labor Rates'!H9</f>
        <v>0</v>
      </c>
      <c r="K10" s="619">
        <f t="shared" ref="K10:K32" si="3">I10*J10</f>
        <v>0</v>
      </c>
      <c r="L10" s="1180"/>
      <c r="M10" s="791">
        <v>0</v>
      </c>
      <c r="N10" s="618">
        <f>'Labor Rates'!J9</f>
        <v>0</v>
      </c>
      <c r="O10" s="619">
        <f t="shared" ref="O10:O32" si="4">M10*N10</f>
        <v>0</v>
      </c>
      <c r="P10" s="1180"/>
      <c r="Q10" s="791">
        <v>0</v>
      </c>
      <c r="R10" s="618">
        <f>'Labor Rates'!L9</f>
        <v>0</v>
      </c>
      <c r="S10" s="619">
        <f t="shared" ref="S10:S32" si="5">Q10*R10</f>
        <v>0</v>
      </c>
      <c r="T10" s="1180"/>
      <c r="U10" s="791">
        <v>0</v>
      </c>
      <c r="V10" s="618">
        <f>'Labor Rates'!N9</f>
        <v>0</v>
      </c>
      <c r="W10" s="619">
        <f t="shared" ref="W10:W32" si="6">U10*V10</f>
        <v>0</v>
      </c>
      <c r="X10" s="1180"/>
      <c r="Y10" s="791">
        <v>0</v>
      </c>
      <c r="Z10" s="618">
        <f>'Labor Rates'!P9</f>
        <v>0</v>
      </c>
      <c r="AA10" s="619">
        <f t="shared" ref="AA10:AA32" si="7">Y10*Z10</f>
        <v>0</v>
      </c>
      <c r="AB10" s="975"/>
      <c r="AC10" s="1002">
        <f t="shared" si="0"/>
        <v>0</v>
      </c>
      <c r="AD10" s="619">
        <f t="shared" si="1"/>
        <v>0</v>
      </c>
      <c r="AE10" s="958"/>
    </row>
    <row r="11" spans="1:61" ht="15" customHeight="1" x14ac:dyDescent="0.25">
      <c r="A11" s="1321" t="str">
        <f>IF(ISBLANK('Labor Rates'!D10),"",'Labor Rates'!D10)</f>
        <v/>
      </c>
      <c r="B11" s="1322"/>
      <c r="C11" s="949" t="str">
        <f>IF(ISBLANK('Labor Rates'!E10),"",'Labor Rates'!E10)</f>
        <v/>
      </c>
      <c r="D11" s="960"/>
      <c r="E11" s="791">
        <v>0</v>
      </c>
      <c r="F11" s="618">
        <f>'Labor Rates'!F10</f>
        <v>0</v>
      </c>
      <c r="G11" s="619">
        <f t="shared" si="2"/>
        <v>0</v>
      </c>
      <c r="H11" s="1180"/>
      <c r="I11" s="791">
        <v>0</v>
      </c>
      <c r="J11" s="618">
        <f>'Labor Rates'!H10</f>
        <v>0</v>
      </c>
      <c r="K11" s="619">
        <f t="shared" si="3"/>
        <v>0</v>
      </c>
      <c r="L11" s="1180"/>
      <c r="M11" s="791">
        <v>0</v>
      </c>
      <c r="N11" s="618">
        <f>'Labor Rates'!J10</f>
        <v>0</v>
      </c>
      <c r="O11" s="619">
        <f t="shared" si="4"/>
        <v>0</v>
      </c>
      <c r="P11" s="1180"/>
      <c r="Q11" s="791">
        <v>0</v>
      </c>
      <c r="R11" s="618">
        <f>'Labor Rates'!L10</f>
        <v>0</v>
      </c>
      <c r="S11" s="619">
        <f t="shared" si="5"/>
        <v>0</v>
      </c>
      <c r="T11" s="1180"/>
      <c r="U11" s="791">
        <v>0</v>
      </c>
      <c r="V11" s="618">
        <f>'Labor Rates'!N10</f>
        <v>0</v>
      </c>
      <c r="W11" s="619">
        <f t="shared" si="6"/>
        <v>0</v>
      </c>
      <c r="X11" s="1180"/>
      <c r="Y11" s="791">
        <v>0</v>
      </c>
      <c r="Z11" s="618">
        <f>'Labor Rates'!P10</f>
        <v>0</v>
      </c>
      <c r="AA11" s="619">
        <f t="shared" si="7"/>
        <v>0</v>
      </c>
      <c r="AB11" s="975"/>
      <c r="AC11" s="1002">
        <f t="shared" si="0"/>
        <v>0</v>
      </c>
      <c r="AD11" s="619">
        <f t="shared" si="1"/>
        <v>0</v>
      </c>
      <c r="AE11" s="958"/>
    </row>
    <row r="12" spans="1:61" ht="15" customHeight="1" x14ac:dyDescent="0.25">
      <c r="A12" s="1321" t="str">
        <f>IF(ISBLANK('Labor Rates'!D11),"",'Labor Rates'!D11)</f>
        <v/>
      </c>
      <c r="B12" s="1322"/>
      <c r="C12" s="949" t="str">
        <f>IF(ISBLANK('Labor Rates'!E11),"",'Labor Rates'!E11)</f>
        <v/>
      </c>
      <c r="D12" s="960"/>
      <c r="E12" s="791">
        <v>0</v>
      </c>
      <c r="F12" s="618">
        <f>'Labor Rates'!F11</f>
        <v>0</v>
      </c>
      <c r="G12" s="619">
        <f t="shared" si="2"/>
        <v>0</v>
      </c>
      <c r="H12" s="1180"/>
      <c r="I12" s="791">
        <v>0</v>
      </c>
      <c r="J12" s="618">
        <f>'Labor Rates'!H11</f>
        <v>0</v>
      </c>
      <c r="K12" s="619">
        <f t="shared" si="3"/>
        <v>0</v>
      </c>
      <c r="L12" s="1180"/>
      <c r="M12" s="791">
        <v>0</v>
      </c>
      <c r="N12" s="618">
        <f>'Labor Rates'!J11</f>
        <v>0</v>
      </c>
      <c r="O12" s="619">
        <f t="shared" si="4"/>
        <v>0</v>
      </c>
      <c r="P12" s="1180"/>
      <c r="Q12" s="791">
        <v>0</v>
      </c>
      <c r="R12" s="618">
        <f>'Labor Rates'!L11</f>
        <v>0</v>
      </c>
      <c r="S12" s="619">
        <f t="shared" si="5"/>
        <v>0</v>
      </c>
      <c r="T12" s="1180"/>
      <c r="U12" s="791">
        <v>0</v>
      </c>
      <c r="V12" s="618">
        <f>'Labor Rates'!N11</f>
        <v>0</v>
      </c>
      <c r="W12" s="619">
        <f t="shared" si="6"/>
        <v>0</v>
      </c>
      <c r="X12" s="1180"/>
      <c r="Y12" s="791">
        <v>0</v>
      </c>
      <c r="Z12" s="618">
        <f>'Labor Rates'!P11</f>
        <v>0</v>
      </c>
      <c r="AA12" s="619">
        <f t="shared" si="7"/>
        <v>0</v>
      </c>
      <c r="AB12" s="975"/>
      <c r="AC12" s="1002">
        <f t="shared" si="0"/>
        <v>0</v>
      </c>
      <c r="AD12" s="619">
        <f t="shared" si="1"/>
        <v>0</v>
      </c>
      <c r="AE12" s="958"/>
    </row>
    <row r="13" spans="1:61" ht="15" customHeight="1" x14ac:dyDescent="0.25">
      <c r="A13" s="1321" t="str">
        <f>IF(ISBLANK('Labor Rates'!D12),"",'Labor Rates'!D12)</f>
        <v/>
      </c>
      <c r="B13" s="1322"/>
      <c r="C13" s="949" t="str">
        <f>IF(ISBLANK('Labor Rates'!E12),"",'Labor Rates'!E12)</f>
        <v/>
      </c>
      <c r="D13" s="960"/>
      <c r="E13" s="791">
        <v>0</v>
      </c>
      <c r="F13" s="618">
        <f>'Labor Rates'!F12</f>
        <v>0</v>
      </c>
      <c r="G13" s="619">
        <f t="shared" si="2"/>
        <v>0</v>
      </c>
      <c r="H13" s="1180"/>
      <c r="I13" s="791">
        <v>0</v>
      </c>
      <c r="J13" s="618">
        <f>'Labor Rates'!H12</f>
        <v>0</v>
      </c>
      <c r="K13" s="619">
        <f t="shared" si="3"/>
        <v>0</v>
      </c>
      <c r="L13" s="1180"/>
      <c r="M13" s="791">
        <v>0</v>
      </c>
      <c r="N13" s="618">
        <f>'Labor Rates'!J12</f>
        <v>0</v>
      </c>
      <c r="O13" s="619">
        <f t="shared" si="4"/>
        <v>0</v>
      </c>
      <c r="P13" s="1180"/>
      <c r="Q13" s="791">
        <v>0</v>
      </c>
      <c r="R13" s="618">
        <f>'Labor Rates'!L12</f>
        <v>0</v>
      </c>
      <c r="S13" s="619">
        <f t="shared" si="5"/>
        <v>0</v>
      </c>
      <c r="T13" s="1180"/>
      <c r="U13" s="791">
        <v>0</v>
      </c>
      <c r="V13" s="618">
        <f>'Labor Rates'!N12</f>
        <v>0</v>
      </c>
      <c r="W13" s="619">
        <f t="shared" si="6"/>
        <v>0</v>
      </c>
      <c r="X13" s="1180"/>
      <c r="Y13" s="791">
        <v>0</v>
      </c>
      <c r="Z13" s="618">
        <f>'Labor Rates'!P12</f>
        <v>0</v>
      </c>
      <c r="AA13" s="619">
        <f t="shared" si="7"/>
        <v>0</v>
      </c>
      <c r="AB13" s="975"/>
      <c r="AC13" s="1002">
        <f t="shared" si="0"/>
        <v>0</v>
      </c>
      <c r="AD13" s="619">
        <f t="shared" si="1"/>
        <v>0</v>
      </c>
      <c r="AE13" s="958"/>
    </row>
    <row r="14" spans="1:61" ht="15" customHeight="1" x14ac:dyDescent="0.25">
      <c r="A14" s="1321" t="str">
        <f>IF(ISBLANK('Labor Rates'!D13),"",'Labor Rates'!D13)</f>
        <v/>
      </c>
      <c r="B14" s="1322"/>
      <c r="C14" s="949" t="str">
        <f>IF(ISBLANK('Labor Rates'!E13),"",'Labor Rates'!E13)</f>
        <v/>
      </c>
      <c r="D14" s="960"/>
      <c r="E14" s="791">
        <v>0</v>
      </c>
      <c r="F14" s="618">
        <f>'Labor Rates'!F13</f>
        <v>0</v>
      </c>
      <c r="G14" s="619">
        <f t="shared" si="2"/>
        <v>0</v>
      </c>
      <c r="H14" s="1180"/>
      <c r="I14" s="791">
        <v>0</v>
      </c>
      <c r="J14" s="618">
        <f>'Labor Rates'!H13</f>
        <v>0</v>
      </c>
      <c r="K14" s="619">
        <f t="shared" si="3"/>
        <v>0</v>
      </c>
      <c r="L14" s="1180"/>
      <c r="M14" s="791">
        <v>0</v>
      </c>
      <c r="N14" s="618">
        <f>'Labor Rates'!J13</f>
        <v>0</v>
      </c>
      <c r="O14" s="619">
        <f t="shared" si="4"/>
        <v>0</v>
      </c>
      <c r="P14" s="1180"/>
      <c r="Q14" s="791">
        <v>0</v>
      </c>
      <c r="R14" s="618">
        <f>'Labor Rates'!L13</f>
        <v>0</v>
      </c>
      <c r="S14" s="619">
        <f t="shared" si="5"/>
        <v>0</v>
      </c>
      <c r="T14" s="1180"/>
      <c r="U14" s="791">
        <v>0</v>
      </c>
      <c r="V14" s="618">
        <f>'Labor Rates'!N13</f>
        <v>0</v>
      </c>
      <c r="W14" s="619">
        <f t="shared" si="6"/>
        <v>0</v>
      </c>
      <c r="X14" s="1180"/>
      <c r="Y14" s="791">
        <v>0</v>
      </c>
      <c r="Z14" s="618">
        <f>'Labor Rates'!P13</f>
        <v>0</v>
      </c>
      <c r="AA14" s="619">
        <f t="shared" si="7"/>
        <v>0</v>
      </c>
      <c r="AB14" s="975"/>
      <c r="AC14" s="1002">
        <f t="shared" si="0"/>
        <v>0</v>
      </c>
      <c r="AD14" s="619">
        <f t="shared" si="1"/>
        <v>0</v>
      </c>
      <c r="AE14" s="958"/>
    </row>
    <row r="15" spans="1:61" ht="15" customHeight="1" x14ac:dyDescent="0.25">
      <c r="A15" s="1321" t="str">
        <f>IF(ISBLANK('Labor Rates'!D14),"",'Labor Rates'!D14)</f>
        <v/>
      </c>
      <c r="B15" s="1322"/>
      <c r="C15" s="949" t="str">
        <f>IF(ISBLANK('Labor Rates'!E14),"",'Labor Rates'!E14)</f>
        <v/>
      </c>
      <c r="D15" s="960"/>
      <c r="E15" s="791">
        <v>0</v>
      </c>
      <c r="F15" s="618">
        <f>'Labor Rates'!F14</f>
        <v>0</v>
      </c>
      <c r="G15" s="619">
        <f t="shared" si="2"/>
        <v>0</v>
      </c>
      <c r="H15" s="1180"/>
      <c r="I15" s="791">
        <v>0</v>
      </c>
      <c r="J15" s="618">
        <f>'Labor Rates'!H14</f>
        <v>0</v>
      </c>
      <c r="K15" s="619">
        <f t="shared" si="3"/>
        <v>0</v>
      </c>
      <c r="L15" s="1180"/>
      <c r="M15" s="791">
        <v>0</v>
      </c>
      <c r="N15" s="618">
        <f>'Labor Rates'!J14</f>
        <v>0</v>
      </c>
      <c r="O15" s="619">
        <f t="shared" si="4"/>
        <v>0</v>
      </c>
      <c r="P15" s="1180"/>
      <c r="Q15" s="791">
        <v>0</v>
      </c>
      <c r="R15" s="618">
        <f>'Labor Rates'!L14</f>
        <v>0</v>
      </c>
      <c r="S15" s="619">
        <f t="shared" si="5"/>
        <v>0</v>
      </c>
      <c r="T15" s="1180"/>
      <c r="U15" s="791">
        <v>0</v>
      </c>
      <c r="V15" s="618">
        <f>'Labor Rates'!N14</f>
        <v>0</v>
      </c>
      <c r="W15" s="619">
        <f t="shared" si="6"/>
        <v>0</v>
      </c>
      <c r="X15" s="1180"/>
      <c r="Y15" s="791">
        <v>0</v>
      </c>
      <c r="Z15" s="618">
        <f>'Labor Rates'!P14</f>
        <v>0</v>
      </c>
      <c r="AA15" s="619">
        <f t="shared" si="7"/>
        <v>0</v>
      </c>
      <c r="AB15" s="975"/>
      <c r="AC15" s="1002">
        <f t="shared" si="0"/>
        <v>0</v>
      </c>
      <c r="AD15" s="619">
        <f t="shared" si="1"/>
        <v>0</v>
      </c>
      <c r="AE15" s="958"/>
    </row>
    <row r="16" spans="1:61" ht="15" customHeight="1" x14ac:dyDescent="0.25">
      <c r="A16" s="1321" t="str">
        <f>IF(ISBLANK('Labor Rates'!D15),"",'Labor Rates'!D15)</f>
        <v/>
      </c>
      <c r="B16" s="1322"/>
      <c r="C16" s="949" t="str">
        <f>IF(ISBLANK('Labor Rates'!E15),"",'Labor Rates'!E15)</f>
        <v/>
      </c>
      <c r="D16" s="960"/>
      <c r="E16" s="791">
        <v>0</v>
      </c>
      <c r="F16" s="618">
        <f>'Labor Rates'!F15</f>
        <v>0</v>
      </c>
      <c r="G16" s="619">
        <f t="shared" si="2"/>
        <v>0</v>
      </c>
      <c r="H16" s="1180"/>
      <c r="I16" s="791">
        <v>0</v>
      </c>
      <c r="J16" s="618">
        <f>'Labor Rates'!H15</f>
        <v>0</v>
      </c>
      <c r="K16" s="619">
        <f t="shared" si="3"/>
        <v>0</v>
      </c>
      <c r="L16" s="1180"/>
      <c r="M16" s="791">
        <v>0</v>
      </c>
      <c r="N16" s="618">
        <f>'Labor Rates'!J15</f>
        <v>0</v>
      </c>
      <c r="O16" s="619">
        <f t="shared" si="4"/>
        <v>0</v>
      </c>
      <c r="P16" s="1180"/>
      <c r="Q16" s="791">
        <v>0</v>
      </c>
      <c r="R16" s="618">
        <f>'Labor Rates'!L15</f>
        <v>0</v>
      </c>
      <c r="S16" s="619">
        <f t="shared" si="5"/>
        <v>0</v>
      </c>
      <c r="T16" s="1180"/>
      <c r="U16" s="791">
        <v>0</v>
      </c>
      <c r="V16" s="618">
        <f>'Labor Rates'!N15</f>
        <v>0</v>
      </c>
      <c r="W16" s="619">
        <f t="shared" si="6"/>
        <v>0</v>
      </c>
      <c r="X16" s="1180"/>
      <c r="Y16" s="791">
        <v>0</v>
      </c>
      <c r="Z16" s="618">
        <f>'Labor Rates'!P15</f>
        <v>0</v>
      </c>
      <c r="AA16" s="619">
        <f t="shared" si="7"/>
        <v>0</v>
      </c>
      <c r="AB16" s="975"/>
      <c r="AC16" s="1002">
        <f t="shared" si="0"/>
        <v>0</v>
      </c>
      <c r="AD16" s="619">
        <f t="shared" si="1"/>
        <v>0</v>
      </c>
      <c r="AE16" s="958"/>
    </row>
    <row r="17" spans="1:31" ht="15" customHeight="1" x14ac:dyDescent="0.25">
      <c r="A17" s="1321" t="str">
        <f>IF(ISBLANK('Labor Rates'!D16),"",'Labor Rates'!D16)</f>
        <v/>
      </c>
      <c r="B17" s="1322"/>
      <c r="C17" s="950" t="str">
        <f>IF(ISBLANK('Labor Rates'!E16),"",'Labor Rates'!E16)</f>
        <v/>
      </c>
      <c r="D17" s="960"/>
      <c r="E17" s="791">
        <v>0</v>
      </c>
      <c r="F17" s="618">
        <f>'Labor Rates'!F16</f>
        <v>0</v>
      </c>
      <c r="G17" s="619">
        <f t="shared" si="2"/>
        <v>0</v>
      </c>
      <c r="H17" s="1180"/>
      <c r="I17" s="791">
        <v>0</v>
      </c>
      <c r="J17" s="618">
        <f>'Labor Rates'!H16</f>
        <v>0</v>
      </c>
      <c r="K17" s="619">
        <f t="shared" si="3"/>
        <v>0</v>
      </c>
      <c r="L17" s="1180"/>
      <c r="M17" s="791">
        <v>0</v>
      </c>
      <c r="N17" s="618">
        <f>'Labor Rates'!J16</f>
        <v>0</v>
      </c>
      <c r="O17" s="619">
        <f t="shared" si="4"/>
        <v>0</v>
      </c>
      <c r="P17" s="1180"/>
      <c r="Q17" s="791">
        <v>0</v>
      </c>
      <c r="R17" s="618">
        <f>'Labor Rates'!L16</f>
        <v>0</v>
      </c>
      <c r="S17" s="619">
        <f t="shared" si="5"/>
        <v>0</v>
      </c>
      <c r="T17" s="1180"/>
      <c r="U17" s="791">
        <v>0</v>
      </c>
      <c r="V17" s="618">
        <f>'Labor Rates'!N16</f>
        <v>0</v>
      </c>
      <c r="W17" s="619">
        <f t="shared" si="6"/>
        <v>0</v>
      </c>
      <c r="X17" s="1180"/>
      <c r="Y17" s="791">
        <v>0</v>
      </c>
      <c r="Z17" s="618">
        <f>'Labor Rates'!P16</f>
        <v>0</v>
      </c>
      <c r="AA17" s="619">
        <f t="shared" si="7"/>
        <v>0</v>
      </c>
      <c r="AB17" s="975"/>
      <c r="AC17" s="1002">
        <f t="shared" si="0"/>
        <v>0</v>
      </c>
      <c r="AD17" s="619">
        <f t="shared" si="1"/>
        <v>0</v>
      </c>
      <c r="AE17" s="958"/>
    </row>
    <row r="18" spans="1:31" ht="15" customHeight="1" x14ac:dyDescent="0.25">
      <c r="A18" s="1321" t="str">
        <f>IF(ISBLANK('Labor Rates'!D17),"",'Labor Rates'!D17)</f>
        <v/>
      </c>
      <c r="B18" s="1322"/>
      <c r="C18" s="950" t="str">
        <f>IF(ISBLANK('Labor Rates'!E17),"",'Labor Rates'!E17)</f>
        <v/>
      </c>
      <c r="D18" s="960"/>
      <c r="E18" s="791">
        <v>0</v>
      </c>
      <c r="F18" s="618">
        <f>'Labor Rates'!F17</f>
        <v>0</v>
      </c>
      <c r="G18" s="619">
        <f t="shared" si="2"/>
        <v>0</v>
      </c>
      <c r="H18" s="1180"/>
      <c r="I18" s="791">
        <v>0</v>
      </c>
      <c r="J18" s="618">
        <f>'Labor Rates'!H17</f>
        <v>0</v>
      </c>
      <c r="K18" s="619">
        <f t="shared" si="3"/>
        <v>0</v>
      </c>
      <c r="L18" s="1180"/>
      <c r="M18" s="791">
        <v>0</v>
      </c>
      <c r="N18" s="618">
        <f>'Labor Rates'!J17</f>
        <v>0</v>
      </c>
      <c r="O18" s="619">
        <f t="shared" si="4"/>
        <v>0</v>
      </c>
      <c r="P18" s="1180"/>
      <c r="Q18" s="791">
        <v>0</v>
      </c>
      <c r="R18" s="618">
        <f>'Labor Rates'!L17</f>
        <v>0</v>
      </c>
      <c r="S18" s="619">
        <f t="shared" si="5"/>
        <v>0</v>
      </c>
      <c r="T18" s="1180"/>
      <c r="U18" s="791">
        <v>0</v>
      </c>
      <c r="V18" s="618">
        <f>'Labor Rates'!N17</f>
        <v>0</v>
      </c>
      <c r="W18" s="619">
        <f t="shared" si="6"/>
        <v>0</v>
      </c>
      <c r="X18" s="1180"/>
      <c r="Y18" s="791">
        <v>0</v>
      </c>
      <c r="Z18" s="618">
        <f>'Labor Rates'!P17</f>
        <v>0</v>
      </c>
      <c r="AA18" s="619">
        <f t="shared" si="7"/>
        <v>0</v>
      </c>
      <c r="AB18" s="975"/>
      <c r="AC18" s="1002">
        <f t="shared" si="0"/>
        <v>0</v>
      </c>
      <c r="AD18" s="619">
        <f t="shared" si="1"/>
        <v>0</v>
      </c>
      <c r="AE18" s="958"/>
    </row>
    <row r="19" spans="1:31" ht="15" customHeight="1" x14ac:dyDescent="0.25">
      <c r="A19" s="1321" t="str">
        <f>IF(ISBLANK('Labor Rates'!D18),"",'Labor Rates'!D18)</f>
        <v/>
      </c>
      <c r="B19" s="1322"/>
      <c r="C19" s="950" t="str">
        <f>IF(ISBLANK('Labor Rates'!E18),"",'Labor Rates'!E18)</f>
        <v/>
      </c>
      <c r="D19" s="960"/>
      <c r="E19" s="791">
        <v>0</v>
      </c>
      <c r="F19" s="618">
        <f>'Labor Rates'!F18</f>
        <v>0</v>
      </c>
      <c r="G19" s="619">
        <f t="shared" si="2"/>
        <v>0</v>
      </c>
      <c r="H19" s="1180"/>
      <c r="I19" s="791">
        <v>0</v>
      </c>
      <c r="J19" s="618">
        <f>'Labor Rates'!H18</f>
        <v>0</v>
      </c>
      <c r="K19" s="619">
        <f t="shared" si="3"/>
        <v>0</v>
      </c>
      <c r="L19" s="1180"/>
      <c r="M19" s="791">
        <v>0</v>
      </c>
      <c r="N19" s="618">
        <f>'Labor Rates'!J18</f>
        <v>0</v>
      </c>
      <c r="O19" s="619">
        <f t="shared" si="4"/>
        <v>0</v>
      </c>
      <c r="P19" s="1180"/>
      <c r="Q19" s="791">
        <v>0</v>
      </c>
      <c r="R19" s="618">
        <f>'Labor Rates'!L18</f>
        <v>0</v>
      </c>
      <c r="S19" s="619">
        <f t="shared" si="5"/>
        <v>0</v>
      </c>
      <c r="T19" s="1180"/>
      <c r="U19" s="791">
        <v>0</v>
      </c>
      <c r="V19" s="618">
        <f>'Labor Rates'!N18</f>
        <v>0</v>
      </c>
      <c r="W19" s="619">
        <f t="shared" si="6"/>
        <v>0</v>
      </c>
      <c r="X19" s="1180"/>
      <c r="Y19" s="791">
        <v>0</v>
      </c>
      <c r="Z19" s="618">
        <f>'Labor Rates'!P18</f>
        <v>0</v>
      </c>
      <c r="AA19" s="619">
        <f t="shared" si="7"/>
        <v>0</v>
      </c>
      <c r="AB19" s="975"/>
      <c r="AC19" s="1002">
        <f t="shared" si="0"/>
        <v>0</v>
      </c>
      <c r="AD19" s="619">
        <f t="shared" si="1"/>
        <v>0</v>
      </c>
      <c r="AE19" s="958"/>
    </row>
    <row r="20" spans="1:31" ht="15" customHeight="1" x14ac:dyDescent="0.25">
      <c r="A20" s="1321" t="str">
        <f>IF(ISBLANK('Labor Rates'!D19),"",'Labor Rates'!D19)</f>
        <v/>
      </c>
      <c r="B20" s="1322"/>
      <c r="C20" s="950" t="str">
        <f>IF(ISBLANK('Labor Rates'!E19),"",'Labor Rates'!E19)</f>
        <v/>
      </c>
      <c r="D20" s="960"/>
      <c r="E20" s="791">
        <v>0</v>
      </c>
      <c r="F20" s="618">
        <f>'Labor Rates'!F19</f>
        <v>0</v>
      </c>
      <c r="G20" s="619">
        <f t="shared" si="2"/>
        <v>0</v>
      </c>
      <c r="H20" s="1180"/>
      <c r="I20" s="791">
        <v>0</v>
      </c>
      <c r="J20" s="618">
        <f>'Labor Rates'!H19</f>
        <v>0</v>
      </c>
      <c r="K20" s="619">
        <f t="shared" si="3"/>
        <v>0</v>
      </c>
      <c r="L20" s="1180"/>
      <c r="M20" s="791">
        <v>0</v>
      </c>
      <c r="N20" s="618">
        <f>'Labor Rates'!J19</f>
        <v>0</v>
      </c>
      <c r="O20" s="619">
        <f t="shared" si="4"/>
        <v>0</v>
      </c>
      <c r="P20" s="1180"/>
      <c r="Q20" s="791">
        <v>0</v>
      </c>
      <c r="R20" s="618">
        <f>'Labor Rates'!L19</f>
        <v>0</v>
      </c>
      <c r="S20" s="619">
        <f t="shared" si="5"/>
        <v>0</v>
      </c>
      <c r="T20" s="1180"/>
      <c r="U20" s="791">
        <v>0</v>
      </c>
      <c r="V20" s="618">
        <f>'Labor Rates'!N19</f>
        <v>0</v>
      </c>
      <c r="W20" s="619">
        <f t="shared" si="6"/>
        <v>0</v>
      </c>
      <c r="X20" s="1180"/>
      <c r="Y20" s="791">
        <v>0</v>
      </c>
      <c r="Z20" s="618">
        <f>'Labor Rates'!P19</f>
        <v>0</v>
      </c>
      <c r="AA20" s="619">
        <f t="shared" si="7"/>
        <v>0</v>
      </c>
      <c r="AB20" s="975"/>
      <c r="AC20" s="1002">
        <f t="shared" si="0"/>
        <v>0</v>
      </c>
      <c r="AD20" s="619">
        <f t="shared" si="1"/>
        <v>0</v>
      </c>
      <c r="AE20" s="958"/>
    </row>
    <row r="21" spans="1:31" ht="15" customHeight="1" x14ac:dyDescent="0.25">
      <c r="A21" s="1321" t="str">
        <f>IF(ISBLANK('Labor Rates'!D20),"",'Labor Rates'!D20)</f>
        <v/>
      </c>
      <c r="B21" s="1322"/>
      <c r="C21" s="950" t="str">
        <f>IF(ISBLANK('Labor Rates'!E20),"",'Labor Rates'!E20)</f>
        <v/>
      </c>
      <c r="D21" s="960"/>
      <c r="E21" s="791">
        <v>0</v>
      </c>
      <c r="F21" s="618">
        <f>'Labor Rates'!F20</f>
        <v>0</v>
      </c>
      <c r="G21" s="619">
        <f t="shared" si="2"/>
        <v>0</v>
      </c>
      <c r="H21" s="1180"/>
      <c r="I21" s="791">
        <v>0</v>
      </c>
      <c r="J21" s="618">
        <f>'Labor Rates'!H20</f>
        <v>0</v>
      </c>
      <c r="K21" s="619">
        <f t="shared" si="3"/>
        <v>0</v>
      </c>
      <c r="L21" s="1180"/>
      <c r="M21" s="791">
        <v>0</v>
      </c>
      <c r="N21" s="618">
        <f>'Labor Rates'!J20</f>
        <v>0</v>
      </c>
      <c r="O21" s="619">
        <f t="shared" si="4"/>
        <v>0</v>
      </c>
      <c r="P21" s="1180"/>
      <c r="Q21" s="791">
        <v>0</v>
      </c>
      <c r="R21" s="618">
        <f>'Labor Rates'!L20</f>
        <v>0</v>
      </c>
      <c r="S21" s="619">
        <f t="shared" si="5"/>
        <v>0</v>
      </c>
      <c r="T21" s="1180"/>
      <c r="U21" s="791">
        <v>0</v>
      </c>
      <c r="V21" s="618">
        <f>'Labor Rates'!N20</f>
        <v>0</v>
      </c>
      <c r="W21" s="619">
        <f t="shared" si="6"/>
        <v>0</v>
      </c>
      <c r="X21" s="1180"/>
      <c r="Y21" s="791">
        <v>0</v>
      </c>
      <c r="Z21" s="618">
        <f>'Labor Rates'!P20</f>
        <v>0</v>
      </c>
      <c r="AA21" s="619">
        <f t="shared" si="7"/>
        <v>0</v>
      </c>
      <c r="AB21" s="975"/>
      <c r="AC21" s="1002">
        <f t="shared" si="0"/>
        <v>0</v>
      </c>
      <c r="AD21" s="619">
        <f t="shared" si="1"/>
        <v>0</v>
      </c>
      <c r="AE21" s="958"/>
    </row>
    <row r="22" spans="1:31" ht="15" customHeight="1" x14ac:dyDescent="0.25">
      <c r="A22" s="1321" t="str">
        <f>IF(ISBLANK('Labor Rates'!D21),"",'Labor Rates'!D21)</f>
        <v/>
      </c>
      <c r="B22" s="1322"/>
      <c r="C22" s="950" t="str">
        <f>IF(ISBLANK('Labor Rates'!E21),"",'Labor Rates'!E21)</f>
        <v/>
      </c>
      <c r="D22" s="960"/>
      <c r="E22" s="791">
        <v>0</v>
      </c>
      <c r="F22" s="618">
        <f>'Labor Rates'!F21</f>
        <v>0</v>
      </c>
      <c r="G22" s="619">
        <f t="shared" si="2"/>
        <v>0</v>
      </c>
      <c r="H22" s="1180"/>
      <c r="I22" s="791">
        <v>0</v>
      </c>
      <c r="J22" s="618">
        <f>'Labor Rates'!H21</f>
        <v>0</v>
      </c>
      <c r="K22" s="619">
        <f t="shared" si="3"/>
        <v>0</v>
      </c>
      <c r="L22" s="1180"/>
      <c r="M22" s="791">
        <v>0</v>
      </c>
      <c r="N22" s="618">
        <f>'Labor Rates'!J21</f>
        <v>0</v>
      </c>
      <c r="O22" s="619">
        <f t="shared" si="4"/>
        <v>0</v>
      </c>
      <c r="P22" s="1180"/>
      <c r="Q22" s="791">
        <v>0</v>
      </c>
      <c r="R22" s="618">
        <f>'Labor Rates'!L21</f>
        <v>0</v>
      </c>
      <c r="S22" s="619">
        <f t="shared" si="5"/>
        <v>0</v>
      </c>
      <c r="T22" s="1180"/>
      <c r="U22" s="791">
        <v>0</v>
      </c>
      <c r="V22" s="618">
        <f>'Labor Rates'!N21</f>
        <v>0</v>
      </c>
      <c r="W22" s="619">
        <f t="shared" si="6"/>
        <v>0</v>
      </c>
      <c r="X22" s="1180"/>
      <c r="Y22" s="791">
        <v>0</v>
      </c>
      <c r="Z22" s="618">
        <f>'Labor Rates'!P21</f>
        <v>0</v>
      </c>
      <c r="AA22" s="619">
        <f t="shared" si="7"/>
        <v>0</v>
      </c>
      <c r="AB22" s="975"/>
      <c r="AC22" s="1002">
        <f t="shared" si="0"/>
        <v>0</v>
      </c>
      <c r="AD22" s="619">
        <f t="shared" si="1"/>
        <v>0</v>
      </c>
      <c r="AE22" s="958"/>
    </row>
    <row r="23" spans="1:31" ht="15" customHeight="1" x14ac:dyDescent="0.25">
      <c r="A23" s="1321" t="str">
        <f>IF(ISBLANK('Labor Rates'!D22),"",'Labor Rates'!D22)</f>
        <v/>
      </c>
      <c r="B23" s="1322"/>
      <c r="C23" s="950" t="str">
        <f>IF(ISBLANK('Labor Rates'!E22),"",'Labor Rates'!E22)</f>
        <v/>
      </c>
      <c r="D23" s="960"/>
      <c r="E23" s="791">
        <v>0</v>
      </c>
      <c r="F23" s="618">
        <f>'Labor Rates'!F22</f>
        <v>0</v>
      </c>
      <c r="G23" s="619">
        <f t="shared" si="2"/>
        <v>0</v>
      </c>
      <c r="H23" s="1180"/>
      <c r="I23" s="791">
        <v>0</v>
      </c>
      <c r="J23" s="618">
        <f>'Labor Rates'!H22</f>
        <v>0</v>
      </c>
      <c r="K23" s="619">
        <f t="shared" si="3"/>
        <v>0</v>
      </c>
      <c r="L23" s="1180"/>
      <c r="M23" s="791">
        <v>0</v>
      </c>
      <c r="N23" s="618">
        <f>'Labor Rates'!J22</f>
        <v>0</v>
      </c>
      <c r="O23" s="619">
        <f t="shared" si="4"/>
        <v>0</v>
      </c>
      <c r="P23" s="1180"/>
      <c r="Q23" s="791">
        <v>0</v>
      </c>
      <c r="R23" s="618">
        <f>'Labor Rates'!L22</f>
        <v>0</v>
      </c>
      <c r="S23" s="619">
        <f t="shared" si="5"/>
        <v>0</v>
      </c>
      <c r="T23" s="1180"/>
      <c r="U23" s="791">
        <v>0</v>
      </c>
      <c r="V23" s="618">
        <f>'Labor Rates'!N22</f>
        <v>0</v>
      </c>
      <c r="W23" s="619">
        <f t="shared" si="6"/>
        <v>0</v>
      </c>
      <c r="X23" s="1180"/>
      <c r="Y23" s="791">
        <v>0</v>
      </c>
      <c r="Z23" s="618">
        <f>'Labor Rates'!P22</f>
        <v>0</v>
      </c>
      <c r="AA23" s="619">
        <f t="shared" si="7"/>
        <v>0</v>
      </c>
      <c r="AB23" s="975"/>
      <c r="AC23" s="1002">
        <f t="shared" si="0"/>
        <v>0</v>
      </c>
      <c r="AD23" s="619">
        <f t="shared" si="1"/>
        <v>0</v>
      </c>
      <c r="AE23" s="958"/>
    </row>
    <row r="24" spans="1:31" ht="15" customHeight="1" x14ac:dyDescent="0.25">
      <c r="A24" s="1321" t="str">
        <f>IF(ISBLANK('Labor Rates'!D23),"",'Labor Rates'!D23)</f>
        <v/>
      </c>
      <c r="B24" s="1322"/>
      <c r="C24" s="950" t="str">
        <f>IF(ISBLANK('Labor Rates'!E23),"",'Labor Rates'!E23)</f>
        <v/>
      </c>
      <c r="D24" s="960"/>
      <c r="E24" s="791">
        <v>0</v>
      </c>
      <c r="F24" s="618">
        <f>'Labor Rates'!F23</f>
        <v>0</v>
      </c>
      <c r="G24" s="619">
        <f t="shared" si="2"/>
        <v>0</v>
      </c>
      <c r="H24" s="1180"/>
      <c r="I24" s="791">
        <v>0</v>
      </c>
      <c r="J24" s="618">
        <f>'Labor Rates'!H23</f>
        <v>0</v>
      </c>
      <c r="K24" s="619">
        <f t="shared" si="3"/>
        <v>0</v>
      </c>
      <c r="L24" s="1180"/>
      <c r="M24" s="791">
        <v>0</v>
      </c>
      <c r="N24" s="618">
        <f>'Labor Rates'!J23</f>
        <v>0</v>
      </c>
      <c r="O24" s="619">
        <f t="shared" si="4"/>
        <v>0</v>
      </c>
      <c r="P24" s="1180"/>
      <c r="Q24" s="791">
        <v>0</v>
      </c>
      <c r="R24" s="618">
        <f>'Labor Rates'!L23</f>
        <v>0</v>
      </c>
      <c r="S24" s="619">
        <f t="shared" si="5"/>
        <v>0</v>
      </c>
      <c r="T24" s="1180"/>
      <c r="U24" s="791">
        <v>0</v>
      </c>
      <c r="V24" s="618">
        <f>'Labor Rates'!N23</f>
        <v>0</v>
      </c>
      <c r="W24" s="619">
        <f t="shared" si="6"/>
        <v>0</v>
      </c>
      <c r="X24" s="1180"/>
      <c r="Y24" s="791">
        <v>0</v>
      </c>
      <c r="Z24" s="618">
        <f>'Labor Rates'!P23</f>
        <v>0</v>
      </c>
      <c r="AA24" s="619">
        <f t="shared" si="7"/>
        <v>0</v>
      </c>
      <c r="AB24" s="975"/>
      <c r="AC24" s="1002">
        <f t="shared" si="0"/>
        <v>0</v>
      </c>
      <c r="AD24" s="619">
        <f t="shared" si="1"/>
        <v>0</v>
      </c>
      <c r="AE24" s="958"/>
    </row>
    <row r="25" spans="1:31" ht="15" customHeight="1" x14ac:dyDescent="0.25">
      <c r="A25" s="1321" t="str">
        <f>IF(ISBLANK('Labor Rates'!D24),"",'Labor Rates'!D24)</f>
        <v/>
      </c>
      <c r="B25" s="1322"/>
      <c r="C25" s="950" t="str">
        <f>IF(ISBLANK('Labor Rates'!E24),"",'Labor Rates'!E24)</f>
        <v/>
      </c>
      <c r="D25" s="960"/>
      <c r="E25" s="791">
        <v>0</v>
      </c>
      <c r="F25" s="618">
        <f>'Labor Rates'!F24</f>
        <v>0</v>
      </c>
      <c r="G25" s="619">
        <f t="shared" si="2"/>
        <v>0</v>
      </c>
      <c r="H25" s="1180"/>
      <c r="I25" s="791">
        <v>0</v>
      </c>
      <c r="J25" s="618">
        <f>'Labor Rates'!H24</f>
        <v>0</v>
      </c>
      <c r="K25" s="619">
        <f t="shared" si="3"/>
        <v>0</v>
      </c>
      <c r="L25" s="1180"/>
      <c r="M25" s="791">
        <v>0</v>
      </c>
      <c r="N25" s="618">
        <f>'Labor Rates'!J24</f>
        <v>0</v>
      </c>
      <c r="O25" s="619">
        <f t="shared" si="4"/>
        <v>0</v>
      </c>
      <c r="P25" s="1180"/>
      <c r="Q25" s="791">
        <v>0</v>
      </c>
      <c r="R25" s="618">
        <f>'Labor Rates'!L24</f>
        <v>0</v>
      </c>
      <c r="S25" s="619">
        <f t="shared" si="5"/>
        <v>0</v>
      </c>
      <c r="T25" s="1180"/>
      <c r="U25" s="791">
        <v>0</v>
      </c>
      <c r="V25" s="618">
        <f>'Labor Rates'!N24</f>
        <v>0</v>
      </c>
      <c r="W25" s="619">
        <f t="shared" si="6"/>
        <v>0</v>
      </c>
      <c r="X25" s="1180"/>
      <c r="Y25" s="791">
        <v>0</v>
      </c>
      <c r="Z25" s="618">
        <f>'Labor Rates'!P24</f>
        <v>0</v>
      </c>
      <c r="AA25" s="619">
        <f t="shared" si="7"/>
        <v>0</v>
      </c>
      <c r="AB25" s="975"/>
      <c r="AC25" s="1002">
        <f t="shared" si="0"/>
        <v>0</v>
      </c>
      <c r="AD25" s="619">
        <f t="shared" si="1"/>
        <v>0</v>
      </c>
      <c r="AE25" s="958"/>
    </row>
    <row r="26" spans="1:31" ht="15" customHeight="1" x14ac:dyDescent="0.25">
      <c r="A26" s="1321" t="str">
        <f>IF(ISBLANK('Labor Rates'!D25),"",'Labor Rates'!D25)</f>
        <v/>
      </c>
      <c r="B26" s="1322"/>
      <c r="C26" s="950" t="str">
        <f>IF(ISBLANK('Labor Rates'!E25),"",'Labor Rates'!E25)</f>
        <v/>
      </c>
      <c r="D26" s="960"/>
      <c r="E26" s="791">
        <v>0</v>
      </c>
      <c r="F26" s="618">
        <f>'Labor Rates'!F25</f>
        <v>0</v>
      </c>
      <c r="G26" s="619">
        <f t="shared" si="2"/>
        <v>0</v>
      </c>
      <c r="H26" s="1180"/>
      <c r="I26" s="791">
        <v>0</v>
      </c>
      <c r="J26" s="618">
        <f>'Labor Rates'!H25</f>
        <v>0</v>
      </c>
      <c r="K26" s="619">
        <f t="shared" si="3"/>
        <v>0</v>
      </c>
      <c r="L26" s="1180"/>
      <c r="M26" s="791">
        <v>0</v>
      </c>
      <c r="N26" s="618">
        <f>'Labor Rates'!J25</f>
        <v>0</v>
      </c>
      <c r="O26" s="619">
        <f t="shared" si="4"/>
        <v>0</v>
      </c>
      <c r="P26" s="1180"/>
      <c r="Q26" s="791">
        <v>0</v>
      </c>
      <c r="R26" s="618">
        <f>'Labor Rates'!L25</f>
        <v>0</v>
      </c>
      <c r="S26" s="619">
        <f t="shared" si="5"/>
        <v>0</v>
      </c>
      <c r="T26" s="1180"/>
      <c r="U26" s="791">
        <v>0</v>
      </c>
      <c r="V26" s="618">
        <f>'Labor Rates'!N25</f>
        <v>0</v>
      </c>
      <c r="W26" s="619">
        <f t="shared" si="6"/>
        <v>0</v>
      </c>
      <c r="X26" s="1180"/>
      <c r="Y26" s="791">
        <v>0</v>
      </c>
      <c r="Z26" s="618">
        <f>'Labor Rates'!P25</f>
        <v>0</v>
      </c>
      <c r="AA26" s="619">
        <f t="shared" si="7"/>
        <v>0</v>
      </c>
      <c r="AB26" s="975"/>
      <c r="AC26" s="1002">
        <f t="shared" si="0"/>
        <v>0</v>
      </c>
      <c r="AD26" s="619">
        <f t="shared" si="1"/>
        <v>0</v>
      </c>
      <c r="AE26" s="958"/>
    </row>
    <row r="27" spans="1:31" ht="15" customHeight="1" x14ac:dyDescent="0.25">
      <c r="A27" s="1321" t="str">
        <f>IF(ISBLANK('Labor Rates'!D26),"",'Labor Rates'!D26)</f>
        <v/>
      </c>
      <c r="B27" s="1322"/>
      <c r="C27" s="950" t="str">
        <f>IF(ISBLANK('Labor Rates'!E26),"",'Labor Rates'!E26)</f>
        <v/>
      </c>
      <c r="D27" s="960"/>
      <c r="E27" s="791">
        <v>0</v>
      </c>
      <c r="F27" s="618">
        <f>'Labor Rates'!F26</f>
        <v>0</v>
      </c>
      <c r="G27" s="619">
        <f t="shared" si="2"/>
        <v>0</v>
      </c>
      <c r="H27" s="1180"/>
      <c r="I27" s="791">
        <v>0</v>
      </c>
      <c r="J27" s="618">
        <f>'Labor Rates'!H26</f>
        <v>0</v>
      </c>
      <c r="K27" s="619">
        <f t="shared" si="3"/>
        <v>0</v>
      </c>
      <c r="L27" s="1180"/>
      <c r="M27" s="791">
        <v>0</v>
      </c>
      <c r="N27" s="618">
        <f>'Labor Rates'!J26</f>
        <v>0</v>
      </c>
      <c r="O27" s="619">
        <f t="shared" si="4"/>
        <v>0</v>
      </c>
      <c r="P27" s="1180"/>
      <c r="Q27" s="791">
        <v>0</v>
      </c>
      <c r="R27" s="618">
        <f>'Labor Rates'!L26</f>
        <v>0</v>
      </c>
      <c r="S27" s="619">
        <f t="shared" si="5"/>
        <v>0</v>
      </c>
      <c r="T27" s="1180"/>
      <c r="U27" s="791">
        <v>0</v>
      </c>
      <c r="V27" s="618">
        <f>'Labor Rates'!N26</f>
        <v>0</v>
      </c>
      <c r="W27" s="619">
        <f t="shared" si="6"/>
        <v>0</v>
      </c>
      <c r="X27" s="1180"/>
      <c r="Y27" s="791">
        <v>0</v>
      </c>
      <c r="Z27" s="618">
        <f>'Labor Rates'!P26</f>
        <v>0</v>
      </c>
      <c r="AA27" s="619">
        <f t="shared" si="7"/>
        <v>0</v>
      </c>
      <c r="AB27" s="975"/>
      <c r="AC27" s="1002">
        <f t="shared" si="0"/>
        <v>0</v>
      </c>
      <c r="AD27" s="619">
        <f t="shared" si="1"/>
        <v>0</v>
      </c>
      <c r="AE27" s="958"/>
    </row>
    <row r="28" spans="1:31" ht="15" customHeight="1" x14ac:dyDescent="0.25">
      <c r="A28" s="1321" t="str">
        <f>IF(ISBLANK('Labor Rates'!D27),"",'Labor Rates'!D27)</f>
        <v/>
      </c>
      <c r="B28" s="1322"/>
      <c r="C28" s="950" t="str">
        <f>IF(ISBLANK('Labor Rates'!E27),"",'Labor Rates'!E27)</f>
        <v/>
      </c>
      <c r="D28" s="960"/>
      <c r="E28" s="791">
        <v>0</v>
      </c>
      <c r="F28" s="618">
        <f>'Labor Rates'!F27</f>
        <v>0</v>
      </c>
      <c r="G28" s="619">
        <f t="shared" si="2"/>
        <v>0</v>
      </c>
      <c r="H28" s="1180"/>
      <c r="I28" s="791">
        <v>0</v>
      </c>
      <c r="J28" s="618">
        <f>'Labor Rates'!H27</f>
        <v>0</v>
      </c>
      <c r="K28" s="619">
        <f t="shared" si="3"/>
        <v>0</v>
      </c>
      <c r="L28" s="1180"/>
      <c r="M28" s="791">
        <v>0</v>
      </c>
      <c r="N28" s="618">
        <f>'Labor Rates'!J27</f>
        <v>0</v>
      </c>
      <c r="O28" s="619">
        <f t="shared" si="4"/>
        <v>0</v>
      </c>
      <c r="P28" s="1180"/>
      <c r="Q28" s="791">
        <v>0</v>
      </c>
      <c r="R28" s="618">
        <f>'Labor Rates'!L27</f>
        <v>0</v>
      </c>
      <c r="S28" s="619">
        <f t="shared" si="5"/>
        <v>0</v>
      </c>
      <c r="T28" s="1180"/>
      <c r="U28" s="791">
        <v>0</v>
      </c>
      <c r="V28" s="618">
        <f>'Labor Rates'!N27</f>
        <v>0</v>
      </c>
      <c r="W28" s="619">
        <f t="shared" si="6"/>
        <v>0</v>
      </c>
      <c r="X28" s="1180"/>
      <c r="Y28" s="791">
        <v>0</v>
      </c>
      <c r="Z28" s="618">
        <f>'Labor Rates'!P27</f>
        <v>0</v>
      </c>
      <c r="AA28" s="619">
        <f t="shared" si="7"/>
        <v>0</v>
      </c>
      <c r="AB28" s="975"/>
      <c r="AC28" s="1002">
        <f t="shared" si="0"/>
        <v>0</v>
      </c>
      <c r="AD28" s="619">
        <f t="shared" si="1"/>
        <v>0</v>
      </c>
      <c r="AE28" s="958"/>
    </row>
    <row r="29" spans="1:31" ht="15" customHeight="1" x14ac:dyDescent="0.25">
      <c r="A29" s="1321" t="str">
        <f>IF(ISBLANK('Labor Rates'!D28),"",'Labor Rates'!D28)</f>
        <v/>
      </c>
      <c r="B29" s="1322"/>
      <c r="C29" s="950" t="str">
        <f>IF(ISBLANK('Labor Rates'!E28),"",'Labor Rates'!E28)</f>
        <v/>
      </c>
      <c r="D29" s="960"/>
      <c r="E29" s="791">
        <v>0</v>
      </c>
      <c r="F29" s="618">
        <f>'Labor Rates'!F28</f>
        <v>0</v>
      </c>
      <c r="G29" s="619">
        <f t="shared" si="2"/>
        <v>0</v>
      </c>
      <c r="H29" s="1180"/>
      <c r="I29" s="791">
        <v>0</v>
      </c>
      <c r="J29" s="618">
        <f>'Labor Rates'!H28</f>
        <v>0</v>
      </c>
      <c r="K29" s="619">
        <f t="shared" si="3"/>
        <v>0</v>
      </c>
      <c r="L29" s="1180"/>
      <c r="M29" s="791">
        <v>0</v>
      </c>
      <c r="N29" s="618">
        <f>'Labor Rates'!J28</f>
        <v>0</v>
      </c>
      <c r="O29" s="619">
        <f t="shared" si="4"/>
        <v>0</v>
      </c>
      <c r="P29" s="1180"/>
      <c r="Q29" s="791">
        <v>0</v>
      </c>
      <c r="R29" s="618">
        <f>'Labor Rates'!L28</f>
        <v>0</v>
      </c>
      <c r="S29" s="619">
        <f t="shared" si="5"/>
        <v>0</v>
      </c>
      <c r="T29" s="1180"/>
      <c r="U29" s="791">
        <v>0</v>
      </c>
      <c r="V29" s="618">
        <f>'Labor Rates'!N28</f>
        <v>0</v>
      </c>
      <c r="W29" s="619">
        <f t="shared" si="6"/>
        <v>0</v>
      </c>
      <c r="X29" s="1180"/>
      <c r="Y29" s="791">
        <v>0</v>
      </c>
      <c r="Z29" s="618">
        <f>'Labor Rates'!P28</f>
        <v>0</v>
      </c>
      <c r="AA29" s="619">
        <f t="shared" si="7"/>
        <v>0</v>
      </c>
      <c r="AB29" s="975"/>
      <c r="AC29" s="1002">
        <f t="shared" si="0"/>
        <v>0</v>
      </c>
      <c r="AD29" s="619">
        <f t="shared" si="1"/>
        <v>0</v>
      </c>
      <c r="AE29" s="958"/>
    </row>
    <row r="30" spans="1:31" ht="15" customHeight="1" x14ac:dyDescent="0.25">
      <c r="A30" s="1321" t="str">
        <f>IF(ISBLANK('Labor Rates'!D29),"",'Labor Rates'!D29)</f>
        <v/>
      </c>
      <c r="B30" s="1322"/>
      <c r="C30" s="950" t="str">
        <f>IF(ISBLANK('Labor Rates'!E29),"",'Labor Rates'!E29)</f>
        <v/>
      </c>
      <c r="D30" s="960"/>
      <c r="E30" s="791">
        <v>0</v>
      </c>
      <c r="F30" s="618">
        <f>'Labor Rates'!F29</f>
        <v>0</v>
      </c>
      <c r="G30" s="619">
        <f t="shared" si="2"/>
        <v>0</v>
      </c>
      <c r="H30" s="1180"/>
      <c r="I30" s="791">
        <v>0</v>
      </c>
      <c r="J30" s="618">
        <f>'Labor Rates'!H29</f>
        <v>0</v>
      </c>
      <c r="K30" s="619">
        <f t="shared" si="3"/>
        <v>0</v>
      </c>
      <c r="L30" s="1180"/>
      <c r="M30" s="791">
        <v>0</v>
      </c>
      <c r="N30" s="618">
        <f>'Labor Rates'!J29</f>
        <v>0</v>
      </c>
      <c r="O30" s="619">
        <f t="shared" si="4"/>
        <v>0</v>
      </c>
      <c r="P30" s="1180"/>
      <c r="Q30" s="791">
        <v>0</v>
      </c>
      <c r="R30" s="618">
        <f>'Labor Rates'!L29</f>
        <v>0</v>
      </c>
      <c r="S30" s="619">
        <f t="shared" si="5"/>
        <v>0</v>
      </c>
      <c r="T30" s="1180"/>
      <c r="U30" s="791">
        <v>0</v>
      </c>
      <c r="V30" s="618">
        <f>'Labor Rates'!N29</f>
        <v>0</v>
      </c>
      <c r="W30" s="619">
        <f t="shared" si="6"/>
        <v>0</v>
      </c>
      <c r="X30" s="1180"/>
      <c r="Y30" s="791">
        <v>0</v>
      </c>
      <c r="Z30" s="618">
        <f>'Labor Rates'!P29</f>
        <v>0</v>
      </c>
      <c r="AA30" s="619">
        <f t="shared" si="7"/>
        <v>0</v>
      </c>
      <c r="AB30" s="975"/>
      <c r="AC30" s="1002">
        <f t="shared" si="0"/>
        <v>0</v>
      </c>
      <c r="AD30" s="619">
        <f t="shared" si="1"/>
        <v>0</v>
      </c>
      <c r="AE30" s="958"/>
    </row>
    <row r="31" spans="1:31" ht="15" customHeight="1" x14ac:dyDescent="0.25">
      <c r="A31" s="1321" t="str">
        <f>IF(ISBLANK('Labor Rates'!D30),"",'Labor Rates'!D30)</f>
        <v/>
      </c>
      <c r="B31" s="1322"/>
      <c r="C31" s="950" t="str">
        <f>IF(ISBLANK('Labor Rates'!E30),"",'Labor Rates'!E30)</f>
        <v/>
      </c>
      <c r="D31" s="960"/>
      <c r="E31" s="791">
        <v>0</v>
      </c>
      <c r="F31" s="618">
        <f>'Labor Rates'!F30</f>
        <v>0</v>
      </c>
      <c r="G31" s="619">
        <f t="shared" si="2"/>
        <v>0</v>
      </c>
      <c r="H31" s="1180"/>
      <c r="I31" s="791">
        <v>0</v>
      </c>
      <c r="J31" s="618">
        <f>'Labor Rates'!H30</f>
        <v>0</v>
      </c>
      <c r="K31" s="619">
        <f t="shared" si="3"/>
        <v>0</v>
      </c>
      <c r="L31" s="1180"/>
      <c r="M31" s="791">
        <v>0</v>
      </c>
      <c r="N31" s="618">
        <f>'Labor Rates'!J30</f>
        <v>0</v>
      </c>
      <c r="O31" s="619">
        <f t="shared" si="4"/>
        <v>0</v>
      </c>
      <c r="P31" s="1180"/>
      <c r="Q31" s="791">
        <v>0</v>
      </c>
      <c r="R31" s="618">
        <f>'Labor Rates'!L30</f>
        <v>0</v>
      </c>
      <c r="S31" s="619">
        <f t="shared" si="5"/>
        <v>0</v>
      </c>
      <c r="T31" s="1180"/>
      <c r="U31" s="791">
        <v>0</v>
      </c>
      <c r="V31" s="618">
        <f>'Labor Rates'!N30</f>
        <v>0</v>
      </c>
      <c r="W31" s="619">
        <f t="shared" si="6"/>
        <v>0</v>
      </c>
      <c r="X31" s="1180"/>
      <c r="Y31" s="791">
        <v>0</v>
      </c>
      <c r="Z31" s="618">
        <f>'Labor Rates'!P30</f>
        <v>0</v>
      </c>
      <c r="AA31" s="619">
        <f t="shared" si="7"/>
        <v>0</v>
      </c>
      <c r="AB31" s="975"/>
      <c r="AC31" s="1002">
        <f t="shared" si="0"/>
        <v>0</v>
      </c>
      <c r="AD31" s="619">
        <f t="shared" si="1"/>
        <v>0</v>
      </c>
      <c r="AE31" s="958"/>
    </row>
    <row r="32" spans="1:31" ht="15" customHeight="1" x14ac:dyDescent="0.25">
      <c r="A32" s="1321" t="str">
        <f>IF(ISBLANK('Labor Rates'!D31),"",'Labor Rates'!D31)</f>
        <v/>
      </c>
      <c r="B32" s="1322"/>
      <c r="C32" s="949" t="str">
        <f>IF(ISBLANK('Labor Rates'!E31),"",'Labor Rates'!E31)</f>
        <v/>
      </c>
      <c r="D32" s="960"/>
      <c r="E32" s="791">
        <v>0</v>
      </c>
      <c r="F32" s="618">
        <f>'Labor Rates'!F31</f>
        <v>0</v>
      </c>
      <c r="G32" s="619">
        <f t="shared" si="2"/>
        <v>0</v>
      </c>
      <c r="H32" s="1180"/>
      <c r="I32" s="791">
        <v>0</v>
      </c>
      <c r="J32" s="618">
        <f>'Labor Rates'!H31</f>
        <v>0</v>
      </c>
      <c r="K32" s="619">
        <f t="shared" si="3"/>
        <v>0</v>
      </c>
      <c r="L32" s="1180"/>
      <c r="M32" s="791">
        <v>0</v>
      </c>
      <c r="N32" s="618">
        <f>'Labor Rates'!J31</f>
        <v>0</v>
      </c>
      <c r="O32" s="619">
        <f t="shared" si="4"/>
        <v>0</v>
      </c>
      <c r="P32" s="1180"/>
      <c r="Q32" s="791">
        <v>0</v>
      </c>
      <c r="R32" s="618">
        <f>'Labor Rates'!L31</f>
        <v>0</v>
      </c>
      <c r="S32" s="619">
        <f t="shared" si="5"/>
        <v>0</v>
      </c>
      <c r="T32" s="1180"/>
      <c r="U32" s="791">
        <v>0</v>
      </c>
      <c r="V32" s="618">
        <f>'Labor Rates'!N31</f>
        <v>0</v>
      </c>
      <c r="W32" s="619">
        <f t="shared" si="6"/>
        <v>0</v>
      </c>
      <c r="X32" s="1180"/>
      <c r="Y32" s="791">
        <v>0</v>
      </c>
      <c r="Z32" s="618">
        <f>'Labor Rates'!P31</f>
        <v>0</v>
      </c>
      <c r="AA32" s="619">
        <f t="shared" si="7"/>
        <v>0</v>
      </c>
      <c r="AB32" s="975"/>
      <c r="AC32" s="1002">
        <f t="shared" si="0"/>
        <v>0</v>
      </c>
      <c r="AD32" s="619">
        <f t="shared" si="1"/>
        <v>0</v>
      </c>
      <c r="AE32" s="958"/>
    </row>
    <row r="33" spans="1:545" s="620" customFormat="1" ht="23.15" customHeight="1" x14ac:dyDescent="0.25">
      <c r="A33" s="1004"/>
      <c r="B33" s="1005"/>
      <c r="C33" s="1130" t="s">
        <v>332</v>
      </c>
      <c r="D33" s="960"/>
      <c r="E33" s="800">
        <f>SUM(E9:E32)</f>
        <v>0</v>
      </c>
      <c r="F33" s="1143" t="s">
        <v>333</v>
      </c>
      <c r="G33" s="795">
        <f>SUM(G9:G32)</f>
        <v>0</v>
      </c>
      <c r="H33" s="977"/>
      <c r="I33" s="800">
        <f>SUM(I9:I32)</f>
        <v>0</v>
      </c>
      <c r="J33" s="1143" t="s">
        <v>333</v>
      </c>
      <c r="K33" s="795">
        <f>SUM(K9:K32)</f>
        <v>0</v>
      </c>
      <c r="L33" s="977"/>
      <c r="M33" s="800">
        <f>SUM(M9:M32)</f>
        <v>0</v>
      </c>
      <c r="N33" s="1143" t="s">
        <v>333</v>
      </c>
      <c r="O33" s="795">
        <f>SUM(O9:O32)</f>
        <v>0</v>
      </c>
      <c r="P33" s="977"/>
      <c r="Q33" s="800">
        <f>SUM(Q9:Q32)</f>
        <v>0</v>
      </c>
      <c r="R33" s="1143" t="s">
        <v>333</v>
      </c>
      <c r="S33" s="621">
        <f>SUM(S9:S32)</f>
        <v>0</v>
      </c>
      <c r="T33" s="977"/>
      <c r="U33" s="800">
        <f>SUM(U9:U32)</f>
        <v>0</v>
      </c>
      <c r="V33" s="1143" t="s">
        <v>333</v>
      </c>
      <c r="W33" s="795">
        <f>SUM(W9:W32)</f>
        <v>0</v>
      </c>
      <c r="X33" s="977"/>
      <c r="Y33" s="800">
        <f>SUM(Y9:Y32)</f>
        <v>0</v>
      </c>
      <c r="Z33" s="1143" t="s">
        <v>333</v>
      </c>
      <c r="AA33" s="795">
        <f>SUM(AA9:AA32)</f>
        <v>0</v>
      </c>
      <c r="AB33" s="976"/>
      <c r="AC33" s="800">
        <f>SUM(AC9:AC32)</f>
        <v>0</v>
      </c>
      <c r="AD33" s="795">
        <f>SUM(AD9:AD32)</f>
        <v>0</v>
      </c>
      <c r="AE33" s="971"/>
      <c r="AF33" s="806"/>
      <c r="AG33" s="806"/>
      <c r="AH33" s="292"/>
      <c r="AI33" s="292"/>
      <c r="AJ33" s="292"/>
      <c r="AK33" s="292"/>
      <c r="AL33" s="806"/>
      <c r="AM33" s="806"/>
      <c r="AN33" s="806"/>
      <c r="AO33" s="806"/>
      <c r="AP33" s="807"/>
      <c r="AQ33" s="292"/>
      <c r="AR33" s="292"/>
      <c r="AS33" s="292"/>
      <c r="AT33" s="806"/>
      <c r="AU33" s="806"/>
      <c r="AV33" s="806"/>
      <c r="AW33" s="806"/>
      <c r="AX33" s="807"/>
      <c r="AY33" s="292"/>
      <c r="AZ33" s="292"/>
      <c r="BA33" s="292"/>
      <c r="BB33" s="806"/>
      <c r="BC33" s="806"/>
      <c r="BD33" s="806"/>
      <c r="BE33" s="806"/>
      <c r="BF33" s="807"/>
      <c r="BG33" s="292"/>
      <c r="BH33" s="807"/>
      <c r="BI33" s="292"/>
      <c r="BJ33" s="292"/>
      <c r="BK33" s="292"/>
      <c r="BL33" s="292"/>
      <c r="BM33" s="292"/>
      <c r="BN33" s="292"/>
      <c r="BO33" s="292"/>
      <c r="BP33" s="292"/>
      <c r="BQ33" s="292"/>
      <c r="BR33" s="292"/>
      <c r="BS33" s="292"/>
      <c r="BT33" s="292"/>
      <c r="BU33" s="292"/>
      <c r="BV33" s="292"/>
      <c r="BW33" s="292"/>
      <c r="BX33" s="292"/>
      <c r="BY33" s="292"/>
      <c r="BZ33" s="292"/>
      <c r="CA33" s="292"/>
      <c r="CB33" s="292"/>
      <c r="CC33" s="292"/>
      <c r="CD33" s="292"/>
      <c r="CE33" s="292"/>
      <c r="CF33" s="292"/>
      <c r="CG33" s="292"/>
      <c r="CH33" s="292"/>
      <c r="CI33" s="292"/>
      <c r="CJ33" s="292"/>
      <c r="CK33" s="292"/>
      <c r="CL33" s="292"/>
      <c r="CM33" s="292"/>
      <c r="CN33" s="292"/>
      <c r="CO33" s="292"/>
      <c r="CP33" s="292"/>
      <c r="CQ33" s="292"/>
      <c r="CR33" s="292"/>
      <c r="CS33" s="292"/>
      <c r="CT33" s="292"/>
      <c r="CU33" s="292"/>
      <c r="CV33" s="292"/>
      <c r="CW33" s="292"/>
      <c r="CX33" s="292"/>
      <c r="CY33" s="292"/>
      <c r="CZ33" s="292"/>
      <c r="DA33" s="292"/>
      <c r="DB33" s="292"/>
      <c r="DC33" s="292"/>
      <c r="DD33" s="292"/>
      <c r="DE33" s="292"/>
      <c r="DF33" s="292"/>
      <c r="DG33" s="292"/>
      <c r="DH33" s="292"/>
      <c r="DI33" s="292"/>
      <c r="DJ33" s="292"/>
      <c r="DK33" s="292"/>
      <c r="DL33" s="292"/>
      <c r="DM33" s="292"/>
      <c r="DN33" s="292"/>
      <c r="DO33" s="292"/>
      <c r="DP33" s="292"/>
      <c r="DQ33" s="292"/>
      <c r="DR33" s="292"/>
      <c r="DS33" s="292"/>
      <c r="DT33" s="292"/>
      <c r="DU33" s="292"/>
      <c r="DV33" s="292"/>
      <c r="DW33" s="292"/>
      <c r="DX33" s="292"/>
      <c r="DY33" s="292"/>
      <c r="DZ33" s="292"/>
      <c r="EA33" s="292"/>
      <c r="EB33" s="292"/>
      <c r="EC33" s="292"/>
      <c r="ED33" s="292"/>
      <c r="EE33" s="292"/>
      <c r="EF33" s="292"/>
      <c r="EG33" s="292"/>
      <c r="EH33" s="292"/>
      <c r="EI33" s="292"/>
      <c r="EJ33" s="292"/>
      <c r="EK33" s="292"/>
      <c r="EL33" s="292"/>
      <c r="EM33" s="292"/>
      <c r="EN33" s="292"/>
      <c r="EO33" s="292"/>
      <c r="EP33" s="292"/>
      <c r="EQ33" s="292"/>
      <c r="ER33" s="292"/>
      <c r="ES33" s="292"/>
      <c r="ET33" s="292"/>
      <c r="EU33" s="292"/>
      <c r="EV33" s="292"/>
      <c r="EW33" s="292"/>
      <c r="EX33" s="292"/>
      <c r="EY33" s="292"/>
      <c r="EZ33" s="292"/>
      <c r="FA33" s="292"/>
      <c r="FB33" s="292"/>
      <c r="FC33" s="292"/>
      <c r="FD33" s="292"/>
      <c r="FE33" s="292"/>
      <c r="FF33" s="292"/>
      <c r="FG33" s="292"/>
      <c r="FH33" s="292"/>
      <c r="FI33" s="292"/>
      <c r="FJ33" s="292"/>
      <c r="FK33" s="292"/>
      <c r="FL33" s="292"/>
      <c r="FM33" s="292"/>
      <c r="FN33" s="292"/>
      <c r="FO33" s="292"/>
      <c r="FP33" s="292"/>
      <c r="FQ33" s="292"/>
      <c r="FR33" s="292"/>
      <c r="FS33" s="292"/>
      <c r="FT33" s="292"/>
      <c r="FU33" s="292"/>
      <c r="FV33" s="292"/>
      <c r="FW33" s="292"/>
      <c r="FX33" s="292"/>
      <c r="FY33" s="292"/>
      <c r="FZ33" s="292"/>
      <c r="GA33" s="292"/>
      <c r="GB33" s="292"/>
      <c r="GC33" s="292"/>
      <c r="GD33" s="292"/>
      <c r="GE33" s="292"/>
      <c r="GF33" s="292"/>
      <c r="GG33" s="292"/>
      <c r="GH33" s="292"/>
      <c r="GI33" s="292"/>
      <c r="GJ33" s="292"/>
      <c r="GK33" s="292"/>
      <c r="GL33" s="292"/>
      <c r="GM33" s="292"/>
      <c r="GN33" s="292"/>
      <c r="GO33" s="292"/>
      <c r="GP33" s="292"/>
      <c r="GQ33" s="292"/>
      <c r="GR33" s="292"/>
      <c r="GS33" s="292"/>
      <c r="GT33" s="292"/>
      <c r="GU33" s="292"/>
      <c r="GV33" s="292"/>
      <c r="GW33" s="292"/>
      <c r="GX33" s="292"/>
      <c r="GY33" s="292"/>
      <c r="GZ33" s="292"/>
      <c r="HA33" s="292"/>
      <c r="HB33" s="292"/>
      <c r="HC33" s="292"/>
      <c r="HD33" s="292"/>
      <c r="HE33" s="292"/>
      <c r="HF33" s="292"/>
      <c r="HG33" s="292"/>
      <c r="HH33" s="292"/>
      <c r="HI33" s="292"/>
      <c r="HJ33" s="292"/>
      <c r="HK33" s="292"/>
      <c r="HL33" s="292"/>
      <c r="HM33" s="292"/>
      <c r="HN33" s="292"/>
      <c r="HO33" s="292"/>
      <c r="HP33" s="292"/>
      <c r="HQ33" s="292"/>
      <c r="HR33" s="292"/>
      <c r="HS33" s="292"/>
      <c r="HT33" s="292"/>
      <c r="HU33" s="292"/>
      <c r="HV33" s="292"/>
      <c r="HW33" s="292"/>
      <c r="HX33" s="292"/>
      <c r="HY33" s="292"/>
      <c r="HZ33" s="292"/>
      <c r="IA33" s="292"/>
      <c r="IB33" s="292"/>
      <c r="IC33" s="292"/>
      <c r="ID33" s="292"/>
      <c r="IE33" s="292"/>
      <c r="IF33" s="292"/>
      <c r="IG33" s="292"/>
      <c r="IH33" s="292"/>
      <c r="II33" s="292"/>
      <c r="IJ33" s="292"/>
      <c r="IK33" s="292"/>
      <c r="IL33" s="292"/>
      <c r="IM33" s="292"/>
      <c r="IN33" s="292"/>
      <c r="IO33" s="292"/>
      <c r="IP33" s="292"/>
      <c r="IQ33" s="292"/>
      <c r="IR33" s="292"/>
      <c r="IS33" s="292"/>
      <c r="IT33" s="292"/>
      <c r="IU33" s="292"/>
      <c r="IV33" s="292"/>
      <c r="IW33" s="292"/>
      <c r="IX33" s="292"/>
      <c r="IY33" s="292"/>
      <c r="IZ33" s="292"/>
      <c r="JA33" s="292"/>
      <c r="JB33" s="292"/>
      <c r="JC33" s="292"/>
      <c r="JD33" s="292"/>
      <c r="JE33" s="292"/>
      <c r="JF33" s="292"/>
      <c r="JG33" s="292"/>
      <c r="JH33" s="292"/>
      <c r="JI33" s="292"/>
      <c r="JJ33" s="292"/>
      <c r="JK33" s="292"/>
      <c r="JL33" s="292"/>
      <c r="JM33" s="292"/>
      <c r="JN33" s="292"/>
      <c r="JO33" s="292"/>
      <c r="JP33" s="292"/>
      <c r="JQ33" s="292"/>
      <c r="JR33" s="292"/>
      <c r="JS33" s="292"/>
      <c r="JT33" s="292"/>
      <c r="JU33" s="292"/>
      <c r="JV33" s="292"/>
      <c r="JW33" s="292"/>
      <c r="JX33" s="292"/>
      <c r="JY33" s="292"/>
      <c r="JZ33" s="292"/>
      <c r="KA33" s="292"/>
      <c r="KB33" s="292"/>
      <c r="KC33" s="292"/>
      <c r="KD33" s="292"/>
      <c r="KE33" s="292"/>
      <c r="KF33" s="292"/>
      <c r="KG33" s="292"/>
      <c r="KH33" s="292"/>
      <c r="KI33" s="292"/>
      <c r="KJ33" s="292"/>
      <c r="KK33" s="292"/>
      <c r="KL33" s="292"/>
      <c r="KM33" s="292"/>
      <c r="KN33" s="292"/>
      <c r="KO33" s="292"/>
      <c r="KP33" s="292"/>
      <c r="KQ33" s="292"/>
      <c r="KR33" s="292"/>
      <c r="KS33" s="292"/>
      <c r="KT33" s="292"/>
      <c r="KU33" s="292"/>
      <c r="KV33" s="292"/>
      <c r="KW33" s="292"/>
      <c r="KX33" s="292"/>
      <c r="KY33" s="292"/>
      <c r="KZ33" s="292"/>
      <c r="LA33" s="292"/>
      <c r="LB33" s="292"/>
      <c r="LC33" s="292"/>
      <c r="LD33" s="292"/>
      <c r="LE33" s="292"/>
      <c r="LF33" s="292"/>
      <c r="LG33" s="292"/>
      <c r="LH33" s="292"/>
      <c r="LI33" s="292"/>
      <c r="LJ33" s="292"/>
      <c r="LK33" s="292"/>
      <c r="LL33" s="292"/>
      <c r="LM33" s="292"/>
      <c r="LN33" s="292"/>
      <c r="LO33" s="292"/>
      <c r="LP33" s="292"/>
      <c r="LQ33" s="292"/>
      <c r="LR33" s="292"/>
      <c r="LS33" s="292"/>
      <c r="LT33" s="292"/>
      <c r="LU33" s="292"/>
      <c r="LV33" s="292"/>
      <c r="LW33" s="292"/>
      <c r="LX33" s="292"/>
      <c r="LY33" s="292"/>
      <c r="LZ33" s="292"/>
      <c r="MA33" s="292"/>
      <c r="MB33" s="292"/>
      <c r="MC33" s="292"/>
      <c r="MD33" s="292"/>
      <c r="ME33" s="292"/>
      <c r="MF33" s="292"/>
      <c r="MG33" s="292"/>
      <c r="MH33" s="292"/>
      <c r="MI33" s="292"/>
      <c r="MJ33" s="292"/>
      <c r="MK33" s="292"/>
      <c r="ML33" s="292"/>
      <c r="MM33" s="292"/>
      <c r="MN33" s="292"/>
      <c r="MO33" s="292"/>
      <c r="MP33" s="292"/>
      <c r="MQ33" s="292"/>
      <c r="MR33" s="292"/>
      <c r="MS33" s="292"/>
      <c r="MT33" s="292"/>
      <c r="MU33" s="292"/>
      <c r="MV33" s="292"/>
      <c r="MW33" s="292"/>
      <c r="MX33" s="292"/>
      <c r="MY33" s="292"/>
      <c r="MZ33" s="292"/>
      <c r="NA33" s="292"/>
      <c r="NB33" s="292"/>
      <c r="NC33" s="292"/>
      <c r="ND33" s="292"/>
      <c r="NE33" s="292"/>
      <c r="NF33" s="292"/>
      <c r="NG33" s="292"/>
      <c r="NH33" s="292"/>
      <c r="NI33" s="292"/>
      <c r="NJ33" s="292"/>
      <c r="NK33" s="292"/>
      <c r="NL33" s="292"/>
      <c r="NM33" s="292"/>
      <c r="NN33" s="292"/>
      <c r="NO33" s="292"/>
      <c r="NP33" s="292"/>
      <c r="NQ33" s="292"/>
      <c r="NR33" s="292"/>
      <c r="NS33" s="292"/>
      <c r="NT33" s="292"/>
      <c r="NU33" s="292"/>
      <c r="NV33" s="292"/>
      <c r="NW33" s="292"/>
      <c r="NX33" s="292"/>
      <c r="NY33" s="292"/>
      <c r="NZ33" s="292"/>
      <c r="OA33" s="292"/>
      <c r="OB33" s="292"/>
      <c r="OC33" s="292"/>
      <c r="OD33" s="292"/>
      <c r="OE33" s="292"/>
      <c r="OF33" s="292"/>
      <c r="OG33" s="292"/>
      <c r="OH33" s="292"/>
      <c r="OI33" s="292"/>
      <c r="OJ33" s="292"/>
      <c r="OK33" s="292"/>
      <c r="OL33" s="292"/>
      <c r="OM33" s="292"/>
      <c r="ON33" s="292"/>
      <c r="OO33" s="292"/>
      <c r="OP33" s="292"/>
      <c r="OQ33" s="292"/>
      <c r="OR33" s="292"/>
      <c r="OS33" s="292"/>
      <c r="OT33" s="292"/>
      <c r="OU33" s="292"/>
      <c r="OV33" s="292"/>
      <c r="OW33" s="292"/>
      <c r="OX33" s="292"/>
      <c r="OY33" s="292"/>
      <c r="OZ33" s="292"/>
      <c r="PA33" s="292"/>
      <c r="PB33" s="292"/>
      <c r="PC33" s="292"/>
      <c r="PD33" s="292"/>
      <c r="PE33" s="292"/>
      <c r="PF33" s="292"/>
      <c r="PG33" s="292"/>
      <c r="PH33" s="292"/>
      <c r="PI33" s="292"/>
      <c r="PJ33" s="292"/>
      <c r="PK33" s="292"/>
      <c r="PL33" s="292"/>
      <c r="PM33" s="292"/>
      <c r="PN33" s="292"/>
      <c r="PO33" s="292"/>
      <c r="PP33" s="292"/>
      <c r="PQ33" s="292"/>
      <c r="PR33" s="292"/>
      <c r="PS33" s="292"/>
      <c r="PT33" s="292"/>
      <c r="PU33" s="292"/>
      <c r="PV33" s="292"/>
      <c r="PW33" s="292"/>
      <c r="PX33" s="292"/>
      <c r="PY33" s="292"/>
      <c r="PZ33" s="292"/>
      <c r="QA33" s="292"/>
      <c r="QB33" s="292"/>
      <c r="QC33" s="292"/>
      <c r="QD33" s="292"/>
      <c r="QE33" s="292"/>
      <c r="QF33" s="292"/>
      <c r="QG33" s="292"/>
      <c r="QH33" s="292"/>
      <c r="QI33" s="292"/>
      <c r="QJ33" s="292"/>
      <c r="QK33" s="292"/>
      <c r="QL33" s="292"/>
      <c r="QM33" s="292"/>
      <c r="QN33" s="292"/>
      <c r="QO33" s="292"/>
      <c r="QP33" s="292"/>
      <c r="QQ33" s="292"/>
      <c r="QR33" s="292"/>
      <c r="QS33" s="292"/>
      <c r="QT33" s="292"/>
      <c r="QU33" s="292"/>
      <c r="QV33" s="292"/>
      <c r="QW33" s="292"/>
      <c r="QX33" s="292"/>
      <c r="QY33" s="292"/>
      <c r="QZ33" s="292"/>
      <c r="RA33" s="292"/>
      <c r="RB33" s="292"/>
      <c r="RC33" s="292"/>
      <c r="RD33" s="292"/>
      <c r="RE33" s="292"/>
      <c r="RF33" s="292"/>
      <c r="RG33" s="292"/>
      <c r="RH33" s="292"/>
      <c r="RI33" s="292"/>
      <c r="RJ33" s="292"/>
      <c r="RK33" s="292"/>
      <c r="RL33" s="292"/>
      <c r="RM33" s="292"/>
      <c r="RN33" s="292"/>
      <c r="RO33" s="292"/>
      <c r="RP33" s="292"/>
      <c r="RQ33" s="292"/>
      <c r="RR33" s="292"/>
      <c r="RS33" s="292"/>
      <c r="RT33" s="292"/>
      <c r="RU33" s="292"/>
      <c r="RV33" s="292"/>
      <c r="RW33" s="292"/>
      <c r="RX33" s="292"/>
      <c r="RY33" s="292"/>
      <c r="RZ33" s="292"/>
      <c r="SA33" s="292"/>
      <c r="SB33" s="292"/>
      <c r="SC33" s="292"/>
      <c r="SD33" s="292"/>
      <c r="SE33" s="292"/>
      <c r="SF33" s="292"/>
      <c r="SG33" s="292"/>
      <c r="SH33" s="292"/>
      <c r="SI33" s="292"/>
      <c r="SJ33" s="292"/>
      <c r="SK33" s="292"/>
      <c r="SL33" s="292"/>
      <c r="SM33" s="292"/>
      <c r="SN33" s="292"/>
      <c r="SO33" s="292"/>
      <c r="SP33" s="292"/>
      <c r="SQ33" s="292"/>
      <c r="SR33" s="292"/>
      <c r="SS33" s="292"/>
      <c r="ST33" s="292"/>
      <c r="SU33" s="292"/>
      <c r="SV33" s="292"/>
      <c r="SW33" s="292"/>
      <c r="SX33" s="292"/>
      <c r="SY33" s="292"/>
      <c r="SZ33" s="292"/>
      <c r="TA33" s="292"/>
      <c r="TB33" s="292"/>
      <c r="TC33" s="292"/>
      <c r="TD33" s="292"/>
      <c r="TE33" s="292"/>
      <c r="TF33" s="292"/>
      <c r="TG33" s="292"/>
      <c r="TH33" s="292"/>
      <c r="TI33" s="292"/>
      <c r="TJ33" s="292"/>
      <c r="TK33" s="292"/>
      <c r="TL33" s="292"/>
      <c r="TM33" s="292"/>
      <c r="TN33" s="292"/>
      <c r="TO33" s="292"/>
      <c r="TP33" s="292"/>
      <c r="TQ33" s="292"/>
      <c r="TR33" s="292"/>
      <c r="TS33" s="292"/>
      <c r="TT33" s="292"/>
      <c r="TU33" s="292"/>
      <c r="TV33" s="292"/>
      <c r="TW33" s="292"/>
      <c r="TX33" s="292"/>
      <c r="TY33" s="292"/>
    </row>
    <row r="34" spans="1:545" s="620" customFormat="1" ht="15" customHeight="1" x14ac:dyDescent="0.25">
      <c r="A34" s="1004"/>
      <c r="B34" s="1005"/>
      <c r="C34" s="1006"/>
      <c r="D34" s="960"/>
      <c r="E34" s="980"/>
      <c r="F34" s="976"/>
      <c r="G34" s="981"/>
      <c r="H34" s="977"/>
      <c r="I34" s="980"/>
      <c r="J34" s="962"/>
      <c r="K34" s="981"/>
      <c r="L34" s="977"/>
      <c r="M34" s="980"/>
      <c r="N34" s="982"/>
      <c r="O34" s="981"/>
      <c r="P34" s="977"/>
      <c r="Q34" s="980"/>
      <c r="R34" s="962"/>
      <c r="S34" s="976"/>
      <c r="T34" s="977"/>
      <c r="U34" s="980"/>
      <c r="V34" s="962"/>
      <c r="W34" s="981"/>
      <c r="X34" s="977"/>
      <c r="Y34" s="980"/>
      <c r="Z34" s="962"/>
      <c r="AA34" s="981"/>
      <c r="AB34" s="976"/>
      <c r="AC34" s="980"/>
      <c r="AD34" s="981"/>
      <c r="AE34" s="971"/>
      <c r="AF34" s="806"/>
      <c r="AG34" s="806"/>
      <c r="AH34" s="292"/>
      <c r="AI34" s="292"/>
      <c r="AJ34" s="292"/>
      <c r="AK34" s="292"/>
      <c r="AL34" s="806"/>
      <c r="AM34" s="806"/>
      <c r="AN34" s="806"/>
      <c r="AO34" s="806"/>
      <c r="AP34" s="807"/>
      <c r="AQ34" s="292"/>
      <c r="AR34" s="292"/>
      <c r="AS34" s="292"/>
      <c r="AT34" s="806"/>
      <c r="AU34" s="806"/>
      <c r="AV34" s="806"/>
      <c r="AW34" s="806"/>
      <c r="AX34" s="807"/>
      <c r="AY34" s="292"/>
      <c r="AZ34" s="292"/>
      <c r="BA34" s="292"/>
      <c r="BB34" s="806"/>
      <c r="BC34" s="806"/>
      <c r="BD34" s="806"/>
      <c r="BE34" s="806"/>
      <c r="BF34" s="807"/>
      <c r="BG34" s="292"/>
      <c r="BH34" s="807"/>
      <c r="BI34" s="292"/>
      <c r="BJ34" s="292"/>
      <c r="BK34" s="292"/>
      <c r="BL34" s="292"/>
      <c r="BM34" s="292"/>
      <c r="BN34" s="292"/>
      <c r="BO34" s="292"/>
      <c r="BP34" s="292"/>
      <c r="BQ34" s="292"/>
      <c r="BR34" s="292"/>
      <c r="BS34" s="292"/>
      <c r="BT34" s="292"/>
      <c r="BU34" s="292"/>
      <c r="BV34" s="292"/>
      <c r="BW34" s="292"/>
      <c r="BX34" s="292"/>
      <c r="BY34" s="292"/>
      <c r="BZ34" s="292"/>
      <c r="CA34" s="292"/>
      <c r="CB34" s="292"/>
      <c r="CC34" s="292"/>
      <c r="CD34" s="292"/>
      <c r="CE34" s="292"/>
      <c r="CF34" s="292"/>
      <c r="CG34" s="292"/>
      <c r="CH34" s="292"/>
      <c r="CI34" s="292"/>
      <c r="CJ34" s="292"/>
      <c r="CK34" s="292"/>
      <c r="CL34" s="292"/>
      <c r="CM34" s="292"/>
      <c r="CN34" s="292"/>
      <c r="CO34" s="292"/>
      <c r="CP34" s="292"/>
      <c r="CQ34" s="292"/>
      <c r="CR34" s="292"/>
      <c r="CS34" s="292"/>
      <c r="CT34" s="292"/>
      <c r="CU34" s="292"/>
      <c r="CV34" s="292"/>
      <c r="CW34" s="292"/>
      <c r="CX34" s="292"/>
      <c r="CY34" s="292"/>
      <c r="CZ34" s="292"/>
      <c r="DA34" s="292"/>
      <c r="DB34" s="292"/>
      <c r="DC34" s="292"/>
      <c r="DD34" s="292"/>
      <c r="DE34" s="292"/>
      <c r="DF34" s="292"/>
      <c r="DG34" s="292"/>
      <c r="DH34" s="292"/>
      <c r="DI34" s="292"/>
      <c r="DJ34" s="292"/>
      <c r="DK34" s="292"/>
      <c r="DL34" s="292"/>
      <c r="DM34" s="292"/>
      <c r="DN34" s="292"/>
      <c r="DO34" s="292"/>
      <c r="DP34" s="292"/>
      <c r="DQ34" s="292"/>
      <c r="DR34" s="292"/>
      <c r="DS34" s="292"/>
      <c r="DT34" s="292"/>
      <c r="DU34" s="292"/>
      <c r="DV34" s="292"/>
      <c r="DW34" s="292"/>
      <c r="DX34" s="292"/>
      <c r="DY34" s="292"/>
      <c r="DZ34" s="292"/>
      <c r="EA34" s="292"/>
      <c r="EB34" s="292"/>
      <c r="EC34" s="292"/>
      <c r="ED34" s="292"/>
      <c r="EE34" s="292"/>
      <c r="EF34" s="292"/>
      <c r="EG34" s="292"/>
      <c r="EH34" s="292"/>
      <c r="EI34" s="292"/>
      <c r="EJ34" s="292"/>
      <c r="EK34" s="292"/>
      <c r="EL34" s="292"/>
      <c r="EM34" s="292"/>
      <c r="EN34" s="292"/>
      <c r="EO34" s="292"/>
      <c r="EP34" s="292"/>
      <c r="EQ34" s="292"/>
      <c r="ER34" s="292"/>
      <c r="ES34" s="292"/>
      <c r="ET34" s="292"/>
      <c r="EU34" s="292"/>
      <c r="EV34" s="292"/>
      <c r="EW34" s="292"/>
      <c r="EX34" s="292"/>
      <c r="EY34" s="292"/>
      <c r="EZ34" s="292"/>
      <c r="FA34" s="292"/>
      <c r="FB34" s="292"/>
      <c r="FC34" s="292"/>
      <c r="FD34" s="292"/>
      <c r="FE34" s="292"/>
      <c r="FF34" s="292"/>
      <c r="FG34" s="292"/>
      <c r="FH34" s="292"/>
      <c r="FI34" s="292"/>
      <c r="FJ34" s="292"/>
      <c r="FK34" s="292"/>
      <c r="FL34" s="292"/>
      <c r="FM34" s="292"/>
      <c r="FN34" s="292"/>
      <c r="FO34" s="292"/>
      <c r="FP34" s="292"/>
      <c r="FQ34" s="292"/>
      <c r="FR34" s="292"/>
      <c r="FS34" s="292"/>
      <c r="FT34" s="292"/>
      <c r="FU34" s="292"/>
      <c r="FV34" s="292"/>
      <c r="FW34" s="292"/>
      <c r="FX34" s="292"/>
      <c r="FY34" s="292"/>
      <c r="FZ34" s="292"/>
      <c r="GA34" s="292"/>
      <c r="GB34" s="292"/>
      <c r="GC34" s="292"/>
      <c r="GD34" s="292"/>
      <c r="GE34" s="292"/>
      <c r="GF34" s="292"/>
      <c r="GG34" s="292"/>
      <c r="GH34" s="292"/>
      <c r="GI34" s="292"/>
      <c r="GJ34" s="292"/>
      <c r="GK34" s="292"/>
      <c r="GL34" s="292"/>
      <c r="GM34" s="292"/>
      <c r="GN34" s="292"/>
      <c r="GO34" s="292"/>
      <c r="GP34" s="292"/>
      <c r="GQ34" s="292"/>
      <c r="GR34" s="292"/>
      <c r="GS34" s="292"/>
      <c r="GT34" s="292"/>
      <c r="GU34" s="292"/>
      <c r="GV34" s="292"/>
      <c r="GW34" s="292"/>
      <c r="GX34" s="292"/>
      <c r="GY34" s="292"/>
      <c r="GZ34" s="292"/>
      <c r="HA34" s="292"/>
      <c r="HB34" s="292"/>
      <c r="HC34" s="292"/>
      <c r="HD34" s="292"/>
      <c r="HE34" s="292"/>
      <c r="HF34" s="292"/>
      <c r="HG34" s="292"/>
      <c r="HH34" s="292"/>
      <c r="HI34" s="292"/>
      <c r="HJ34" s="292"/>
      <c r="HK34" s="292"/>
      <c r="HL34" s="292"/>
      <c r="HM34" s="292"/>
      <c r="HN34" s="292"/>
      <c r="HO34" s="292"/>
      <c r="HP34" s="292"/>
      <c r="HQ34" s="292"/>
      <c r="HR34" s="292"/>
      <c r="HS34" s="292"/>
      <c r="HT34" s="292"/>
      <c r="HU34" s="292"/>
      <c r="HV34" s="292"/>
      <c r="HW34" s="292"/>
      <c r="HX34" s="292"/>
      <c r="HY34" s="292"/>
      <c r="HZ34" s="292"/>
      <c r="IA34" s="292"/>
      <c r="IB34" s="292"/>
      <c r="IC34" s="292"/>
      <c r="ID34" s="292"/>
      <c r="IE34" s="292"/>
      <c r="IF34" s="292"/>
      <c r="IG34" s="292"/>
      <c r="IH34" s="292"/>
      <c r="II34" s="292"/>
      <c r="IJ34" s="292"/>
      <c r="IK34" s="292"/>
      <c r="IL34" s="292"/>
      <c r="IM34" s="292"/>
      <c r="IN34" s="292"/>
      <c r="IO34" s="292"/>
      <c r="IP34" s="292"/>
      <c r="IQ34" s="292"/>
      <c r="IR34" s="292"/>
      <c r="IS34" s="292"/>
      <c r="IT34" s="292"/>
      <c r="IU34" s="292"/>
      <c r="IV34" s="292"/>
      <c r="IW34" s="292"/>
      <c r="IX34" s="292"/>
      <c r="IY34" s="292"/>
      <c r="IZ34" s="292"/>
      <c r="JA34" s="292"/>
      <c r="JB34" s="292"/>
      <c r="JC34" s="292"/>
      <c r="JD34" s="292"/>
      <c r="JE34" s="292"/>
      <c r="JF34" s="292"/>
      <c r="JG34" s="292"/>
      <c r="JH34" s="292"/>
      <c r="JI34" s="292"/>
      <c r="JJ34" s="292"/>
      <c r="JK34" s="292"/>
      <c r="JL34" s="292"/>
      <c r="JM34" s="292"/>
      <c r="JN34" s="292"/>
      <c r="JO34" s="292"/>
      <c r="JP34" s="292"/>
      <c r="JQ34" s="292"/>
      <c r="JR34" s="292"/>
      <c r="JS34" s="292"/>
      <c r="JT34" s="292"/>
      <c r="JU34" s="292"/>
      <c r="JV34" s="292"/>
      <c r="JW34" s="292"/>
      <c r="JX34" s="292"/>
      <c r="JY34" s="292"/>
      <c r="JZ34" s="292"/>
      <c r="KA34" s="292"/>
      <c r="KB34" s="292"/>
      <c r="KC34" s="292"/>
      <c r="KD34" s="292"/>
      <c r="KE34" s="292"/>
      <c r="KF34" s="292"/>
      <c r="KG34" s="292"/>
      <c r="KH34" s="292"/>
      <c r="KI34" s="292"/>
      <c r="KJ34" s="292"/>
      <c r="KK34" s="292"/>
      <c r="KL34" s="292"/>
      <c r="KM34" s="292"/>
      <c r="KN34" s="292"/>
      <c r="KO34" s="292"/>
      <c r="KP34" s="292"/>
      <c r="KQ34" s="292"/>
      <c r="KR34" s="292"/>
      <c r="KS34" s="292"/>
      <c r="KT34" s="292"/>
      <c r="KU34" s="292"/>
      <c r="KV34" s="292"/>
      <c r="KW34" s="292"/>
      <c r="KX34" s="292"/>
      <c r="KY34" s="292"/>
      <c r="KZ34" s="292"/>
      <c r="LA34" s="292"/>
      <c r="LB34" s="292"/>
      <c r="LC34" s="292"/>
      <c r="LD34" s="292"/>
      <c r="LE34" s="292"/>
      <c r="LF34" s="292"/>
      <c r="LG34" s="292"/>
      <c r="LH34" s="292"/>
      <c r="LI34" s="292"/>
      <c r="LJ34" s="292"/>
      <c r="LK34" s="292"/>
      <c r="LL34" s="292"/>
      <c r="LM34" s="292"/>
      <c r="LN34" s="292"/>
      <c r="LO34" s="292"/>
      <c r="LP34" s="292"/>
      <c r="LQ34" s="292"/>
      <c r="LR34" s="292"/>
      <c r="LS34" s="292"/>
      <c r="LT34" s="292"/>
      <c r="LU34" s="292"/>
      <c r="LV34" s="292"/>
      <c r="LW34" s="292"/>
      <c r="LX34" s="292"/>
      <c r="LY34" s="292"/>
      <c r="LZ34" s="292"/>
      <c r="MA34" s="292"/>
      <c r="MB34" s="292"/>
      <c r="MC34" s="292"/>
      <c r="MD34" s="292"/>
      <c r="ME34" s="292"/>
      <c r="MF34" s="292"/>
      <c r="MG34" s="292"/>
      <c r="MH34" s="292"/>
      <c r="MI34" s="292"/>
      <c r="MJ34" s="292"/>
      <c r="MK34" s="292"/>
      <c r="ML34" s="292"/>
      <c r="MM34" s="292"/>
      <c r="MN34" s="292"/>
      <c r="MO34" s="292"/>
      <c r="MP34" s="292"/>
      <c r="MQ34" s="292"/>
      <c r="MR34" s="292"/>
      <c r="MS34" s="292"/>
      <c r="MT34" s="292"/>
      <c r="MU34" s="292"/>
      <c r="MV34" s="292"/>
      <c r="MW34" s="292"/>
      <c r="MX34" s="292"/>
      <c r="MY34" s="292"/>
      <c r="MZ34" s="292"/>
      <c r="NA34" s="292"/>
      <c r="NB34" s="292"/>
      <c r="NC34" s="292"/>
      <c r="ND34" s="292"/>
      <c r="NE34" s="292"/>
      <c r="NF34" s="292"/>
      <c r="NG34" s="292"/>
      <c r="NH34" s="292"/>
      <c r="NI34" s="292"/>
      <c r="NJ34" s="292"/>
      <c r="NK34" s="292"/>
      <c r="NL34" s="292"/>
      <c r="NM34" s="292"/>
      <c r="NN34" s="292"/>
      <c r="NO34" s="292"/>
      <c r="NP34" s="292"/>
      <c r="NQ34" s="292"/>
      <c r="NR34" s="292"/>
      <c r="NS34" s="292"/>
      <c r="NT34" s="292"/>
      <c r="NU34" s="292"/>
      <c r="NV34" s="292"/>
      <c r="NW34" s="292"/>
      <c r="NX34" s="292"/>
      <c r="NY34" s="292"/>
      <c r="NZ34" s="292"/>
      <c r="OA34" s="292"/>
      <c r="OB34" s="292"/>
      <c r="OC34" s="292"/>
      <c r="OD34" s="292"/>
      <c r="OE34" s="292"/>
      <c r="OF34" s="292"/>
      <c r="OG34" s="292"/>
      <c r="OH34" s="292"/>
      <c r="OI34" s="292"/>
      <c r="OJ34" s="292"/>
      <c r="OK34" s="292"/>
      <c r="OL34" s="292"/>
      <c r="OM34" s="292"/>
      <c r="ON34" s="292"/>
      <c r="OO34" s="292"/>
      <c r="OP34" s="292"/>
      <c r="OQ34" s="292"/>
      <c r="OR34" s="292"/>
      <c r="OS34" s="292"/>
      <c r="OT34" s="292"/>
      <c r="OU34" s="292"/>
      <c r="OV34" s="292"/>
      <c r="OW34" s="292"/>
      <c r="OX34" s="292"/>
      <c r="OY34" s="292"/>
      <c r="OZ34" s="292"/>
      <c r="PA34" s="292"/>
      <c r="PB34" s="292"/>
      <c r="PC34" s="292"/>
      <c r="PD34" s="292"/>
      <c r="PE34" s="292"/>
      <c r="PF34" s="292"/>
      <c r="PG34" s="292"/>
      <c r="PH34" s="292"/>
      <c r="PI34" s="292"/>
      <c r="PJ34" s="292"/>
      <c r="PK34" s="292"/>
      <c r="PL34" s="292"/>
      <c r="PM34" s="292"/>
      <c r="PN34" s="292"/>
      <c r="PO34" s="292"/>
      <c r="PP34" s="292"/>
      <c r="PQ34" s="292"/>
      <c r="PR34" s="292"/>
      <c r="PS34" s="292"/>
      <c r="PT34" s="292"/>
      <c r="PU34" s="292"/>
      <c r="PV34" s="292"/>
      <c r="PW34" s="292"/>
      <c r="PX34" s="292"/>
      <c r="PY34" s="292"/>
      <c r="PZ34" s="292"/>
      <c r="QA34" s="292"/>
      <c r="QB34" s="292"/>
      <c r="QC34" s="292"/>
      <c r="QD34" s="292"/>
      <c r="QE34" s="292"/>
      <c r="QF34" s="292"/>
      <c r="QG34" s="292"/>
      <c r="QH34" s="292"/>
      <c r="QI34" s="292"/>
      <c r="QJ34" s="292"/>
      <c r="QK34" s="292"/>
      <c r="QL34" s="292"/>
      <c r="QM34" s="292"/>
      <c r="QN34" s="292"/>
      <c r="QO34" s="292"/>
      <c r="QP34" s="292"/>
      <c r="QQ34" s="292"/>
      <c r="QR34" s="292"/>
      <c r="QS34" s="292"/>
      <c r="QT34" s="292"/>
      <c r="QU34" s="292"/>
      <c r="QV34" s="292"/>
      <c r="QW34" s="292"/>
      <c r="QX34" s="292"/>
      <c r="QY34" s="292"/>
      <c r="QZ34" s="292"/>
      <c r="RA34" s="292"/>
      <c r="RB34" s="292"/>
      <c r="RC34" s="292"/>
      <c r="RD34" s="292"/>
      <c r="RE34" s="292"/>
      <c r="RF34" s="292"/>
      <c r="RG34" s="292"/>
      <c r="RH34" s="292"/>
      <c r="RI34" s="292"/>
      <c r="RJ34" s="292"/>
      <c r="RK34" s="292"/>
      <c r="RL34" s="292"/>
      <c r="RM34" s="292"/>
      <c r="RN34" s="292"/>
      <c r="RO34" s="292"/>
      <c r="RP34" s="292"/>
      <c r="RQ34" s="292"/>
      <c r="RR34" s="292"/>
      <c r="RS34" s="292"/>
      <c r="RT34" s="292"/>
      <c r="RU34" s="292"/>
      <c r="RV34" s="292"/>
      <c r="RW34" s="292"/>
      <c r="RX34" s="292"/>
      <c r="RY34" s="292"/>
      <c r="RZ34" s="292"/>
      <c r="SA34" s="292"/>
      <c r="SB34" s="292"/>
      <c r="SC34" s="292"/>
      <c r="SD34" s="292"/>
      <c r="SE34" s="292"/>
      <c r="SF34" s="292"/>
      <c r="SG34" s="292"/>
      <c r="SH34" s="292"/>
      <c r="SI34" s="292"/>
      <c r="SJ34" s="292"/>
      <c r="SK34" s="292"/>
      <c r="SL34" s="292"/>
      <c r="SM34" s="292"/>
      <c r="SN34" s="292"/>
      <c r="SO34" s="292"/>
      <c r="SP34" s="292"/>
      <c r="SQ34" s="292"/>
      <c r="SR34" s="292"/>
      <c r="SS34" s="292"/>
      <c r="ST34" s="292"/>
      <c r="SU34" s="292"/>
      <c r="SV34" s="292"/>
      <c r="SW34" s="292"/>
      <c r="SX34" s="292"/>
      <c r="SY34" s="292"/>
      <c r="SZ34" s="292"/>
      <c r="TA34" s="292"/>
      <c r="TB34" s="292"/>
      <c r="TC34" s="292"/>
      <c r="TD34" s="292"/>
      <c r="TE34" s="292"/>
      <c r="TF34" s="292"/>
      <c r="TG34" s="292"/>
      <c r="TH34" s="292"/>
      <c r="TI34" s="292"/>
      <c r="TJ34" s="292"/>
      <c r="TK34" s="292"/>
      <c r="TL34" s="292"/>
      <c r="TM34" s="292"/>
      <c r="TN34" s="292"/>
      <c r="TO34" s="292"/>
      <c r="TP34" s="292"/>
      <c r="TQ34" s="292"/>
      <c r="TR34" s="292"/>
      <c r="TS34" s="292"/>
      <c r="TT34" s="292"/>
      <c r="TU34" s="292"/>
      <c r="TV34" s="292"/>
      <c r="TW34" s="292"/>
      <c r="TX34" s="292"/>
      <c r="TY34" s="292"/>
    </row>
    <row r="35" spans="1:545" ht="20.149999999999999" customHeight="1" x14ac:dyDescent="0.25">
      <c r="A35" s="1344" t="s">
        <v>334</v>
      </c>
      <c r="B35" s="1345"/>
      <c r="C35" s="1345"/>
      <c r="D35" s="957"/>
      <c r="E35" s="957"/>
      <c r="F35" s="957"/>
      <c r="G35" s="1137" t="s">
        <v>335</v>
      </c>
      <c r="H35" s="957"/>
      <c r="I35" s="957"/>
      <c r="J35" s="957"/>
      <c r="K35" s="1137" t="s">
        <v>335</v>
      </c>
      <c r="L35" s="957"/>
      <c r="M35" s="957"/>
      <c r="N35" s="957"/>
      <c r="O35" s="1137" t="s">
        <v>335</v>
      </c>
      <c r="P35" s="957"/>
      <c r="Q35" s="957"/>
      <c r="R35" s="957"/>
      <c r="S35" s="1137" t="s">
        <v>335</v>
      </c>
      <c r="T35" s="957"/>
      <c r="U35" s="957"/>
      <c r="V35" s="957"/>
      <c r="W35" s="1137" t="s">
        <v>335</v>
      </c>
      <c r="X35" s="957"/>
      <c r="Y35" s="957"/>
      <c r="Z35" s="957"/>
      <c r="AA35" s="1137" t="s">
        <v>335</v>
      </c>
      <c r="AB35" s="957"/>
      <c r="AC35" s="957"/>
      <c r="AD35" s="1171" t="s">
        <v>336</v>
      </c>
      <c r="AE35" s="971"/>
    </row>
    <row r="36" spans="1:545" ht="15" customHeight="1" x14ac:dyDescent="0.25">
      <c r="A36" s="1337" t="s">
        <v>337</v>
      </c>
      <c r="B36" s="1338"/>
      <c r="C36" s="1094" t="s">
        <v>338</v>
      </c>
      <c r="D36" s="957"/>
      <c r="E36" s="957"/>
      <c r="F36" s="957"/>
      <c r="G36" s="622">
        <v>0</v>
      </c>
      <c r="H36" s="957"/>
      <c r="I36" s="957"/>
      <c r="J36" s="957"/>
      <c r="K36" s="622">
        <v>0</v>
      </c>
      <c r="L36" s="957"/>
      <c r="M36" s="957"/>
      <c r="N36" s="957"/>
      <c r="O36" s="622">
        <v>0</v>
      </c>
      <c r="P36" s="957"/>
      <c r="Q36" s="957"/>
      <c r="R36" s="957"/>
      <c r="S36" s="622">
        <v>0</v>
      </c>
      <c r="T36" s="957"/>
      <c r="U36" s="957"/>
      <c r="V36" s="957"/>
      <c r="W36" s="622">
        <v>0</v>
      </c>
      <c r="X36" s="957"/>
      <c r="Y36" s="957"/>
      <c r="Z36" s="957"/>
      <c r="AA36" s="622">
        <v>0</v>
      </c>
      <c r="AB36" s="975"/>
      <c r="AC36" s="957"/>
      <c r="AD36" s="1001">
        <f>G36+K36+O36+S36+W36+AA36</f>
        <v>0</v>
      </c>
      <c r="AE36" s="971"/>
    </row>
    <row r="37" spans="1:545" ht="15" customHeight="1" x14ac:dyDescent="0.25">
      <c r="A37" s="1337" t="s">
        <v>339</v>
      </c>
      <c r="B37" s="1338"/>
      <c r="C37" s="1094" t="s">
        <v>338</v>
      </c>
      <c r="D37" s="957"/>
      <c r="E37" s="957"/>
      <c r="F37" s="957"/>
      <c r="G37" s="622">
        <v>0</v>
      </c>
      <c r="H37" s="957"/>
      <c r="I37" s="957"/>
      <c r="J37" s="957"/>
      <c r="K37" s="622">
        <v>0</v>
      </c>
      <c r="L37" s="957"/>
      <c r="M37" s="957"/>
      <c r="N37" s="957"/>
      <c r="O37" s="622">
        <v>0</v>
      </c>
      <c r="P37" s="957"/>
      <c r="Q37" s="957"/>
      <c r="R37" s="957"/>
      <c r="S37" s="622">
        <v>0</v>
      </c>
      <c r="T37" s="957"/>
      <c r="U37" s="957"/>
      <c r="V37" s="957"/>
      <c r="W37" s="622">
        <v>0</v>
      </c>
      <c r="X37" s="957"/>
      <c r="Y37" s="957"/>
      <c r="Z37" s="957"/>
      <c r="AA37" s="622">
        <v>0</v>
      </c>
      <c r="AB37" s="975"/>
      <c r="AC37" s="957"/>
      <c r="AD37" s="1001">
        <f>G37+K37+O37+S37+W37+AA37</f>
        <v>0</v>
      </c>
      <c r="AE37" s="971"/>
    </row>
    <row r="38" spans="1:545" ht="15" customHeight="1" x14ac:dyDescent="0.25">
      <c r="A38" s="1337" t="s">
        <v>340</v>
      </c>
      <c r="B38" s="1338"/>
      <c r="C38" s="1094" t="s">
        <v>338</v>
      </c>
      <c r="D38" s="957"/>
      <c r="E38" s="957"/>
      <c r="F38" s="957"/>
      <c r="G38" s="622">
        <v>0</v>
      </c>
      <c r="H38" s="957"/>
      <c r="I38" s="957"/>
      <c r="J38" s="957"/>
      <c r="K38" s="622">
        <v>0</v>
      </c>
      <c r="L38" s="957"/>
      <c r="M38" s="957"/>
      <c r="N38" s="957"/>
      <c r="O38" s="622">
        <v>0</v>
      </c>
      <c r="P38" s="957"/>
      <c r="Q38" s="957"/>
      <c r="R38" s="957"/>
      <c r="S38" s="622">
        <v>0</v>
      </c>
      <c r="T38" s="957"/>
      <c r="U38" s="957"/>
      <c r="V38" s="957"/>
      <c r="W38" s="622">
        <v>0</v>
      </c>
      <c r="X38" s="957"/>
      <c r="Y38" s="957"/>
      <c r="Z38" s="957"/>
      <c r="AA38" s="622">
        <v>0</v>
      </c>
      <c r="AB38" s="975"/>
      <c r="AC38" s="957"/>
      <c r="AD38" s="1001">
        <f>G38+K38+O38+S38+W38+AA38</f>
        <v>0</v>
      </c>
      <c r="AE38" s="971"/>
    </row>
    <row r="39" spans="1:545" ht="15" customHeight="1" x14ac:dyDescent="0.25">
      <c r="A39" s="1329" t="s">
        <v>341</v>
      </c>
      <c r="B39" s="1330"/>
      <c r="C39" s="1094" t="s">
        <v>338</v>
      </c>
      <c r="D39" s="957"/>
      <c r="E39" s="957"/>
      <c r="F39" s="957"/>
      <c r="G39" s="622">
        <v>0</v>
      </c>
      <c r="H39" s="957"/>
      <c r="I39" s="957"/>
      <c r="J39" s="957"/>
      <c r="K39" s="622">
        <v>0</v>
      </c>
      <c r="L39" s="957"/>
      <c r="M39" s="957"/>
      <c r="N39" s="957"/>
      <c r="O39" s="622">
        <v>0</v>
      </c>
      <c r="P39" s="957"/>
      <c r="Q39" s="957"/>
      <c r="R39" s="957"/>
      <c r="S39" s="622">
        <v>0</v>
      </c>
      <c r="T39" s="957"/>
      <c r="U39" s="957"/>
      <c r="V39" s="957"/>
      <c r="W39" s="622">
        <v>0</v>
      </c>
      <c r="X39" s="957"/>
      <c r="Y39" s="957"/>
      <c r="Z39" s="957"/>
      <c r="AA39" s="622">
        <v>0</v>
      </c>
      <c r="AB39" s="975"/>
      <c r="AC39" s="957"/>
      <c r="AD39" s="1001">
        <f>G39+K39+O39+S39+W39+AA39</f>
        <v>0</v>
      </c>
      <c r="AE39" s="971"/>
    </row>
    <row r="40" spans="1:545" s="623" customFormat="1" ht="23.15" customHeight="1" x14ac:dyDescent="0.25">
      <c r="A40" s="1358" t="s">
        <v>335</v>
      </c>
      <c r="B40" s="1359"/>
      <c r="C40" s="1359"/>
      <c r="D40" s="962"/>
      <c r="E40" s="962"/>
      <c r="F40" s="962"/>
      <c r="G40" s="794">
        <f>SUM(G35:G39)</f>
        <v>0</v>
      </c>
      <c r="H40" s="979"/>
      <c r="I40" s="962"/>
      <c r="J40" s="962"/>
      <c r="K40" s="794">
        <f>SUM(K35:K39)</f>
        <v>0</v>
      </c>
      <c r="L40" s="979"/>
      <c r="M40" s="962"/>
      <c r="N40" s="962"/>
      <c r="O40" s="794">
        <f>SUM(O35:O39)</f>
        <v>0</v>
      </c>
      <c r="P40" s="979"/>
      <c r="Q40" s="957"/>
      <c r="R40" s="957"/>
      <c r="S40" s="794">
        <f>SUM(S35:S39)</f>
        <v>0</v>
      </c>
      <c r="T40" s="957"/>
      <c r="U40" s="1295"/>
      <c r="V40" s="1295"/>
      <c r="W40" s="794">
        <f>SUM(W35:W39)</f>
        <v>0</v>
      </c>
      <c r="X40" s="957"/>
      <c r="Y40" s="1295"/>
      <c r="Z40" s="1295"/>
      <c r="AA40" s="794">
        <f>SUM(AA35:AA39)</f>
        <v>0</v>
      </c>
      <c r="AB40" s="976"/>
      <c r="AC40" s="957"/>
      <c r="AD40" s="794">
        <f>G40+K40+O40+S40+W40+AA40</f>
        <v>0</v>
      </c>
      <c r="AE40" s="971"/>
      <c r="AF40" s="292"/>
      <c r="AG40" s="292"/>
      <c r="AH40" s="292"/>
      <c r="AI40" s="292"/>
      <c r="AJ40" s="292"/>
      <c r="AK40" s="292"/>
      <c r="AL40" s="292"/>
      <c r="AM40" s="292"/>
      <c r="AN40" s="292"/>
      <c r="AO40" s="292"/>
      <c r="AP40" s="292"/>
      <c r="AQ40" s="292"/>
      <c r="AR40" s="292"/>
      <c r="AS40" s="292"/>
      <c r="AT40" s="292"/>
      <c r="AU40" s="292"/>
      <c r="AV40" s="292"/>
      <c r="AW40" s="292"/>
      <c r="AX40" s="292"/>
      <c r="AY40" s="292"/>
      <c r="AZ40" s="292"/>
      <c r="BA40" s="292"/>
      <c r="BB40" s="292"/>
      <c r="BC40" s="292"/>
      <c r="BD40" s="292"/>
      <c r="BE40" s="292"/>
      <c r="BF40" s="292"/>
      <c r="BG40" s="292"/>
      <c r="BH40" s="292"/>
      <c r="BI40" s="292"/>
      <c r="BJ40" s="292"/>
      <c r="BK40" s="292"/>
      <c r="BL40" s="292"/>
      <c r="BM40" s="292"/>
      <c r="BN40" s="292"/>
      <c r="BO40" s="292"/>
      <c r="BP40" s="292"/>
      <c r="BQ40" s="292"/>
      <c r="BR40" s="292"/>
      <c r="BS40" s="292"/>
      <c r="BT40" s="292"/>
      <c r="BU40" s="292"/>
      <c r="BV40" s="292"/>
      <c r="BW40" s="292"/>
      <c r="BX40" s="292"/>
      <c r="BY40" s="292"/>
      <c r="BZ40" s="292"/>
      <c r="CA40" s="292"/>
      <c r="CB40" s="292"/>
      <c r="CC40" s="292"/>
      <c r="CD40" s="292"/>
      <c r="CE40" s="292"/>
      <c r="CF40" s="292"/>
      <c r="CG40" s="292"/>
      <c r="CH40" s="292"/>
      <c r="CI40" s="292"/>
      <c r="CJ40" s="292"/>
      <c r="CK40" s="292"/>
      <c r="CL40" s="292"/>
      <c r="CM40" s="292"/>
      <c r="CN40" s="292"/>
      <c r="CO40" s="292"/>
      <c r="CP40" s="292"/>
      <c r="CQ40" s="292"/>
      <c r="CR40" s="292"/>
      <c r="CS40" s="292"/>
      <c r="CT40" s="292"/>
      <c r="CU40" s="292"/>
      <c r="CV40" s="292"/>
      <c r="CW40" s="292"/>
      <c r="CX40" s="292"/>
      <c r="CY40" s="292"/>
      <c r="CZ40" s="292"/>
      <c r="DA40" s="292"/>
      <c r="DB40" s="292"/>
      <c r="DC40" s="292"/>
      <c r="DD40" s="292"/>
      <c r="DE40" s="292"/>
      <c r="DF40" s="292"/>
      <c r="DG40" s="292"/>
      <c r="DH40" s="292"/>
      <c r="DI40" s="292"/>
      <c r="DJ40" s="292"/>
      <c r="DK40" s="292"/>
      <c r="DL40" s="292"/>
      <c r="DM40" s="292"/>
      <c r="DN40" s="292"/>
      <c r="DO40" s="292"/>
      <c r="DP40" s="292"/>
      <c r="DQ40" s="292"/>
      <c r="DR40" s="292"/>
      <c r="DS40" s="292"/>
      <c r="DT40" s="292"/>
      <c r="DU40" s="292"/>
      <c r="DV40" s="292"/>
      <c r="DW40" s="292"/>
      <c r="DX40" s="292"/>
      <c r="DY40" s="292"/>
      <c r="DZ40" s="292"/>
      <c r="EA40" s="292"/>
      <c r="EB40" s="292"/>
      <c r="EC40" s="292"/>
      <c r="ED40" s="292"/>
      <c r="EE40" s="292"/>
      <c r="EF40" s="292"/>
      <c r="EG40" s="292"/>
      <c r="EH40" s="292"/>
      <c r="EI40" s="292"/>
      <c r="EJ40" s="292"/>
      <c r="EK40" s="292"/>
      <c r="EL40" s="292"/>
      <c r="EM40" s="292"/>
      <c r="EN40" s="292"/>
      <c r="EO40" s="292"/>
      <c r="EP40" s="292"/>
      <c r="EQ40" s="292"/>
      <c r="ER40" s="292"/>
      <c r="ES40" s="292"/>
      <c r="ET40" s="292"/>
      <c r="EU40" s="292"/>
      <c r="EV40" s="292"/>
      <c r="EW40" s="292"/>
      <c r="EX40" s="292"/>
      <c r="EY40" s="292"/>
      <c r="EZ40" s="292"/>
      <c r="FA40" s="292"/>
      <c r="FB40" s="292"/>
      <c r="FC40" s="292"/>
      <c r="FD40" s="292"/>
      <c r="FE40" s="292"/>
      <c r="FF40" s="292"/>
      <c r="FG40" s="292"/>
      <c r="FH40" s="292"/>
      <c r="FI40" s="292"/>
      <c r="FJ40" s="292"/>
      <c r="FK40" s="292"/>
      <c r="FL40" s="292"/>
      <c r="FM40" s="292"/>
      <c r="FN40" s="292"/>
      <c r="FO40" s="292"/>
      <c r="FP40" s="292"/>
      <c r="FQ40" s="292"/>
      <c r="FR40" s="292"/>
      <c r="FS40" s="292"/>
      <c r="FT40" s="292"/>
      <c r="FU40" s="292"/>
      <c r="FV40" s="292"/>
      <c r="FW40" s="292"/>
      <c r="FX40" s="292"/>
      <c r="FY40" s="292"/>
      <c r="FZ40" s="292"/>
      <c r="GA40" s="292"/>
      <c r="GB40" s="292"/>
      <c r="GC40" s="292"/>
      <c r="GD40" s="292"/>
      <c r="GE40" s="292"/>
      <c r="GF40" s="292"/>
      <c r="GG40" s="292"/>
      <c r="GH40" s="292"/>
      <c r="GI40" s="292"/>
      <c r="GJ40" s="292"/>
      <c r="GK40" s="292"/>
      <c r="GL40" s="292"/>
      <c r="GM40" s="292"/>
      <c r="GN40" s="292"/>
      <c r="GO40" s="292"/>
      <c r="GP40" s="292"/>
      <c r="GQ40" s="292"/>
      <c r="GR40" s="292"/>
      <c r="GS40" s="292"/>
      <c r="GT40" s="292"/>
      <c r="GU40" s="292"/>
      <c r="GV40" s="292"/>
      <c r="GW40" s="292"/>
      <c r="GX40" s="292"/>
      <c r="GY40" s="292"/>
      <c r="GZ40" s="292"/>
      <c r="HA40" s="292"/>
      <c r="HB40" s="292"/>
      <c r="HC40" s="292"/>
      <c r="HD40" s="292"/>
      <c r="HE40" s="292"/>
      <c r="HF40" s="292"/>
      <c r="HG40" s="292"/>
      <c r="HH40" s="292"/>
      <c r="HI40" s="292"/>
      <c r="HJ40" s="292"/>
      <c r="HK40" s="292"/>
      <c r="HL40" s="292"/>
      <c r="HM40" s="292"/>
      <c r="HN40" s="292"/>
      <c r="HO40" s="292"/>
      <c r="HP40" s="292"/>
      <c r="HQ40" s="292"/>
      <c r="HR40" s="292"/>
      <c r="HS40" s="292"/>
      <c r="HT40" s="292"/>
      <c r="HU40" s="292"/>
      <c r="HV40" s="292"/>
      <c r="HW40" s="292"/>
      <c r="HX40" s="292"/>
      <c r="HY40" s="292"/>
      <c r="HZ40" s="292"/>
      <c r="IA40" s="292"/>
      <c r="IB40" s="292"/>
      <c r="IC40" s="292"/>
      <c r="ID40" s="292"/>
      <c r="IE40" s="292"/>
      <c r="IF40" s="292"/>
      <c r="IG40" s="292"/>
      <c r="IH40" s="292"/>
      <c r="II40" s="292"/>
      <c r="IJ40" s="292"/>
      <c r="IK40" s="292"/>
      <c r="IL40" s="292"/>
      <c r="IM40" s="292"/>
      <c r="IN40" s="292"/>
      <c r="IO40" s="292"/>
      <c r="IP40" s="292"/>
      <c r="IQ40" s="292"/>
      <c r="IR40" s="292"/>
      <c r="IS40" s="292"/>
      <c r="IT40" s="292"/>
      <c r="IU40" s="292"/>
      <c r="IV40" s="292"/>
      <c r="IW40" s="292"/>
      <c r="IX40" s="292"/>
      <c r="IY40" s="292"/>
      <c r="IZ40" s="292"/>
      <c r="JA40" s="292"/>
      <c r="JB40" s="292"/>
      <c r="JC40" s="292"/>
      <c r="JD40" s="292"/>
      <c r="JE40" s="292"/>
      <c r="JF40" s="292"/>
      <c r="JG40" s="292"/>
      <c r="JH40" s="292"/>
      <c r="JI40" s="292"/>
      <c r="JJ40" s="292"/>
      <c r="JK40" s="292"/>
      <c r="JL40" s="292"/>
      <c r="JM40" s="292"/>
      <c r="JN40" s="292"/>
      <c r="JO40" s="292"/>
      <c r="JP40" s="292"/>
      <c r="JQ40" s="292"/>
      <c r="JR40" s="292"/>
      <c r="JS40" s="292"/>
      <c r="JT40" s="292"/>
      <c r="JU40" s="292"/>
      <c r="JV40" s="292"/>
      <c r="JW40" s="292"/>
      <c r="JX40" s="292"/>
      <c r="JY40" s="292"/>
      <c r="JZ40" s="292"/>
      <c r="KA40" s="292"/>
      <c r="KB40" s="292"/>
      <c r="KC40" s="292"/>
      <c r="KD40" s="292"/>
      <c r="KE40" s="292"/>
      <c r="KF40" s="292"/>
      <c r="KG40" s="292"/>
      <c r="KH40" s="292"/>
      <c r="KI40" s="292"/>
      <c r="KJ40" s="292"/>
      <c r="KK40" s="292"/>
      <c r="KL40" s="292"/>
      <c r="KM40" s="292"/>
      <c r="KN40" s="292"/>
      <c r="KO40" s="292"/>
      <c r="KP40" s="292"/>
      <c r="KQ40" s="292"/>
      <c r="KR40" s="292"/>
      <c r="KS40" s="292"/>
      <c r="KT40" s="292"/>
      <c r="KU40" s="292"/>
      <c r="KV40" s="292"/>
      <c r="KW40" s="292"/>
      <c r="KX40" s="292"/>
      <c r="KY40" s="292"/>
      <c r="KZ40" s="292"/>
      <c r="LA40" s="292"/>
      <c r="LB40" s="292"/>
      <c r="LC40" s="292"/>
      <c r="LD40" s="292"/>
      <c r="LE40" s="292"/>
      <c r="LF40" s="292"/>
      <c r="LG40" s="292"/>
      <c r="LH40" s="292"/>
      <c r="LI40" s="292"/>
      <c r="LJ40" s="292"/>
      <c r="LK40" s="292"/>
      <c r="LL40" s="292"/>
      <c r="LM40" s="292"/>
      <c r="LN40" s="292"/>
      <c r="LO40" s="292"/>
      <c r="LP40" s="292"/>
      <c r="LQ40" s="292"/>
      <c r="LR40" s="292"/>
      <c r="LS40" s="292"/>
      <c r="LT40" s="292"/>
      <c r="LU40" s="292"/>
      <c r="LV40" s="292"/>
      <c r="LW40" s="292"/>
      <c r="LX40" s="292"/>
      <c r="LY40" s="292"/>
      <c r="LZ40" s="292"/>
      <c r="MA40" s="292"/>
      <c r="MB40" s="292"/>
      <c r="MC40" s="292"/>
      <c r="MD40" s="292"/>
      <c r="ME40" s="292"/>
      <c r="MF40" s="292"/>
      <c r="MG40" s="292"/>
      <c r="MH40" s="292"/>
      <c r="MI40" s="292"/>
      <c r="MJ40" s="292"/>
      <c r="MK40" s="292"/>
      <c r="ML40" s="292"/>
      <c r="MM40" s="292"/>
      <c r="MN40" s="292"/>
      <c r="MO40" s="292"/>
      <c r="MP40" s="292"/>
      <c r="MQ40" s="292"/>
      <c r="MR40" s="292"/>
      <c r="MS40" s="292"/>
      <c r="MT40" s="292"/>
      <c r="MU40" s="292"/>
      <c r="MV40" s="292"/>
      <c r="MW40" s="292"/>
      <c r="MX40" s="292"/>
      <c r="MY40" s="292"/>
      <c r="MZ40" s="292"/>
      <c r="NA40" s="292"/>
      <c r="NB40" s="292"/>
      <c r="NC40" s="292"/>
      <c r="ND40" s="292"/>
      <c r="NE40" s="292"/>
      <c r="NF40" s="292"/>
      <c r="NG40" s="292"/>
      <c r="NH40" s="292"/>
      <c r="NI40" s="292"/>
      <c r="NJ40" s="292"/>
      <c r="NK40" s="292"/>
      <c r="NL40" s="292"/>
      <c r="NM40" s="292"/>
      <c r="NN40" s="292"/>
      <c r="NO40" s="292"/>
      <c r="NP40" s="292"/>
      <c r="NQ40" s="292"/>
      <c r="NR40" s="292"/>
      <c r="NS40" s="292"/>
      <c r="NT40" s="292"/>
      <c r="NU40" s="292"/>
      <c r="NV40" s="292"/>
      <c r="NW40" s="292"/>
      <c r="NX40" s="292"/>
      <c r="NY40" s="292"/>
      <c r="NZ40" s="292"/>
      <c r="OA40" s="292"/>
      <c r="OB40" s="292"/>
      <c r="OC40" s="292"/>
      <c r="OD40" s="292"/>
      <c r="OE40" s="292"/>
      <c r="OF40" s="292"/>
      <c r="OG40" s="292"/>
      <c r="OH40" s="292"/>
      <c r="OI40" s="292"/>
      <c r="OJ40" s="292"/>
      <c r="OK40" s="292"/>
      <c r="OL40" s="292"/>
      <c r="OM40" s="292"/>
      <c r="ON40" s="292"/>
      <c r="OO40" s="292"/>
      <c r="OP40" s="292"/>
      <c r="OQ40" s="292"/>
      <c r="OR40" s="292"/>
      <c r="OS40" s="292"/>
      <c r="OT40" s="292"/>
      <c r="OU40" s="292"/>
      <c r="OV40" s="292"/>
      <c r="OW40" s="292"/>
      <c r="OX40" s="292"/>
      <c r="OY40" s="292"/>
      <c r="OZ40" s="292"/>
      <c r="PA40" s="292"/>
      <c r="PB40" s="292"/>
      <c r="PC40" s="292"/>
      <c r="PD40" s="292"/>
      <c r="PE40" s="292"/>
      <c r="PF40" s="292"/>
      <c r="PG40" s="292"/>
      <c r="PH40" s="292"/>
      <c r="PI40" s="292"/>
      <c r="PJ40" s="292"/>
      <c r="PK40" s="292"/>
      <c r="PL40" s="292"/>
      <c r="PM40" s="292"/>
      <c r="PN40" s="292"/>
      <c r="PO40" s="292"/>
      <c r="PP40" s="292"/>
      <c r="PQ40" s="292"/>
      <c r="PR40" s="292"/>
      <c r="PS40" s="292"/>
      <c r="PT40" s="292"/>
      <c r="PU40" s="292"/>
      <c r="PV40" s="292"/>
      <c r="PW40" s="292"/>
      <c r="PX40" s="292"/>
      <c r="PY40" s="292"/>
      <c r="PZ40" s="292"/>
      <c r="QA40" s="292"/>
      <c r="QB40" s="292"/>
      <c r="QC40" s="292"/>
      <c r="QD40" s="292"/>
      <c r="QE40" s="292"/>
      <c r="QF40" s="292"/>
      <c r="QG40" s="292"/>
      <c r="QH40" s="292"/>
      <c r="QI40" s="292"/>
      <c r="QJ40" s="292"/>
      <c r="QK40" s="292"/>
      <c r="QL40" s="292"/>
      <c r="QM40" s="292"/>
      <c r="QN40" s="292"/>
      <c r="QO40" s="292"/>
      <c r="QP40" s="292"/>
      <c r="QQ40" s="292"/>
      <c r="QR40" s="292"/>
      <c r="QS40" s="292"/>
      <c r="QT40" s="292"/>
      <c r="QU40" s="292"/>
      <c r="QV40" s="292"/>
      <c r="QW40" s="292"/>
      <c r="QX40" s="292"/>
      <c r="QY40" s="292"/>
      <c r="QZ40" s="292"/>
      <c r="RA40" s="292"/>
      <c r="RB40" s="292"/>
      <c r="RC40" s="292"/>
      <c r="RD40" s="292"/>
      <c r="RE40" s="292"/>
      <c r="RF40" s="292"/>
      <c r="RG40" s="292"/>
      <c r="RH40" s="292"/>
      <c r="RI40" s="292"/>
      <c r="RJ40" s="292"/>
      <c r="RK40" s="292"/>
      <c r="RL40" s="292"/>
      <c r="RM40" s="292"/>
      <c r="RN40" s="292"/>
      <c r="RO40" s="292"/>
      <c r="RP40" s="292"/>
      <c r="RQ40" s="292"/>
      <c r="RR40" s="292"/>
      <c r="RS40" s="292"/>
      <c r="RT40" s="292"/>
      <c r="RU40" s="292"/>
      <c r="RV40" s="292"/>
      <c r="RW40" s="292"/>
      <c r="RX40" s="292"/>
      <c r="RY40" s="292"/>
      <c r="RZ40" s="292"/>
      <c r="SA40" s="292"/>
      <c r="SB40" s="292"/>
      <c r="SC40" s="292"/>
      <c r="SD40" s="292"/>
      <c r="SE40" s="292"/>
      <c r="SF40" s="292"/>
      <c r="SG40" s="292"/>
      <c r="SH40" s="292"/>
      <c r="SI40" s="292"/>
      <c r="SJ40" s="292"/>
      <c r="SK40" s="292"/>
      <c r="SL40" s="292"/>
      <c r="SM40" s="292"/>
      <c r="SN40" s="292"/>
      <c r="SO40" s="292"/>
      <c r="SP40" s="292"/>
      <c r="SQ40" s="292"/>
      <c r="SR40" s="292"/>
      <c r="SS40" s="292"/>
      <c r="ST40" s="292"/>
      <c r="SU40" s="292"/>
    </row>
    <row r="41" spans="1:545" s="620" customFormat="1" ht="15" customHeight="1" x14ac:dyDescent="0.25">
      <c r="A41" s="1007"/>
      <c r="B41" s="1006"/>
      <c r="C41" s="1006"/>
      <c r="D41" s="962"/>
      <c r="E41" s="962"/>
      <c r="F41" s="962"/>
      <c r="G41" s="981"/>
      <c r="H41" s="957"/>
      <c r="I41" s="962"/>
      <c r="J41" s="962"/>
      <c r="K41" s="981"/>
      <c r="L41" s="957"/>
      <c r="M41" s="962"/>
      <c r="N41" s="962"/>
      <c r="O41" s="981"/>
      <c r="P41" s="957"/>
      <c r="Q41" s="957"/>
      <c r="R41" s="957"/>
      <c r="S41" s="981"/>
      <c r="T41" s="957"/>
      <c r="U41" s="1180"/>
      <c r="V41" s="1180"/>
      <c r="W41" s="981"/>
      <c r="X41" s="957"/>
      <c r="Y41" s="1180"/>
      <c r="Z41" s="1180"/>
      <c r="AA41" s="981"/>
      <c r="AB41" s="976"/>
      <c r="AC41" s="957"/>
      <c r="AD41" s="981"/>
      <c r="AE41" s="971"/>
      <c r="AF41" s="292"/>
      <c r="AG41" s="292"/>
      <c r="AH41" s="292"/>
      <c r="AI41" s="292"/>
      <c r="AJ41" s="292"/>
      <c r="AK41" s="292"/>
      <c r="AL41" s="292"/>
      <c r="AM41" s="292"/>
      <c r="AN41" s="292"/>
      <c r="AO41" s="292"/>
      <c r="AP41" s="292"/>
      <c r="AQ41" s="292"/>
      <c r="AR41" s="292"/>
      <c r="AS41" s="292"/>
      <c r="AT41" s="292"/>
      <c r="AU41" s="292"/>
      <c r="AV41" s="292"/>
      <c r="AW41" s="292"/>
      <c r="AX41" s="292"/>
      <c r="AY41" s="292"/>
      <c r="AZ41" s="292"/>
      <c r="BA41" s="292"/>
      <c r="BB41" s="292"/>
      <c r="BC41" s="292"/>
      <c r="BD41" s="292"/>
      <c r="BE41" s="292"/>
      <c r="BF41" s="292"/>
      <c r="BG41" s="292"/>
      <c r="BH41" s="292"/>
      <c r="BI41" s="292"/>
      <c r="BJ41" s="292"/>
      <c r="BK41" s="292"/>
      <c r="BL41" s="292"/>
    </row>
    <row r="42" spans="1:545" ht="27.65" customHeight="1" x14ac:dyDescent="0.25">
      <c r="A42" s="1334" t="s">
        <v>342</v>
      </c>
      <c r="B42" s="1335"/>
      <c r="C42" s="1335"/>
      <c r="D42" s="957"/>
      <c r="E42" s="1179" t="s">
        <v>327</v>
      </c>
      <c r="F42" s="1179" t="s">
        <v>343</v>
      </c>
      <c r="G42" s="1141" t="s">
        <v>344</v>
      </c>
      <c r="H42" s="957"/>
      <c r="I42" s="1179" t="s">
        <v>327</v>
      </c>
      <c r="J42" s="1179" t="s">
        <v>343</v>
      </c>
      <c r="K42" s="1141" t="s">
        <v>344</v>
      </c>
      <c r="L42" s="957"/>
      <c r="M42" s="1179" t="s">
        <v>327</v>
      </c>
      <c r="N42" s="1179" t="s">
        <v>343</v>
      </c>
      <c r="O42" s="1141" t="s">
        <v>344</v>
      </c>
      <c r="P42" s="957"/>
      <c r="Q42" s="1179" t="s">
        <v>327</v>
      </c>
      <c r="R42" s="1179" t="s">
        <v>343</v>
      </c>
      <c r="S42" s="1141" t="s">
        <v>344</v>
      </c>
      <c r="T42" s="957"/>
      <c r="U42" s="1179" t="s">
        <v>327</v>
      </c>
      <c r="V42" s="1179" t="s">
        <v>343</v>
      </c>
      <c r="W42" s="1141" t="s">
        <v>344</v>
      </c>
      <c r="X42" s="957"/>
      <c r="Y42" s="1179" t="s">
        <v>345</v>
      </c>
      <c r="Z42" s="1179" t="s">
        <v>343</v>
      </c>
      <c r="AA42" s="1141" t="s">
        <v>344</v>
      </c>
      <c r="AB42" s="957"/>
      <c r="AC42" s="1179" t="s">
        <v>327</v>
      </c>
      <c r="AD42" s="1142" t="s">
        <v>346</v>
      </c>
      <c r="AE42" s="971"/>
    </row>
    <row r="43" spans="1:545" ht="15" customHeight="1" x14ac:dyDescent="0.25">
      <c r="A43" s="1337" t="s">
        <v>347</v>
      </c>
      <c r="B43" s="1338"/>
      <c r="C43" s="1095" t="s">
        <v>348</v>
      </c>
      <c r="D43" s="957"/>
      <c r="E43" s="797">
        <v>0</v>
      </c>
      <c r="F43" s="1158">
        <v>0</v>
      </c>
      <c r="G43" s="998">
        <f>E43*F43</f>
        <v>0</v>
      </c>
      <c r="H43" s="957"/>
      <c r="I43" s="797">
        <v>0</v>
      </c>
      <c r="J43" s="622">
        <v>0</v>
      </c>
      <c r="K43" s="998">
        <f>I43*J43</f>
        <v>0</v>
      </c>
      <c r="L43" s="957"/>
      <c r="M43" s="797">
        <v>0</v>
      </c>
      <c r="N43" s="622">
        <v>0</v>
      </c>
      <c r="O43" s="998">
        <f>M43*N43</f>
        <v>0</v>
      </c>
      <c r="P43" s="957"/>
      <c r="Q43" s="797">
        <v>0</v>
      </c>
      <c r="R43" s="622">
        <v>0</v>
      </c>
      <c r="S43" s="998">
        <f>Q43*R43</f>
        <v>0</v>
      </c>
      <c r="T43" s="957"/>
      <c r="U43" s="797">
        <v>0</v>
      </c>
      <c r="V43" s="622">
        <v>0</v>
      </c>
      <c r="W43" s="998">
        <f>U43*V43</f>
        <v>0</v>
      </c>
      <c r="X43" s="957"/>
      <c r="Y43" s="797">
        <v>0</v>
      </c>
      <c r="Z43" s="622">
        <v>0</v>
      </c>
      <c r="AA43" s="998">
        <f>Y43*Z43</f>
        <v>0</v>
      </c>
      <c r="AB43" s="975"/>
      <c r="AC43" s="1097">
        <f>SUM(E43,I43,M43,Q43,U43,Y43)</f>
        <v>0</v>
      </c>
      <c r="AD43" s="998">
        <f>G43+K43+O43+S43+W43+AA43</f>
        <v>0</v>
      </c>
      <c r="AE43" s="971"/>
    </row>
    <row r="44" spans="1:545" ht="15" customHeight="1" x14ac:dyDescent="0.25">
      <c r="A44" s="1337" t="s">
        <v>349</v>
      </c>
      <c r="B44" s="1338"/>
      <c r="C44" s="1095" t="s">
        <v>348</v>
      </c>
      <c r="D44" s="957"/>
      <c r="E44" s="797">
        <v>0</v>
      </c>
      <c r="F44" s="622">
        <v>0</v>
      </c>
      <c r="G44" s="998">
        <f>E45*F44</f>
        <v>0</v>
      </c>
      <c r="H44" s="957"/>
      <c r="I44" s="797">
        <v>0</v>
      </c>
      <c r="J44" s="622">
        <v>0</v>
      </c>
      <c r="K44" s="998">
        <f>I44*J44</f>
        <v>0</v>
      </c>
      <c r="L44" s="957"/>
      <c r="M44" s="797">
        <v>0</v>
      </c>
      <c r="N44" s="622">
        <v>0</v>
      </c>
      <c r="O44" s="998">
        <f>M44*N44</f>
        <v>0</v>
      </c>
      <c r="P44" s="957"/>
      <c r="Q44" s="797">
        <v>0</v>
      </c>
      <c r="R44" s="622">
        <v>0</v>
      </c>
      <c r="S44" s="998">
        <f>Q44*R44</f>
        <v>0</v>
      </c>
      <c r="T44" s="957"/>
      <c r="U44" s="797">
        <v>0</v>
      </c>
      <c r="V44" s="622">
        <v>0</v>
      </c>
      <c r="W44" s="998">
        <f>U44*V44</f>
        <v>0</v>
      </c>
      <c r="X44" s="957"/>
      <c r="Y44" s="797">
        <v>0</v>
      </c>
      <c r="Z44" s="622">
        <v>0</v>
      </c>
      <c r="AA44" s="998">
        <f>Y44*Z44</f>
        <v>0</v>
      </c>
      <c r="AB44" s="975"/>
      <c r="AC44" s="1097">
        <f>SUM(E44,I44,M44,Q44,U44,Y44)</f>
        <v>0</v>
      </c>
      <c r="AD44" s="998">
        <f>G44+K44+O44+S44+W44+AA44</f>
        <v>0</v>
      </c>
      <c r="AE44" s="971"/>
    </row>
    <row r="45" spans="1:545" ht="15" customHeight="1" x14ac:dyDescent="0.25">
      <c r="A45" s="1337" t="s">
        <v>350</v>
      </c>
      <c r="B45" s="1338"/>
      <c r="C45" s="1095" t="s">
        <v>348</v>
      </c>
      <c r="D45" s="957"/>
      <c r="E45" s="797">
        <v>0</v>
      </c>
      <c r="F45" s="622">
        <v>0</v>
      </c>
      <c r="G45" s="998">
        <f>E46*F45</f>
        <v>0</v>
      </c>
      <c r="H45" s="957"/>
      <c r="I45" s="797">
        <v>0</v>
      </c>
      <c r="J45" s="622">
        <v>0</v>
      </c>
      <c r="K45" s="998">
        <f>I45*J45</f>
        <v>0</v>
      </c>
      <c r="L45" s="957"/>
      <c r="M45" s="797">
        <v>0</v>
      </c>
      <c r="N45" s="622">
        <v>0</v>
      </c>
      <c r="O45" s="998">
        <f>M45*N45</f>
        <v>0</v>
      </c>
      <c r="P45" s="957"/>
      <c r="Q45" s="797">
        <v>0</v>
      </c>
      <c r="R45" s="622">
        <v>0</v>
      </c>
      <c r="S45" s="998">
        <f>Q45*R45</f>
        <v>0</v>
      </c>
      <c r="T45" s="957"/>
      <c r="U45" s="797">
        <v>0</v>
      </c>
      <c r="V45" s="622">
        <v>0</v>
      </c>
      <c r="W45" s="998">
        <f>U45*V45</f>
        <v>0</v>
      </c>
      <c r="X45" s="957"/>
      <c r="Y45" s="797">
        <v>0</v>
      </c>
      <c r="Z45" s="622">
        <v>0</v>
      </c>
      <c r="AA45" s="998">
        <f>Y45*Z45</f>
        <v>0</v>
      </c>
      <c r="AB45" s="975"/>
      <c r="AC45" s="1097">
        <f>SUM(E45,I45,M45,Q45,U45,Y45)</f>
        <v>0</v>
      </c>
      <c r="AD45" s="998">
        <f>G45+K45+O45+S45+W45+AA45</f>
        <v>0</v>
      </c>
      <c r="AE45" s="971"/>
    </row>
    <row r="46" spans="1:545" ht="15" customHeight="1" x14ac:dyDescent="0.25">
      <c r="A46" s="1329" t="s">
        <v>351</v>
      </c>
      <c r="B46" s="1330"/>
      <c r="C46" s="1095" t="s">
        <v>348</v>
      </c>
      <c r="D46" s="957"/>
      <c r="E46" s="797">
        <v>0</v>
      </c>
      <c r="F46" s="622">
        <v>0</v>
      </c>
      <c r="G46" s="998">
        <f>E46*F46</f>
        <v>0</v>
      </c>
      <c r="H46" s="957"/>
      <c r="I46" s="797">
        <v>0</v>
      </c>
      <c r="J46" s="622">
        <v>0</v>
      </c>
      <c r="K46" s="998">
        <f>I46*J46</f>
        <v>0</v>
      </c>
      <c r="L46" s="957"/>
      <c r="M46" s="797">
        <v>0</v>
      </c>
      <c r="N46" s="622">
        <v>0</v>
      </c>
      <c r="O46" s="998">
        <f>M46*N46</f>
        <v>0</v>
      </c>
      <c r="P46" s="957"/>
      <c r="Q46" s="797">
        <v>0</v>
      </c>
      <c r="R46" s="622">
        <v>0</v>
      </c>
      <c r="S46" s="998">
        <f>Q46*R46</f>
        <v>0</v>
      </c>
      <c r="T46" s="957"/>
      <c r="U46" s="797">
        <v>0</v>
      </c>
      <c r="V46" s="622">
        <v>0</v>
      </c>
      <c r="W46" s="998">
        <f>U46*V46</f>
        <v>0</v>
      </c>
      <c r="X46" s="957"/>
      <c r="Y46" s="797">
        <v>0</v>
      </c>
      <c r="Z46" s="622">
        <v>0</v>
      </c>
      <c r="AA46" s="998">
        <f>Y46*Z46</f>
        <v>0</v>
      </c>
      <c r="AB46" s="975"/>
      <c r="AC46" s="1097">
        <f>SUM(E46,I46,M46,Q46,U46,Y46)</f>
        <v>0</v>
      </c>
      <c r="AD46" s="998">
        <f>G46+K46+O46+S46+W46+AA46</f>
        <v>0</v>
      </c>
      <c r="AE46" s="971"/>
    </row>
    <row r="47" spans="1:545" s="615" customFormat="1" ht="23.15" customHeight="1" x14ac:dyDescent="0.25">
      <c r="A47" s="1360" t="s">
        <v>342</v>
      </c>
      <c r="B47" s="1361"/>
      <c r="C47" s="1361"/>
      <c r="D47" s="957"/>
      <c r="E47" s="798">
        <f>SUM(E43:E46)</f>
        <v>0</v>
      </c>
      <c r="F47" s="995"/>
      <c r="G47" s="1131">
        <f>SUM(G42:G46)</f>
        <v>0</v>
      </c>
      <c r="H47" s="957"/>
      <c r="I47" s="798">
        <f>SUM(I43:I46)</f>
        <v>0</v>
      </c>
      <c r="J47" s="996"/>
      <c r="K47" s="1131">
        <f>SUM(K42:K46)</f>
        <v>0</v>
      </c>
      <c r="L47" s="957"/>
      <c r="M47" s="798">
        <f>SUM(M43:M46)</f>
        <v>0</v>
      </c>
      <c r="N47" s="996"/>
      <c r="O47" s="1131">
        <f>SUM(O42:O46)</f>
        <v>0</v>
      </c>
      <c r="P47" s="957"/>
      <c r="Q47" s="798">
        <f>SUM(Q43:Q46)</f>
        <v>0</v>
      </c>
      <c r="R47" s="996"/>
      <c r="S47" s="1131">
        <f>SUM(S42:S46)</f>
        <v>0</v>
      </c>
      <c r="T47" s="957"/>
      <c r="U47" s="798">
        <f>SUM(U43:U46)</f>
        <v>0</v>
      </c>
      <c r="V47" s="987"/>
      <c r="W47" s="1131">
        <f>SUM(W42:W46)</f>
        <v>0</v>
      </c>
      <c r="X47" s="957"/>
      <c r="Y47" s="798">
        <f>SUM(Y43:Y46)</f>
        <v>0</v>
      </c>
      <c r="Z47" s="987"/>
      <c r="AA47" s="1131">
        <f>SUM(AA42:AA46)</f>
        <v>0</v>
      </c>
      <c r="AB47" s="976"/>
      <c r="AC47" s="798">
        <f>SUM(AC43:AC46)</f>
        <v>0</v>
      </c>
      <c r="AD47" s="1131">
        <f>G47+K47+O47+S47+W47+AA47</f>
        <v>0</v>
      </c>
      <c r="AE47" s="971"/>
      <c r="AF47" s="292"/>
      <c r="AG47" s="292"/>
      <c r="AH47" s="292"/>
      <c r="AI47" s="292"/>
      <c r="AJ47" s="292"/>
      <c r="AK47" s="292"/>
      <c r="AL47" s="292"/>
      <c r="AM47" s="292"/>
      <c r="AN47" s="292"/>
      <c r="AO47" s="292"/>
      <c r="AP47" s="292"/>
      <c r="AQ47" s="292"/>
      <c r="AR47" s="292"/>
      <c r="AS47" s="292"/>
      <c r="AT47" s="292"/>
      <c r="AU47" s="292"/>
      <c r="AV47" s="292"/>
      <c r="AW47" s="292"/>
      <c r="AX47" s="292"/>
      <c r="AY47" s="292"/>
      <c r="AZ47" s="292"/>
      <c r="BA47" s="292"/>
      <c r="BB47" s="292"/>
      <c r="BC47" s="292"/>
      <c r="BD47" s="292"/>
      <c r="BE47" s="292"/>
      <c r="BF47" s="292"/>
      <c r="BG47" s="292"/>
      <c r="BH47" s="292"/>
      <c r="BI47" s="292"/>
      <c r="BJ47" s="292"/>
      <c r="BK47" s="292"/>
      <c r="BL47" s="292"/>
      <c r="BM47" s="292"/>
      <c r="BN47" s="292"/>
      <c r="BO47" s="292"/>
      <c r="BP47" s="292"/>
      <c r="BQ47" s="292"/>
      <c r="BR47" s="292"/>
      <c r="BS47" s="292"/>
      <c r="BT47" s="292"/>
      <c r="BU47" s="292"/>
      <c r="BV47" s="292"/>
      <c r="BW47" s="292"/>
      <c r="BX47" s="292"/>
      <c r="BY47" s="292"/>
      <c r="BZ47" s="292"/>
      <c r="CA47" s="292"/>
      <c r="CB47" s="292"/>
      <c r="CC47" s="292"/>
      <c r="CD47" s="292"/>
      <c r="CE47" s="292"/>
      <c r="CF47" s="292"/>
      <c r="CG47" s="292"/>
      <c r="CH47" s="292"/>
      <c r="CI47" s="292"/>
      <c r="CJ47" s="292"/>
      <c r="CK47" s="292"/>
      <c r="CL47" s="292"/>
      <c r="CM47" s="292"/>
      <c r="CN47" s="292"/>
      <c r="CO47" s="292"/>
      <c r="CP47" s="292"/>
      <c r="CQ47" s="292"/>
      <c r="CR47" s="292"/>
      <c r="CS47" s="292"/>
      <c r="CT47" s="292"/>
      <c r="CU47" s="292"/>
      <c r="CV47" s="292"/>
      <c r="CW47" s="292"/>
      <c r="CX47" s="292"/>
      <c r="CY47" s="292"/>
      <c r="CZ47" s="292"/>
      <c r="DA47" s="292"/>
      <c r="DB47" s="292"/>
      <c r="DC47" s="292"/>
      <c r="DD47" s="292"/>
      <c r="DE47" s="292"/>
      <c r="DF47" s="292"/>
      <c r="DG47" s="292"/>
      <c r="DH47" s="292"/>
      <c r="DI47" s="292"/>
      <c r="DJ47" s="292"/>
      <c r="DK47" s="292"/>
      <c r="DL47" s="292"/>
      <c r="DM47" s="292"/>
      <c r="DN47" s="292"/>
      <c r="DO47" s="292"/>
      <c r="DP47" s="292"/>
      <c r="DQ47" s="292"/>
      <c r="DR47" s="292"/>
      <c r="DS47" s="292"/>
      <c r="DT47" s="292"/>
      <c r="DU47" s="292"/>
      <c r="DV47" s="292"/>
      <c r="DW47" s="292"/>
      <c r="DX47" s="292"/>
      <c r="DY47" s="292"/>
      <c r="DZ47" s="292"/>
      <c r="EA47" s="292"/>
      <c r="EB47" s="292"/>
      <c r="EC47" s="292"/>
      <c r="ED47" s="292"/>
      <c r="EE47" s="292"/>
      <c r="EF47" s="292"/>
      <c r="EG47" s="292"/>
      <c r="EH47" s="292"/>
      <c r="EI47" s="292"/>
      <c r="EJ47" s="292"/>
      <c r="EK47" s="292"/>
      <c r="EL47" s="292"/>
      <c r="EM47" s="292"/>
      <c r="EN47" s="292"/>
      <c r="EO47" s="292"/>
      <c r="EP47" s="292"/>
      <c r="EQ47" s="292"/>
      <c r="ER47" s="292"/>
      <c r="ES47" s="292"/>
      <c r="ET47" s="292"/>
      <c r="EU47" s="292"/>
      <c r="EV47" s="292"/>
      <c r="EW47" s="292"/>
      <c r="EX47" s="292"/>
      <c r="EY47" s="292"/>
      <c r="EZ47" s="292"/>
      <c r="FA47" s="292"/>
      <c r="FB47" s="292"/>
      <c r="FC47" s="292"/>
      <c r="FD47" s="292"/>
      <c r="FE47" s="292"/>
      <c r="FF47" s="292"/>
      <c r="FG47" s="292"/>
      <c r="FH47" s="292"/>
      <c r="FI47" s="292"/>
      <c r="FJ47" s="292"/>
      <c r="FK47" s="292"/>
      <c r="FL47" s="292"/>
      <c r="FM47" s="292"/>
      <c r="FN47" s="292"/>
      <c r="FO47" s="292"/>
      <c r="FP47" s="292"/>
      <c r="FQ47" s="292"/>
      <c r="FR47" s="292"/>
      <c r="FS47" s="292"/>
      <c r="FT47" s="292"/>
      <c r="FU47" s="292"/>
      <c r="FV47" s="292"/>
      <c r="FW47" s="292"/>
      <c r="FX47" s="292"/>
      <c r="FY47" s="292"/>
      <c r="FZ47" s="292"/>
      <c r="GA47" s="292"/>
      <c r="GB47" s="292"/>
      <c r="GC47" s="292"/>
      <c r="GD47" s="292"/>
      <c r="GE47" s="292"/>
      <c r="GF47" s="292"/>
      <c r="GG47" s="292"/>
      <c r="GH47" s="292"/>
      <c r="GI47" s="292"/>
      <c r="GJ47" s="292"/>
      <c r="GK47" s="292"/>
      <c r="GL47" s="292"/>
      <c r="GM47" s="292"/>
      <c r="GN47" s="292"/>
      <c r="GO47" s="292"/>
      <c r="GP47" s="292"/>
      <c r="GQ47" s="292"/>
      <c r="GR47" s="292"/>
      <c r="GS47" s="292"/>
      <c r="GT47" s="292"/>
      <c r="GU47" s="292"/>
      <c r="GV47" s="292"/>
      <c r="GW47" s="292"/>
      <c r="GX47" s="292"/>
      <c r="GY47" s="292"/>
      <c r="GZ47" s="292"/>
      <c r="HA47" s="292"/>
      <c r="HB47" s="292"/>
      <c r="HC47" s="292"/>
      <c r="HD47" s="292"/>
      <c r="HE47" s="292"/>
      <c r="HF47" s="292"/>
      <c r="HG47" s="292"/>
      <c r="HH47" s="292"/>
      <c r="HI47" s="292"/>
      <c r="HJ47" s="292"/>
      <c r="HK47" s="292"/>
      <c r="HL47" s="292"/>
      <c r="HM47" s="292"/>
      <c r="HN47" s="292"/>
      <c r="HO47" s="292"/>
      <c r="HP47" s="292"/>
      <c r="HQ47" s="292"/>
      <c r="HR47" s="292"/>
      <c r="HS47" s="292"/>
      <c r="HT47" s="292"/>
      <c r="HU47" s="292"/>
      <c r="HV47" s="292"/>
      <c r="HW47" s="292"/>
      <c r="HX47" s="292"/>
      <c r="HY47" s="292"/>
      <c r="HZ47" s="292"/>
      <c r="IA47" s="292"/>
      <c r="IB47" s="292"/>
      <c r="IC47" s="292"/>
      <c r="ID47" s="292"/>
      <c r="IE47" s="292"/>
      <c r="IF47" s="292"/>
      <c r="IG47" s="292"/>
      <c r="IH47" s="292"/>
      <c r="II47" s="292"/>
      <c r="IJ47" s="292"/>
      <c r="IK47" s="292"/>
      <c r="IL47" s="292"/>
      <c r="IM47" s="292"/>
      <c r="IN47" s="292"/>
      <c r="IO47" s="292"/>
      <c r="IP47" s="292"/>
      <c r="IQ47" s="292"/>
      <c r="IR47" s="292"/>
      <c r="IS47" s="292"/>
      <c r="IT47" s="292"/>
      <c r="IU47" s="292"/>
      <c r="IV47" s="292"/>
      <c r="IW47" s="292"/>
      <c r="IX47" s="292"/>
      <c r="IY47" s="292"/>
      <c r="IZ47" s="292"/>
      <c r="JA47" s="292"/>
      <c r="JB47" s="292"/>
      <c r="JC47" s="292"/>
      <c r="JD47" s="292"/>
      <c r="JE47" s="292"/>
      <c r="JF47" s="292"/>
      <c r="JG47" s="292"/>
      <c r="JH47" s="292"/>
      <c r="JI47" s="292"/>
      <c r="JJ47" s="292"/>
      <c r="JK47" s="292"/>
      <c r="JL47" s="292"/>
      <c r="JM47" s="292"/>
      <c r="JN47" s="292"/>
      <c r="JO47" s="292"/>
      <c r="JP47" s="292"/>
      <c r="JQ47" s="292"/>
      <c r="JR47" s="292"/>
      <c r="JS47" s="292"/>
      <c r="JT47" s="292"/>
      <c r="JU47" s="292"/>
      <c r="JV47" s="292"/>
      <c r="JW47" s="292"/>
      <c r="JX47" s="292"/>
      <c r="JY47" s="292"/>
      <c r="JZ47" s="292"/>
      <c r="KA47" s="292"/>
      <c r="KB47" s="292"/>
      <c r="KC47" s="292"/>
      <c r="KD47" s="292"/>
      <c r="KE47" s="292"/>
      <c r="KF47" s="292"/>
      <c r="KG47" s="292"/>
      <c r="KH47" s="292"/>
      <c r="KI47" s="292"/>
      <c r="KJ47" s="292"/>
      <c r="KK47" s="292"/>
      <c r="KL47" s="292"/>
      <c r="KM47" s="292"/>
      <c r="KN47" s="292"/>
      <c r="KO47" s="292"/>
      <c r="KP47" s="292"/>
      <c r="KQ47" s="292"/>
      <c r="KR47" s="292"/>
      <c r="KS47" s="292"/>
      <c r="KT47" s="292"/>
      <c r="KU47" s="292"/>
      <c r="KV47" s="292"/>
      <c r="KW47" s="292"/>
      <c r="KX47" s="292"/>
      <c r="KY47" s="292"/>
      <c r="KZ47" s="292"/>
      <c r="LA47" s="292"/>
      <c r="LB47" s="292"/>
      <c r="LC47" s="292"/>
      <c r="LD47" s="292"/>
      <c r="LE47" s="292"/>
      <c r="LF47" s="292"/>
      <c r="LG47" s="292"/>
      <c r="LH47" s="292"/>
      <c r="LI47" s="292"/>
      <c r="LJ47" s="292"/>
      <c r="LK47" s="292"/>
      <c r="LL47" s="292"/>
      <c r="LM47" s="292"/>
      <c r="LN47" s="292"/>
      <c r="LO47" s="292"/>
      <c r="LP47" s="292"/>
      <c r="LQ47" s="292"/>
      <c r="LR47" s="292"/>
      <c r="LS47" s="292"/>
      <c r="LT47" s="292"/>
      <c r="LU47" s="292"/>
      <c r="LV47" s="292"/>
      <c r="LW47" s="292"/>
      <c r="LX47" s="292"/>
      <c r="LY47" s="292"/>
      <c r="LZ47" s="292"/>
      <c r="MA47" s="292"/>
      <c r="MB47" s="292"/>
      <c r="MC47" s="292"/>
      <c r="MD47" s="292"/>
      <c r="ME47" s="292"/>
      <c r="MF47" s="292"/>
      <c r="MG47" s="292"/>
      <c r="MH47" s="292"/>
      <c r="MI47" s="292"/>
      <c r="MJ47" s="292"/>
      <c r="MK47" s="292"/>
      <c r="ML47" s="292"/>
      <c r="MM47" s="292"/>
      <c r="MN47" s="292"/>
      <c r="MO47" s="292"/>
      <c r="MP47" s="292"/>
      <c r="MQ47" s="292"/>
      <c r="MR47" s="292"/>
      <c r="MS47" s="292"/>
      <c r="MT47" s="292"/>
      <c r="MU47" s="292"/>
      <c r="MV47" s="292"/>
      <c r="MW47" s="292"/>
      <c r="MX47" s="292"/>
      <c r="MY47" s="292"/>
      <c r="MZ47" s="292"/>
      <c r="NA47" s="292"/>
      <c r="NB47" s="292"/>
      <c r="NC47" s="292"/>
      <c r="ND47" s="292"/>
      <c r="NE47" s="292"/>
      <c r="NF47" s="292"/>
      <c r="NG47" s="292"/>
      <c r="NH47" s="292"/>
      <c r="NI47" s="292"/>
      <c r="NJ47" s="292"/>
      <c r="NK47" s="292"/>
      <c r="NL47" s="292"/>
      <c r="NM47" s="292"/>
      <c r="NN47" s="292"/>
      <c r="NO47" s="292"/>
      <c r="NP47" s="292"/>
      <c r="NQ47" s="292"/>
      <c r="NR47" s="292"/>
      <c r="NS47" s="292"/>
      <c r="NT47" s="292"/>
      <c r="NU47" s="292"/>
      <c r="NV47" s="292"/>
      <c r="NW47" s="292"/>
      <c r="NX47" s="292"/>
      <c r="NY47" s="292"/>
      <c r="NZ47" s="292"/>
      <c r="OA47" s="292"/>
      <c r="OB47" s="292"/>
      <c r="OC47" s="292"/>
      <c r="OD47" s="292"/>
      <c r="OE47" s="292"/>
      <c r="OF47" s="292"/>
      <c r="OG47" s="292"/>
      <c r="OH47" s="292"/>
      <c r="OI47" s="292"/>
      <c r="OJ47" s="292"/>
      <c r="OK47" s="292"/>
      <c r="OL47" s="292"/>
      <c r="OM47" s="292"/>
      <c r="ON47" s="292"/>
      <c r="OO47" s="292"/>
      <c r="OP47" s="292"/>
      <c r="OQ47" s="292"/>
      <c r="OR47" s="292"/>
      <c r="OS47" s="292"/>
      <c r="OT47" s="292"/>
      <c r="OU47" s="292"/>
      <c r="OV47" s="292"/>
      <c r="OW47" s="292"/>
      <c r="OX47" s="292"/>
      <c r="OY47" s="292"/>
      <c r="OZ47" s="292"/>
      <c r="PA47" s="292"/>
      <c r="PB47" s="292"/>
      <c r="PC47" s="292"/>
      <c r="PD47" s="292"/>
      <c r="PE47" s="292"/>
      <c r="PF47" s="292"/>
      <c r="PG47" s="292"/>
      <c r="PH47" s="292"/>
      <c r="PI47" s="292"/>
      <c r="PJ47" s="292"/>
      <c r="PK47" s="292"/>
      <c r="PL47" s="292"/>
      <c r="PM47" s="292"/>
      <c r="PN47" s="292"/>
      <c r="PO47" s="292"/>
      <c r="PP47" s="292"/>
      <c r="PQ47" s="292"/>
      <c r="PR47" s="292"/>
      <c r="PS47" s="292"/>
      <c r="PT47" s="292"/>
      <c r="PU47" s="292"/>
      <c r="PV47" s="292"/>
      <c r="PW47" s="292"/>
      <c r="PX47" s="292"/>
      <c r="PY47" s="292"/>
      <c r="PZ47" s="292"/>
      <c r="QA47" s="292"/>
      <c r="QB47" s="292"/>
      <c r="QC47" s="292"/>
      <c r="QD47" s="292"/>
      <c r="QE47" s="292"/>
      <c r="QF47" s="292"/>
      <c r="QG47" s="292"/>
      <c r="QH47" s="292"/>
      <c r="QI47" s="292"/>
      <c r="QJ47" s="292"/>
      <c r="QK47" s="292"/>
      <c r="QL47" s="292"/>
      <c r="QM47" s="292"/>
      <c r="QN47" s="292"/>
      <c r="QO47" s="292"/>
      <c r="QP47" s="292"/>
      <c r="QQ47" s="292"/>
      <c r="QR47" s="292"/>
      <c r="QS47" s="292"/>
      <c r="QT47" s="292"/>
      <c r="QU47" s="292"/>
      <c r="QV47" s="292"/>
      <c r="QW47" s="292"/>
      <c r="QX47" s="292"/>
      <c r="QY47" s="292"/>
      <c r="QZ47" s="292"/>
      <c r="RA47" s="292"/>
      <c r="RB47" s="292"/>
      <c r="RC47" s="292"/>
      <c r="RD47" s="292"/>
      <c r="RE47" s="292"/>
      <c r="RF47" s="292"/>
      <c r="RG47" s="292"/>
      <c r="RH47" s="292"/>
      <c r="RI47" s="292"/>
      <c r="RJ47" s="292"/>
      <c r="RK47" s="292"/>
      <c r="RL47" s="292"/>
      <c r="RM47" s="292"/>
      <c r="RN47" s="292"/>
      <c r="RO47" s="292"/>
      <c r="RP47" s="292"/>
      <c r="RQ47" s="292"/>
      <c r="RR47" s="292"/>
      <c r="RS47" s="292"/>
      <c r="RT47" s="292"/>
      <c r="RU47" s="292"/>
      <c r="RV47" s="292"/>
      <c r="RW47" s="292"/>
      <c r="RX47" s="292"/>
      <c r="RY47" s="292"/>
      <c r="RZ47" s="292"/>
      <c r="SA47" s="292"/>
      <c r="SB47" s="292"/>
      <c r="SC47" s="292"/>
      <c r="SD47" s="292"/>
      <c r="SE47" s="292"/>
      <c r="SF47" s="292"/>
      <c r="SG47" s="292"/>
      <c r="SH47" s="292"/>
      <c r="SI47" s="292"/>
      <c r="SJ47" s="292"/>
      <c r="SK47" s="292"/>
      <c r="SL47" s="292"/>
      <c r="SM47" s="292"/>
      <c r="SN47" s="292"/>
      <c r="SO47" s="292"/>
      <c r="SP47" s="292"/>
      <c r="SQ47" s="292"/>
      <c r="SR47" s="292"/>
      <c r="SS47" s="292"/>
      <c r="ST47" s="292"/>
      <c r="SU47" s="292"/>
    </row>
    <row r="48" spans="1:545" s="620" customFormat="1" ht="15" customHeight="1" x14ac:dyDescent="0.25">
      <c r="A48" s="986"/>
      <c r="B48" s="984"/>
      <c r="C48" s="984"/>
      <c r="D48" s="957"/>
      <c r="E48" s="983"/>
      <c r="F48" s="957"/>
      <c r="G48" s="981"/>
      <c r="H48" s="957"/>
      <c r="I48" s="983"/>
      <c r="J48" s="981"/>
      <c r="K48" s="981"/>
      <c r="L48" s="957"/>
      <c r="M48" s="983"/>
      <c r="N48" s="981"/>
      <c r="O48" s="981"/>
      <c r="P48" s="957"/>
      <c r="Q48" s="983"/>
      <c r="R48" s="981"/>
      <c r="S48" s="981"/>
      <c r="T48" s="957"/>
      <c r="U48" s="983"/>
      <c r="V48" s="957"/>
      <c r="W48" s="981"/>
      <c r="X48" s="957"/>
      <c r="Y48" s="983"/>
      <c r="Z48" s="957"/>
      <c r="AA48" s="981"/>
      <c r="AB48" s="976"/>
      <c r="AC48" s="983"/>
      <c r="AD48" s="981"/>
      <c r="AE48" s="971"/>
      <c r="AF48" s="292"/>
      <c r="AG48" s="292"/>
      <c r="AH48" s="292"/>
      <c r="AI48" s="292"/>
      <c r="AJ48" s="292"/>
      <c r="AK48" s="292"/>
      <c r="AL48" s="292"/>
      <c r="AM48" s="292"/>
      <c r="AN48" s="292"/>
      <c r="AO48" s="292"/>
      <c r="AP48" s="292"/>
      <c r="AQ48" s="292"/>
      <c r="AR48" s="292"/>
      <c r="AS48" s="292"/>
      <c r="AT48" s="292"/>
      <c r="AU48" s="292"/>
      <c r="AV48" s="292"/>
      <c r="AW48" s="292"/>
      <c r="AX48" s="292"/>
      <c r="AY48" s="292"/>
      <c r="AZ48" s="292"/>
      <c r="BA48" s="292"/>
      <c r="BB48" s="292"/>
      <c r="BC48" s="292"/>
      <c r="BD48" s="292"/>
      <c r="BE48" s="292"/>
      <c r="BF48" s="292"/>
      <c r="BG48" s="292"/>
      <c r="BH48" s="292"/>
      <c r="BI48" s="292"/>
      <c r="BJ48" s="292"/>
      <c r="BK48" s="292"/>
      <c r="BL48" s="292"/>
    </row>
    <row r="49" spans="1:515" s="624" customFormat="1" ht="23.15" customHeight="1" x14ac:dyDescent="0.25">
      <c r="A49" s="1364" t="s">
        <v>352</v>
      </c>
      <c r="B49" s="1365"/>
      <c r="C49" s="1365"/>
      <c r="D49" s="962"/>
      <c r="E49" s="962"/>
      <c r="F49" s="962"/>
      <c r="G49" s="1175" t="s">
        <v>353</v>
      </c>
      <c r="H49" s="962"/>
      <c r="I49" s="962"/>
      <c r="J49" s="962"/>
      <c r="K49" s="1175" t="s">
        <v>353</v>
      </c>
      <c r="L49" s="962"/>
      <c r="M49" s="962"/>
      <c r="N49" s="962"/>
      <c r="O49" s="1175" t="s">
        <v>353</v>
      </c>
      <c r="P49" s="962"/>
      <c r="Q49" s="962"/>
      <c r="R49" s="962"/>
      <c r="S49" s="1175" t="s">
        <v>353</v>
      </c>
      <c r="T49" s="962"/>
      <c r="U49" s="962"/>
      <c r="V49" s="962"/>
      <c r="W49" s="1175" t="s">
        <v>345</v>
      </c>
      <c r="X49" s="962"/>
      <c r="Y49" s="962"/>
      <c r="Z49" s="962"/>
      <c r="AA49" s="1175" t="s">
        <v>353</v>
      </c>
      <c r="AB49" s="962"/>
      <c r="AC49" s="962"/>
      <c r="AD49" s="1175" t="s">
        <v>353</v>
      </c>
      <c r="AE49" s="971"/>
      <c r="AF49" s="292"/>
      <c r="AG49" s="292"/>
      <c r="AH49" s="292"/>
      <c r="AI49" s="292"/>
      <c r="AJ49" s="292"/>
      <c r="AK49" s="292"/>
      <c r="AL49" s="292"/>
      <c r="AM49" s="292"/>
      <c r="AN49" s="292"/>
      <c r="AO49" s="292"/>
      <c r="AP49" s="292"/>
      <c r="AQ49" s="292"/>
      <c r="AR49" s="292"/>
      <c r="AS49" s="292"/>
      <c r="AT49" s="292"/>
      <c r="AU49" s="292"/>
      <c r="AV49" s="292"/>
      <c r="AW49" s="292"/>
      <c r="AX49" s="292"/>
      <c r="AY49" s="292"/>
      <c r="AZ49" s="292"/>
      <c r="BA49" s="292"/>
      <c r="BB49" s="292"/>
      <c r="BC49" s="292"/>
      <c r="BD49" s="292"/>
      <c r="BE49" s="292"/>
      <c r="BF49" s="292"/>
      <c r="BG49" s="292"/>
      <c r="BH49" s="292"/>
      <c r="BI49" s="292"/>
      <c r="BJ49" s="292"/>
      <c r="BK49" s="292"/>
      <c r="BL49" s="292"/>
      <c r="BM49" s="292"/>
      <c r="BN49" s="292"/>
      <c r="BO49" s="292"/>
      <c r="BP49" s="292"/>
      <c r="BQ49" s="292"/>
      <c r="BR49" s="292"/>
      <c r="BS49" s="292"/>
      <c r="BT49" s="292"/>
      <c r="BU49" s="292"/>
      <c r="BV49" s="292"/>
      <c r="BW49" s="292"/>
      <c r="BX49" s="292"/>
      <c r="BY49" s="292"/>
      <c r="BZ49" s="292"/>
      <c r="CA49" s="292"/>
      <c r="CB49" s="292"/>
      <c r="CC49" s="292"/>
      <c r="CD49" s="292"/>
      <c r="CE49" s="292"/>
      <c r="CF49" s="292"/>
      <c r="CG49" s="292"/>
      <c r="CH49" s="292"/>
      <c r="CI49" s="292"/>
      <c r="CJ49" s="292"/>
      <c r="CK49" s="292"/>
      <c r="CL49" s="292"/>
      <c r="CM49" s="292"/>
      <c r="CN49" s="292"/>
      <c r="CO49" s="292"/>
      <c r="CP49" s="292"/>
      <c r="CQ49" s="292"/>
      <c r="CR49" s="292"/>
      <c r="CS49" s="292"/>
      <c r="CT49" s="292"/>
      <c r="CU49" s="292"/>
      <c r="CV49" s="292"/>
      <c r="CW49" s="292"/>
      <c r="CX49" s="292"/>
      <c r="CY49" s="292"/>
      <c r="CZ49" s="292"/>
      <c r="DA49" s="292"/>
      <c r="DB49" s="292"/>
      <c r="DC49" s="292"/>
      <c r="DD49" s="292"/>
      <c r="DE49" s="292"/>
      <c r="DF49" s="292"/>
      <c r="DG49" s="292"/>
      <c r="DH49" s="292"/>
      <c r="DI49" s="292"/>
      <c r="DJ49" s="292"/>
      <c r="DK49" s="292"/>
      <c r="DL49" s="292"/>
      <c r="DM49" s="292"/>
      <c r="DN49" s="292"/>
      <c r="DO49" s="292"/>
      <c r="DP49" s="292"/>
      <c r="DQ49" s="292"/>
      <c r="DR49" s="292"/>
      <c r="DS49" s="292"/>
      <c r="DT49" s="292"/>
      <c r="DU49" s="292"/>
      <c r="DV49" s="292"/>
      <c r="DW49" s="292"/>
      <c r="DX49" s="292"/>
      <c r="DY49" s="292"/>
      <c r="DZ49" s="292"/>
      <c r="EA49" s="292"/>
      <c r="EB49" s="292"/>
      <c r="EC49" s="292"/>
      <c r="ED49" s="292"/>
      <c r="EE49" s="292"/>
      <c r="EF49" s="292"/>
      <c r="EG49" s="292"/>
      <c r="EH49" s="292"/>
      <c r="EI49" s="292"/>
      <c r="EJ49" s="292"/>
      <c r="EK49" s="292"/>
      <c r="EL49" s="292"/>
      <c r="EM49" s="292"/>
      <c r="EN49" s="292"/>
      <c r="EO49" s="292"/>
      <c r="EP49" s="292"/>
      <c r="EQ49" s="292"/>
      <c r="ER49" s="292"/>
      <c r="ES49" s="292"/>
      <c r="ET49" s="292"/>
      <c r="EU49" s="292"/>
      <c r="EV49" s="292"/>
      <c r="EW49" s="292"/>
      <c r="EX49" s="292"/>
      <c r="EY49" s="292"/>
      <c r="EZ49" s="292"/>
      <c r="FA49" s="292"/>
      <c r="FB49" s="292"/>
      <c r="FC49" s="292"/>
      <c r="FD49" s="292"/>
      <c r="FE49" s="292"/>
      <c r="FF49" s="292"/>
      <c r="FG49" s="292"/>
      <c r="FH49" s="292"/>
      <c r="FI49" s="292"/>
      <c r="FJ49" s="292"/>
      <c r="FK49" s="292"/>
      <c r="FL49" s="292"/>
      <c r="FM49" s="292"/>
      <c r="FN49" s="292"/>
      <c r="FO49" s="292"/>
      <c r="FP49" s="292"/>
      <c r="FQ49" s="292"/>
      <c r="FR49" s="292"/>
      <c r="FS49" s="292"/>
      <c r="FT49" s="292"/>
      <c r="FU49" s="292"/>
      <c r="FV49" s="292"/>
      <c r="FW49" s="292"/>
      <c r="FX49" s="292"/>
      <c r="FY49" s="292"/>
      <c r="FZ49" s="292"/>
      <c r="GA49" s="292"/>
      <c r="GB49" s="292"/>
      <c r="GC49" s="292"/>
      <c r="GD49" s="292"/>
      <c r="GE49" s="292"/>
      <c r="GF49" s="292"/>
      <c r="GG49" s="292"/>
      <c r="GH49" s="292"/>
      <c r="GI49" s="292"/>
      <c r="GJ49" s="292"/>
      <c r="GK49" s="292"/>
      <c r="GL49" s="292"/>
      <c r="GM49" s="292"/>
      <c r="GN49" s="292"/>
      <c r="GO49" s="292"/>
      <c r="GP49" s="292"/>
      <c r="GQ49" s="292"/>
      <c r="GR49" s="292"/>
      <c r="GS49" s="292"/>
      <c r="GT49" s="292"/>
      <c r="GU49" s="292"/>
      <c r="GV49" s="292"/>
      <c r="GW49" s="292"/>
      <c r="GX49" s="292"/>
      <c r="GY49" s="292"/>
      <c r="GZ49" s="292"/>
      <c r="HA49" s="292"/>
      <c r="HB49" s="292"/>
      <c r="HC49" s="292"/>
      <c r="HD49" s="292"/>
      <c r="HE49" s="292"/>
      <c r="HF49" s="292"/>
      <c r="HG49" s="292"/>
      <c r="HH49" s="292"/>
      <c r="HI49" s="292"/>
      <c r="HJ49" s="292"/>
      <c r="HK49" s="292"/>
      <c r="HL49" s="292"/>
      <c r="HM49" s="292"/>
      <c r="HN49" s="292"/>
      <c r="HO49" s="292"/>
      <c r="HP49" s="292"/>
      <c r="HQ49" s="292"/>
      <c r="HR49" s="292"/>
      <c r="HS49" s="292"/>
      <c r="HT49" s="292"/>
      <c r="HU49" s="292"/>
      <c r="HV49" s="292"/>
      <c r="HW49" s="292"/>
      <c r="HX49" s="292"/>
      <c r="HY49" s="292"/>
      <c r="HZ49" s="292"/>
      <c r="IA49" s="292"/>
      <c r="IB49" s="292"/>
      <c r="IC49" s="292"/>
      <c r="ID49" s="292"/>
      <c r="IE49" s="292"/>
      <c r="IF49" s="292"/>
      <c r="IG49" s="292"/>
      <c r="IH49" s="292"/>
      <c r="II49" s="292"/>
      <c r="IJ49" s="292"/>
      <c r="IK49" s="292"/>
      <c r="IL49" s="292"/>
      <c r="IM49" s="292"/>
      <c r="IN49" s="292"/>
      <c r="IO49" s="292"/>
      <c r="IP49" s="292"/>
      <c r="IQ49" s="292"/>
      <c r="IR49" s="292"/>
      <c r="IS49" s="292"/>
      <c r="IT49" s="292"/>
      <c r="IU49" s="292"/>
      <c r="IV49" s="292"/>
      <c r="IW49" s="292"/>
      <c r="IX49" s="292"/>
      <c r="IY49" s="292"/>
      <c r="IZ49" s="292"/>
      <c r="JA49" s="292"/>
      <c r="JB49" s="292"/>
      <c r="JC49" s="292"/>
      <c r="JD49" s="292"/>
      <c r="JE49" s="292"/>
      <c r="JF49" s="292"/>
      <c r="JG49" s="292"/>
      <c r="JH49" s="292"/>
      <c r="JI49" s="292"/>
      <c r="JJ49" s="292"/>
      <c r="JK49" s="292"/>
      <c r="JL49" s="292"/>
      <c r="JM49" s="292"/>
      <c r="JN49" s="292"/>
      <c r="JO49" s="292"/>
      <c r="JP49" s="292"/>
      <c r="JQ49" s="292"/>
      <c r="JR49" s="292"/>
      <c r="JS49" s="292"/>
      <c r="JT49" s="292"/>
      <c r="JU49" s="292"/>
      <c r="JV49" s="292"/>
      <c r="JW49" s="292"/>
      <c r="JX49" s="292"/>
      <c r="JY49" s="292"/>
      <c r="JZ49" s="292"/>
      <c r="KA49" s="292"/>
      <c r="KB49" s="292"/>
      <c r="KC49" s="292"/>
      <c r="KD49" s="292"/>
      <c r="KE49" s="292"/>
      <c r="KF49" s="292"/>
      <c r="KG49" s="292"/>
      <c r="KH49" s="292"/>
      <c r="KI49" s="292"/>
      <c r="KJ49" s="292"/>
      <c r="KK49" s="292"/>
      <c r="KL49" s="292"/>
      <c r="KM49" s="292"/>
      <c r="KN49" s="292"/>
      <c r="KO49" s="292"/>
      <c r="KP49" s="292"/>
      <c r="KQ49" s="292"/>
      <c r="KR49" s="292"/>
      <c r="KS49" s="292"/>
      <c r="KT49" s="292"/>
      <c r="KU49" s="292"/>
      <c r="KV49" s="292"/>
      <c r="KW49" s="292"/>
      <c r="KX49" s="292"/>
      <c r="KY49" s="292"/>
      <c r="KZ49" s="292"/>
      <c r="LA49" s="292"/>
      <c r="LB49" s="292"/>
      <c r="LC49" s="292"/>
      <c r="LD49" s="292"/>
      <c r="LE49" s="292"/>
      <c r="LF49" s="292"/>
      <c r="LG49" s="292"/>
      <c r="LH49" s="292"/>
      <c r="LI49" s="292"/>
      <c r="LJ49" s="292"/>
      <c r="LK49" s="292"/>
      <c r="LL49" s="292"/>
      <c r="LM49" s="292"/>
      <c r="LN49" s="292"/>
      <c r="LO49" s="292"/>
      <c r="LP49" s="292"/>
      <c r="LQ49" s="292"/>
      <c r="LR49" s="292"/>
      <c r="LS49" s="292"/>
      <c r="LT49" s="292"/>
      <c r="LU49" s="292"/>
      <c r="LV49" s="292"/>
      <c r="LW49" s="292"/>
      <c r="LX49" s="292"/>
      <c r="LY49" s="292"/>
      <c r="LZ49" s="292"/>
      <c r="MA49" s="292"/>
      <c r="MB49" s="292"/>
      <c r="MC49" s="292"/>
      <c r="MD49" s="292"/>
      <c r="ME49" s="292"/>
      <c r="MF49" s="292"/>
      <c r="MG49" s="292"/>
      <c r="MH49" s="292"/>
      <c r="MI49" s="292"/>
      <c r="MJ49" s="292"/>
      <c r="MK49" s="292"/>
      <c r="ML49" s="292"/>
      <c r="MM49" s="292"/>
      <c r="MN49" s="292"/>
      <c r="MO49" s="292"/>
      <c r="MP49" s="292"/>
      <c r="MQ49" s="292"/>
      <c r="MR49" s="292"/>
      <c r="MS49" s="292"/>
      <c r="MT49" s="292"/>
      <c r="MU49" s="292"/>
      <c r="MV49" s="292"/>
      <c r="MW49" s="292"/>
      <c r="MX49" s="292"/>
      <c r="MY49" s="292"/>
      <c r="MZ49" s="292"/>
      <c r="NA49" s="292"/>
      <c r="NB49" s="292"/>
      <c r="NC49" s="292"/>
      <c r="ND49" s="292"/>
      <c r="NE49" s="292"/>
      <c r="NF49" s="292"/>
      <c r="NG49" s="292"/>
      <c r="NH49" s="292"/>
      <c r="NI49" s="292"/>
      <c r="NJ49" s="292"/>
      <c r="NK49" s="292"/>
      <c r="NL49" s="292"/>
      <c r="NM49" s="292"/>
      <c r="NN49" s="292"/>
      <c r="NO49" s="292"/>
      <c r="NP49" s="292"/>
      <c r="NQ49" s="292"/>
      <c r="NR49" s="292"/>
      <c r="NS49" s="292"/>
      <c r="NT49" s="292"/>
      <c r="NU49" s="292"/>
      <c r="NV49" s="292"/>
      <c r="NW49" s="292"/>
      <c r="NX49" s="292"/>
      <c r="NY49" s="292"/>
      <c r="NZ49" s="292"/>
      <c r="OA49" s="292"/>
      <c r="OB49" s="292"/>
      <c r="OC49" s="292"/>
      <c r="OD49" s="292"/>
      <c r="OE49" s="292"/>
      <c r="OF49" s="292"/>
      <c r="OG49" s="292"/>
      <c r="OH49" s="292"/>
      <c r="OI49" s="292"/>
      <c r="OJ49" s="292"/>
      <c r="OK49" s="292"/>
      <c r="OL49" s="292"/>
      <c r="OM49" s="292"/>
      <c r="ON49" s="292"/>
      <c r="OO49" s="292"/>
      <c r="OP49" s="292"/>
      <c r="OQ49" s="292"/>
      <c r="OR49" s="292"/>
      <c r="OS49" s="292"/>
      <c r="OT49" s="292"/>
      <c r="OU49" s="292"/>
      <c r="OV49" s="292"/>
      <c r="OW49" s="292"/>
      <c r="OX49" s="292"/>
      <c r="OY49" s="292"/>
      <c r="OZ49" s="292"/>
      <c r="PA49" s="292"/>
      <c r="PB49" s="292"/>
      <c r="PC49" s="292"/>
      <c r="PD49" s="292"/>
      <c r="PE49" s="292"/>
      <c r="PF49" s="292"/>
      <c r="PG49" s="292"/>
      <c r="PH49" s="292"/>
      <c r="PI49" s="292"/>
      <c r="PJ49" s="292"/>
      <c r="PK49" s="292"/>
      <c r="PL49" s="292"/>
      <c r="PM49" s="292"/>
      <c r="PN49" s="292"/>
      <c r="PO49" s="292"/>
      <c r="PP49" s="292"/>
      <c r="PQ49" s="292"/>
      <c r="PR49" s="292"/>
      <c r="PS49" s="292"/>
      <c r="PT49" s="292"/>
      <c r="PU49" s="292"/>
      <c r="PV49" s="292"/>
      <c r="PW49" s="292"/>
      <c r="PX49" s="292"/>
      <c r="PY49" s="292"/>
      <c r="PZ49" s="292"/>
      <c r="QA49" s="292"/>
      <c r="QB49" s="292"/>
      <c r="QC49" s="292"/>
      <c r="QD49" s="292"/>
      <c r="QE49" s="292"/>
      <c r="QF49" s="292"/>
      <c r="QG49" s="292"/>
      <c r="QH49" s="292"/>
      <c r="QI49" s="292"/>
      <c r="QJ49" s="292"/>
      <c r="QK49" s="292"/>
      <c r="QL49" s="292"/>
      <c r="QM49" s="292"/>
      <c r="QN49" s="292"/>
      <c r="QO49" s="292"/>
      <c r="QP49" s="292"/>
      <c r="QQ49" s="292"/>
      <c r="QR49" s="292"/>
      <c r="QS49" s="292"/>
      <c r="QT49" s="292"/>
      <c r="QU49" s="292"/>
      <c r="QV49" s="292"/>
      <c r="QW49" s="292"/>
      <c r="QX49" s="292"/>
      <c r="QY49" s="292"/>
      <c r="QZ49" s="292"/>
      <c r="RA49" s="292"/>
      <c r="RB49" s="292"/>
      <c r="RC49" s="292"/>
      <c r="RD49" s="292"/>
      <c r="RE49" s="292"/>
      <c r="RF49" s="292"/>
      <c r="RG49" s="292"/>
      <c r="RH49" s="292"/>
      <c r="RI49" s="292"/>
      <c r="RJ49" s="292"/>
      <c r="RK49" s="292"/>
      <c r="RL49" s="292"/>
      <c r="RM49" s="292"/>
      <c r="RN49" s="292"/>
      <c r="RO49" s="292"/>
      <c r="RP49" s="292"/>
      <c r="RQ49" s="292"/>
      <c r="RR49" s="292"/>
      <c r="RS49" s="292"/>
      <c r="RT49" s="292"/>
      <c r="RU49" s="292"/>
      <c r="RV49" s="292"/>
      <c r="RW49" s="292"/>
      <c r="RX49" s="292"/>
      <c r="RY49" s="292"/>
      <c r="RZ49" s="292"/>
      <c r="SA49" s="292"/>
      <c r="SB49" s="292"/>
      <c r="SC49" s="292"/>
      <c r="SD49" s="292"/>
      <c r="SE49" s="292"/>
      <c r="SF49" s="292"/>
      <c r="SG49" s="292"/>
      <c r="SH49" s="292"/>
      <c r="SI49" s="292"/>
      <c r="SJ49" s="292"/>
      <c r="SK49" s="292"/>
      <c r="SL49" s="292"/>
      <c r="SM49" s="292"/>
      <c r="SN49" s="292"/>
      <c r="SO49" s="292"/>
      <c r="SP49" s="292"/>
      <c r="SQ49" s="292"/>
      <c r="SR49" s="292"/>
      <c r="SS49" s="292"/>
      <c r="ST49" s="292"/>
      <c r="SU49" s="292"/>
    </row>
    <row r="50" spans="1:515" ht="15" customHeight="1" x14ac:dyDescent="0.25">
      <c r="A50" s="1337" t="s">
        <v>354</v>
      </c>
      <c r="B50" s="1338"/>
      <c r="C50" s="1096" t="s">
        <v>355</v>
      </c>
      <c r="D50" s="962"/>
      <c r="E50" s="962"/>
      <c r="F50" s="962"/>
      <c r="G50" s="622">
        <v>0</v>
      </c>
      <c r="H50" s="962"/>
      <c r="I50" s="962"/>
      <c r="J50" s="962"/>
      <c r="K50" s="622">
        <v>0</v>
      </c>
      <c r="L50" s="962"/>
      <c r="M50" s="962"/>
      <c r="N50" s="962"/>
      <c r="O50" s="622">
        <v>0</v>
      </c>
      <c r="P50" s="962"/>
      <c r="Q50" s="962"/>
      <c r="R50" s="962"/>
      <c r="S50" s="622">
        <v>0</v>
      </c>
      <c r="T50" s="962"/>
      <c r="U50" s="962"/>
      <c r="V50" s="962"/>
      <c r="W50" s="622">
        <v>0</v>
      </c>
      <c r="X50" s="962"/>
      <c r="Y50" s="962"/>
      <c r="Z50" s="962"/>
      <c r="AA50" s="622">
        <v>0</v>
      </c>
      <c r="AB50" s="975"/>
      <c r="AC50" s="962"/>
      <c r="AD50" s="999">
        <f>G50+K50+O50+S50+W50+AA50</f>
        <v>0</v>
      </c>
      <c r="AE50" s="971"/>
    </row>
    <row r="51" spans="1:515" ht="15" customHeight="1" x14ac:dyDescent="0.25">
      <c r="A51" s="1337" t="s">
        <v>356</v>
      </c>
      <c r="B51" s="1338"/>
      <c r="C51" s="1096" t="s">
        <v>357</v>
      </c>
      <c r="D51" s="962"/>
      <c r="E51" s="962"/>
      <c r="F51" s="962"/>
      <c r="G51" s="622">
        <v>0</v>
      </c>
      <c r="H51" s="962"/>
      <c r="I51" s="962"/>
      <c r="J51" s="962" t="s">
        <v>358</v>
      </c>
      <c r="K51" s="622">
        <v>0</v>
      </c>
      <c r="L51" s="962"/>
      <c r="M51" s="962"/>
      <c r="N51" s="962"/>
      <c r="O51" s="622">
        <v>0</v>
      </c>
      <c r="P51" s="962"/>
      <c r="Q51" s="962"/>
      <c r="R51" s="962"/>
      <c r="S51" s="622">
        <v>0</v>
      </c>
      <c r="T51" s="962"/>
      <c r="U51" s="962"/>
      <c r="V51" s="962"/>
      <c r="W51" s="622">
        <v>0</v>
      </c>
      <c r="X51" s="962"/>
      <c r="Y51" s="962"/>
      <c r="Z51" s="962"/>
      <c r="AA51" s="622">
        <v>0</v>
      </c>
      <c r="AB51" s="975"/>
      <c r="AC51" s="962"/>
      <c r="AD51" s="999">
        <f>G51+K51+O51+S51+W51+AA51</f>
        <v>0</v>
      </c>
      <c r="AE51" s="971"/>
    </row>
    <row r="52" spans="1:515" ht="15" customHeight="1" x14ac:dyDescent="0.25">
      <c r="A52" s="1337" t="s">
        <v>48</v>
      </c>
      <c r="B52" s="1338"/>
      <c r="C52" s="1096" t="s">
        <v>359</v>
      </c>
      <c r="D52" s="962"/>
      <c r="E52" s="962"/>
      <c r="F52" s="962"/>
      <c r="G52" s="622">
        <v>0</v>
      </c>
      <c r="H52" s="962"/>
      <c r="I52" s="962"/>
      <c r="J52" s="962"/>
      <c r="K52" s="622">
        <v>0</v>
      </c>
      <c r="L52" s="962"/>
      <c r="M52" s="962"/>
      <c r="N52" s="962"/>
      <c r="O52" s="622">
        <v>0</v>
      </c>
      <c r="P52" s="962"/>
      <c r="Q52" s="962"/>
      <c r="R52" s="962"/>
      <c r="S52" s="622">
        <v>0</v>
      </c>
      <c r="T52" s="962"/>
      <c r="U52" s="962"/>
      <c r="V52" s="962"/>
      <c r="W52" s="622">
        <v>0</v>
      </c>
      <c r="X52" s="962"/>
      <c r="Y52" s="962"/>
      <c r="Z52" s="962"/>
      <c r="AA52" s="622">
        <v>0</v>
      </c>
      <c r="AB52" s="975"/>
      <c r="AC52" s="962"/>
      <c r="AD52" s="999">
        <f>G52+K52+O52+S52+W52+AA52</f>
        <v>0</v>
      </c>
      <c r="AE52" s="971"/>
    </row>
    <row r="53" spans="1:515" ht="21" customHeight="1" x14ac:dyDescent="0.25">
      <c r="A53" s="1329" t="s">
        <v>360</v>
      </c>
      <c r="B53" s="1330"/>
      <c r="C53" s="1096" t="s">
        <v>361</v>
      </c>
      <c r="D53" s="962"/>
      <c r="E53" s="962"/>
      <c r="F53" s="962"/>
      <c r="G53" s="622">
        <v>0</v>
      </c>
      <c r="H53" s="988"/>
      <c r="I53" s="962"/>
      <c r="J53" s="962"/>
      <c r="K53" s="622">
        <v>0</v>
      </c>
      <c r="L53" s="962"/>
      <c r="M53" s="962"/>
      <c r="N53" s="962"/>
      <c r="O53" s="622">
        <v>0</v>
      </c>
      <c r="P53" s="962"/>
      <c r="Q53" s="962"/>
      <c r="R53" s="962"/>
      <c r="S53" s="622">
        <v>0</v>
      </c>
      <c r="T53" s="962"/>
      <c r="U53" s="962"/>
      <c r="V53" s="962"/>
      <c r="W53" s="622">
        <v>0</v>
      </c>
      <c r="X53" s="962"/>
      <c r="Y53" s="962"/>
      <c r="Z53" s="962"/>
      <c r="AA53" s="622">
        <v>0</v>
      </c>
      <c r="AB53" s="975"/>
      <c r="AC53" s="962"/>
      <c r="AD53" s="999">
        <f>G53+K53+O53+S53+W53+AA53</f>
        <v>0</v>
      </c>
      <c r="AE53" s="971"/>
    </row>
    <row r="54" spans="1:515" s="624" customFormat="1" ht="23.15" customHeight="1" x14ac:dyDescent="0.25">
      <c r="A54" s="1362" t="s">
        <v>352</v>
      </c>
      <c r="B54" s="1363"/>
      <c r="C54" s="1363"/>
      <c r="D54" s="962"/>
      <c r="E54" s="960"/>
      <c r="F54" s="976"/>
      <c r="G54" s="789">
        <f>SUM(G49:G53)</f>
        <v>0</v>
      </c>
      <c r="H54" s="962"/>
      <c r="I54" s="960"/>
      <c r="J54" s="981"/>
      <c r="K54" s="789">
        <f>SUM(K49:K53)</f>
        <v>0</v>
      </c>
      <c r="L54" s="962"/>
      <c r="M54" s="984"/>
      <c r="N54" s="984"/>
      <c r="O54" s="789">
        <f>SUM(O49:O53)</f>
        <v>0</v>
      </c>
      <c r="P54" s="962"/>
      <c r="Q54" s="962"/>
      <c r="R54" s="962"/>
      <c r="S54" s="789">
        <f>SUM(S49:S53)</f>
        <v>0</v>
      </c>
      <c r="T54" s="962"/>
      <c r="U54" s="1309"/>
      <c r="V54" s="1309"/>
      <c r="W54" s="625">
        <f>SUM(W49:W53)</f>
        <v>0</v>
      </c>
      <c r="X54" s="962"/>
      <c r="Y54" s="1309"/>
      <c r="Z54" s="1309"/>
      <c r="AA54" s="789">
        <f>SUM(AA49:AA53)</f>
        <v>0</v>
      </c>
      <c r="AB54" s="976"/>
      <c r="AC54" s="962"/>
      <c r="AD54" s="789">
        <f>G54+K54+O54+S54+W54+AA54</f>
        <v>0</v>
      </c>
      <c r="AE54" s="971"/>
      <c r="AF54" s="292"/>
      <c r="AG54" s="292"/>
      <c r="AH54" s="292"/>
      <c r="AI54" s="292"/>
      <c r="AJ54" s="292"/>
      <c r="AK54" s="292"/>
      <c r="AL54" s="292"/>
      <c r="AM54" s="292"/>
      <c r="AN54" s="292"/>
      <c r="AO54" s="292"/>
      <c r="AP54" s="292"/>
      <c r="AQ54" s="292"/>
      <c r="AR54" s="292"/>
      <c r="AS54" s="292"/>
      <c r="AT54" s="292"/>
      <c r="AU54" s="292"/>
      <c r="AV54" s="292"/>
      <c r="AW54" s="292"/>
      <c r="AX54" s="292"/>
      <c r="AY54" s="292"/>
      <c r="AZ54" s="292"/>
      <c r="BA54" s="292"/>
      <c r="BB54" s="292"/>
      <c r="BC54" s="292"/>
      <c r="BD54" s="292"/>
      <c r="BE54" s="292"/>
      <c r="BF54" s="292"/>
      <c r="BG54" s="292"/>
      <c r="BH54" s="292"/>
      <c r="BI54" s="292"/>
      <c r="BJ54" s="292"/>
      <c r="BK54" s="292"/>
      <c r="BL54" s="292"/>
      <c r="BM54" s="292"/>
      <c r="BN54" s="292"/>
      <c r="BO54" s="292"/>
      <c r="BP54" s="292"/>
      <c r="BQ54" s="292"/>
      <c r="BR54" s="292"/>
      <c r="BS54" s="292"/>
      <c r="BT54" s="292"/>
      <c r="BU54" s="292"/>
      <c r="BV54" s="292"/>
      <c r="BW54" s="292"/>
      <c r="BX54" s="292"/>
      <c r="BY54" s="292"/>
      <c r="BZ54" s="292"/>
      <c r="CA54" s="292"/>
      <c r="CB54" s="292"/>
      <c r="CC54" s="292"/>
      <c r="CD54" s="292"/>
      <c r="CE54" s="292"/>
      <c r="CF54" s="292"/>
      <c r="CG54" s="292"/>
      <c r="CH54" s="292"/>
      <c r="CI54" s="292"/>
      <c r="CJ54" s="292"/>
      <c r="CK54" s="292"/>
      <c r="CL54" s="292"/>
      <c r="CM54" s="292"/>
      <c r="CN54" s="292"/>
      <c r="CO54" s="292"/>
      <c r="CP54" s="292"/>
      <c r="CQ54" s="292"/>
      <c r="CR54" s="292"/>
      <c r="CS54" s="292"/>
      <c r="CT54" s="292"/>
      <c r="CU54" s="292"/>
      <c r="CV54" s="292"/>
      <c r="CW54" s="292"/>
      <c r="CX54" s="292"/>
      <c r="CY54" s="292"/>
      <c r="CZ54" s="292"/>
      <c r="DA54" s="292"/>
      <c r="DB54" s="292"/>
      <c r="DC54" s="292"/>
      <c r="DD54" s="292"/>
      <c r="DE54" s="292"/>
      <c r="DF54" s="292"/>
      <c r="DG54" s="292"/>
      <c r="DH54" s="292"/>
      <c r="DI54" s="292"/>
      <c r="DJ54" s="292"/>
      <c r="DK54" s="292"/>
      <c r="DL54" s="292"/>
      <c r="DM54" s="292"/>
      <c r="DN54" s="292"/>
      <c r="DO54" s="292"/>
      <c r="DP54" s="292"/>
      <c r="DQ54" s="292"/>
      <c r="DR54" s="292"/>
      <c r="DS54" s="292"/>
      <c r="DT54" s="292"/>
      <c r="DU54" s="292"/>
      <c r="DV54" s="292"/>
      <c r="DW54" s="292"/>
      <c r="DX54" s="292"/>
      <c r="DY54" s="292"/>
      <c r="DZ54" s="292"/>
      <c r="EA54" s="292"/>
      <c r="EB54" s="292"/>
      <c r="EC54" s="292"/>
      <c r="ED54" s="292"/>
      <c r="EE54" s="292"/>
      <c r="EF54" s="292"/>
      <c r="EG54" s="292"/>
      <c r="EH54" s="292"/>
      <c r="EI54" s="292"/>
      <c r="EJ54" s="292"/>
      <c r="EK54" s="292"/>
      <c r="EL54" s="292"/>
      <c r="EM54" s="292"/>
      <c r="EN54" s="292"/>
      <c r="EO54" s="292"/>
      <c r="EP54" s="292"/>
      <c r="EQ54" s="292"/>
      <c r="ER54" s="292"/>
      <c r="ES54" s="292"/>
      <c r="ET54" s="292"/>
      <c r="EU54" s="292"/>
      <c r="EV54" s="292"/>
      <c r="EW54" s="292"/>
      <c r="EX54" s="292"/>
      <c r="EY54" s="292"/>
      <c r="EZ54" s="292"/>
      <c r="FA54" s="292"/>
      <c r="FB54" s="292"/>
      <c r="FC54" s="292"/>
      <c r="FD54" s="292"/>
      <c r="FE54" s="292"/>
      <c r="FF54" s="292"/>
      <c r="FG54" s="292"/>
      <c r="FH54" s="292"/>
      <c r="FI54" s="292"/>
      <c r="FJ54" s="292"/>
      <c r="FK54" s="292"/>
      <c r="FL54" s="292"/>
      <c r="FM54" s="292"/>
      <c r="FN54" s="292"/>
      <c r="FO54" s="292"/>
      <c r="FP54" s="292"/>
      <c r="FQ54" s="292"/>
      <c r="FR54" s="292"/>
      <c r="FS54" s="292"/>
      <c r="FT54" s="292"/>
      <c r="FU54" s="292"/>
      <c r="FV54" s="292"/>
      <c r="FW54" s="292"/>
      <c r="FX54" s="292"/>
      <c r="FY54" s="292"/>
      <c r="FZ54" s="292"/>
      <c r="GA54" s="292"/>
      <c r="GB54" s="292"/>
      <c r="GC54" s="292"/>
      <c r="GD54" s="292"/>
      <c r="GE54" s="292"/>
      <c r="GF54" s="292"/>
      <c r="GG54" s="292"/>
      <c r="GH54" s="292"/>
      <c r="GI54" s="292"/>
      <c r="GJ54" s="292"/>
      <c r="GK54" s="292"/>
      <c r="GL54" s="292"/>
      <c r="GM54" s="292"/>
      <c r="GN54" s="292"/>
      <c r="GO54" s="292"/>
      <c r="GP54" s="292"/>
      <c r="GQ54" s="292"/>
      <c r="GR54" s="292"/>
      <c r="GS54" s="292"/>
      <c r="GT54" s="292"/>
      <c r="GU54" s="292"/>
      <c r="GV54" s="292"/>
      <c r="GW54" s="292"/>
      <c r="GX54" s="292"/>
      <c r="GY54" s="292"/>
      <c r="GZ54" s="292"/>
      <c r="HA54" s="292"/>
      <c r="HB54" s="292"/>
      <c r="HC54" s="292"/>
      <c r="HD54" s="292"/>
      <c r="HE54" s="292"/>
      <c r="HF54" s="292"/>
      <c r="HG54" s="292"/>
      <c r="HH54" s="292"/>
      <c r="HI54" s="292"/>
      <c r="HJ54" s="292"/>
      <c r="HK54" s="292"/>
      <c r="HL54" s="292"/>
      <c r="HM54" s="292"/>
      <c r="HN54" s="292"/>
      <c r="HO54" s="292"/>
      <c r="HP54" s="292"/>
      <c r="HQ54" s="292"/>
      <c r="HR54" s="292"/>
      <c r="HS54" s="292"/>
      <c r="HT54" s="292"/>
      <c r="HU54" s="292"/>
      <c r="HV54" s="292"/>
      <c r="HW54" s="292"/>
      <c r="HX54" s="292"/>
      <c r="HY54" s="292"/>
      <c r="HZ54" s="292"/>
      <c r="IA54" s="292"/>
      <c r="IB54" s="292"/>
      <c r="IC54" s="292"/>
      <c r="ID54" s="292"/>
      <c r="IE54" s="292"/>
      <c r="IF54" s="292"/>
      <c r="IG54" s="292"/>
      <c r="IH54" s="292"/>
      <c r="II54" s="292"/>
      <c r="IJ54" s="292"/>
      <c r="IK54" s="292"/>
      <c r="IL54" s="292"/>
      <c r="IM54" s="292"/>
      <c r="IN54" s="292"/>
      <c r="IO54" s="292"/>
      <c r="IP54" s="292"/>
      <c r="IQ54" s="292"/>
      <c r="IR54" s="292"/>
      <c r="IS54" s="292"/>
      <c r="IT54" s="292"/>
      <c r="IU54" s="292"/>
      <c r="IV54" s="292"/>
      <c r="IW54" s="292"/>
      <c r="IX54" s="292"/>
      <c r="IY54" s="292"/>
      <c r="IZ54" s="292"/>
      <c r="JA54" s="292"/>
      <c r="JB54" s="292"/>
      <c r="JC54" s="292"/>
      <c r="JD54" s="292"/>
      <c r="JE54" s="292"/>
      <c r="JF54" s="292"/>
      <c r="JG54" s="292"/>
      <c r="JH54" s="292"/>
      <c r="JI54" s="292"/>
      <c r="JJ54" s="292"/>
      <c r="JK54" s="292"/>
      <c r="JL54" s="292"/>
      <c r="JM54" s="292"/>
      <c r="JN54" s="292"/>
      <c r="JO54" s="292"/>
      <c r="JP54" s="292"/>
      <c r="JQ54" s="292"/>
      <c r="JR54" s="292"/>
      <c r="JS54" s="292"/>
      <c r="JT54" s="292"/>
      <c r="JU54" s="292"/>
      <c r="JV54" s="292"/>
      <c r="JW54" s="292"/>
      <c r="JX54" s="292"/>
      <c r="JY54" s="292"/>
      <c r="JZ54" s="292"/>
      <c r="KA54" s="292"/>
      <c r="KB54" s="292"/>
      <c r="KC54" s="292"/>
      <c r="KD54" s="292"/>
      <c r="KE54" s="292"/>
      <c r="KF54" s="292"/>
      <c r="KG54" s="292"/>
      <c r="KH54" s="292"/>
      <c r="KI54" s="292"/>
      <c r="KJ54" s="292"/>
      <c r="KK54" s="292"/>
      <c r="KL54" s="292"/>
      <c r="KM54" s="292"/>
      <c r="KN54" s="292"/>
      <c r="KO54" s="292"/>
      <c r="KP54" s="292"/>
      <c r="KQ54" s="292"/>
      <c r="KR54" s="292"/>
      <c r="KS54" s="292"/>
      <c r="KT54" s="292"/>
      <c r="KU54" s="292"/>
      <c r="KV54" s="292"/>
      <c r="KW54" s="292"/>
      <c r="KX54" s="292"/>
      <c r="KY54" s="292"/>
      <c r="KZ54" s="292"/>
      <c r="LA54" s="292"/>
      <c r="LB54" s="292"/>
      <c r="LC54" s="292"/>
      <c r="LD54" s="292"/>
      <c r="LE54" s="292"/>
      <c r="LF54" s="292"/>
      <c r="LG54" s="292"/>
      <c r="LH54" s="292"/>
      <c r="LI54" s="292"/>
      <c r="LJ54" s="292"/>
      <c r="LK54" s="292"/>
      <c r="LL54" s="292"/>
      <c r="LM54" s="292"/>
      <c r="LN54" s="292"/>
      <c r="LO54" s="292"/>
      <c r="LP54" s="292"/>
      <c r="LQ54" s="292"/>
      <c r="LR54" s="292"/>
      <c r="LS54" s="292"/>
      <c r="LT54" s="292"/>
      <c r="LU54" s="292"/>
      <c r="LV54" s="292"/>
      <c r="LW54" s="292"/>
      <c r="LX54" s="292"/>
      <c r="LY54" s="292"/>
      <c r="LZ54" s="292"/>
      <c r="MA54" s="292"/>
      <c r="MB54" s="292"/>
      <c r="MC54" s="292"/>
      <c r="MD54" s="292"/>
      <c r="ME54" s="292"/>
      <c r="MF54" s="292"/>
      <c r="MG54" s="292"/>
      <c r="MH54" s="292"/>
      <c r="MI54" s="292"/>
      <c r="MJ54" s="292"/>
      <c r="MK54" s="292"/>
      <c r="ML54" s="292"/>
      <c r="MM54" s="292"/>
      <c r="MN54" s="292"/>
      <c r="MO54" s="292"/>
      <c r="MP54" s="292"/>
      <c r="MQ54" s="292"/>
      <c r="MR54" s="292"/>
      <c r="MS54" s="292"/>
      <c r="MT54" s="292"/>
      <c r="MU54" s="292"/>
      <c r="MV54" s="292"/>
      <c r="MW54" s="292"/>
      <c r="MX54" s="292"/>
      <c r="MY54" s="292"/>
      <c r="MZ54" s="292"/>
      <c r="NA54" s="292"/>
      <c r="NB54" s="292"/>
      <c r="NC54" s="292"/>
      <c r="ND54" s="292"/>
      <c r="NE54" s="292"/>
      <c r="NF54" s="292"/>
      <c r="NG54" s="292"/>
      <c r="NH54" s="292"/>
      <c r="NI54" s="292"/>
      <c r="NJ54" s="292"/>
      <c r="NK54" s="292"/>
      <c r="NL54" s="292"/>
      <c r="NM54" s="292"/>
      <c r="NN54" s="292"/>
      <c r="NO54" s="292"/>
      <c r="NP54" s="292"/>
      <c r="NQ54" s="292"/>
      <c r="NR54" s="292"/>
      <c r="NS54" s="292"/>
      <c r="NT54" s="292"/>
      <c r="NU54" s="292"/>
      <c r="NV54" s="292"/>
      <c r="NW54" s="292"/>
      <c r="NX54" s="292"/>
      <c r="NY54" s="292"/>
      <c r="NZ54" s="292"/>
      <c r="OA54" s="292"/>
      <c r="OB54" s="292"/>
      <c r="OC54" s="292"/>
      <c r="OD54" s="292"/>
      <c r="OE54" s="292"/>
      <c r="OF54" s="292"/>
      <c r="OG54" s="292"/>
      <c r="OH54" s="292"/>
      <c r="OI54" s="292"/>
      <c r="OJ54" s="292"/>
      <c r="OK54" s="292"/>
      <c r="OL54" s="292"/>
      <c r="OM54" s="292"/>
      <c r="ON54" s="292"/>
      <c r="OO54" s="292"/>
      <c r="OP54" s="292"/>
      <c r="OQ54" s="292"/>
      <c r="OR54" s="292"/>
      <c r="OS54" s="292"/>
      <c r="OT54" s="292"/>
      <c r="OU54" s="292"/>
      <c r="OV54" s="292"/>
      <c r="OW54" s="292"/>
      <c r="OX54" s="292"/>
      <c r="OY54" s="292"/>
      <c r="OZ54" s="292"/>
      <c r="PA54" s="292"/>
      <c r="PB54" s="292"/>
      <c r="PC54" s="292"/>
      <c r="PD54" s="292"/>
      <c r="PE54" s="292"/>
      <c r="PF54" s="292"/>
      <c r="PG54" s="292"/>
      <c r="PH54" s="292"/>
      <c r="PI54" s="292"/>
      <c r="PJ54" s="292"/>
      <c r="PK54" s="292"/>
      <c r="PL54" s="292"/>
      <c r="PM54" s="292"/>
      <c r="PN54" s="292"/>
      <c r="PO54" s="292"/>
      <c r="PP54" s="292"/>
      <c r="PQ54" s="292"/>
      <c r="PR54" s="292"/>
      <c r="PS54" s="292"/>
      <c r="PT54" s="292"/>
      <c r="PU54" s="292"/>
      <c r="PV54" s="292"/>
      <c r="PW54" s="292"/>
      <c r="PX54" s="292"/>
      <c r="PY54" s="292"/>
      <c r="PZ54" s="292"/>
      <c r="QA54" s="292"/>
      <c r="QB54" s="292"/>
      <c r="QC54" s="292"/>
      <c r="QD54" s="292"/>
      <c r="QE54" s="292"/>
      <c r="QF54" s="292"/>
      <c r="QG54" s="292"/>
      <c r="QH54" s="292"/>
      <c r="QI54" s="292"/>
      <c r="QJ54" s="292"/>
      <c r="QK54" s="292"/>
      <c r="QL54" s="292"/>
      <c r="QM54" s="292"/>
      <c r="QN54" s="292"/>
      <c r="QO54" s="292"/>
      <c r="QP54" s="292"/>
      <c r="QQ54" s="292"/>
      <c r="QR54" s="292"/>
      <c r="QS54" s="292"/>
      <c r="QT54" s="292"/>
      <c r="QU54" s="292"/>
      <c r="QV54" s="292"/>
      <c r="QW54" s="292"/>
      <c r="QX54" s="292"/>
      <c r="QY54" s="292"/>
      <c r="QZ54" s="292"/>
      <c r="RA54" s="292"/>
      <c r="RB54" s="292"/>
      <c r="RC54" s="292"/>
      <c r="RD54" s="292"/>
      <c r="RE54" s="292"/>
      <c r="RF54" s="292"/>
      <c r="RG54" s="292"/>
      <c r="RH54" s="292"/>
      <c r="RI54" s="292"/>
      <c r="RJ54" s="292"/>
      <c r="RK54" s="292"/>
      <c r="RL54" s="292"/>
      <c r="RM54" s="292"/>
      <c r="RN54" s="292"/>
      <c r="RO54" s="292"/>
      <c r="RP54" s="292"/>
      <c r="RQ54" s="292"/>
      <c r="RR54" s="292"/>
      <c r="RS54" s="292"/>
      <c r="RT54" s="292"/>
      <c r="RU54" s="292"/>
      <c r="RV54" s="292"/>
      <c r="RW54" s="292"/>
      <c r="RX54" s="292"/>
      <c r="RY54" s="292"/>
      <c r="RZ54" s="292"/>
      <c r="SA54" s="292"/>
      <c r="SB54" s="292"/>
      <c r="SC54" s="292"/>
      <c r="SD54" s="292"/>
      <c r="SE54" s="292"/>
      <c r="SF54" s="292"/>
      <c r="SG54" s="292"/>
      <c r="SH54" s="292"/>
      <c r="SI54" s="292"/>
      <c r="SJ54" s="292"/>
      <c r="SK54" s="292"/>
      <c r="SL54" s="292"/>
      <c r="SM54" s="292"/>
      <c r="SN54" s="292"/>
      <c r="SO54" s="292"/>
      <c r="SP54" s="292"/>
      <c r="SQ54" s="292"/>
      <c r="SR54" s="292"/>
      <c r="SS54" s="292"/>
      <c r="ST54" s="292"/>
      <c r="SU54" s="292"/>
    </row>
    <row r="55" spans="1:515" s="620" customFormat="1" ht="15" customHeight="1" x14ac:dyDescent="0.25">
      <c r="A55" s="986"/>
      <c r="B55" s="984"/>
      <c r="C55" s="984"/>
      <c r="D55" s="962"/>
      <c r="E55" s="960"/>
      <c r="F55" s="976"/>
      <c r="G55" s="981"/>
      <c r="H55" s="962"/>
      <c r="I55" s="960"/>
      <c r="J55" s="981"/>
      <c r="K55" s="981"/>
      <c r="L55" s="962"/>
      <c r="M55" s="984"/>
      <c r="N55" s="984"/>
      <c r="O55" s="981"/>
      <c r="P55" s="962"/>
      <c r="Q55" s="962"/>
      <c r="R55" s="962"/>
      <c r="S55" s="976"/>
      <c r="T55" s="962"/>
      <c r="U55" s="1177"/>
      <c r="V55" s="1177"/>
      <c r="W55" s="976"/>
      <c r="X55" s="962"/>
      <c r="Y55" s="1177"/>
      <c r="Z55" s="1177"/>
      <c r="AA55" s="981"/>
      <c r="AB55" s="976"/>
      <c r="AC55" s="962"/>
      <c r="AD55" s="981"/>
      <c r="AE55" s="971"/>
      <c r="AF55" s="292"/>
      <c r="AG55" s="292"/>
      <c r="AH55" s="292"/>
      <c r="AI55" s="292"/>
      <c r="AJ55" s="292"/>
      <c r="AK55" s="292"/>
      <c r="AL55" s="292"/>
      <c r="AM55" s="292"/>
      <c r="AN55" s="292"/>
      <c r="AO55" s="292"/>
      <c r="AP55" s="292"/>
      <c r="AQ55" s="292"/>
      <c r="AR55" s="292"/>
      <c r="AS55" s="292"/>
      <c r="AT55" s="292"/>
      <c r="AU55" s="292"/>
      <c r="AV55" s="292"/>
      <c r="AW55" s="292"/>
      <c r="AX55" s="292"/>
      <c r="AY55" s="292"/>
      <c r="AZ55" s="292"/>
      <c r="BA55" s="292"/>
      <c r="BB55" s="292"/>
      <c r="BC55" s="292"/>
      <c r="BD55" s="292"/>
      <c r="BE55" s="292"/>
      <c r="BF55" s="292"/>
      <c r="BG55" s="292"/>
      <c r="BH55" s="292"/>
      <c r="BI55" s="292"/>
      <c r="BJ55" s="292"/>
      <c r="BK55" s="292"/>
      <c r="BL55" s="292"/>
    </row>
    <row r="56" spans="1:515" s="478" customFormat="1" ht="23.15" customHeight="1" x14ac:dyDescent="0.25">
      <c r="A56" s="1346" t="s">
        <v>362</v>
      </c>
      <c r="B56" s="1308"/>
      <c r="C56" s="1308"/>
      <c r="D56" s="957"/>
      <c r="E56" s="1172">
        <v>0</v>
      </c>
      <c r="F56" s="1172" t="s">
        <v>363</v>
      </c>
      <c r="G56" s="1172" t="s">
        <v>364</v>
      </c>
      <c r="H56" s="957"/>
      <c r="I56" s="1172" t="s">
        <v>15</v>
      </c>
      <c r="J56" s="1172" t="s">
        <v>363</v>
      </c>
      <c r="K56" s="1172" t="s">
        <v>364</v>
      </c>
      <c r="L56" s="957"/>
      <c r="M56" s="1172" t="s">
        <v>15</v>
      </c>
      <c r="N56" s="1172" t="s">
        <v>363</v>
      </c>
      <c r="O56" s="1172" t="s">
        <v>364</v>
      </c>
      <c r="P56" s="957"/>
      <c r="Q56" s="1172" t="s">
        <v>15</v>
      </c>
      <c r="R56" s="1172" t="s">
        <v>363</v>
      </c>
      <c r="S56" s="1172" t="s">
        <v>364</v>
      </c>
      <c r="T56" s="957"/>
      <c r="U56" s="1172" t="s">
        <v>15</v>
      </c>
      <c r="V56" s="1172" t="s">
        <v>363</v>
      </c>
      <c r="W56" s="1172" t="s">
        <v>364</v>
      </c>
      <c r="X56" s="957"/>
      <c r="Y56" s="1172" t="s">
        <v>15</v>
      </c>
      <c r="Z56" s="1172" t="s">
        <v>363</v>
      </c>
      <c r="AA56" s="1172" t="s">
        <v>364</v>
      </c>
      <c r="AB56" s="957"/>
      <c r="AC56" s="957"/>
      <c r="AD56" s="1172" t="s">
        <v>138</v>
      </c>
      <c r="AE56" s="971"/>
      <c r="AF56" s="292"/>
      <c r="AG56" s="292"/>
      <c r="AH56" s="292"/>
      <c r="AI56" s="292"/>
      <c r="AJ56" s="292"/>
      <c r="AK56" s="292"/>
      <c r="AL56" s="292"/>
      <c r="AM56" s="292"/>
      <c r="AN56" s="292"/>
      <c r="AO56" s="292"/>
      <c r="AP56" s="292"/>
      <c r="AQ56" s="292"/>
      <c r="AR56" s="292"/>
      <c r="AS56" s="292"/>
      <c r="AT56" s="292"/>
      <c r="AU56" s="292"/>
      <c r="AV56" s="292"/>
      <c r="AW56" s="292"/>
      <c r="AX56" s="292"/>
      <c r="AY56" s="292"/>
      <c r="AZ56" s="292"/>
      <c r="BA56" s="292"/>
      <c r="BB56" s="292"/>
      <c r="BC56" s="292"/>
      <c r="BD56" s="292"/>
      <c r="BE56" s="292"/>
      <c r="BF56" s="292"/>
      <c r="BG56" s="292"/>
      <c r="BH56" s="292"/>
      <c r="BI56" s="292"/>
      <c r="BJ56" s="292"/>
      <c r="BK56" s="292"/>
      <c r="BL56" s="292"/>
      <c r="BM56" s="292"/>
      <c r="BN56" s="292"/>
      <c r="BO56" s="292"/>
      <c r="BP56" s="292"/>
      <c r="BQ56" s="292"/>
      <c r="BR56" s="292"/>
      <c r="BS56" s="292"/>
      <c r="BT56" s="292"/>
      <c r="BU56" s="292"/>
      <c r="BV56" s="292"/>
      <c r="BW56" s="292"/>
      <c r="BX56" s="292"/>
      <c r="BY56" s="292"/>
      <c r="BZ56" s="292"/>
      <c r="CA56" s="292"/>
      <c r="CB56" s="292"/>
      <c r="CC56" s="292"/>
      <c r="CD56" s="292"/>
      <c r="CE56" s="292"/>
      <c r="CF56" s="292"/>
      <c r="CG56" s="292"/>
      <c r="CH56" s="292"/>
      <c r="CI56" s="292"/>
      <c r="CJ56" s="292"/>
      <c r="CK56" s="292"/>
      <c r="CL56" s="292"/>
      <c r="CM56" s="292"/>
      <c r="CN56" s="292"/>
      <c r="CO56" s="292"/>
      <c r="CP56" s="292"/>
      <c r="CQ56" s="292"/>
      <c r="CR56" s="292"/>
      <c r="CS56" s="292"/>
      <c r="CT56" s="292"/>
      <c r="CU56" s="292"/>
      <c r="CV56" s="292"/>
      <c r="CW56" s="292"/>
      <c r="CX56" s="292"/>
      <c r="CY56" s="292"/>
      <c r="CZ56" s="292"/>
      <c r="DA56" s="292"/>
      <c r="DB56" s="292"/>
      <c r="DC56" s="292"/>
      <c r="DD56" s="292"/>
      <c r="DE56" s="292"/>
      <c r="DF56" s="292"/>
      <c r="DG56" s="292"/>
      <c r="DH56" s="292"/>
      <c r="DI56" s="292"/>
      <c r="DJ56" s="292"/>
      <c r="DK56" s="292"/>
      <c r="DL56" s="292"/>
      <c r="DM56" s="292"/>
      <c r="DN56" s="292"/>
      <c r="DO56" s="292"/>
      <c r="DP56" s="292"/>
      <c r="DQ56" s="292"/>
      <c r="DR56" s="292"/>
      <c r="DS56" s="292"/>
      <c r="DT56" s="292"/>
      <c r="DU56" s="292"/>
      <c r="DV56" s="292"/>
      <c r="DW56" s="292"/>
      <c r="DX56" s="292"/>
      <c r="DY56" s="292"/>
      <c r="DZ56" s="292"/>
      <c r="EA56" s="292"/>
      <c r="EB56" s="292"/>
      <c r="EC56" s="292"/>
      <c r="ED56" s="292"/>
      <c r="EE56" s="292"/>
      <c r="EF56" s="292"/>
      <c r="EG56" s="292"/>
      <c r="EH56" s="292"/>
      <c r="EI56" s="292"/>
      <c r="EJ56" s="292"/>
      <c r="EK56" s="292"/>
      <c r="EL56" s="292"/>
      <c r="EM56" s="292"/>
      <c r="EN56" s="292"/>
      <c r="EO56" s="292"/>
      <c r="EP56" s="292"/>
      <c r="EQ56" s="292"/>
      <c r="ER56" s="292"/>
      <c r="ES56" s="292"/>
      <c r="ET56" s="292"/>
      <c r="EU56" s="292"/>
      <c r="EV56" s="292"/>
      <c r="EW56" s="292"/>
      <c r="EX56" s="292"/>
      <c r="EY56" s="292"/>
      <c r="EZ56" s="292"/>
      <c r="FA56" s="292"/>
      <c r="FB56" s="292"/>
      <c r="FC56" s="292"/>
      <c r="FD56" s="292"/>
      <c r="FE56" s="292"/>
      <c r="FF56" s="292"/>
      <c r="FG56" s="292"/>
      <c r="FH56" s="292"/>
      <c r="FI56" s="292"/>
      <c r="FJ56" s="292"/>
      <c r="FK56" s="292"/>
      <c r="FL56" s="292"/>
      <c r="FM56" s="292"/>
      <c r="FN56" s="292"/>
      <c r="FO56" s="292"/>
      <c r="FP56" s="292"/>
      <c r="FQ56" s="292"/>
      <c r="FR56" s="292"/>
      <c r="FS56" s="292"/>
      <c r="FT56" s="292"/>
      <c r="FU56" s="292"/>
      <c r="FV56" s="292"/>
      <c r="FW56" s="292"/>
      <c r="FX56" s="292"/>
      <c r="FY56" s="292"/>
      <c r="FZ56" s="292"/>
      <c r="GA56" s="292"/>
      <c r="GB56" s="292"/>
      <c r="GC56" s="292"/>
      <c r="GD56" s="292"/>
      <c r="GE56" s="292"/>
      <c r="GF56" s="292"/>
      <c r="GG56" s="292"/>
      <c r="GH56" s="292"/>
      <c r="GI56" s="292"/>
      <c r="GJ56" s="292"/>
      <c r="GK56" s="292"/>
      <c r="GL56" s="292"/>
      <c r="GM56" s="292"/>
      <c r="GN56" s="292"/>
      <c r="GO56" s="292"/>
      <c r="GP56" s="292"/>
      <c r="GQ56" s="292"/>
      <c r="GR56" s="292"/>
      <c r="GS56" s="292"/>
      <c r="GT56" s="292"/>
      <c r="GU56" s="292"/>
      <c r="GV56" s="292"/>
      <c r="GW56" s="292"/>
      <c r="GX56" s="292"/>
      <c r="GY56" s="292"/>
      <c r="GZ56" s="292"/>
      <c r="HA56" s="292"/>
      <c r="HB56" s="292"/>
      <c r="HC56" s="292"/>
      <c r="HD56" s="292"/>
      <c r="HE56" s="292"/>
      <c r="HF56" s="292"/>
      <c r="HG56" s="292"/>
      <c r="HH56" s="292"/>
      <c r="HI56" s="292"/>
      <c r="HJ56" s="292"/>
      <c r="HK56" s="292"/>
      <c r="HL56" s="292"/>
      <c r="HM56" s="292"/>
      <c r="HN56" s="292"/>
      <c r="HO56" s="292"/>
      <c r="HP56" s="292"/>
      <c r="HQ56" s="292"/>
      <c r="HR56" s="292"/>
      <c r="HS56" s="292"/>
      <c r="HT56" s="292"/>
      <c r="HU56" s="292"/>
      <c r="HV56" s="292"/>
      <c r="HW56" s="292"/>
      <c r="HX56" s="292"/>
      <c r="HY56" s="292"/>
      <c r="HZ56" s="292"/>
      <c r="IA56" s="292"/>
      <c r="IB56" s="292"/>
      <c r="IC56" s="292"/>
      <c r="ID56" s="292"/>
      <c r="IE56" s="292"/>
      <c r="IF56" s="292"/>
      <c r="IG56" s="292"/>
      <c r="IH56" s="292"/>
      <c r="II56" s="292"/>
      <c r="IJ56" s="292"/>
      <c r="IK56" s="292"/>
      <c r="IL56" s="292"/>
      <c r="IM56" s="292"/>
      <c r="IN56" s="292"/>
      <c r="IO56" s="292"/>
      <c r="IP56" s="292"/>
      <c r="IQ56" s="292"/>
      <c r="IR56" s="292"/>
      <c r="IS56" s="292"/>
      <c r="IT56" s="292"/>
      <c r="IU56" s="292"/>
      <c r="IV56" s="292"/>
      <c r="IW56" s="292"/>
      <c r="IX56" s="292"/>
      <c r="IY56" s="292"/>
      <c r="IZ56" s="292"/>
      <c r="JA56" s="292"/>
      <c r="JB56" s="292"/>
      <c r="JC56" s="292"/>
      <c r="JD56" s="292"/>
      <c r="JE56" s="292"/>
      <c r="JF56" s="292"/>
      <c r="JG56" s="292"/>
      <c r="JH56" s="292"/>
      <c r="JI56" s="292"/>
      <c r="JJ56" s="292"/>
      <c r="JK56" s="292"/>
      <c r="JL56" s="292"/>
      <c r="JM56" s="292"/>
      <c r="JN56" s="292"/>
      <c r="JO56" s="292"/>
      <c r="JP56" s="292"/>
      <c r="JQ56" s="292"/>
      <c r="JR56" s="292"/>
      <c r="JS56" s="292"/>
      <c r="JT56" s="292"/>
      <c r="JU56" s="292"/>
      <c r="JV56" s="292"/>
      <c r="JW56" s="292"/>
      <c r="JX56" s="292"/>
      <c r="JY56" s="292"/>
      <c r="JZ56" s="292"/>
      <c r="KA56" s="292"/>
      <c r="KB56" s="292"/>
      <c r="KC56" s="292"/>
      <c r="KD56" s="292"/>
      <c r="KE56" s="292"/>
      <c r="KF56" s="292"/>
      <c r="KG56" s="292"/>
      <c r="KH56" s="292"/>
      <c r="KI56" s="292"/>
      <c r="KJ56" s="292"/>
      <c r="KK56" s="292"/>
      <c r="KL56" s="292"/>
      <c r="KM56" s="292"/>
      <c r="KN56" s="292"/>
      <c r="KO56" s="292"/>
      <c r="KP56" s="292"/>
      <c r="KQ56" s="292"/>
      <c r="KR56" s="292"/>
      <c r="KS56" s="292"/>
      <c r="KT56" s="292"/>
      <c r="KU56" s="292"/>
      <c r="KV56" s="292"/>
      <c r="KW56" s="292"/>
      <c r="KX56" s="292"/>
      <c r="KY56" s="292"/>
      <c r="KZ56" s="292"/>
      <c r="LA56" s="292"/>
      <c r="LB56" s="292"/>
      <c r="LC56" s="292"/>
      <c r="LD56" s="292"/>
      <c r="LE56" s="292"/>
      <c r="LF56" s="292"/>
      <c r="LG56" s="292"/>
      <c r="LH56" s="292"/>
      <c r="LI56" s="292"/>
      <c r="LJ56" s="292"/>
      <c r="LK56" s="292"/>
      <c r="LL56" s="292"/>
      <c r="LM56" s="292"/>
      <c r="LN56" s="292"/>
      <c r="LO56" s="292"/>
      <c r="LP56" s="292"/>
      <c r="LQ56" s="292"/>
      <c r="LR56" s="292"/>
      <c r="LS56" s="292"/>
      <c r="LT56" s="292"/>
      <c r="LU56" s="292"/>
      <c r="LV56" s="292"/>
      <c r="LW56" s="292"/>
      <c r="LX56" s="292"/>
      <c r="LY56" s="292"/>
      <c r="LZ56" s="292"/>
      <c r="MA56" s="292"/>
      <c r="MB56" s="292"/>
      <c r="MC56" s="292"/>
      <c r="MD56" s="292"/>
      <c r="ME56" s="292"/>
      <c r="MF56" s="292"/>
      <c r="MG56" s="292"/>
      <c r="MH56" s="292"/>
      <c r="MI56" s="292"/>
      <c r="MJ56" s="292"/>
      <c r="MK56" s="292"/>
      <c r="ML56" s="292"/>
      <c r="MM56" s="292"/>
      <c r="MN56" s="292"/>
      <c r="MO56" s="292"/>
      <c r="MP56" s="292"/>
      <c r="MQ56" s="292"/>
      <c r="MR56" s="292"/>
      <c r="MS56" s="292"/>
      <c r="MT56" s="292"/>
      <c r="MU56" s="292"/>
      <c r="MV56" s="292"/>
      <c r="MW56" s="292"/>
      <c r="MX56" s="292"/>
      <c r="MY56" s="292"/>
      <c r="MZ56" s="292"/>
      <c r="NA56" s="292"/>
      <c r="NB56" s="292"/>
      <c r="NC56" s="292"/>
      <c r="ND56" s="292"/>
      <c r="NE56" s="292"/>
      <c r="NF56" s="292"/>
      <c r="NG56" s="292"/>
      <c r="NH56" s="292"/>
      <c r="NI56" s="292"/>
      <c r="NJ56" s="292"/>
      <c r="NK56" s="292"/>
      <c r="NL56" s="292"/>
      <c r="NM56" s="292"/>
      <c r="NN56" s="292"/>
      <c r="NO56" s="292"/>
      <c r="NP56" s="292"/>
      <c r="NQ56" s="292"/>
      <c r="NR56" s="292"/>
      <c r="NS56" s="292"/>
      <c r="NT56" s="292"/>
      <c r="NU56" s="292"/>
      <c r="NV56" s="292"/>
      <c r="NW56" s="292"/>
      <c r="NX56" s="292"/>
      <c r="NY56" s="292"/>
      <c r="NZ56" s="292"/>
      <c r="OA56" s="292"/>
      <c r="OB56" s="292"/>
      <c r="OC56" s="292"/>
      <c r="OD56" s="292"/>
      <c r="OE56" s="292"/>
      <c r="OF56" s="292"/>
      <c r="OG56" s="292"/>
      <c r="OH56" s="292"/>
      <c r="OI56" s="292"/>
      <c r="OJ56" s="292"/>
      <c r="OK56" s="292"/>
      <c r="OL56" s="292"/>
      <c r="OM56" s="292"/>
      <c r="ON56" s="292"/>
      <c r="OO56" s="292"/>
      <c r="OP56" s="292"/>
      <c r="OQ56" s="292"/>
      <c r="OR56" s="292"/>
      <c r="OS56" s="292"/>
      <c r="OT56" s="292"/>
      <c r="OU56" s="292"/>
      <c r="OV56" s="292"/>
      <c r="OW56" s="292"/>
      <c r="OX56" s="292"/>
      <c r="OY56" s="292"/>
      <c r="OZ56" s="292"/>
      <c r="PA56" s="292"/>
      <c r="PB56" s="292"/>
      <c r="PC56" s="292"/>
      <c r="PD56" s="292"/>
      <c r="PE56" s="292"/>
      <c r="PF56" s="292"/>
      <c r="PG56" s="292"/>
      <c r="PH56" s="292"/>
      <c r="PI56" s="292"/>
      <c r="PJ56" s="292"/>
      <c r="PK56" s="292"/>
      <c r="PL56" s="292"/>
      <c r="PM56" s="292"/>
      <c r="PN56" s="292"/>
      <c r="PO56" s="292"/>
      <c r="PP56" s="292"/>
      <c r="PQ56" s="292"/>
      <c r="PR56" s="292"/>
      <c r="PS56" s="292"/>
      <c r="PT56" s="292"/>
      <c r="PU56" s="292"/>
      <c r="PV56" s="292"/>
      <c r="PW56" s="292"/>
      <c r="PX56" s="292"/>
      <c r="PY56" s="292"/>
      <c r="PZ56" s="292"/>
      <c r="QA56" s="292"/>
      <c r="QB56" s="292"/>
      <c r="QC56" s="292"/>
      <c r="QD56" s="292"/>
      <c r="QE56" s="292"/>
      <c r="QF56" s="292"/>
      <c r="QG56" s="292"/>
      <c r="QH56" s="292"/>
      <c r="QI56" s="292"/>
      <c r="QJ56" s="292"/>
      <c r="QK56" s="292"/>
      <c r="QL56" s="292"/>
      <c r="QM56" s="292"/>
      <c r="QN56" s="292"/>
      <c r="QO56" s="292"/>
      <c r="QP56" s="292"/>
      <c r="QQ56" s="292"/>
      <c r="QR56" s="292"/>
      <c r="QS56" s="292"/>
      <c r="QT56" s="292"/>
      <c r="QU56" s="292"/>
      <c r="QV56" s="292"/>
      <c r="QW56" s="292"/>
      <c r="QX56" s="292"/>
      <c r="QY56" s="292"/>
      <c r="QZ56" s="292"/>
      <c r="RA56" s="292"/>
      <c r="RB56" s="292"/>
      <c r="RC56" s="292"/>
      <c r="RD56" s="292"/>
      <c r="RE56" s="292"/>
      <c r="RF56" s="292"/>
      <c r="RG56" s="292"/>
      <c r="RH56" s="292"/>
      <c r="RI56" s="292"/>
      <c r="RJ56" s="292"/>
      <c r="RK56" s="292"/>
      <c r="RL56" s="292"/>
      <c r="RM56" s="292"/>
      <c r="RN56" s="292"/>
      <c r="RO56" s="292"/>
      <c r="RP56" s="292"/>
      <c r="RQ56" s="292"/>
      <c r="RR56" s="292"/>
      <c r="RS56" s="292"/>
      <c r="RT56" s="292"/>
      <c r="RU56" s="292"/>
      <c r="RV56" s="292"/>
      <c r="RW56" s="292"/>
      <c r="RX56" s="292"/>
      <c r="RY56" s="292"/>
      <c r="RZ56" s="292"/>
      <c r="SA56" s="292"/>
      <c r="SB56" s="292"/>
      <c r="SC56" s="292"/>
      <c r="SD56" s="292"/>
      <c r="SE56" s="292"/>
      <c r="SF56" s="292"/>
      <c r="SG56" s="292"/>
      <c r="SH56" s="292"/>
      <c r="SI56" s="292"/>
      <c r="SJ56" s="292"/>
      <c r="SK56" s="292"/>
      <c r="SL56" s="292"/>
      <c r="SM56" s="292"/>
      <c r="SN56" s="292"/>
      <c r="SO56" s="292"/>
      <c r="SP56" s="292"/>
      <c r="SQ56" s="292"/>
      <c r="SR56" s="292"/>
      <c r="SS56" s="292"/>
      <c r="ST56" s="292"/>
      <c r="SU56" s="292"/>
    </row>
    <row r="57" spans="1:515" ht="15" customHeight="1" x14ac:dyDescent="0.25">
      <c r="A57" s="1349" t="s">
        <v>365</v>
      </c>
      <c r="B57" s="1350"/>
      <c r="C57" s="1350"/>
      <c r="D57" s="957"/>
      <c r="E57" s="622">
        <v>0</v>
      </c>
      <c r="F57" s="626">
        <v>0</v>
      </c>
      <c r="G57" s="1000">
        <f>E57*F57</f>
        <v>0</v>
      </c>
      <c r="H57" s="957"/>
      <c r="I57" s="622">
        <v>0</v>
      </c>
      <c r="J57" s="626">
        <v>0</v>
      </c>
      <c r="K57" s="1000">
        <f>I57*J57</f>
        <v>0</v>
      </c>
      <c r="L57" s="957"/>
      <c r="M57" s="622">
        <v>0</v>
      </c>
      <c r="N57" s="626">
        <v>0</v>
      </c>
      <c r="O57" s="1000">
        <f>M57*N57</f>
        <v>0</v>
      </c>
      <c r="P57" s="957"/>
      <c r="Q57" s="622">
        <v>0</v>
      </c>
      <c r="R57" s="626">
        <v>0</v>
      </c>
      <c r="S57" s="1000">
        <f>Q57*R57</f>
        <v>0</v>
      </c>
      <c r="T57" s="957"/>
      <c r="U57" s="622">
        <v>0</v>
      </c>
      <c r="V57" s="626">
        <v>0</v>
      </c>
      <c r="W57" s="1000">
        <f>U57*V57</f>
        <v>0</v>
      </c>
      <c r="X57" s="957"/>
      <c r="Y57" s="622">
        <v>0</v>
      </c>
      <c r="Z57" s="626">
        <v>0</v>
      </c>
      <c r="AA57" s="1000">
        <f>Y57*Z57</f>
        <v>0</v>
      </c>
      <c r="AB57" s="975"/>
      <c r="AC57" s="957"/>
      <c r="AD57" s="1000">
        <f>G57+K57+O57+S57+W57+AA57</f>
        <v>0</v>
      </c>
      <c r="AE57" s="971"/>
    </row>
    <row r="58" spans="1:515" ht="15" customHeight="1" x14ac:dyDescent="0.25">
      <c r="A58" s="1349" t="s">
        <v>366</v>
      </c>
      <c r="B58" s="1350"/>
      <c r="C58" s="1350"/>
      <c r="D58" s="957"/>
      <c r="E58" s="622">
        <v>0</v>
      </c>
      <c r="F58" s="626">
        <v>0</v>
      </c>
      <c r="G58" s="1000">
        <f>E58*F58</f>
        <v>0</v>
      </c>
      <c r="H58" s="957"/>
      <c r="I58" s="622">
        <v>0</v>
      </c>
      <c r="J58" s="626">
        <v>0</v>
      </c>
      <c r="K58" s="1000">
        <f>I58*J58</f>
        <v>0</v>
      </c>
      <c r="L58" s="957"/>
      <c r="M58" s="622">
        <v>0</v>
      </c>
      <c r="N58" s="626">
        <v>0</v>
      </c>
      <c r="O58" s="1000">
        <f>M58*N58</f>
        <v>0</v>
      </c>
      <c r="P58" s="957"/>
      <c r="Q58" s="622">
        <v>0</v>
      </c>
      <c r="R58" s="626">
        <v>0</v>
      </c>
      <c r="S58" s="1000">
        <f>Q58*R58</f>
        <v>0</v>
      </c>
      <c r="T58" s="957"/>
      <c r="U58" s="622">
        <v>0</v>
      </c>
      <c r="V58" s="626">
        <v>0</v>
      </c>
      <c r="W58" s="1000">
        <f>U58*V58</f>
        <v>0</v>
      </c>
      <c r="X58" s="957"/>
      <c r="Y58" s="622">
        <v>0</v>
      </c>
      <c r="Z58" s="626">
        <v>0</v>
      </c>
      <c r="AA58" s="1000">
        <f>Y58*Z58</f>
        <v>0</v>
      </c>
      <c r="AB58" s="975"/>
      <c r="AC58" s="957"/>
      <c r="AD58" s="1000">
        <f>G58+K58+O58+S58+W58+AA58</f>
        <v>0</v>
      </c>
      <c r="AE58" s="971"/>
    </row>
    <row r="59" spans="1:515" s="478" customFormat="1" ht="23.15" customHeight="1" x14ac:dyDescent="0.25">
      <c r="A59" s="1366" t="s">
        <v>138</v>
      </c>
      <c r="B59" s="1367"/>
      <c r="C59" s="1367"/>
      <c r="D59" s="962"/>
      <c r="E59" s="960"/>
      <c r="F59" s="994"/>
      <c r="G59" s="788">
        <f>SUM(G56:G58)</f>
        <v>0</v>
      </c>
      <c r="H59" s="957"/>
      <c r="I59" s="960"/>
      <c r="J59" s="993"/>
      <c r="K59" s="788">
        <f>SUM(K56:K58)</f>
        <v>0</v>
      </c>
      <c r="L59" s="957"/>
      <c r="M59" s="960"/>
      <c r="N59" s="997"/>
      <c r="O59" s="788">
        <f>SUM(O56:O58)</f>
        <v>0</v>
      </c>
      <c r="P59" s="957"/>
      <c r="Q59" s="960"/>
      <c r="R59" s="993"/>
      <c r="S59" s="788">
        <f>SUM(S56:S58)</f>
        <v>0</v>
      </c>
      <c r="T59" s="957"/>
      <c r="U59" s="957"/>
      <c r="V59" s="957"/>
      <c r="W59" s="788">
        <f>SUM(W56:W58)</f>
        <v>0</v>
      </c>
      <c r="X59" s="957"/>
      <c r="Y59" s="957"/>
      <c r="Z59" s="957"/>
      <c r="AA59" s="788">
        <f>SUM(AA56:AA58)</f>
        <v>0</v>
      </c>
      <c r="AB59" s="976"/>
      <c r="AC59" s="957"/>
      <c r="AD59" s="786">
        <f>G59+K59+O59+S59+W59+AA59</f>
        <v>0</v>
      </c>
      <c r="AE59" s="971"/>
      <c r="AF59" s="292"/>
      <c r="AG59" s="292"/>
      <c r="AH59" s="292"/>
      <c r="AI59" s="292"/>
      <c r="AJ59" s="292"/>
      <c r="AK59" s="292"/>
      <c r="AL59" s="292"/>
      <c r="AM59" s="292"/>
      <c r="AN59" s="292"/>
      <c r="AO59" s="292"/>
      <c r="AP59" s="292"/>
      <c r="AQ59" s="292"/>
      <c r="AR59" s="292"/>
      <c r="AS59" s="292"/>
      <c r="AT59" s="292"/>
      <c r="AU59" s="292"/>
      <c r="AV59" s="292"/>
      <c r="AW59" s="292"/>
      <c r="AX59" s="292"/>
      <c r="AY59" s="292"/>
      <c r="AZ59" s="292"/>
      <c r="BA59" s="292"/>
      <c r="BB59" s="292"/>
      <c r="BC59" s="292"/>
      <c r="BD59" s="292"/>
      <c r="BE59" s="292"/>
      <c r="BF59" s="292"/>
      <c r="BG59" s="292"/>
      <c r="BH59" s="292"/>
      <c r="BI59" s="292"/>
      <c r="BJ59" s="292"/>
      <c r="BK59" s="292"/>
      <c r="BL59" s="292"/>
      <c r="BM59" s="292"/>
      <c r="BN59" s="292"/>
      <c r="BO59" s="292"/>
      <c r="BP59" s="292"/>
      <c r="BQ59" s="292"/>
      <c r="BR59" s="292"/>
      <c r="BS59" s="292"/>
      <c r="BT59" s="292"/>
      <c r="BU59" s="292"/>
      <c r="BV59" s="292"/>
      <c r="BW59" s="292"/>
      <c r="BX59" s="292"/>
      <c r="BY59" s="292"/>
      <c r="BZ59" s="292"/>
      <c r="CA59" s="292"/>
      <c r="CB59" s="292"/>
      <c r="CC59" s="292"/>
      <c r="CD59" s="292"/>
      <c r="CE59" s="292"/>
      <c r="CF59" s="292"/>
      <c r="CG59" s="292"/>
      <c r="CH59" s="292"/>
      <c r="CI59" s="292"/>
      <c r="CJ59" s="292"/>
      <c r="CK59" s="292"/>
      <c r="CL59" s="292"/>
      <c r="CM59" s="292"/>
      <c r="CN59" s="292"/>
      <c r="CO59" s="292"/>
      <c r="CP59" s="292"/>
      <c r="CQ59" s="292"/>
      <c r="CR59" s="292"/>
      <c r="CS59" s="292"/>
      <c r="CT59" s="292"/>
      <c r="CU59" s="292"/>
      <c r="CV59" s="292"/>
      <c r="CW59" s="292"/>
      <c r="CX59" s="292"/>
      <c r="CY59" s="292"/>
      <c r="CZ59" s="292"/>
      <c r="DA59" s="292"/>
      <c r="DB59" s="292"/>
      <c r="DC59" s="292"/>
      <c r="DD59" s="292"/>
      <c r="DE59" s="292"/>
      <c r="DF59" s="292"/>
      <c r="DG59" s="292"/>
      <c r="DH59" s="292"/>
      <c r="DI59" s="292"/>
      <c r="DJ59" s="292"/>
      <c r="DK59" s="292"/>
      <c r="DL59" s="292"/>
      <c r="DM59" s="292"/>
      <c r="DN59" s="292"/>
      <c r="DO59" s="292"/>
      <c r="DP59" s="292"/>
      <c r="DQ59" s="292"/>
      <c r="DR59" s="292"/>
      <c r="DS59" s="292"/>
      <c r="DT59" s="292"/>
      <c r="DU59" s="292"/>
      <c r="DV59" s="292"/>
      <c r="DW59" s="292"/>
      <c r="DX59" s="292"/>
      <c r="DY59" s="292"/>
      <c r="DZ59" s="292"/>
      <c r="EA59" s="292"/>
      <c r="EB59" s="292"/>
      <c r="EC59" s="292"/>
      <c r="ED59" s="292"/>
      <c r="EE59" s="292"/>
      <c r="EF59" s="292"/>
      <c r="EG59" s="292"/>
      <c r="EH59" s="292"/>
      <c r="EI59" s="292"/>
      <c r="EJ59" s="292"/>
      <c r="EK59" s="292"/>
      <c r="EL59" s="292"/>
      <c r="EM59" s="292"/>
      <c r="EN59" s="292"/>
      <c r="EO59" s="292"/>
      <c r="EP59" s="292"/>
      <c r="EQ59" s="292"/>
      <c r="ER59" s="292"/>
      <c r="ES59" s="292"/>
      <c r="ET59" s="292"/>
      <c r="EU59" s="292"/>
      <c r="EV59" s="292"/>
      <c r="EW59" s="292"/>
      <c r="EX59" s="292"/>
      <c r="EY59" s="292"/>
      <c r="EZ59" s="292"/>
      <c r="FA59" s="292"/>
      <c r="FB59" s="292"/>
      <c r="FC59" s="292"/>
      <c r="FD59" s="292"/>
      <c r="FE59" s="292"/>
      <c r="FF59" s="292"/>
      <c r="FG59" s="292"/>
      <c r="FH59" s="292"/>
      <c r="FI59" s="292"/>
      <c r="FJ59" s="292"/>
      <c r="FK59" s="292"/>
      <c r="FL59" s="292"/>
      <c r="FM59" s="292"/>
      <c r="FN59" s="292"/>
      <c r="FO59" s="292"/>
      <c r="FP59" s="292"/>
      <c r="FQ59" s="292"/>
      <c r="FR59" s="292"/>
      <c r="FS59" s="292"/>
      <c r="FT59" s="292"/>
      <c r="FU59" s="292"/>
      <c r="FV59" s="292"/>
      <c r="FW59" s="292"/>
      <c r="FX59" s="292"/>
      <c r="FY59" s="292"/>
      <c r="FZ59" s="292"/>
      <c r="GA59" s="292"/>
      <c r="GB59" s="292"/>
      <c r="GC59" s="292"/>
      <c r="GD59" s="292"/>
      <c r="GE59" s="292"/>
      <c r="GF59" s="292"/>
      <c r="GG59" s="292"/>
      <c r="GH59" s="292"/>
      <c r="GI59" s="292"/>
      <c r="GJ59" s="292"/>
      <c r="GK59" s="292"/>
      <c r="GL59" s="292"/>
      <c r="GM59" s="292"/>
      <c r="GN59" s="292"/>
      <c r="GO59" s="292"/>
      <c r="GP59" s="292"/>
      <c r="GQ59" s="292"/>
      <c r="GR59" s="292"/>
      <c r="GS59" s="292"/>
      <c r="GT59" s="292"/>
      <c r="GU59" s="292"/>
      <c r="GV59" s="292"/>
      <c r="GW59" s="292"/>
      <c r="GX59" s="292"/>
      <c r="GY59" s="292"/>
      <c r="GZ59" s="292"/>
      <c r="HA59" s="292"/>
      <c r="HB59" s="292"/>
      <c r="HC59" s="292"/>
      <c r="HD59" s="292"/>
      <c r="HE59" s="292"/>
      <c r="HF59" s="292"/>
      <c r="HG59" s="292"/>
      <c r="HH59" s="292"/>
      <c r="HI59" s="292"/>
      <c r="HJ59" s="292"/>
      <c r="HK59" s="292"/>
      <c r="HL59" s="292"/>
      <c r="HM59" s="292"/>
      <c r="HN59" s="292"/>
      <c r="HO59" s="292"/>
      <c r="HP59" s="292"/>
      <c r="HQ59" s="292"/>
      <c r="HR59" s="292"/>
      <c r="HS59" s="292"/>
      <c r="HT59" s="292"/>
      <c r="HU59" s="292"/>
      <c r="HV59" s="292"/>
      <c r="HW59" s="292"/>
      <c r="HX59" s="292"/>
      <c r="HY59" s="292"/>
      <c r="HZ59" s="292"/>
      <c r="IA59" s="292"/>
      <c r="IB59" s="292"/>
      <c r="IC59" s="292"/>
      <c r="ID59" s="292"/>
      <c r="IE59" s="292"/>
      <c r="IF59" s="292"/>
      <c r="IG59" s="292"/>
      <c r="IH59" s="292"/>
      <c r="II59" s="292"/>
      <c r="IJ59" s="292"/>
      <c r="IK59" s="292"/>
      <c r="IL59" s="292"/>
      <c r="IM59" s="292"/>
      <c r="IN59" s="292"/>
      <c r="IO59" s="292"/>
      <c r="IP59" s="292"/>
      <c r="IQ59" s="292"/>
      <c r="IR59" s="292"/>
      <c r="IS59" s="292"/>
      <c r="IT59" s="292"/>
      <c r="IU59" s="292"/>
      <c r="IV59" s="292"/>
      <c r="IW59" s="292"/>
      <c r="IX59" s="292"/>
      <c r="IY59" s="292"/>
      <c r="IZ59" s="292"/>
      <c r="JA59" s="292"/>
      <c r="JB59" s="292"/>
      <c r="JC59" s="292"/>
      <c r="JD59" s="292"/>
      <c r="JE59" s="292"/>
      <c r="JF59" s="292"/>
      <c r="JG59" s="292"/>
      <c r="JH59" s="292"/>
      <c r="JI59" s="292"/>
      <c r="JJ59" s="292"/>
      <c r="JK59" s="292"/>
      <c r="JL59" s="292"/>
      <c r="JM59" s="292"/>
      <c r="JN59" s="292"/>
      <c r="JO59" s="292"/>
      <c r="JP59" s="292"/>
      <c r="JQ59" s="292"/>
      <c r="JR59" s="292"/>
      <c r="JS59" s="292"/>
      <c r="JT59" s="292"/>
      <c r="JU59" s="292"/>
      <c r="JV59" s="292"/>
      <c r="JW59" s="292"/>
      <c r="JX59" s="292"/>
      <c r="JY59" s="292"/>
      <c r="JZ59" s="292"/>
      <c r="KA59" s="292"/>
      <c r="KB59" s="292"/>
      <c r="KC59" s="292"/>
      <c r="KD59" s="292"/>
      <c r="KE59" s="292"/>
      <c r="KF59" s="292"/>
      <c r="KG59" s="292"/>
      <c r="KH59" s="292"/>
      <c r="KI59" s="292"/>
      <c r="KJ59" s="292"/>
      <c r="KK59" s="292"/>
      <c r="KL59" s="292"/>
      <c r="KM59" s="292"/>
      <c r="KN59" s="292"/>
      <c r="KO59" s="292"/>
      <c r="KP59" s="292"/>
      <c r="KQ59" s="292"/>
      <c r="KR59" s="292"/>
      <c r="KS59" s="292"/>
      <c r="KT59" s="292"/>
      <c r="KU59" s="292"/>
      <c r="KV59" s="292"/>
      <c r="KW59" s="292"/>
      <c r="KX59" s="292"/>
      <c r="KY59" s="292"/>
      <c r="KZ59" s="292"/>
      <c r="LA59" s="292"/>
      <c r="LB59" s="292"/>
      <c r="LC59" s="292"/>
      <c r="LD59" s="292"/>
      <c r="LE59" s="292"/>
      <c r="LF59" s="292"/>
      <c r="LG59" s="292"/>
      <c r="LH59" s="292"/>
      <c r="LI59" s="292"/>
      <c r="LJ59" s="292"/>
      <c r="LK59" s="292"/>
      <c r="LL59" s="292"/>
      <c r="LM59" s="292"/>
      <c r="LN59" s="292"/>
      <c r="LO59" s="292"/>
      <c r="LP59" s="292"/>
      <c r="LQ59" s="292"/>
      <c r="LR59" s="292"/>
      <c r="LS59" s="292"/>
      <c r="LT59" s="292"/>
      <c r="LU59" s="292"/>
      <c r="LV59" s="292"/>
      <c r="LW59" s="292"/>
      <c r="LX59" s="292"/>
      <c r="LY59" s="292"/>
      <c r="LZ59" s="292"/>
      <c r="MA59" s="292"/>
      <c r="MB59" s="292"/>
      <c r="MC59" s="292"/>
      <c r="MD59" s="292"/>
      <c r="ME59" s="292"/>
      <c r="MF59" s="292"/>
      <c r="MG59" s="292"/>
      <c r="MH59" s="292"/>
      <c r="MI59" s="292"/>
      <c r="MJ59" s="292"/>
      <c r="MK59" s="292"/>
      <c r="ML59" s="292"/>
      <c r="MM59" s="292"/>
      <c r="MN59" s="292"/>
      <c r="MO59" s="292"/>
      <c r="MP59" s="292"/>
      <c r="MQ59" s="292"/>
      <c r="MR59" s="292"/>
      <c r="MS59" s="292"/>
      <c r="MT59" s="292"/>
      <c r="MU59" s="292"/>
      <c r="MV59" s="292"/>
      <c r="MW59" s="292"/>
      <c r="MX59" s="292"/>
      <c r="MY59" s="292"/>
      <c r="MZ59" s="292"/>
      <c r="NA59" s="292"/>
      <c r="NB59" s="292"/>
      <c r="NC59" s="292"/>
      <c r="ND59" s="292"/>
      <c r="NE59" s="292"/>
      <c r="NF59" s="292"/>
      <c r="NG59" s="292"/>
      <c r="NH59" s="292"/>
      <c r="NI59" s="292"/>
      <c r="NJ59" s="292"/>
      <c r="NK59" s="292"/>
      <c r="NL59" s="292"/>
      <c r="NM59" s="292"/>
      <c r="NN59" s="292"/>
      <c r="NO59" s="292"/>
      <c r="NP59" s="292"/>
      <c r="NQ59" s="292"/>
      <c r="NR59" s="292"/>
      <c r="NS59" s="292"/>
      <c r="NT59" s="292"/>
      <c r="NU59" s="292"/>
      <c r="NV59" s="292"/>
      <c r="NW59" s="292"/>
      <c r="NX59" s="292"/>
      <c r="NY59" s="292"/>
      <c r="NZ59" s="292"/>
      <c r="OA59" s="292"/>
      <c r="OB59" s="292"/>
      <c r="OC59" s="292"/>
      <c r="OD59" s="292"/>
      <c r="OE59" s="292"/>
      <c r="OF59" s="292"/>
      <c r="OG59" s="292"/>
      <c r="OH59" s="292"/>
      <c r="OI59" s="292"/>
      <c r="OJ59" s="292"/>
      <c r="OK59" s="292"/>
      <c r="OL59" s="292"/>
      <c r="OM59" s="292"/>
      <c r="ON59" s="292"/>
      <c r="OO59" s="292"/>
      <c r="OP59" s="292"/>
      <c r="OQ59" s="292"/>
      <c r="OR59" s="292"/>
      <c r="OS59" s="292"/>
      <c r="OT59" s="292"/>
      <c r="OU59" s="292"/>
      <c r="OV59" s="292"/>
      <c r="OW59" s="292"/>
      <c r="OX59" s="292"/>
      <c r="OY59" s="292"/>
      <c r="OZ59" s="292"/>
      <c r="PA59" s="292"/>
      <c r="PB59" s="292"/>
      <c r="PC59" s="292"/>
      <c r="PD59" s="292"/>
      <c r="PE59" s="292"/>
      <c r="PF59" s="292"/>
      <c r="PG59" s="292"/>
      <c r="PH59" s="292"/>
      <c r="PI59" s="292"/>
      <c r="PJ59" s="292"/>
      <c r="PK59" s="292"/>
      <c r="PL59" s="292"/>
      <c r="PM59" s="292"/>
      <c r="PN59" s="292"/>
      <c r="PO59" s="292"/>
      <c r="PP59" s="292"/>
      <c r="PQ59" s="292"/>
      <c r="PR59" s="292"/>
      <c r="PS59" s="292"/>
      <c r="PT59" s="292"/>
      <c r="PU59" s="292"/>
      <c r="PV59" s="292"/>
      <c r="PW59" s="292"/>
      <c r="PX59" s="292"/>
      <c r="PY59" s="292"/>
      <c r="PZ59" s="292"/>
      <c r="QA59" s="292"/>
      <c r="QB59" s="292"/>
      <c r="QC59" s="292"/>
      <c r="QD59" s="292"/>
      <c r="QE59" s="292"/>
      <c r="QF59" s="292"/>
      <c r="QG59" s="292"/>
      <c r="QH59" s="292"/>
      <c r="QI59" s="292"/>
      <c r="QJ59" s="292"/>
      <c r="QK59" s="292"/>
      <c r="QL59" s="292"/>
      <c r="QM59" s="292"/>
      <c r="QN59" s="292"/>
      <c r="QO59" s="292"/>
      <c r="QP59" s="292"/>
      <c r="QQ59" s="292"/>
      <c r="QR59" s="292"/>
      <c r="QS59" s="292"/>
      <c r="QT59" s="292"/>
      <c r="QU59" s="292"/>
      <c r="QV59" s="292"/>
      <c r="QW59" s="292"/>
      <c r="QX59" s="292"/>
      <c r="QY59" s="292"/>
      <c r="QZ59" s="292"/>
      <c r="RA59" s="292"/>
      <c r="RB59" s="292"/>
      <c r="RC59" s="292"/>
      <c r="RD59" s="292"/>
      <c r="RE59" s="292"/>
      <c r="RF59" s="292"/>
      <c r="RG59" s="292"/>
      <c r="RH59" s="292"/>
      <c r="RI59" s="292"/>
      <c r="RJ59" s="292"/>
      <c r="RK59" s="292"/>
      <c r="RL59" s="292"/>
      <c r="RM59" s="292"/>
      <c r="RN59" s="292"/>
      <c r="RO59" s="292"/>
      <c r="RP59" s="292"/>
      <c r="RQ59" s="292"/>
      <c r="RR59" s="292"/>
      <c r="RS59" s="292"/>
      <c r="RT59" s="292"/>
      <c r="RU59" s="292"/>
      <c r="RV59" s="292"/>
      <c r="RW59" s="292"/>
      <c r="RX59" s="292"/>
      <c r="RY59" s="292"/>
      <c r="RZ59" s="292"/>
      <c r="SA59" s="292"/>
      <c r="SB59" s="292"/>
      <c r="SC59" s="292"/>
      <c r="SD59" s="292"/>
      <c r="SE59" s="292"/>
      <c r="SF59" s="292"/>
      <c r="SG59" s="292"/>
      <c r="SH59" s="292"/>
      <c r="SI59" s="292"/>
      <c r="SJ59" s="292"/>
      <c r="SK59" s="292"/>
      <c r="SL59" s="292"/>
      <c r="SM59" s="292"/>
      <c r="SN59" s="292"/>
      <c r="SO59" s="292"/>
      <c r="SP59" s="292"/>
      <c r="SQ59" s="292"/>
      <c r="SR59" s="292"/>
      <c r="SS59" s="292"/>
      <c r="ST59" s="292"/>
      <c r="SU59" s="292"/>
    </row>
    <row r="60" spans="1:515" s="478" customFormat="1" ht="13" customHeight="1" x14ac:dyDescent="0.25">
      <c r="A60" s="986"/>
      <c r="B60" s="984"/>
      <c r="C60" s="984"/>
      <c r="D60" s="962"/>
      <c r="E60" s="960"/>
      <c r="F60" s="976"/>
      <c r="G60" s="981"/>
      <c r="H60" s="957"/>
      <c r="I60" s="960"/>
      <c r="J60" s="981"/>
      <c r="K60" s="981"/>
      <c r="L60" s="957"/>
      <c r="M60" s="960"/>
      <c r="N60" s="985"/>
      <c r="O60" s="981"/>
      <c r="P60" s="957"/>
      <c r="Q60" s="960"/>
      <c r="R60" s="981"/>
      <c r="S60" s="981"/>
      <c r="T60" s="957"/>
      <c r="U60" s="957"/>
      <c r="V60" s="957"/>
      <c r="W60" s="981"/>
      <c r="X60" s="957"/>
      <c r="Y60" s="957"/>
      <c r="Z60" s="957"/>
      <c r="AA60" s="981"/>
      <c r="AB60" s="976"/>
      <c r="AC60" s="957"/>
      <c r="AD60" s="976"/>
      <c r="AE60" s="971"/>
      <c r="AF60" s="292"/>
      <c r="AG60" s="292"/>
      <c r="AH60" s="292"/>
      <c r="AI60" s="292"/>
      <c r="AJ60" s="292"/>
      <c r="AK60" s="292"/>
      <c r="AL60" s="292"/>
      <c r="AM60" s="292"/>
      <c r="AN60" s="292"/>
      <c r="AO60" s="292"/>
      <c r="AP60" s="292"/>
      <c r="AQ60" s="292"/>
      <c r="AR60" s="292"/>
      <c r="AS60" s="292"/>
      <c r="AT60" s="292"/>
      <c r="AU60" s="292"/>
      <c r="AV60" s="292"/>
      <c r="AW60" s="292"/>
      <c r="AX60" s="292"/>
      <c r="AY60" s="292"/>
      <c r="AZ60" s="292"/>
      <c r="BA60" s="292"/>
      <c r="BB60" s="292"/>
      <c r="BC60" s="292"/>
      <c r="BD60" s="292"/>
      <c r="BE60" s="292"/>
      <c r="BF60" s="292"/>
      <c r="BG60" s="292"/>
      <c r="BH60" s="292"/>
      <c r="BI60" s="292"/>
      <c r="BJ60" s="292"/>
      <c r="BK60" s="292"/>
      <c r="BL60" s="292"/>
      <c r="BM60" s="292"/>
      <c r="BN60" s="292"/>
      <c r="BO60" s="292"/>
      <c r="BP60" s="292"/>
      <c r="BQ60" s="292"/>
      <c r="BR60" s="292"/>
      <c r="BS60" s="292"/>
      <c r="BT60" s="292"/>
      <c r="BU60" s="292"/>
      <c r="BV60" s="292"/>
      <c r="BW60" s="292"/>
      <c r="BX60" s="292"/>
      <c r="BY60" s="292"/>
      <c r="BZ60" s="292"/>
      <c r="CA60" s="292"/>
      <c r="CB60" s="292"/>
      <c r="CC60" s="292"/>
      <c r="CD60" s="292"/>
      <c r="CE60" s="292"/>
      <c r="CF60" s="292"/>
      <c r="CG60" s="292"/>
      <c r="CH60" s="292"/>
      <c r="CI60" s="292"/>
      <c r="CJ60" s="292"/>
      <c r="CK60" s="292"/>
      <c r="CL60" s="292"/>
      <c r="CM60" s="292"/>
      <c r="CN60" s="292"/>
      <c r="CO60" s="292"/>
      <c r="CP60" s="292"/>
      <c r="CQ60" s="292"/>
      <c r="CR60" s="292"/>
      <c r="CS60" s="292"/>
      <c r="CT60" s="292"/>
      <c r="CU60" s="292"/>
      <c r="CV60" s="292"/>
      <c r="CW60" s="292"/>
      <c r="CX60" s="292"/>
      <c r="CY60" s="292"/>
      <c r="CZ60" s="292"/>
      <c r="DA60" s="292"/>
      <c r="DB60" s="292"/>
      <c r="DC60" s="292"/>
      <c r="DD60" s="292"/>
      <c r="DE60" s="292"/>
      <c r="DF60" s="292"/>
      <c r="DG60" s="292"/>
      <c r="DH60" s="292"/>
      <c r="DI60" s="292"/>
      <c r="DJ60" s="292"/>
      <c r="DK60" s="292"/>
      <c r="DL60" s="292"/>
      <c r="DM60" s="292"/>
      <c r="DN60" s="292"/>
      <c r="DO60" s="292"/>
      <c r="DP60" s="292"/>
      <c r="DQ60" s="292"/>
      <c r="DR60" s="292"/>
      <c r="DS60" s="292"/>
      <c r="DT60" s="292"/>
      <c r="DU60" s="292"/>
      <c r="DV60" s="292"/>
      <c r="DW60" s="292"/>
      <c r="DX60" s="292"/>
      <c r="DY60" s="292"/>
      <c r="DZ60" s="292"/>
      <c r="EA60" s="292"/>
      <c r="EB60" s="292"/>
      <c r="EC60" s="292"/>
      <c r="ED60" s="292"/>
      <c r="EE60" s="292"/>
      <c r="EF60" s="292"/>
      <c r="EG60" s="292"/>
      <c r="EH60" s="292"/>
      <c r="EI60" s="292"/>
      <c r="EJ60" s="292"/>
      <c r="EK60" s="292"/>
      <c r="EL60" s="292"/>
      <c r="EM60" s="292"/>
      <c r="EN60" s="292"/>
      <c r="EO60" s="292"/>
      <c r="EP60" s="292"/>
      <c r="EQ60" s="292"/>
      <c r="ER60" s="292"/>
      <c r="ES60" s="292"/>
      <c r="ET60" s="292"/>
      <c r="EU60" s="292"/>
      <c r="EV60" s="292"/>
      <c r="EW60" s="292"/>
      <c r="EX60" s="292"/>
      <c r="EY60" s="292"/>
      <c r="EZ60" s="292"/>
      <c r="FA60" s="292"/>
      <c r="FB60" s="292"/>
      <c r="FC60" s="292"/>
      <c r="FD60" s="292"/>
      <c r="FE60" s="292"/>
      <c r="FF60" s="292"/>
      <c r="FG60" s="292"/>
      <c r="FH60" s="292"/>
      <c r="FI60" s="292"/>
      <c r="FJ60" s="292"/>
      <c r="FK60" s="292"/>
      <c r="FL60" s="292"/>
      <c r="FM60" s="292"/>
      <c r="FN60" s="292"/>
      <c r="FO60" s="292"/>
      <c r="FP60" s="292"/>
      <c r="FQ60" s="292"/>
      <c r="FR60" s="292"/>
      <c r="FS60" s="292"/>
      <c r="FT60" s="292"/>
      <c r="FU60" s="292"/>
      <c r="FV60" s="292"/>
      <c r="FW60" s="292"/>
      <c r="FX60" s="292"/>
      <c r="FY60" s="292"/>
      <c r="FZ60" s="292"/>
      <c r="GA60" s="292"/>
      <c r="GB60" s="292"/>
      <c r="GC60" s="292"/>
      <c r="GD60" s="292"/>
      <c r="GE60" s="292"/>
      <c r="GF60" s="292"/>
      <c r="GG60" s="292"/>
      <c r="GH60" s="292"/>
      <c r="GI60" s="292"/>
      <c r="GJ60" s="292"/>
      <c r="GK60" s="292"/>
      <c r="GL60" s="292"/>
      <c r="GM60" s="292"/>
      <c r="GN60" s="292"/>
      <c r="GO60" s="292"/>
      <c r="GP60" s="292"/>
      <c r="GQ60" s="292"/>
      <c r="GR60" s="292"/>
      <c r="GS60" s="292"/>
      <c r="GT60" s="292"/>
      <c r="GU60" s="292"/>
      <c r="GV60" s="292"/>
      <c r="GW60" s="292"/>
      <c r="GX60" s="292"/>
      <c r="GY60" s="292"/>
      <c r="GZ60" s="292"/>
      <c r="HA60" s="292"/>
      <c r="HB60" s="292"/>
      <c r="HC60" s="292"/>
      <c r="HD60" s="292"/>
      <c r="HE60" s="292"/>
      <c r="HF60" s="292"/>
      <c r="HG60" s="292"/>
      <c r="HH60" s="292"/>
      <c r="HI60" s="292"/>
      <c r="HJ60" s="292"/>
      <c r="HK60" s="292"/>
      <c r="HL60" s="292"/>
      <c r="HM60" s="292"/>
      <c r="HN60" s="292"/>
      <c r="HO60" s="292"/>
      <c r="HP60" s="292"/>
      <c r="HQ60" s="292"/>
      <c r="HR60" s="292"/>
      <c r="HS60" s="292"/>
      <c r="HT60" s="292"/>
      <c r="HU60" s="292"/>
      <c r="HV60" s="292"/>
      <c r="HW60" s="292"/>
      <c r="HX60" s="292"/>
      <c r="HY60" s="292"/>
      <c r="HZ60" s="292"/>
      <c r="IA60" s="292"/>
      <c r="IB60" s="292"/>
      <c r="IC60" s="292"/>
      <c r="ID60" s="292"/>
      <c r="IE60" s="292"/>
      <c r="IF60" s="292"/>
      <c r="IG60" s="292"/>
      <c r="IH60" s="292"/>
      <c r="II60" s="292"/>
      <c r="IJ60" s="292"/>
      <c r="IK60" s="292"/>
      <c r="IL60" s="292"/>
      <c r="IM60" s="292"/>
      <c r="IN60" s="292"/>
      <c r="IO60" s="292"/>
      <c r="IP60" s="292"/>
      <c r="IQ60" s="292"/>
      <c r="IR60" s="292"/>
      <c r="IS60" s="292"/>
      <c r="IT60" s="292"/>
      <c r="IU60" s="292"/>
      <c r="IV60" s="292"/>
      <c r="IW60" s="292"/>
      <c r="IX60" s="292"/>
      <c r="IY60" s="292"/>
      <c r="IZ60" s="292"/>
      <c r="JA60" s="292"/>
      <c r="JB60" s="292"/>
      <c r="JC60" s="292"/>
      <c r="JD60" s="292"/>
      <c r="JE60" s="292"/>
      <c r="JF60" s="292"/>
      <c r="JG60" s="292"/>
      <c r="JH60" s="292"/>
      <c r="JI60" s="292"/>
      <c r="JJ60" s="292"/>
      <c r="JK60" s="292"/>
      <c r="JL60" s="292"/>
      <c r="JM60" s="292"/>
      <c r="JN60" s="292"/>
      <c r="JO60" s="292"/>
      <c r="JP60" s="292"/>
      <c r="JQ60" s="292"/>
      <c r="JR60" s="292"/>
      <c r="JS60" s="292"/>
      <c r="JT60" s="292"/>
      <c r="JU60" s="292"/>
      <c r="JV60" s="292"/>
      <c r="JW60" s="292"/>
      <c r="JX60" s="292"/>
      <c r="JY60" s="292"/>
      <c r="JZ60" s="292"/>
      <c r="KA60" s="292"/>
      <c r="KB60" s="292"/>
      <c r="KC60" s="292"/>
      <c r="KD60" s="292"/>
      <c r="KE60" s="292"/>
      <c r="KF60" s="292"/>
      <c r="KG60" s="292"/>
      <c r="KH60" s="292"/>
      <c r="KI60" s="292"/>
      <c r="KJ60" s="292"/>
      <c r="KK60" s="292"/>
      <c r="KL60" s="292"/>
      <c r="KM60" s="292"/>
      <c r="KN60" s="292"/>
      <c r="KO60" s="292"/>
      <c r="KP60" s="292"/>
      <c r="KQ60" s="292"/>
      <c r="KR60" s="292"/>
      <c r="KS60" s="292"/>
      <c r="KT60" s="292"/>
      <c r="KU60" s="292"/>
      <c r="KV60" s="292"/>
      <c r="KW60" s="292"/>
      <c r="KX60" s="292"/>
      <c r="KY60" s="292"/>
      <c r="KZ60" s="292"/>
      <c r="LA60" s="292"/>
      <c r="LB60" s="292"/>
      <c r="LC60" s="292"/>
      <c r="LD60" s="292"/>
      <c r="LE60" s="292"/>
      <c r="LF60" s="292"/>
      <c r="LG60" s="292"/>
      <c r="LH60" s="292"/>
      <c r="LI60" s="292"/>
      <c r="LJ60" s="292"/>
      <c r="LK60" s="292"/>
      <c r="LL60" s="292"/>
      <c r="LM60" s="292"/>
      <c r="LN60" s="292"/>
      <c r="LO60" s="292"/>
      <c r="LP60" s="292"/>
      <c r="LQ60" s="292"/>
      <c r="LR60" s="292"/>
      <c r="LS60" s="292"/>
      <c r="LT60" s="292"/>
      <c r="LU60" s="292"/>
      <c r="LV60" s="292"/>
      <c r="LW60" s="292"/>
      <c r="LX60" s="292"/>
      <c r="LY60" s="292"/>
      <c r="LZ60" s="292"/>
      <c r="MA60" s="292"/>
      <c r="MB60" s="292"/>
      <c r="MC60" s="292"/>
      <c r="MD60" s="292"/>
      <c r="ME60" s="292"/>
      <c r="MF60" s="292"/>
      <c r="MG60" s="292"/>
      <c r="MH60" s="292"/>
      <c r="MI60" s="292"/>
      <c r="MJ60" s="292"/>
      <c r="MK60" s="292"/>
      <c r="ML60" s="292"/>
      <c r="MM60" s="292"/>
      <c r="MN60" s="292"/>
      <c r="MO60" s="292"/>
      <c r="MP60" s="292"/>
      <c r="MQ60" s="292"/>
      <c r="MR60" s="292"/>
      <c r="MS60" s="292"/>
      <c r="MT60" s="292"/>
      <c r="MU60" s="292"/>
      <c r="MV60" s="292"/>
      <c r="MW60" s="292"/>
      <c r="MX60" s="292"/>
      <c r="MY60" s="292"/>
      <c r="MZ60" s="292"/>
      <c r="NA60" s="292"/>
      <c r="NB60" s="292"/>
      <c r="NC60" s="292"/>
      <c r="ND60" s="292"/>
      <c r="NE60" s="292"/>
      <c r="NF60" s="292"/>
      <c r="NG60" s="292"/>
      <c r="NH60" s="292"/>
      <c r="NI60" s="292"/>
      <c r="NJ60" s="292"/>
      <c r="NK60" s="292"/>
      <c r="NL60" s="292"/>
      <c r="NM60" s="292"/>
      <c r="NN60" s="292"/>
      <c r="NO60" s="292"/>
      <c r="NP60" s="292"/>
      <c r="NQ60" s="292"/>
      <c r="NR60" s="292"/>
      <c r="NS60" s="292"/>
      <c r="NT60" s="292"/>
      <c r="NU60" s="292"/>
      <c r="NV60" s="292"/>
      <c r="NW60" s="292"/>
      <c r="NX60" s="292"/>
      <c r="NY60" s="292"/>
      <c r="NZ60" s="292"/>
      <c r="OA60" s="292"/>
      <c r="OB60" s="292"/>
      <c r="OC60" s="292"/>
      <c r="OD60" s="292"/>
      <c r="OE60" s="292"/>
      <c r="OF60" s="292"/>
      <c r="OG60" s="292"/>
      <c r="OH60" s="292"/>
      <c r="OI60" s="292"/>
      <c r="OJ60" s="292"/>
      <c r="OK60" s="292"/>
      <c r="OL60" s="292"/>
      <c r="OM60" s="292"/>
      <c r="ON60" s="292"/>
      <c r="OO60" s="292"/>
      <c r="OP60" s="292"/>
      <c r="OQ60" s="292"/>
      <c r="OR60" s="292"/>
      <c r="OS60" s="292"/>
      <c r="OT60" s="292"/>
      <c r="OU60" s="292"/>
      <c r="OV60" s="292"/>
      <c r="OW60" s="292"/>
      <c r="OX60" s="292"/>
      <c r="OY60" s="292"/>
      <c r="OZ60" s="292"/>
      <c r="PA60" s="292"/>
      <c r="PB60" s="292"/>
      <c r="PC60" s="292"/>
      <c r="PD60" s="292"/>
      <c r="PE60" s="292"/>
      <c r="PF60" s="292"/>
      <c r="PG60" s="292"/>
      <c r="PH60" s="292"/>
      <c r="PI60" s="292"/>
      <c r="PJ60" s="292"/>
      <c r="PK60" s="292"/>
      <c r="PL60" s="292"/>
      <c r="PM60" s="292"/>
      <c r="PN60" s="292"/>
      <c r="PO60" s="292"/>
      <c r="PP60" s="292"/>
      <c r="PQ60" s="292"/>
      <c r="PR60" s="292"/>
      <c r="PS60" s="292"/>
      <c r="PT60" s="292"/>
      <c r="PU60" s="292"/>
      <c r="PV60" s="292"/>
      <c r="PW60" s="292"/>
      <c r="PX60" s="292"/>
      <c r="PY60" s="292"/>
      <c r="PZ60" s="292"/>
      <c r="QA60" s="292"/>
      <c r="QB60" s="292"/>
      <c r="QC60" s="292"/>
      <c r="QD60" s="292"/>
      <c r="QE60" s="292"/>
      <c r="QF60" s="292"/>
      <c r="QG60" s="292"/>
      <c r="QH60" s="292"/>
      <c r="QI60" s="292"/>
      <c r="QJ60" s="292"/>
      <c r="QK60" s="292"/>
      <c r="QL60" s="292"/>
      <c r="QM60" s="292"/>
      <c r="QN60" s="292"/>
      <c r="QO60" s="292"/>
      <c r="QP60" s="292"/>
      <c r="QQ60" s="292"/>
      <c r="QR60" s="292"/>
      <c r="QS60" s="292"/>
      <c r="QT60" s="292"/>
      <c r="QU60" s="292"/>
      <c r="QV60" s="292"/>
      <c r="QW60" s="292"/>
      <c r="QX60" s="292"/>
      <c r="QY60" s="292"/>
      <c r="QZ60" s="292"/>
      <c r="RA60" s="292"/>
      <c r="RB60" s="292"/>
      <c r="RC60" s="292"/>
      <c r="RD60" s="292"/>
      <c r="RE60" s="292"/>
      <c r="RF60" s="292"/>
      <c r="RG60" s="292"/>
      <c r="RH60" s="292"/>
      <c r="RI60" s="292"/>
      <c r="RJ60" s="292"/>
      <c r="RK60" s="292"/>
      <c r="RL60" s="292"/>
      <c r="RM60" s="292"/>
      <c r="RN60" s="292"/>
      <c r="RO60" s="292"/>
      <c r="RP60" s="292"/>
      <c r="RQ60" s="292"/>
      <c r="RR60" s="292"/>
      <c r="RS60" s="292"/>
      <c r="RT60" s="292"/>
      <c r="RU60" s="292"/>
      <c r="RV60" s="292"/>
      <c r="RW60" s="292"/>
      <c r="RX60" s="292"/>
      <c r="RY60" s="292"/>
      <c r="RZ60" s="292"/>
      <c r="SA60" s="292"/>
      <c r="SB60" s="292"/>
      <c r="SC60" s="292"/>
      <c r="SD60" s="292"/>
      <c r="SE60" s="292"/>
      <c r="SF60" s="292"/>
      <c r="SG60" s="292"/>
      <c r="SH60" s="292"/>
      <c r="SI60" s="292"/>
      <c r="SJ60" s="292"/>
      <c r="SK60" s="292"/>
      <c r="SL60" s="292"/>
      <c r="SM60" s="292"/>
      <c r="SN60" s="292"/>
      <c r="SO60" s="292"/>
      <c r="SP60" s="292"/>
      <c r="SQ60" s="292"/>
      <c r="SR60" s="292"/>
      <c r="SS60" s="292"/>
      <c r="ST60" s="292"/>
      <c r="SU60" s="292"/>
    </row>
    <row r="61" spans="1:515" s="478" customFormat="1" ht="13" customHeight="1" x14ac:dyDescent="0.25">
      <c r="A61" s="986"/>
      <c r="B61" s="984"/>
      <c r="C61" s="984"/>
      <c r="D61" s="962"/>
      <c r="E61" s="960"/>
      <c r="F61" s="976"/>
      <c r="G61" s="981"/>
      <c r="H61" s="957"/>
      <c r="I61" s="960"/>
      <c r="J61" s="981"/>
      <c r="K61" s="981"/>
      <c r="L61" s="957"/>
      <c r="M61" s="960"/>
      <c r="N61" s="985"/>
      <c r="O61" s="981"/>
      <c r="P61" s="957"/>
      <c r="Q61" s="960"/>
      <c r="R61" s="981"/>
      <c r="S61" s="981"/>
      <c r="T61" s="957"/>
      <c r="U61" s="957"/>
      <c r="V61" s="957"/>
      <c r="W61" s="981"/>
      <c r="X61" s="957"/>
      <c r="Y61" s="957"/>
      <c r="Z61" s="957"/>
      <c r="AA61" s="981"/>
      <c r="AB61" s="976"/>
      <c r="AC61" s="957"/>
      <c r="AD61" s="976"/>
      <c r="AE61" s="971"/>
      <c r="AF61" s="292"/>
      <c r="AG61" s="292"/>
      <c r="AH61" s="292"/>
      <c r="AI61" s="292"/>
      <c r="AJ61" s="292"/>
      <c r="AK61" s="292"/>
      <c r="AL61" s="292"/>
      <c r="AM61" s="292"/>
      <c r="AN61" s="292"/>
      <c r="AO61" s="292"/>
      <c r="AP61" s="292"/>
      <c r="AQ61" s="292"/>
      <c r="AR61" s="292"/>
      <c r="AS61" s="292"/>
      <c r="AT61" s="292"/>
      <c r="AU61" s="292"/>
      <c r="AV61" s="292"/>
      <c r="AW61" s="292"/>
      <c r="AX61" s="292"/>
      <c r="AY61" s="292"/>
      <c r="AZ61" s="292"/>
      <c r="BA61" s="292"/>
      <c r="BB61" s="292"/>
      <c r="BC61" s="292"/>
      <c r="BD61" s="292"/>
      <c r="BE61" s="292"/>
      <c r="BF61" s="292"/>
      <c r="BG61" s="292"/>
      <c r="BH61" s="292"/>
      <c r="BI61" s="292"/>
      <c r="BJ61" s="292"/>
      <c r="BK61" s="292"/>
      <c r="BL61" s="292"/>
      <c r="BM61" s="292"/>
      <c r="BN61" s="292"/>
      <c r="BO61" s="292"/>
      <c r="BP61" s="292"/>
      <c r="BQ61" s="292"/>
      <c r="BR61" s="292"/>
      <c r="BS61" s="292"/>
      <c r="BT61" s="292"/>
      <c r="BU61" s="292"/>
      <c r="BV61" s="292"/>
      <c r="BW61" s="292"/>
      <c r="BX61" s="292"/>
      <c r="BY61" s="292"/>
      <c r="BZ61" s="292"/>
      <c r="CA61" s="292"/>
      <c r="CB61" s="292"/>
      <c r="CC61" s="292"/>
      <c r="CD61" s="292"/>
      <c r="CE61" s="292"/>
      <c r="CF61" s="292"/>
      <c r="CG61" s="292"/>
      <c r="CH61" s="292"/>
      <c r="CI61" s="292"/>
      <c r="CJ61" s="292"/>
      <c r="CK61" s="292"/>
      <c r="CL61" s="292"/>
      <c r="CM61" s="292"/>
      <c r="CN61" s="292"/>
      <c r="CO61" s="292"/>
      <c r="CP61" s="292"/>
      <c r="CQ61" s="292"/>
      <c r="CR61" s="292"/>
      <c r="CS61" s="292"/>
      <c r="CT61" s="292"/>
      <c r="CU61" s="292"/>
      <c r="CV61" s="292"/>
      <c r="CW61" s="292"/>
      <c r="CX61" s="292"/>
      <c r="CY61" s="292"/>
      <c r="CZ61" s="292"/>
      <c r="DA61" s="292"/>
      <c r="DB61" s="292"/>
      <c r="DC61" s="292"/>
      <c r="DD61" s="292"/>
      <c r="DE61" s="292"/>
      <c r="DF61" s="292"/>
      <c r="DG61" s="292"/>
      <c r="DH61" s="292"/>
      <c r="DI61" s="292"/>
      <c r="DJ61" s="292"/>
      <c r="DK61" s="292"/>
      <c r="DL61" s="292"/>
      <c r="DM61" s="292"/>
      <c r="DN61" s="292"/>
      <c r="DO61" s="292"/>
      <c r="DP61" s="292"/>
      <c r="DQ61" s="292"/>
      <c r="DR61" s="292"/>
      <c r="DS61" s="292"/>
      <c r="DT61" s="292"/>
      <c r="DU61" s="292"/>
      <c r="DV61" s="292"/>
      <c r="DW61" s="292"/>
      <c r="DX61" s="292"/>
      <c r="DY61" s="292"/>
      <c r="DZ61" s="292"/>
      <c r="EA61" s="292"/>
      <c r="EB61" s="292"/>
      <c r="EC61" s="292"/>
      <c r="ED61" s="292"/>
      <c r="EE61" s="292"/>
      <c r="EF61" s="292"/>
      <c r="EG61" s="292"/>
      <c r="EH61" s="292"/>
      <c r="EI61" s="292"/>
      <c r="EJ61" s="292"/>
      <c r="EK61" s="292"/>
      <c r="EL61" s="292"/>
      <c r="EM61" s="292"/>
      <c r="EN61" s="292"/>
      <c r="EO61" s="292"/>
      <c r="EP61" s="292"/>
      <c r="EQ61" s="292"/>
      <c r="ER61" s="292"/>
      <c r="ES61" s="292"/>
      <c r="ET61" s="292"/>
      <c r="EU61" s="292"/>
      <c r="EV61" s="292"/>
      <c r="EW61" s="292"/>
      <c r="EX61" s="292"/>
      <c r="EY61" s="292"/>
      <c r="EZ61" s="292"/>
      <c r="FA61" s="292"/>
      <c r="FB61" s="292"/>
      <c r="FC61" s="292"/>
      <c r="FD61" s="292"/>
      <c r="FE61" s="292"/>
      <c r="FF61" s="292"/>
      <c r="FG61" s="292"/>
      <c r="FH61" s="292"/>
      <c r="FI61" s="292"/>
      <c r="FJ61" s="292"/>
      <c r="FK61" s="292"/>
      <c r="FL61" s="292"/>
      <c r="FM61" s="292"/>
      <c r="FN61" s="292"/>
      <c r="FO61" s="292"/>
      <c r="FP61" s="292"/>
      <c r="FQ61" s="292"/>
      <c r="FR61" s="292"/>
      <c r="FS61" s="292"/>
      <c r="FT61" s="292"/>
      <c r="FU61" s="292"/>
      <c r="FV61" s="292"/>
      <c r="FW61" s="292"/>
      <c r="FX61" s="292"/>
      <c r="FY61" s="292"/>
      <c r="FZ61" s="292"/>
      <c r="GA61" s="292"/>
      <c r="GB61" s="292"/>
      <c r="GC61" s="292"/>
      <c r="GD61" s="292"/>
      <c r="GE61" s="292"/>
      <c r="GF61" s="292"/>
      <c r="GG61" s="292"/>
      <c r="GH61" s="292"/>
      <c r="GI61" s="292"/>
      <c r="GJ61" s="292"/>
      <c r="GK61" s="292"/>
      <c r="GL61" s="292"/>
      <c r="GM61" s="292"/>
      <c r="GN61" s="292"/>
      <c r="GO61" s="292"/>
      <c r="GP61" s="292"/>
      <c r="GQ61" s="292"/>
      <c r="GR61" s="292"/>
      <c r="GS61" s="292"/>
      <c r="GT61" s="292"/>
      <c r="GU61" s="292"/>
      <c r="GV61" s="292"/>
      <c r="GW61" s="292"/>
      <c r="GX61" s="292"/>
      <c r="GY61" s="292"/>
      <c r="GZ61" s="292"/>
      <c r="HA61" s="292"/>
      <c r="HB61" s="292"/>
      <c r="HC61" s="292"/>
      <c r="HD61" s="292"/>
      <c r="HE61" s="292"/>
      <c r="HF61" s="292"/>
      <c r="HG61" s="292"/>
      <c r="HH61" s="292"/>
      <c r="HI61" s="292"/>
      <c r="HJ61" s="292"/>
      <c r="HK61" s="292"/>
      <c r="HL61" s="292"/>
      <c r="HM61" s="292"/>
      <c r="HN61" s="292"/>
      <c r="HO61" s="292"/>
      <c r="HP61" s="292"/>
      <c r="HQ61" s="292"/>
      <c r="HR61" s="292"/>
      <c r="HS61" s="292"/>
      <c r="HT61" s="292"/>
      <c r="HU61" s="292"/>
      <c r="HV61" s="292"/>
      <c r="HW61" s="292"/>
      <c r="HX61" s="292"/>
      <c r="HY61" s="292"/>
      <c r="HZ61" s="292"/>
      <c r="IA61" s="292"/>
      <c r="IB61" s="292"/>
      <c r="IC61" s="292"/>
      <c r="ID61" s="292"/>
      <c r="IE61" s="292"/>
      <c r="IF61" s="292"/>
      <c r="IG61" s="292"/>
      <c r="IH61" s="292"/>
      <c r="II61" s="292"/>
      <c r="IJ61" s="292"/>
      <c r="IK61" s="292"/>
      <c r="IL61" s="292"/>
      <c r="IM61" s="292"/>
      <c r="IN61" s="292"/>
      <c r="IO61" s="292"/>
      <c r="IP61" s="292"/>
      <c r="IQ61" s="292"/>
      <c r="IR61" s="292"/>
      <c r="IS61" s="292"/>
      <c r="IT61" s="292"/>
      <c r="IU61" s="292"/>
      <c r="IV61" s="292"/>
      <c r="IW61" s="292"/>
      <c r="IX61" s="292"/>
      <c r="IY61" s="292"/>
      <c r="IZ61" s="292"/>
      <c r="JA61" s="292"/>
      <c r="JB61" s="292"/>
      <c r="JC61" s="292"/>
      <c r="JD61" s="292"/>
      <c r="JE61" s="292"/>
      <c r="JF61" s="292"/>
      <c r="JG61" s="292"/>
      <c r="JH61" s="292"/>
      <c r="JI61" s="292"/>
      <c r="JJ61" s="292"/>
      <c r="JK61" s="292"/>
      <c r="JL61" s="292"/>
      <c r="JM61" s="292"/>
      <c r="JN61" s="292"/>
      <c r="JO61" s="292"/>
      <c r="JP61" s="292"/>
      <c r="JQ61" s="292"/>
      <c r="JR61" s="292"/>
      <c r="JS61" s="292"/>
      <c r="JT61" s="292"/>
      <c r="JU61" s="292"/>
      <c r="JV61" s="292"/>
      <c r="JW61" s="292"/>
      <c r="JX61" s="292"/>
      <c r="JY61" s="292"/>
      <c r="JZ61" s="292"/>
      <c r="KA61" s="292"/>
      <c r="KB61" s="292"/>
      <c r="KC61" s="292"/>
      <c r="KD61" s="292"/>
      <c r="KE61" s="292"/>
      <c r="KF61" s="292"/>
      <c r="KG61" s="292"/>
      <c r="KH61" s="292"/>
      <c r="KI61" s="292"/>
      <c r="KJ61" s="292"/>
      <c r="KK61" s="292"/>
      <c r="KL61" s="292"/>
      <c r="KM61" s="292"/>
      <c r="KN61" s="292"/>
      <c r="KO61" s="292"/>
      <c r="KP61" s="292"/>
      <c r="KQ61" s="292"/>
      <c r="KR61" s="292"/>
      <c r="KS61" s="292"/>
      <c r="KT61" s="292"/>
      <c r="KU61" s="292"/>
      <c r="KV61" s="292"/>
      <c r="KW61" s="292"/>
      <c r="KX61" s="292"/>
      <c r="KY61" s="292"/>
      <c r="KZ61" s="292"/>
      <c r="LA61" s="292"/>
      <c r="LB61" s="292"/>
      <c r="LC61" s="292"/>
      <c r="LD61" s="292"/>
      <c r="LE61" s="292"/>
      <c r="LF61" s="292"/>
      <c r="LG61" s="292"/>
      <c r="LH61" s="292"/>
      <c r="LI61" s="292"/>
      <c r="LJ61" s="292"/>
      <c r="LK61" s="292"/>
      <c r="LL61" s="292"/>
      <c r="LM61" s="292"/>
      <c r="LN61" s="292"/>
      <c r="LO61" s="292"/>
      <c r="LP61" s="292"/>
      <c r="LQ61" s="292"/>
      <c r="LR61" s="292"/>
      <c r="LS61" s="292"/>
      <c r="LT61" s="292"/>
      <c r="LU61" s="292"/>
      <c r="LV61" s="292"/>
      <c r="LW61" s="292"/>
      <c r="LX61" s="292"/>
      <c r="LY61" s="292"/>
      <c r="LZ61" s="292"/>
      <c r="MA61" s="292"/>
      <c r="MB61" s="292"/>
      <c r="MC61" s="292"/>
      <c r="MD61" s="292"/>
      <c r="ME61" s="292"/>
      <c r="MF61" s="292"/>
      <c r="MG61" s="292"/>
      <c r="MH61" s="292"/>
      <c r="MI61" s="292"/>
      <c r="MJ61" s="292"/>
      <c r="MK61" s="292"/>
      <c r="ML61" s="292"/>
      <c r="MM61" s="292"/>
      <c r="MN61" s="292"/>
      <c r="MO61" s="292"/>
      <c r="MP61" s="292"/>
      <c r="MQ61" s="292"/>
      <c r="MR61" s="292"/>
      <c r="MS61" s="292"/>
      <c r="MT61" s="292"/>
      <c r="MU61" s="292"/>
      <c r="MV61" s="292"/>
      <c r="MW61" s="292"/>
      <c r="MX61" s="292"/>
      <c r="MY61" s="292"/>
      <c r="MZ61" s="292"/>
      <c r="NA61" s="292"/>
      <c r="NB61" s="292"/>
      <c r="NC61" s="292"/>
      <c r="ND61" s="292"/>
      <c r="NE61" s="292"/>
      <c r="NF61" s="292"/>
      <c r="NG61" s="292"/>
      <c r="NH61" s="292"/>
      <c r="NI61" s="292"/>
      <c r="NJ61" s="292"/>
      <c r="NK61" s="292"/>
      <c r="NL61" s="292"/>
      <c r="NM61" s="292"/>
      <c r="NN61" s="292"/>
      <c r="NO61" s="292"/>
      <c r="NP61" s="292"/>
      <c r="NQ61" s="292"/>
      <c r="NR61" s="292"/>
      <c r="NS61" s="292"/>
      <c r="NT61" s="292"/>
      <c r="NU61" s="292"/>
      <c r="NV61" s="292"/>
      <c r="NW61" s="292"/>
      <c r="NX61" s="292"/>
      <c r="NY61" s="292"/>
      <c r="NZ61" s="292"/>
      <c r="OA61" s="292"/>
      <c r="OB61" s="292"/>
      <c r="OC61" s="292"/>
      <c r="OD61" s="292"/>
      <c r="OE61" s="292"/>
      <c r="OF61" s="292"/>
      <c r="OG61" s="292"/>
      <c r="OH61" s="292"/>
      <c r="OI61" s="292"/>
      <c r="OJ61" s="292"/>
      <c r="OK61" s="292"/>
      <c r="OL61" s="292"/>
      <c r="OM61" s="292"/>
      <c r="ON61" s="292"/>
      <c r="OO61" s="292"/>
      <c r="OP61" s="292"/>
      <c r="OQ61" s="292"/>
      <c r="OR61" s="292"/>
      <c r="OS61" s="292"/>
      <c r="OT61" s="292"/>
      <c r="OU61" s="292"/>
      <c r="OV61" s="292"/>
      <c r="OW61" s="292"/>
      <c r="OX61" s="292"/>
      <c r="OY61" s="292"/>
      <c r="OZ61" s="292"/>
      <c r="PA61" s="292"/>
      <c r="PB61" s="292"/>
      <c r="PC61" s="292"/>
      <c r="PD61" s="292"/>
      <c r="PE61" s="292"/>
      <c r="PF61" s="292"/>
      <c r="PG61" s="292"/>
      <c r="PH61" s="292"/>
      <c r="PI61" s="292"/>
      <c r="PJ61" s="292"/>
      <c r="PK61" s="292"/>
      <c r="PL61" s="292"/>
      <c r="PM61" s="292"/>
      <c r="PN61" s="292"/>
      <c r="PO61" s="292"/>
      <c r="PP61" s="292"/>
      <c r="PQ61" s="292"/>
      <c r="PR61" s="292"/>
      <c r="PS61" s="292"/>
      <c r="PT61" s="292"/>
      <c r="PU61" s="292"/>
      <c r="PV61" s="292"/>
      <c r="PW61" s="292"/>
      <c r="PX61" s="292"/>
      <c r="PY61" s="292"/>
      <c r="PZ61" s="292"/>
      <c r="QA61" s="292"/>
      <c r="QB61" s="292"/>
      <c r="QC61" s="292"/>
      <c r="QD61" s="292"/>
      <c r="QE61" s="292"/>
      <c r="QF61" s="292"/>
      <c r="QG61" s="292"/>
      <c r="QH61" s="292"/>
      <c r="QI61" s="292"/>
      <c r="QJ61" s="292"/>
      <c r="QK61" s="292"/>
      <c r="QL61" s="292"/>
      <c r="QM61" s="292"/>
      <c r="QN61" s="292"/>
      <c r="QO61" s="292"/>
      <c r="QP61" s="292"/>
      <c r="QQ61" s="292"/>
      <c r="QR61" s="292"/>
      <c r="QS61" s="292"/>
      <c r="QT61" s="292"/>
      <c r="QU61" s="292"/>
      <c r="QV61" s="292"/>
      <c r="QW61" s="292"/>
      <c r="QX61" s="292"/>
      <c r="QY61" s="292"/>
      <c r="QZ61" s="292"/>
      <c r="RA61" s="292"/>
      <c r="RB61" s="292"/>
      <c r="RC61" s="292"/>
      <c r="RD61" s="292"/>
      <c r="RE61" s="292"/>
      <c r="RF61" s="292"/>
      <c r="RG61" s="292"/>
      <c r="RH61" s="292"/>
      <c r="RI61" s="292"/>
      <c r="RJ61" s="292"/>
      <c r="RK61" s="292"/>
      <c r="RL61" s="292"/>
      <c r="RM61" s="292"/>
      <c r="RN61" s="292"/>
      <c r="RO61" s="292"/>
      <c r="RP61" s="292"/>
      <c r="RQ61" s="292"/>
      <c r="RR61" s="292"/>
      <c r="RS61" s="292"/>
      <c r="RT61" s="292"/>
      <c r="RU61" s="292"/>
      <c r="RV61" s="292"/>
      <c r="RW61" s="292"/>
      <c r="RX61" s="292"/>
      <c r="RY61" s="292"/>
      <c r="RZ61" s="292"/>
      <c r="SA61" s="292"/>
      <c r="SB61" s="292"/>
      <c r="SC61" s="292"/>
      <c r="SD61" s="292"/>
      <c r="SE61" s="292"/>
      <c r="SF61" s="292"/>
      <c r="SG61" s="292"/>
      <c r="SH61" s="292"/>
      <c r="SI61" s="292"/>
      <c r="SJ61" s="292"/>
      <c r="SK61" s="292"/>
      <c r="SL61" s="292"/>
      <c r="SM61" s="292"/>
      <c r="SN61" s="292"/>
      <c r="SO61" s="292"/>
      <c r="SP61" s="292"/>
      <c r="SQ61" s="292"/>
      <c r="SR61" s="292"/>
      <c r="SS61" s="292"/>
      <c r="ST61" s="292"/>
      <c r="SU61" s="292"/>
    </row>
    <row r="62" spans="1:515" s="478" customFormat="1" ht="28.5" customHeight="1" x14ac:dyDescent="0.25">
      <c r="A62" s="986"/>
      <c r="B62" s="984"/>
      <c r="C62" s="984"/>
      <c r="D62" s="962"/>
      <c r="E62" s="1294" t="s">
        <v>367</v>
      </c>
      <c r="F62" s="1294"/>
      <c r="G62" s="1294"/>
      <c r="H62" s="957"/>
      <c r="I62" s="1294" t="s">
        <v>367</v>
      </c>
      <c r="J62" s="1294"/>
      <c r="K62" s="1294"/>
      <c r="L62" s="957"/>
      <c r="M62" s="1294" t="s">
        <v>367</v>
      </c>
      <c r="N62" s="1294"/>
      <c r="O62" s="1294"/>
      <c r="P62" s="957"/>
      <c r="Q62" s="1294" t="s">
        <v>367</v>
      </c>
      <c r="R62" s="1294"/>
      <c r="S62" s="1294"/>
      <c r="T62" s="957"/>
      <c r="U62" s="1294" t="s">
        <v>367</v>
      </c>
      <c r="V62" s="1294"/>
      <c r="W62" s="1294"/>
      <c r="X62" s="957"/>
      <c r="Y62" s="1294" t="s">
        <v>367</v>
      </c>
      <c r="Z62" s="1294"/>
      <c r="AA62" s="1294"/>
      <c r="AB62" s="976"/>
      <c r="AC62" s="957"/>
      <c r="AD62" s="1181" t="s">
        <v>367</v>
      </c>
      <c r="AE62" s="971"/>
      <c r="AF62" s="292"/>
      <c r="AG62" s="292"/>
      <c r="AH62" s="292"/>
      <c r="AI62" s="292"/>
      <c r="AJ62" s="292"/>
      <c r="AK62" s="292"/>
      <c r="AL62" s="292"/>
      <c r="AM62" s="292"/>
      <c r="AN62" s="292"/>
      <c r="AO62" s="292"/>
      <c r="AP62" s="292"/>
      <c r="AQ62" s="292"/>
      <c r="AR62" s="292"/>
      <c r="AS62" s="292"/>
      <c r="AT62" s="292"/>
      <c r="AU62" s="292"/>
      <c r="AV62" s="292"/>
      <c r="AW62" s="292"/>
      <c r="AX62" s="292"/>
      <c r="AY62" s="292"/>
      <c r="AZ62" s="292"/>
      <c r="BA62" s="292"/>
      <c r="BB62" s="292"/>
      <c r="BC62" s="292"/>
      <c r="BD62" s="292"/>
      <c r="BE62" s="292"/>
      <c r="BF62" s="292"/>
      <c r="BG62" s="292"/>
      <c r="BH62" s="292"/>
      <c r="BI62" s="292"/>
      <c r="BJ62" s="292"/>
      <c r="BK62" s="292"/>
      <c r="BL62" s="292"/>
      <c r="BM62" s="292"/>
      <c r="BN62" s="292"/>
      <c r="BO62" s="292"/>
      <c r="BP62" s="292"/>
      <c r="BQ62" s="292"/>
      <c r="BR62" s="292"/>
      <c r="BS62" s="292"/>
      <c r="BT62" s="292"/>
      <c r="BU62" s="292"/>
      <c r="BV62" s="292"/>
      <c r="BW62" s="292"/>
      <c r="BX62" s="292"/>
      <c r="BY62" s="292"/>
      <c r="BZ62" s="292"/>
      <c r="CA62" s="292"/>
      <c r="CB62" s="292"/>
      <c r="CC62" s="292"/>
      <c r="CD62" s="292"/>
      <c r="CE62" s="292"/>
      <c r="CF62" s="292"/>
      <c r="CG62" s="292"/>
      <c r="CH62" s="292"/>
      <c r="CI62" s="292"/>
      <c r="CJ62" s="292"/>
      <c r="CK62" s="292"/>
      <c r="CL62" s="292"/>
      <c r="CM62" s="292"/>
      <c r="CN62" s="292"/>
      <c r="CO62" s="292"/>
      <c r="CP62" s="292"/>
      <c r="CQ62" s="292"/>
      <c r="CR62" s="292"/>
      <c r="CS62" s="292"/>
      <c r="CT62" s="292"/>
      <c r="CU62" s="292"/>
      <c r="CV62" s="292"/>
      <c r="CW62" s="292"/>
      <c r="CX62" s="292"/>
      <c r="CY62" s="292"/>
      <c r="CZ62" s="292"/>
      <c r="DA62" s="292"/>
      <c r="DB62" s="292"/>
      <c r="DC62" s="292"/>
      <c r="DD62" s="292"/>
      <c r="DE62" s="292"/>
      <c r="DF62" s="292"/>
      <c r="DG62" s="292"/>
      <c r="DH62" s="292"/>
      <c r="DI62" s="292"/>
      <c r="DJ62" s="292"/>
      <c r="DK62" s="292"/>
      <c r="DL62" s="292"/>
      <c r="DM62" s="292"/>
      <c r="DN62" s="292"/>
      <c r="DO62" s="292"/>
      <c r="DP62" s="292"/>
      <c r="DQ62" s="292"/>
      <c r="DR62" s="292"/>
      <c r="DS62" s="292"/>
      <c r="DT62" s="292"/>
      <c r="DU62" s="292"/>
      <c r="DV62" s="292"/>
      <c r="DW62" s="292"/>
      <c r="DX62" s="292"/>
      <c r="DY62" s="292"/>
      <c r="DZ62" s="292"/>
      <c r="EA62" s="292"/>
      <c r="EB62" s="292"/>
      <c r="EC62" s="292"/>
      <c r="ED62" s="292"/>
      <c r="EE62" s="292"/>
      <c r="EF62" s="292"/>
      <c r="EG62" s="292"/>
      <c r="EH62" s="292"/>
      <c r="EI62" s="292"/>
      <c r="EJ62" s="292"/>
      <c r="EK62" s="292"/>
      <c r="EL62" s="292"/>
      <c r="EM62" s="292"/>
      <c r="EN62" s="292"/>
      <c r="EO62" s="292"/>
      <c r="EP62" s="292"/>
      <c r="EQ62" s="292"/>
      <c r="ER62" s="292"/>
      <c r="ES62" s="292"/>
      <c r="ET62" s="292"/>
      <c r="EU62" s="292"/>
      <c r="EV62" s="292"/>
      <c r="EW62" s="292"/>
      <c r="EX62" s="292"/>
      <c r="EY62" s="292"/>
      <c r="EZ62" s="292"/>
      <c r="FA62" s="292"/>
      <c r="FB62" s="292"/>
      <c r="FC62" s="292"/>
      <c r="FD62" s="292"/>
      <c r="FE62" s="292"/>
      <c r="FF62" s="292"/>
      <c r="FG62" s="292"/>
      <c r="FH62" s="292"/>
      <c r="FI62" s="292"/>
      <c r="FJ62" s="292"/>
      <c r="FK62" s="292"/>
      <c r="FL62" s="292"/>
      <c r="FM62" s="292"/>
      <c r="FN62" s="292"/>
      <c r="FO62" s="292"/>
      <c r="FP62" s="292"/>
      <c r="FQ62" s="292"/>
      <c r="FR62" s="292"/>
      <c r="FS62" s="292"/>
      <c r="FT62" s="292"/>
      <c r="FU62" s="292"/>
      <c r="FV62" s="292"/>
      <c r="FW62" s="292"/>
      <c r="FX62" s="292"/>
      <c r="FY62" s="292"/>
      <c r="FZ62" s="292"/>
      <c r="GA62" s="292"/>
      <c r="GB62" s="292"/>
      <c r="GC62" s="292"/>
      <c r="GD62" s="292"/>
      <c r="GE62" s="292"/>
      <c r="GF62" s="292"/>
      <c r="GG62" s="292"/>
      <c r="GH62" s="292"/>
      <c r="GI62" s="292"/>
      <c r="GJ62" s="292"/>
      <c r="GK62" s="292"/>
      <c r="GL62" s="292"/>
      <c r="GM62" s="292"/>
      <c r="GN62" s="292"/>
      <c r="GO62" s="292"/>
      <c r="GP62" s="292"/>
      <c r="GQ62" s="292"/>
      <c r="GR62" s="292"/>
      <c r="GS62" s="292"/>
      <c r="GT62" s="292"/>
      <c r="GU62" s="292"/>
      <c r="GV62" s="292"/>
      <c r="GW62" s="292"/>
      <c r="GX62" s="292"/>
      <c r="GY62" s="292"/>
      <c r="GZ62" s="292"/>
      <c r="HA62" s="292"/>
      <c r="HB62" s="292"/>
      <c r="HC62" s="292"/>
      <c r="HD62" s="292"/>
      <c r="HE62" s="292"/>
      <c r="HF62" s="292"/>
      <c r="HG62" s="292"/>
      <c r="HH62" s="292"/>
      <c r="HI62" s="292"/>
      <c r="HJ62" s="292"/>
      <c r="HK62" s="292"/>
      <c r="HL62" s="292"/>
      <c r="HM62" s="292"/>
      <c r="HN62" s="292"/>
      <c r="HO62" s="292"/>
      <c r="HP62" s="292"/>
      <c r="HQ62" s="292"/>
      <c r="HR62" s="292"/>
      <c r="HS62" s="292"/>
      <c r="HT62" s="292"/>
      <c r="HU62" s="292"/>
      <c r="HV62" s="292"/>
      <c r="HW62" s="292"/>
      <c r="HX62" s="292"/>
      <c r="HY62" s="292"/>
      <c r="HZ62" s="292"/>
      <c r="IA62" s="292"/>
      <c r="IB62" s="292"/>
      <c r="IC62" s="292"/>
      <c r="ID62" s="292"/>
      <c r="IE62" s="292"/>
      <c r="IF62" s="292"/>
      <c r="IG62" s="292"/>
      <c r="IH62" s="292"/>
      <c r="II62" s="292"/>
      <c r="IJ62" s="292"/>
      <c r="IK62" s="292"/>
      <c r="IL62" s="292"/>
      <c r="IM62" s="292"/>
      <c r="IN62" s="292"/>
      <c r="IO62" s="292"/>
      <c r="IP62" s="292"/>
      <c r="IQ62" s="292"/>
      <c r="IR62" s="292"/>
      <c r="IS62" s="292"/>
      <c r="IT62" s="292"/>
      <c r="IU62" s="292"/>
      <c r="IV62" s="292"/>
      <c r="IW62" s="292"/>
      <c r="IX62" s="292"/>
      <c r="IY62" s="292"/>
      <c r="IZ62" s="292"/>
      <c r="JA62" s="292"/>
      <c r="JB62" s="292"/>
      <c r="JC62" s="292"/>
      <c r="JD62" s="292"/>
      <c r="JE62" s="292"/>
      <c r="JF62" s="292"/>
      <c r="JG62" s="292"/>
      <c r="JH62" s="292"/>
      <c r="JI62" s="292"/>
      <c r="JJ62" s="292"/>
      <c r="JK62" s="292"/>
      <c r="JL62" s="292"/>
      <c r="JM62" s="292"/>
      <c r="JN62" s="292"/>
      <c r="JO62" s="292"/>
      <c r="JP62" s="292"/>
      <c r="JQ62" s="292"/>
      <c r="JR62" s="292"/>
      <c r="JS62" s="292"/>
      <c r="JT62" s="292"/>
      <c r="JU62" s="292"/>
      <c r="JV62" s="292"/>
      <c r="JW62" s="292"/>
      <c r="JX62" s="292"/>
      <c r="JY62" s="292"/>
      <c r="JZ62" s="292"/>
      <c r="KA62" s="292"/>
      <c r="KB62" s="292"/>
      <c r="KC62" s="292"/>
      <c r="KD62" s="292"/>
      <c r="KE62" s="292"/>
      <c r="KF62" s="292"/>
      <c r="KG62" s="292"/>
      <c r="KH62" s="292"/>
      <c r="KI62" s="292"/>
      <c r="KJ62" s="292"/>
      <c r="KK62" s="292"/>
      <c r="KL62" s="292"/>
      <c r="KM62" s="292"/>
      <c r="KN62" s="292"/>
      <c r="KO62" s="292"/>
      <c r="KP62" s="292"/>
      <c r="KQ62" s="292"/>
      <c r="KR62" s="292"/>
      <c r="KS62" s="292"/>
      <c r="KT62" s="292"/>
      <c r="KU62" s="292"/>
      <c r="KV62" s="292"/>
      <c r="KW62" s="292"/>
      <c r="KX62" s="292"/>
      <c r="KY62" s="292"/>
      <c r="KZ62" s="292"/>
      <c r="LA62" s="292"/>
      <c r="LB62" s="292"/>
      <c r="LC62" s="292"/>
      <c r="LD62" s="292"/>
      <c r="LE62" s="292"/>
      <c r="LF62" s="292"/>
      <c r="LG62" s="292"/>
      <c r="LH62" s="292"/>
      <c r="LI62" s="292"/>
      <c r="LJ62" s="292"/>
      <c r="LK62" s="292"/>
      <c r="LL62" s="292"/>
      <c r="LM62" s="292"/>
      <c r="LN62" s="292"/>
      <c r="LO62" s="292"/>
      <c r="LP62" s="292"/>
      <c r="LQ62" s="292"/>
      <c r="LR62" s="292"/>
      <c r="LS62" s="292"/>
      <c r="LT62" s="292"/>
      <c r="LU62" s="292"/>
      <c r="LV62" s="292"/>
      <c r="LW62" s="292"/>
      <c r="LX62" s="292"/>
      <c r="LY62" s="292"/>
      <c r="LZ62" s="292"/>
      <c r="MA62" s="292"/>
      <c r="MB62" s="292"/>
      <c r="MC62" s="292"/>
      <c r="MD62" s="292"/>
      <c r="ME62" s="292"/>
      <c r="MF62" s="292"/>
      <c r="MG62" s="292"/>
      <c r="MH62" s="292"/>
      <c r="MI62" s="292"/>
      <c r="MJ62" s="292"/>
      <c r="MK62" s="292"/>
      <c r="ML62" s="292"/>
      <c r="MM62" s="292"/>
      <c r="MN62" s="292"/>
      <c r="MO62" s="292"/>
      <c r="MP62" s="292"/>
      <c r="MQ62" s="292"/>
      <c r="MR62" s="292"/>
      <c r="MS62" s="292"/>
      <c r="MT62" s="292"/>
      <c r="MU62" s="292"/>
      <c r="MV62" s="292"/>
      <c r="MW62" s="292"/>
      <c r="MX62" s="292"/>
      <c r="MY62" s="292"/>
      <c r="MZ62" s="292"/>
      <c r="NA62" s="292"/>
      <c r="NB62" s="292"/>
      <c r="NC62" s="292"/>
      <c r="ND62" s="292"/>
      <c r="NE62" s="292"/>
      <c r="NF62" s="292"/>
      <c r="NG62" s="292"/>
      <c r="NH62" s="292"/>
      <c r="NI62" s="292"/>
      <c r="NJ62" s="292"/>
      <c r="NK62" s="292"/>
      <c r="NL62" s="292"/>
      <c r="NM62" s="292"/>
      <c r="NN62" s="292"/>
      <c r="NO62" s="292"/>
      <c r="NP62" s="292"/>
      <c r="NQ62" s="292"/>
      <c r="NR62" s="292"/>
      <c r="NS62" s="292"/>
      <c r="NT62" s="292"/>
      <c r="NU62" s="292"/>
      <c r="NV62" s="292"/>
      <c r="NW62" s="292"/>
      <c r="NX62" s="292"/>
      <c r="NY62" s="292"/>
      <c r="NZ62" s="292"/>
      <c r="OA62" s="292"/>
      <c r="OB62" s="292"/>
      <c r="OC62" s="292"/>
      <c r="OD62" s="292"/>
      <c r="OE62" s="292"/>
      <c r="OF62" s="292"/>
      <c r="OG62" s="292"/>
      <c r="OH62" s="292"/>
      <c r="OI62" s="292"/>
      <c r="OJ62" s="292"/>
      <c r="OK62" s="292"/>
      <c r="OL62" s="292"/>
      <c r="OM62" s="292"/>
      <c r="ON62" s="292"/>
      <c r="OO62" s="292"/>
      <c r="OP62" s="292"/>
      <c r="OQ62" s="292"/>
      <c r="OR62" s="292"/>
      <c r="OS62" s="292"/>
      <c r="OT62" s="292"/>
      <c r="OU62" s="292"/>
      <c r="OV62" s="292"/>
      <c r="OW62" s="292"/>
      <c r="OX62" s="292"/>
      <c r="OY62" s="292"/>
      <c r="OZ62" s="292"/>
      <c r="PA62" s="292"/>
      <c r="PB62" s="292"/>
      <c r="PC62" s="292"/>
      <c r="PD62" s="292"/>
      <c r="PE62" s="292"/>
      <c r="PF62" s="292"/>
      <c r="PG62" s="292"/>
      <c r="PH62" s="292"/>
      <c r="PI62" s="292"/>
      <c r="PJ62" s="292"/>
      <c r="PK62" s="292"/>
      <c r="PL62" s="292"/>
      <c r="PM62" s="292"/>
      <c r="PN62" s="292"/>
      <c r="PO62" s="292"/>
      <c r="PP62" s="292"/>
      <c r="PQ62" s="292"/>
      <c r="PR62" s="292"/>
      <c r="PS62" s="292"/>
      <c r="PT62" s="292"/>
      <c r="PU62" s="292"/>
      <c r="PV62" s="292"/>
      <c r="PW62" s="292"/>
      <c r="PX62" s="292"/>
      <c r="PY62" s="292"/>
      <c r="PZ62" s="292"/>
      <c r="QA62" s="292"/>
      <c r="QB62" s="292"/>
      <c r="QC62" s="292"/>
      <c r="QD62" s="292"/>
      <c r="QE62" s="292"/>
      <c r="QF62" s="292"/>
      <c r="QG62" s="292"/>
      <c r="QH62" s="292"/>
      <c r="QI62" s="292"/>
      <c r="QJ62" s="292"/>
      <c r="QK62" s="292"/>
      <c r="QL62" s="292"/>
      <c r="QM62" s="292"/>
      <c r="QN62" s="292"/>
      <c r="QO62" s="292"/>
      <c r="QP62" s="292"/>
      <c r="QQ62" s="292"/>
      <c r="QR62" s="292"/>
      <c r="QS62" s="292"/>
      <c r="QT62" s="292"/>
      <c r="QU62" s="292"/>
      <c r="QV62" s="292"/>
      <c r="QW62" s="292"/>
      <c r="QX62" s="292"/>
      <c r="QY62" s="292"/>
      <c r="QZ62" s="292"/>
      <c r="RA62" s="292"/>
      <c r="RB62" s="292"/>
      <c r="RC62" s="292"/>
      <c r="RD62" s="292"/>
      <c r="RE62" s="292"/>
      <c r="RF62" s="292"/>
      <c r="RG62" s="292"/>
      <c r="RH62" s="292"/>
      <c r="RI62" s="292"/>
      <c r="RJ62" s="292"/>
      <c r="RK62" s="292"/>
      <c r="RL62" s="292"/>
      <c r="RM62" s="292"/>
      <c r="RN62" s="292"/>
      <c r="RO62" s="292"/>
      <c r="RP62" s="292"/>
      <c r="RQ62" s="292"/>
      <c r="RR62" s="292"/>
      <c r="RS62" s="292"/>
      <c r="RT62" s="292"/>
      <c r="RU62" s="292"/>
      <c r="RV62" s="292"/>
      <c r="RW62" s="292"/>
      <c r="RX62" s="292"/>
      <c r="RY62" s="292"/>
      <c r="RZ62" s="292"/>
      <c r="SA62" s="292"/>
      <c r="SB62" s="292"/>
      <c r="SC62" s="292"/>
      <c r="SD62" s="292"/>
      <c r="SE62" s="292"/>
      <c r="SF62" s="292"/>
      <c r="SG62" s="292"/>
      <c r="SH62" s="292"/>
      <c r="SI62" s="292"/>
      <c r="SJ62" s="292"/>
      <c r="SK62" s="292"/>
      <c r="SL62" s="292"/>
      <c r="SM62" s="292"/>
      <c r="SN62" s="292"/>
      <c r="SO62" s="292"/>
      <c r="SP62" s="292"/>
      <c r="SQ62" s="292"/>
      <c r="SR62" s="292"/>
      <c r="SS62" s="292"/>
      <c r="ST62" s="292"/>
      <c r="SU62" s="292"/>
    </row>
    <row r="63" spans="1:515" s="603" customFormat="1" ht="23.15" customHeight="1" x14ac:dyDescent="0.25">
      <c r="A63" s="1323" t="s">
        <v>368</v>
      </c>
      <c r="B63" s="1324"/>
      <c r="C63" s="1324"/>
      <c r="D63" s="962"/>
      <c r="E63" s="1296">
        <f>G33+G40+G47+G54+G59</f>
        <v>0</v>
      </c>
      <c r="F63" s="1296"/>
      <c r="G63" s="1296"/>
      <c r="H63" s="962"/>
      <c r="I63" s="1296">
        <f>K33+K40+K47+K54+K59</f>
        <v>0</v>
      </c>
      <c r="J63" s="1296"/>
      <c r="K63" s="1296"/>
      <c r="L63" s="962"/>
      <c r="M63" s="1296">
        <f>O33+O40+O47+O54+O59</f>
        <v>0</v>
      </c>
      <c r="N63" s="1296"/>
      <c r="O63" s="1296"/>
      <c r="P63" s="962"/>
      <c r="Q63" s="1296">
        <f>S33+S40+S47+S54+S59</f>
        <v>0</v>
      </c>
      <c r="R63" s="1296"/>
      <c r="S63" s="1296"/>
      <c r="T63" s="962"/>
      <c r="U63" s="1296">
        <f>W33+W40+W47+W54+W59</f>
        <v>0</v>
      </c>
      <c r="V63" s="1296"/>
      <c r="W63" s="1296"/>
      <c r="X63" s="962"/>
      <c r="Y63" s="1296">
        <f>AA33+AA40+AA47+AA54+AA59</f>
        <v>0</v>
      </c>
      <c r="Z63" s="1296"/>
      <c r="AA63" s="1296"/>
      <c r="AB63" s="976"/>
      <c r="AC63" s="1144"/>
      <c r="AD63" s="1176">
        <f>E63+I63+M63+Q63+U63+Y63</f>
        <v>0</v>
      </c>
      <c r="AE63" s="971"/>
      <c r="AF63" s="613"/>
      <c r="AG63" s="613"/>
      <c r="AH63" s="613"/>
      <c r="AI63" s="613"/>
      <c r="AJ63" s="613"/>
      <c r="AK63" s="613"/>
      <c r="AL63" s="613"/>
      <c r="AM63" s="613"/>
      <c r="AN63" s="613"/>
      <c r="AO63" s="613"/>
      <c r="AP63" s="613"/>
      <c r="AQ63" s="613"/>
      <c r="AR63" s="613"/>
      <c r="AS63" s="613"/>
      <c r="AT63" s="613"/>
      <c r="AU63" s="613"/>
      <c r="AV63" s="613"/>
      <c r="AW63" s="613"/>
      <c r="AX63" s="613"/>
      <c r="AY63" s="613"/>
      <c r="AZ63" s="613"/>
      <c r="BA63" s="613"/>
      <c r="BB63" s="613"/>
      <c r="BC63" s="613"/>
      <c r="BD63" s="613"/>
      <c r="BE63" s="613"/>
      <c r="BF63" s="613"/>
      <c r="BG63" s="613"/>
      <c r="BH63" s="613"/>
      <c r="BI63" s="613"/>
      <c r="BJ63" s="613"/>
      <c r="BK63" s="613"/>
      <c r="BL63" s="613"/>
      <c r="BM63" s="613"/>
      <c r="BN63" s="613"/>
      <c r="BO63" s="613"/>
      <c r="BP63" s="613"/>
      <c r="BQ63" s="613"/>
      <c r="BR63" s="613"/>
      <c r="BS63" s="613"/>
      <c r="BT63" s="613"/>
      <c r="BU63" s="613"/>
      <c r="BV63" s="613"/>
      <c r="BW63" s="613"/>
      <c r="BX63" s="613"/>
      <c r="BY63" s="613"/>
      <c r="BZ63" s="613"/>
      <c r="CA63" s="613"/>
      <c r="CB63" s="613"/>
      <c r="CC63" s="613"/>
      <c r="CD63" s="613"/>
      <c r="CE63" s="613"/>
      <c r="CF63" s="613"/>
      <c r="CG63" s="613"/>
      <c r="CH63" s="613"/>
      <c r="CI63" s="613"/>
      <c r="CJ63" s="613"/>
      <c r="CK63" s="613"/>
      <c r="CL63" s="613"/>
      <c r="CM63" s="613"/>
      <c r="CN63" s="613"/>
      <c r="CO63" s="613"/>
      <c r="CP63" s="613"/>
      <c r="CQ63" s="613"/>
      <c r="CR63" s="613"/>
      <c r="CS63" s="613"/>
      <c r="CT63" s="613"/>
      <c r="CU63" s="613"/>
      <c r="CV63" s="613"/>
      <c r="CW63" s="613"/>
      <c r="CX63" s="613"/>
      <c r="CY63" s="613"/>
      <c r="CZ63" s="613"/>
      <c r="DA63" s="613"/>
      <c r="DB63" s="613"/>
      <c r="DC63" s="613"/>
      <c r="DD63" s="613"/>
      <c r="DE63" s="613"/>
      <c r="DF63" s="613"/>
      <c r="DG63" s="613"/>
      <c r="DH63" s="613"/>
      <c r="DI63" s="613"/>
      <c r="DJ63" s="613"/>
      <c r="DK63" s="613"/>
      <c r="DL63" s="613"/>
      <c r="DM63" s="613"/>
      <c r="DN63" s="613"/>
      <c r="DO63" s="613"/>
      <c r="DP63" s="613"/>
      <c r="DQ63" s="613"/>
      <c r="DR63" s="613"/>
      <c r="DS63" s="613"/>
      <c r="DT63" s="613"/>
      <c r="DU63" s="613"/>
      <c r="DV63" s="613"/>
      <c r="DW63" s="613"/>
      <c r="DX63" s="613"/>
      <c r="DY63" s="613"/>
      <c r="DZ63" s="613"/>
      <c r="EA63" s="613"/>
      <c r="EB63" s="613"/>
      <c r="EC63" s="613"/>
      <c r="ED63" s="613"/>
      <c r="EE63" s="613"/>
      <c r="EF63" s="613"/>
      <c r="EG63" s="613"/>
      <c r="EH63" s="613"/>
      <c r="EI63" s="613"/>
      <c r="EJ63" s="613"/>
      <c r="EK63" s="613"/>
      <c r="EL63" s="613"/>
      <c r="EM63" s="613"/>
      <c r="EN63" s="613"/>
      <c r="EO63" s="613"/>
      <c r="EP63" s="613"/>
      <c r="EQ63" s="613"/>
      <c r="ER63" s="613"/>
      <c r="ES63" s="613"/>
      <c r="ET63" s="613"/>
      <c r="EU63" s="613"/>
      <c r="EV63" s="613"/>
      <c r="EW63" s="613"/>
      <c r="EX63" s="613"/>
      <c r="EY63" s="613"/>
      <c r="EZ63" s="613"/>
      <c r="FA63" s="613"/>
      <c r="FB63" s="613"/>
      <c r="FC63" s="613"/>
      <c r="FD63" s="613"/>
      <c r="FE63" s="613"/>
      <c r="FF63" s="613"/>
      <c r="FG63" s="613"/>
      <c r="FH63" s="613"/>
      <c r="FI63" s="613"/>
      <c r="FJ63" s="613"/>
      <c r="FK63" s="613"/>
      <c r="FL63" s="613"/>
      <c r="FM63" s="613"/>
      <c r="FN63" s="613"/>
      <c r="FO63" s="613"/>
      <c r="FP63" s="613"/>
      <c r="FQ63" s="613"/>
      <c r="FR63" s="613"/>
      <c r="FS63" s="613"/>
      <c r="FT63" s="613"/>
      <c r="FU63" s="613"/>
      <c r="FV63" s="613"/>
      <c r="FW63" s="613"/>
      <c r="FX63" s="613"/>
      <c r="FY63" s="613"/>
      <c r="FZ63" s="613"/>
      <c r="GA63" s="613"/>
      <c r="GB63" s="613"/>
      <c r="GC63" s="613"/>
      <c r="GD63" s="613"/>
      <c r="GE63" s="613"/>
      <c r="GF63" s="613"/>
      <c r="GG63" s="613"/>
      <c r="GH63" s="613"/>
      <c r="GI63" s="613"/>
      <c r="GJ63" s="613"/>
      <c r="GK63" s="613"/>
      <c r="GL63" s="613"/>
      <c r="GM63" s="613"/>
      <c r="GN63" s="613"/>
      <c r="GO63" s="613"/>
      <c r="GP63" s="613"/>
      <c r="GQ63" s="613"/>
      <c r="GR63" s="613"/>
      <c r="GS63" s="613"/>
      <c r="GT63" s="613"/>
      <c r="GU63" s="613"/>
      <c r="GV63" s="613"/>
      <c r="GW63" s="613"/>
      <c r="GX63" s="613"/>
      <c r="GY63" s="613"/>
      <c r="GZ63" s="613"/>
      <c r="HA63" s="613"/>
      <c r="HB63" s="613"/>
      <c r="HC63" s="613"/>
      <c r="HD63" s="613"/>
      <c r="HE63" s="613"/>
      <c r="HF63" s="613"/>
      <c r="HG63" s="613"/>
      <c r="HH63" s="613"/>
      <c r="HI63" s="613"/>
      <c r="HJ63" s="613"/>
      <c r="HK63" s="613"/>
      <c r="HL63" s="613"/>
      <c r="HM63" s="613"/>
      <c r="HN63" s="613"/>
      <c r="HO63" s="613"/>
      <c r="HP63" s="613"/>
      <c r="HQ63" s="613"/>
      <c r="HR63" s="613"/>
      <c r="HS63" s="613"/>
      <c r="HT63" s="613"/>
      <c r="HU63" s="613"/>
      <c r="HV63" s="613"/>
      <c r="HW63" s="613"/>
      <c r="HX63" s="613"/>
      <c r="HY63" s="613"/>
      <c r="HZ63" s="613"/>
      <c r="IA63" s="613"/>
      <c r="IB63" s="613"/>
      <c r="IC63" s="613"/>
      <c r="ID63" s="613"/>
      <c r="IE63" s="613"/>
      <c r="IF63" s="613"/>
      <c r="IG63" s="613"/>
      <c r="IH63" s="613"/>
      <c r="II63" s="613"/>
      <c r="IJ63" s="613"/>
      <c r="IK63" s="613"/>
      <c r="IL63" s="613"/>
      <c r="IM63" s="613"/>
      <c r="IN63" s="613"/>
      <c r="IO63" s="613"/>
      <c r="IP63" s="613"/>
      <c r="IQ63" s="613"/>
      <c r="IR63" s="613"/>
      <c r="IS63" s="613"/>
      <c r="IT63" s="613"/>
      <c r="IU63" s="613"/>
      <c r="IV63" s="613"/>
      <c r="IW63" s="613"/>
      <c r="IX63" s="613"/>
      <c r="IY63" s="613"/>
      <c r="IZ63" s="613"/>
      <c r="JA63" s="613"/>
      <c r="JB63" s="613"/>
      <c r="JC63" s="613"/>
      <c r="JD63" s="613"/>
      <c r="JE63" s="613"/>
      <c r="JF63" s="613"/>
      <c r="JG63" s="613"/>
      <c r="JH63" s="613"/>
      <c r="JI63" s="613"/>
      <c r="JJ63" s="613"/>
      <c r="JK63" s="613"/>
      <c r="JL63" s="613"/>
      <c r="JM63" s="613"/>
      <c r="JN63" s="613"/>
      <c r="JO63" s="613"/>
      <c r="JP63" s="613"/>
      <c r="JQ63" s="613"/>
      <c r="JR63" s="613"/>
      <c r="JS63" s="613"/>
      <c r="JT63" s="613"/>
      <c r="JU63" s="613"/>
      <c r="JV63" s="613"/>
      <c r="JW63" s="613"/>
      <c r="JX63" s="613"/>
      <c r="JY63" s="613"/>
      <c r="JZ63" s="613"/>
      <c r="KA63" s="613"/>
      <c r="KB63" s="613"/>
      <c r="KC63" s="613"/>
      <c r="KD63" s="613"/>
      <c r="KE63" s="613"/>
      <c r="KF63" s="613"/>
      <c r="KG63" s="613"/>
      <c r="KH63" s="613"/>
      <c r="KI63" s="613"/>
      <c r="KJ63" s="613"/>
      <c r="KK63" s="613"/>
      <c r="KL63" s="613"/>
      <c r="KM63" s="613"/>
      <c r="KN63" s="613"/>
      <c r="KO63" s="613"/>
      <c r="KP63" s="613"/>
      <c r="KQ63" s="613"/>
      <c r="KR63" s="613"/>
      <c r="KS63" s="613"/>
      <c r="KT63" s="613"/>
      <c r="KU63" s="613"/>
      <c r="KV63" s="613"/>
      <c r="KW63" s="613"/>
      <c r="KX63" s="613"/>
      <c r="KY63" s="613"/>
      <c r="KZ63" s="613"/>
      <c r="LA63" s="613"/>
      <c r="LB63" s="613"/>
      <c r="LC63" s="613"/>
      <c r="LD63" s="613"/>
      <c r="LE63" s="613"/>
      <c r="LF63" s="613"/>
      <c r="LG63" s="613"/>
      <c r="LH63" s="613"/>
      <c r="LI63" s="613"/>
      <c r="LJ63" s="613"/>
      <c r="LK63" s="613"/>
      <c r="LL63" s="613"/>
      <c r="LM63" s="613"/>
      <c r="LN63" s="613"/>
      <c r="LO63" s="613"/>
      <c r="LP63" s="613"/>
      <c r="LQ63" s="613"/>
      <c r="LR63" s="613"/>
      <c r="LS63" s="613"/>
      <c r="LT63" s="613"/>
      <c r="LU63" s="613"/>
      <c r="LV63" s="613"/>
      <c r="LW63" s="613"/>
      <c r="LX63" s="613"/>
      <c r="LY63" s="613"/>
      <c r="LZ63" s="613"/>
      <c r="MA63" s="613"/>
      <c r="MB63" s="613"/>
      <c r="MC63" s="613"/>
      <c r="MD63" s="613"/>
      <c r="ME63" s="613"/>
      <c r="MF63" s="613"/>
      <c r="MG63" s="613"/>
      <c r="MH63" s="613"/>
      <c r="MI63" s="613"/>
      <c r="MJ63" s="613"/>
      <c r="MK63" s="613"/>
      <c r="ML63" s="613"/>
      <c r="MM63" s="613"/>
      <c r="MN63" s="613"/>
      <c r="MO63" s="613"/>
      <c r="MP63" s="613"/>
      <c r="MQ63" s="613"/>
      <c r="MR63" s="613"/>
      <c r="MS63" s="613"/>
      <c r="MT63" s="613"/>
      <c r="MU63" s="613"/>
      <c r="MV63" s="613"/>
      <c r="MW63" s="613"/>
      <c r="MX63" s="613"/>
      <c r="MY63" s="613"/>
      <c r="MZ63" s="613"/>
      <c r="NA63" s="613"/>
      <c r="NB63" s="613"/>
      <c r="NC63" s="613"/>
      <c r="ND63" s="613"/>
      <c r="NE63" s="613"/>
      <c r="NF63" s="613"/>
      <c r="NG63" s="613"/>
      <c r="NH63" s="613"/>
      <c r="NI63" s="613"/>
      <c r="NJ63" s="613"/>
      <c r="NK63" s="613"/>
      <c r="NL63" s="613"/>
      <c r="NM63" s="613"/>
      <c r="NN63" s="613"/>
      <c r="NO63" s="613"/>
      <c r="NP63" s="613"/>
      <c r="NQ63" s="613"/>
      <c r="NR63" s="613"/>
      <c r="NS63" s="613"/>
      <c r="NT63" s="613"/>
      <c r="NU63" s="613"/>
      <c r="NV63" s="613"/>
      <c r="NW63" s="613"/>
      <c r="NX63" s="613"/>
      <c r="NY63" s="613"/>
      <c r="NZ63" s="613"/>
      <c r="OA63" s="613"/>
      <c r="OB63" s="613"/>
      <c r="OC63" s="613"/>
      <c r="OD63" s="613"/>
      <c r="OE63" s="613"/>
      <c r="OF63" s="613"/>
      <c r="OG63" s="613"/>
      <c r="OH63" s="613"/>
      <c r="OI63" s="613"/>
      <c r="OJ63" s="613"/>
      <c r="OK63" s="613"/>
      <c r="OL63" s="613"/>
      <c r="OM63" s="613"/>
      <c r="ON63" s="613"/>
      <c r="OO63" s="613"/>
      <c r="OP63" s="613"/>
      <c r="OQ63" s="613"/>
      <c r="OR63" s="613"/>
      <c r="OS63" s="613"/>
      <c r="OT63" s="613"/>
      <c r="OU63" s="613"/>
      <c r="OV63" s="613"/>
      <c r="OW63" s="613"/>
      <c r="OX63" s="613"/>
      <c r="OY63" s="613"/>
      <c r="OZ63" s="613"/>
      <c r="PA63" s="613"/>
      <c r="PB63" s="613"/>
      <c r="PC63" s="613"/>
      <c r="PD63" s="613"/>
      <c r="PE63" s="613"/>
      <c r="PF63" s="613"/>
      <c r="PG63" s="613"/>
      <c r="PH63" s="613"/>
      <c r="PI63" s="613"/>
      <c r="PJ63" s="613"/>
      <c r="PK63" s="613"/>
      <c r="PL63" s="613"/>
      <c r="PM63" s="613"/>
      <c r="PN63" s="613"/>
      <c r="PO63" s="613"/>
      <c r="PP63" s="613"/>
      <c r="PQ63" s="613"/>
      <c r="PR63" s="613"/>
      <c r="PS63" s="613"/>
      <c r="PT63" s="613"/>
      <c r="PU63" s="613"/>
      <c r="PV63" s="613"/>
      <c r="PW63" s="613"/>
      <c r="PX63" s="613"/>
      <c r="PY63" s="613"/>
      <c r="PZ63" s="613"/>
      <c r="QA63" s="613"/>
      <c r="QB63" s="613"/>
      <c r="QC63" s="613"/>
      <c r="QD63" s="613"/>
      <c r="QE63" s="613"/>
      <c r="QF63" s="613"/>
      <c r="QG63" s="613"/>
      <c r="QH63" s="613"/>
      <c r="QI63" s="613"/>
      <c r="QJ63" s="613"/>
      <c r="QK63" s="613"/>
      <c r="QL63" s="613"/>
      <c r="QM63" s="613"/>
      <c r="QN63" s="613"/>
      <c r="QO63" s="613"/>
      <c r="QP63" s="613"/>
      <c r="QQ63" s="613"/>
      <c r="QR63" s="613"/>
      <c r="QS63" s="613"/>
      <c r="QT63" s="613"/>
      <c r="QU63" s="613"/>
      <c r="QV63" s="613"/>
      <c r="QW63" s="613"/>
      <c r="QX63" s="613"/>
      <c r="QY63" s="613"/>
      <c r="QZ63" s="613"/>
      <c r="RA63" s="613"/>
      <c r="RB63" s="613"/>
      <c r="RC63" s="613"/>
      <c r="RD63" s="613"/>
      <c r="RE63" s="613"/>
      <c r="RF63" s="613"/>
      <c r="RG63" s="613"/>
      <c r="RH63" s="613"/>
      <c r="RI63" s="613"/>
      <c r="RJ63" s="613"/>
      <c r="RK63" s="613"/>
      <c r="RL63" s="613"/>
      <c r="RM63" s="613"/>
      <c r="RN63" s="613"/>
      <c r="RO63" s="613"/>
      <c r="RP63" s="613"/>
      <c r="RQ63" s="613"/>
      <c r="RR63" s="613"/>
      <c r="RS63" s="613"/>
      <c r="RT63" s="613"/>
      <c r="RU63" s="613"/>
      <c r="RV63" s="613"/>
      <c r="RW63" s="613"/>
      <c r="RX63" s="613"/>
      <c r="RY63" s="613"/>
      <c r="RZ63" s="613"/>
      <c r="SA63" s="613"/>
      <c r="SB63" s="613"/>
      <c r="SC63" s="613"/>
      <c r="SD63" s="613"/>
      <c r="SE63" s="613"/>
      <c r="SF63" s="613"/>
      <c r="SG63" s="613"/>
      <c r="SH63" s="613"/>
      <c r="SI63" s="613"/>
      <c r="SJ63" s="613"/>
      <c r="SK63" s="613"/>
      <c r="SL63" s="613"/>
      <c r="SM63" s="613"/>
      <c r="SN63" s="613"/>
      <c r="SO63" s="613"/>
      <c r="SP63" s="613"/>
      <c r="SQ63" s="613"/>
      <c r="SR63" s="613"/>
      <c r="SS63" s="613"/>
      <c r="ST63" s="613"/>
      <c r="SU63" s="613"/>
    </row>
    <row r="64" spans="1:515" s="801" customFormat="1" ht="15" customHeight="1" x14ac:dyDescent="0.25">
      <c r="A64" s="986"/>
      <c r="B64" s="984"/>
      <c r="C64" s="984"/>
      <c r="D64" s="962"/>
      <c r="E64" s="981"/>
      <c r="F64" s="981"/>
      <c r="G64" s="981"/>
      <c r="H64" s="962"/>
      <c r="I64" s="981"/>
      <c r="J64" s="981"/>
      <c r="K64" s="981"/>
      <c r="L64" s="962"/>
      <c r="M64" s="981"/>
      <c r="N64" s="981"/>
      <c r="O64" s="981"/>
      <c r="P64" s="962"/>
      <c r="Q64" s="981"/>
      <c r="R64" s="981"/>
      <c r="S64" s="981"/>
      <c r="T64" s="962"/>
      <c r="U64" s="981"/>
      <c r="V64" s="981"/>
      <c r="W64" s="981"/>
      <c r="X64" s="962"/>
      <c r="Y64" s="981"/>
      <c r="Z64" s="981"/>
      <c r="AA64" s="981"/>
      <c r="AB64" s="976"/>
      <c r="AC64" s="1144"/>
      <c r="AD64" s="981"/>
      <c r="AE64" s="971"/>
      <c r="AF64" s="613"/>
      <c r="AG64" s="613"/>
      <c r="AH64" s="613"/>
      <c r="AI64" s="613"/>
      <c r="AJ64" s="613"/>
      <c r="AK64" s="613"/>
      <c r="AL64" s="613"/>
      <c r="AM64" s="613"/>
      <c r="AN64" s="613"/>
      <c r="AO64" s="613"/>
      <c r="AP64" s="613"/>
      <c r="AQ64" s="613"/>
      <c r="AR64" s="613"/>
      <c r="AS64" s="613"/>
      <c r="AT64" s="613"/>
      <c r="AU64" s="613"/>
      <c r="AV64" s="613"/>
      <c r="AW64" s="613"/>
      <c r="AX64" s="613"/>
      <c r="AY64" s="613"/>
      <c r="AZ64" s="613"/>
      <c r="BA64" s="613"/>
      <c r="BB64" s="613"/>
      <c r="BC64" s="613"/>
      <c r="BD64" s="613"/>
      <c r="BE64" s="613"/>
      <c r="BF64" s="613"/>
      <c r="BG64" s="613"/>
      <c r="BH64" s="613"/>
      <c r="BI64" s="613"/>
      <c r="BJ64" s="613"/>
      <c r="BK64" s="613"/>
      <c r="BL64" s="613"/>
    </row>
    <row r="65" spans="1:515" s="624" customFormat="1" ht="23.15" customHeight="1" x14ac:dyDescent="0.25">
      <c r="A65" s="1347" t="s">
        <v>369</v>
      </c>
      <c r="B65" s="1348"/>
      <c r="C65" s="1348"/>
      <c r="D65" s="957"/>
      <c r="E65" s="1173" t="s">
        <v>15</v>
      </c>
      <c r="F65" s="1173" t="s">
        <v>363</v>
      </c>
      <c r="G65" s="1136" t="s">
        <v>370</v>
      </c>
      <c r="H65" s="957"/>
      <c r="I65" s="1173" t="s">
        <v>15</v>
      </c>
      <c r="J65" s="1173" t="s">
        <v>363</v>
      </c>
      <c r="K65" s="1136" t="s">
        <v>370</v>
      </c>
      <c r="L65" s="957"/>
      <c r="M65" s="1173" t="s">
        <v>15</v>
      </c>
      <c r="N65" s="1173" t="s">
        <v>363</v>
      </c>
      <c r="O65" s="1136" t="s">
        <v>370</v>
      </c>
      <c r="P65" s="957"/>
      <c r="Q65" s="1173" t="s">
        <v>15</v>
      </c>
      <c r="R65" s="1173" t="s">
        <v>363</v>
      </c>
      <c r="S65" s="1136" t="s">
        <v>370</v>
      </c>
      <c r="T65" s="957"/>
      <c r="U65" s="1173" t="s">
        <v>15</v>
      </c>
      <c r="V65" s="1173" t="s">
        <v>363</v>
      </c>
      <c r="W65" s="1136" t="s">
        <v>370</v>
      </c>
      <c r="X65" s="957"/>
      <c r="Y65" s="1173" t="s">
        <v>15</v>
      </c>
      <c r="Z65" s="1173" t="s">
        <v>363</v>
      </c>
      <c r="AA65" s="1136" t="s">
        <v>370</v>
      </c>
      <c r="AB65" s="957"/>
      <c r="AC65" s="957"/>
      <c r="AD65" s="1136" t="s">
        <v>370</v>
      </c>
      <c r="AE65" s="971"/>
      <c r="AF65" s="292"/>
      <c r="AG65" s="292"/>
      <c r="AH65" s="292"/>
      <c r="AI65" s="292"/>
      <c r="AJ65" s="292"/>
      <c r="AK65" s="292"/>
      <c r="AL65" s="292"/>
      <c r="AM65" s="292"/>
      <c r="AN65" s="292"/>
      <c r="AO65" s="292"/>
      <c r="AP65" s="292"/>
      <c r="AQ65" s="292"/>
      <c r="AR65" s="292"/>
      <c r="AS65" s="292"/>
      <c r="AT65" s="292"/>
      <c r="AU65" s="292"/>
      <c r="AV65" s="292"/>
      <c r="AW65" s="292"/>
      <c r="AX65" s="292"/>
      <c r="AY65" s="292"/>
      <c r="AZ65" s="292"/>
      <c r="BA65" s="292"/>
      <c r="BB65" s="292"/>
      <c r="BC65" s="292"/>
      <c r="BD65" s="292"/>
      <c r="BE65" s="292"/>
      <c r="BF65" s="292"/>
      <c r="BG65" s="292"/>
      <c r="BH65" s="292"/>
      <c r="BI65" s="292"/>
      <c r="BJ65" s="292"/>
      <c r="BK65" s="292"/>
      <c r="BL65" s="292"/>
      <c r="BM65" s="292"/>
      <c r="BN65" s="292"/>
      <c r="BO65" s="292"/>
      <c r="BP65" s="292"/>
      <c r="BQ65" s="292"/>
      <c r="BR65" s="292"/>
      <c r="BS65" s="292"/>
      <c r="BT65" s="292"/>
      <c r="BU65" s="292"/>
      <c r="BV65" s="292"/>
      <c r="BW65" s="292"/>
      <c r="BX65" s="292"/>
      <c r="BY65" s="292"/>
      <c r="BZ65" s="292"/>
      <c r="CA65" s="292"/>
      <c r="CB65" s="292"/>
      <c r="CC65" s="292"/>
      <c r="CD65" s="292"/>
      <c r="CE65" s="292"/>
      <c r="CF65" s="292"/>
      <c r="CG65" s="292"/>
      <c r="CH65" s="292"/>
      <c r="CI65" s="292"/>
      <c r="CJ65" s="292"/>
      <c r="CK65" s="292"/>
      <c r="CL65" s="292"/>
      <c r="CM65" s="292"/>
      <c r="CN65" s="292"/>
      <c r="CO65" s="292"/>
      <c r="CP65" s="292"/>
      <c r="CQ65" s="292"/>
      <c r="CR65" s="292"/>
      <c r="CS65" s="292"/>
      <c r="CT65" s="292"/>
      <c r="CU65" s="292"/>
      <c r="CV65" s="292"/>
      <c r="CW65" s="292"/>
      <c r="CX65" s="292"/>
      <c r="CY65" s="292"/>
      <c r="CZ65" s="292"/>
      <c r="DA65" s="292"/>
      <c r="DB65" s="292"/>
      <c r="DC65" s="292"/>
      <c r="DD65" s="292"/>
      <c r="DE65" s="292"/>
      <c r="DF65" s="292"/>
      <c r="DG65" s="292"/>
      <c r="DH65" s="292"/>
      <c r="DI65" s="292"/>
      <c r="DJ65" s="292"/>
      <c r="DK65" s="292"/>
      <c r="DL65" s="292"/>
      <c r="DM65" s="292"/>
      <c r="DN65" s="292"/>
      <c r="DO65" s="292"/>
      <c r="DP65" s="292"/>
      <c r="DQ65" s="292"/>
      <c r="DR65" s="292"/>
      <c r="DS65" s="292"/>
      <c r="DT65" s="292"/>
      <c r="DU65" s="292"/>
      <c r="DV65" s="292"/>
      <c r="DW65" s="292"/>
      <c r="DX65" s="292"/>
      <c r="DY65" s="292"/>
      <c r="DZ65" s="292"/>
      <c r="EA65" s="292"/>
      <c r="EB65" s="292"/>
      <c r="EC65" s="292"/>
      <c r="ED65" s="292"/>
      <c r="EE65" s="292"/>
      <c r="EF65" s="292"/>
      <c r="EG65" s="292"/>
      <c r="EH65" s="292"/>
      <c r="EI65" s="292"/>
      <c r="EJ65" s="292"/>
      <c r="EK65" s="292"/>
      <c r="EL65" s="292"/>
      <c r="EM65" s="292"/>
      <c r="EN65" s="292"/>
      <c r="EO65" s="292"/>
      <c r="EP65" s="292"/>
      <c r="EQ65" s="292"/>
      <c r="ER65" s="292"/>
      <c r="ES65" s="292"/>
      <c r="ET65" s="292"/>
      <c r="EU65" s="292"/>
      <c r="EV65" s="292"/>
      <c r="EW65" s="292"/>
      <c r="EX65" s="292"/>
      <c r="EY65" s="292"/>
      <c r="EZ65" s="292"/>
      <c r="FA65" s="292"/>
      <c r="FB65" s="292"/>
      <c r="FC65" s="292"/>
      <c r="FD65" s="292"/>
      <c r="FE65" s="292"/>
      <c r="FF65" s="292"/>
      <c r="FG65" s="292"/>
      <c r="FH65" s="292"/>
      <c r="FI65" s="292"/>
      <c r="FJ65" s="292"/>
      <c r="FK65" s="292"/>
      <c r="FL65" s="292"/>
      <c r="FM65" s="292"/>
      <c r="FN65" s="292"/>
      <c r="FO65" s="292"/>
      <c r="FP65" s="292"/>
      <c r="FQ65" s="292"/>
      <c r="FR65" s="292"/>
      <c r="FS65" s="292"/>
      <c r="FT65" s="292"/>
      <c r="FU65" s="292"/>
      <c r="FV65" s="292"/>
      <c r="FW65" s="292"/>
      <c r="FX65" s="292"/>
      <c r="FY65" s="292"/>
      <c r="FZ65" s="292"/>
      <c r="GA65" s="292"/>
      <c r="GB65" s="292"/>
      <c r="GC65" s="292"/>
      <c r="GD65" s="292"/>
      <c r="GE65" s="292"/>
      <c r="GF65" s="292"/>
      <c r="GG65" s="292"/>
      <c r="GH65" s="292"/>
      <c r="GI65" s="292"/>
      <c r="GJ65" s="292"/>
      <c r="GK65" s="292"/>
      <c r="GL65" s="292"/>
      <c r="GM65" s="292"/>
      <c r="GN65" s="292"/>
      <c r="GO65" s="292"/>
      <c r="GP65" s="292"/>
      <c r="GQ65" s="292"/>
      <c r="GR65" s="292"/>
      <c r="GS65" s="292"/>
      <c r="GT65" s="292"/>
      <c r="GU65" s="292"/>
      <c r="GV65" s="292"/>
      <c r="GW65" s="292"/>
      <c r="GX65" s="292"/>
      <c r="GY65" s="292"/>
      <c r="GZ65" s="292"/>
      <c r="HA65" s="292"/>
      <c r="HB65" s="292"/>
      <c r="HC65" s="292"/>
      <c r="HD65" s="292"/>
      <c r="HE65" s="292"/>
      <c r="HF65" s="292"/>
      <c r="HG65" s="292"/>
      <c r="HH65" s="292"/>
      <c r="HI65" s="292"/>
      <c r="HJ65" s="292"/>
      <c r="HK65" s="292"/>
      <c r="HL65" s="292"/>
      <c r="HM65" s="292"/>
      <c r="HN65" s="292"/>
      <c r="HO65" s="292"/>
      <c r="HP65" s="292"/>
      <c r="HQ65" s="292"/>
      <c r="HR65" s="292"/>
      <c r="HS65" s="292"/>
      <c r="HT65" s="292"/>
      <c r="HU65" s="292"/>
      <c r="HV65" s="292"/>
      <c r="HW65" s="292"/>
      <c r="HX65" s="292"/>
      <c r="HY65" s="292"/>
      <c r="HZ65" s="292"/>
      <c r="IA65" s="292"/>
      <c r="IB65" s="292"/>
      <c r="IC65" s="292"/>
      <c r="ID65" s="292"/>
      <c r="IE65" s="292"/>
      <c r="IF65" s="292"/>
      <c r="IG65" s="292"/>
      <c r="IH65" s="292"/>
      <c r="II65" s="292"/>
      <c r="IJ65" s="292"/>
      <c r="IK65" s="292"/>
      <c r="IL65" s="292"/>
      <c r="IM65" s="292"/>
      <c r="IN65" s="292"/>
      <c r="IO65" s="292"/>
      <c r="IP65" s="292"/>
      <c r="IQ65" s="292"/>
      <c r="IR65" s="292"/>
      <c r="IS65" s="292"/>
      <c r="IT65" s="292"/>
      <c r="IU65" s="292"/>
      <c r="IV65" s="292"/>
      <c r="IW65" s="292"/>
      <c r="IX65" s="292"/>
      <c r="IY65" s="292"/>
      <c r="IZ65" s="292"/>
      <c r="JA65" s="292"/>
      <c r="JB65" s="292"/>
      <c r="JC65" s="292"/>
      <c r="JD65" s="292"/>
      <c r="JE65" s="292"/>
      <c r="JF65" s="292"/>
      <c r="JG65" s="292"/>
      <c r="JH65" s="292"/>
      <c r="JI65" s="292"/>
      <c r="JJ65" s="292"/>
      <c r="JK65" s="292"/>
      <c r="JL65" s="292"/>
      <c r="JM65" s="292"/>
      <c r="JN65" s="292"/>
      <c r="JO65" s="292"/>
      <c r="JP65" s="292"/>
      <c r="JQ65" s="292"/>
      <c r="JR65" s="292"/>
      <c r="JS65" s="292"/>
      <c r="JT65" s="292"/>
      <c r="JU65" s="292"/>
      <c r="JV65" s="292"/>
      <c r="JW65" s="292"/>
      <c r="JX65" s="292"/>
      <c r="JY65" s="292"/>
      <c r="JZ65" s="292"/>
      <c r="KA65" s="292"/>
      <c r="KB65" s="292"/>
      <c r="KC65" s="292"/>
      <c r="KD65" s="292"/>
      <c r="KE65" s="292"/>
      <c r="KF65" s="292"/>
      <c r="KG65" s="292"/>
      <c r="KH65" s="292"/>
      <c r="KI65" s="292"/>
      <c r="KJ65" s="292"/>
      <c r="KK65" s="292"/>
      <c r="KL65" s="292"/>
      <c r="KM65" s="292"/>
      <c r="KN65" s="292"/>
      <c r="KO65" s="292"/>
      <c r="KP65" s="292"/>
      <c r="KQ65" s="292"/>
      <c r="KR65" s="292"/>
      <c r="KS65" s="292"/>
      <c r="KT65" s="292"/>
      <c r="KU65" s="292"/>
      <c r="KV65" s="292"/>
      <c r="KW65" s="292"/>
      <c r="KX65" s="292"/>
      <c r="KY65" s="292"/>
      <c r="KZ65" s="292"/>
      <c r="LA65" s="292"/>
      <c r="LB65" s="292"/>
      <c r="LC65" s="292"/>
      <c r="LD65" s="292"/>
      <c r="LE65" s="292"/>
      <c r="LF65" s="292"/>
      <c r="LG65" s="292"/>
      <c r="LH65" s="292"/>
      <c r="LI65" s="292"/>
      <c r="LJ65" s="292"/>
      <c r="LK65" s="292"/>
      <c r="LL65" s="292"/>
      <c r="LM65" s="292"/>
      <c r="LN65" s="292"/>
      <c r="LO65" s="292"/>
      <c r="LP65" s="292"/>
      <c r="LQ65" s="292"/>
      <c r="LR65" s="292"/>
      <c r="LS65" s="292"/>
      <c r="LT65" s="292"/>
      <c r="LU65" s="292"/>
      <c r="LV65" s="292"/>
      <c r="LW65" s="292"/>
      <c r="LX65" s="292"/>
      <c r="LY65" s="292"/>
      <c r="LZ65" s="292"/>
      <c r="MA65" s="292"/>
      <c r="MB65" s="292"/>
      <c r="MC65" s="292"/>
      <c r="MD65" s="292"/>
      <c r="ME65" s="292"/>
      <c r="MF65" s="292"/>
      <c r="MG65" s="292"/>
      <c r="MH65" s="292"/>
      <c r="MI65" s="292"/>
      <c r="MJ65" s="292"/>
      <c r="MK65" s="292"/>
      <c r="ML65" s="292"/>
      <c r="MM65" s="292"/>
      <c r="MN65" s="292"/>
      <c r="MO65" s="292"/>
      <c r="MP65" s="292"/>
      <c r="MQ65" s="292"/>
      <c r="MR65" s="292"/>
      <c r="MS65" s="292"/>
      <c r="MT65" s="292"/>
      <c r="MU65" s="292"/>
      <c r="MV65" s="292"/>
      <c r="MW65" s="292"/>
      <c r="MX65" s="292"/>
      <c r="MY65" s="292"/>
      <c r="MZ65" s="292"/>
      <c r="NA65" s="292"/>
      <c r="NB65" s="292"/>
      <c r="NC65" s="292"/>
      <c r="ND65" s="292"/>
      <c r="NE65" s="292"/>
      <c r="NF65" s="292"/>
      <c r="NG65" s="292"/>
      <c r="NH65" s="292"/>
      <c r="NI65" s="292"/>
      <c r="NJ65" s="292"/>
      <c r="NK65" s="292"/>
      <c r="NL65" s="292"/>
      <c r="NM65" s="292"/>
      <c r="NN65" s="292"/>
      <c r="NO65" s="292"/>
      <c r="NP65" s="292"/>
      <c r="NQ65" s="292"/>
      <c r="NR65" s="292"/>
      <c r="NS65" s="292"/>
      <c r="NT65" s="292"/>
      <c r="NU65" s="292"/>
      <c r="NV65" s="292"/>
      <c r="NW65" s="292"/>
      <c r="NX65" s="292"/>
      <c r="NY65" s="292"/>
      <c r="NZ65" s="292"/>
      <c r="OA65" s="292"/>
      <c r="OB65" s="292"/>
      <c r="OC65" s="292"/>
      <c r="OD65" s="292"/>
      <c r="OE65" s="292"/>
      <c r="OF65" s="292"/>
      <c r="OG65" s="292"/>
      <c r="OH65" s="292"/>
      <c r="OI65" s="292"/>
      <c r="OJ65" s="292"/>
      <c r="OK65" s="292"/>
      <c r="OL65" s="292"/>
      <c r="OM65" s="292"/>
      <c r="ON65" s="292"/>
      <c r="OO65" s="292"/>
      <c r="OP65" s="292"/>
      <c r="OQ65" s="292"/>
      <c r="OR65" s="292"/>
      <c r="OS65" s="292"/>
      <c r="OT65" s="292"/>
      <c r="OU65" s="292"/>
      <c r="OV65" s="292"/>
      <c r="OW65" s="292"/>
      <c r="OX65" s="292"/>
      <c r="OY65" s="292"/>
      <c r="OZ65" s="292"/>
      <c r="PA65" s="292"/>
      <c r="PB65" s="292"/>
      <c r="PC65" s="292"/>
      <c r="PD65" s="292"/>
      <c r="PE65" s="292"/>
      <c r="PF65" s="292"/>
      <c r="PG65" s="292"/>
      <c r="PH65" s="292"/>
      <c r="PI65" s="292"/>
      <c r="PJ65" s="292"/>
      <c r="PK65" s="292"/>
      <c r="PL65" s="292"/>
      <c r="PM65" s="292"/>
      <c r="PN65" s="292"/>
      <c r="PO65" s="292"/>
      <c r="PP65" s="292"/>
      <c r="PQ65" s="292"/>
      <c r="PR65" s="292"/>
      <c r="PS65" s="292"/>
      <c r="PT65" s="292"/>
      <c r="PU65" s="292"/>
      <c r="PV65" s="292"/>
      <c r="PW65" s="292"/>
      <c r="PX65" s="292"/>
      <c r="PY65" s="292"/>
      <c r="PZ65" s="292"/>
      <c r="QA65" s="292"/>
      <c r="QB65" s="292"/>
      <c r="QC65" s="292"/>
      <c r="QD65" s="292"/>
      <c r="QE65" s="292"/>
      <c r="QF65" s="292"/>
      <c r="QG65" s="292"/>
      <c r="QH65" s="292"/>
      <c r="QI65" s="292"/>
      <c r="QJ65" s="292"/>
      <c r="QK65" s="292"/>
      <c r="QL65" s="292"/>
      <c r="QM65" s="292"/>
      <c r="QN65" s="292"/>
      <c r="QO65" s="292"/>
      <c r="QP65" s="292"/>
      <c r="QQ65" s="292"/>
      <c r="QR65" s="292"/>
      <c r="QS65" s="292"/>
      <c r="QT65" s="292"/>
      <c r="QU65" s="292"/>
      <c r="QV65" s="292"/>
      <c r="QW65" s="292"/>
      <c r="QX65" s="292"/>
      <c r="QY65" s="292"/>
      <c r="QZ65" s="292"/>
      <c r="RA65" s="292"/>
      <c r="RB65" s="292"/>
      <c r="RC65" s="292"/>
      <c r="RD65" s="292"/>
      <c r="RE65" s="292"/>
      <c r="RF65" s="292"/>
      <c r="RG65" s="292"/>
      <c r="RH65" s="292"/>
      <c r="RI65" s="292"/>
      <c r="RJ65" s="292"/>
      <c r="RK65" s="292"/>
      <c r="RL65" s="292"/>
      <c r="RM65" s="292"/>
      <c r="RN65" s="292"/>
      <c r="RO65" s="292"/>
      <c r="RP65" s="292"/>
      <c r="RQ65" s="292"/>
      <c r="RR65" s="292"/>
      <c r="RS65" s="292"/>
      <c r="RT65" s="292"/>
      <c r="RU65" s="292"/>
      <c r="RV65" s="292"/>
      <c r="RW65" s="292"/>
      <c r="RX65" s="292"/>
      <c r="RY65" s="292"/>
      <c r="RZ65" s="292"/>
      <c r="SA65" s="292"/>
      <c r="SB65" s="292"/>
      <c r="SC65" s="292"/>
      <c r="SD65" s="292"/>
      <c r="SE65" s="292"/>
      <c r="SF65" s="292"/>
      <c r="SG65" s="292"/>
      <c r="SH65" s="292"/>
      <c r="SI65" s="292"/>
      <c r="SJ65" s="292"/>
      <c r="SK65" s="292"/>
      <c r="SL65" s="292"/>
      <c r="SM65" s="292"/>
      <c r="SN65" s="292"/>
      <c r="SO65" s="292"/>
      <c r="SP65" s="292"/>
      <c r="SQ65" s="292"/>
      <c r="SR65" s="292"/>
      <c r="SS65" s="292"/>
      <c r="ST65" s="292"/>
      <c r="SU65" s="292"/>
    </row>
    <row r="66" spans="1:515" ht="15" customHeight="1" x14ac:dyDescent="0.25">
      <c r="A66" s="1327" t="str">
        <f>IF(LaborCollection="Academia","F&amp;A","G&amp;A")</f>
        <v>G&amp;A</v>
      </c>
      <c r="B66" s="1328"/>
      <c r="C66" s="1368" t="s">
        <v>371</v>
      </c>
      <c r="D66" s="957" t="s">
        <v>358</v>
      </c>
      <c r="E66" s="622">
        <f>G33</f>
        <v>0</v>
      </c>
      <c r="F66" s="626">
        <v>0</v>
      </c>
      <c r="G66" s="999">
        <f>E66*F66</f>
        <v>0</v>
      </c>
      <c r="H66" s="957"/>
      <c r="I66" s="622">
        <f>K33</f>
        <v>0</v>
      </c>
      <c r="J66" s="626">
        <v>0</v>
      </c>
      <c r="K66" s="999">
        <f>I66*J66</f>
        <v>0</v>
      </c>
      <c r="L66" s="957"/>
      <c r="M66" s="622">
        <f>O33</f>
        <v>0</v>
      </c>
      <c r="N66" s="626">
        <v>0</v>
      </c>
      <c r="O66" s="999">
        <f>M66*N66</f>
        <v>0</v>
      </c>
      <c r="P66" s="957"/>
      <c r="Q66" s="622">
        <f>S33</f>
        <v>0</v>
      </c>
      <c r="R66" s="626">
        <v>0</v>
      </c>
      <c r="S66" s="999">
        <f>Q66*R66</f>
        <v>0</v>
      </c>
      <c r="T66" s="957"/>
      <c r="U66" s="622">
        <f>W33</f>
        <v>0</v>
      </c>
      <c r="V66" s="626">
        <v>0</v>
      </c>
      <c r="W66" s="999">
        <f>U66*V66</f>
        <v>0</v>
      </c>
      <c r="X66" s="957"/>
      <c r="Y66" s="622">
        <f>AA33</f>
        <v>0</v>
      </c>
      <c r="Z66" s="626">
        <v>0</v>
      </c>
      <c r="AA66" s="999">
        <f>Y66*Z66</f>
        <v>0</v>
      </c>
      <c r="AB66" s="975"/>
      <c r="AC66" s="957"/>
      <c r="AD66" s="999">
        <f>G66+K66+O66+S66+W66+AA66</f>
        <v>0</v>
      </c>
      <c r="AE66" s="971"/>
    </row>
    <row r="67" spans="1:515" ht="15" customHeight="1" x14ac:dyDescent="0.25">
      <c r="A67" s="1329" t="s">
        <v>372</v>
      </c>
      <c r="B67" s="1330"/>
      <c r="C67" s="1370"/>
      <c r="D67" s="957"/>
      <c r="E67" s="622">
        <v>0</v>
      </c>
      <c r="F67" s="626">
        <v>0</v>
      </c>
      <c r="G67" s="999">
        <f>E67*F67</f>
        <v>0</v>
      </c>
      <c r="H67" s="957"/>
      <c r="I67" s="622">
        <v>0</v>
      </c>
      <c r="J67" s="626">
        <v>0</v>
      </c>
      <c r="K67" s="999">
        <f>I67*J67</f>
        <v>0</v>
      </c>
      <c r="L67" s="957"/>
      <c r="M67" s="622">
        <v>0</v>
      </c>
      <c r="N67" s="626">
        <v>0</v>
      </c>
      <c r="O67" s="999">
        <f>M67*N67</f>
        <v>0</v>
      </c>
      <c r="P67" s="957"/>
      <c r="Q67" s="622">
        <v>0</v>
      </c>
      <c r="R67" s="626">
        <v>0</v>
      </c>
      <c r="S67" s="999">
        <f>Q67*R67</f>
        <v>0</v>
      </c>
      <c r="T67" s="957"/>
      <c r="U67" s="622">
        <v>0</v>
      </c>
      <c r="V67" s="626">
        <v>0</v>
      </c>
      <c r="W67" s="999">
        <f>U67*V67</f>
        <v>0</v>
      </c>
      <c r="X67" s="957"/>
      <c r="Y67" s="622">
        <v>0</v>
      </c>
      <c r="Z67" s="626">
        <v>0</v>
      </c>
      <c r="AA67" s="999">
        <f>Y67*Z67</f>
        <v>0</v>
      </c>
      <c r="AB67" s="975"/>
      <c r="AC67" s="957"/>
      <c r="AD67" s="999">
        <f>G67+K67+O67+S67+W67+AA67</f>
        <v>0</v>
      </c>
      <c r="AE67" s="971"/>
    </row>
    <row r="68" spans="1:515" s="624" customFormat="1" ht="23.15" customHeight="1" x14ac:dyDescent="0.25">
      <c r="A68" s="1319" t="s">
        <v>373</v>
      </c>
      <c r="B68" s="1320"/>
      <c r="C68" s="1320"/>
      <c r="D68" s="957"/>
      <c r="E68" s="960"/>
      <c r="F68" s="989"/>
      <c r="G68" s="792">
        <f>SUM(G65:G67)</f>
        <v>0</v>
      </c>
      <c r="H68" s="957"/>
      <c r="I68" s="990"/>
      <c r="J68" s="991"/>
      <c r="K68" s="792">
        <f>SUM(K66:K67)</f>
        <v>0</v>
      </c>
      <c r="L68" s="957"/>
      <c r="M68" s="990"/>
      <c r="N68" s="991"/>
      <c r="O68" s="792">
        <f>SUM(O66:O67)</f>
        <v>0</v>
      </c>
      <c r="P68" s="957"/>
      <c r="Q68" s="957"/>
      <c r="R68" s="957"/>
      <c r="S68" s="792">
        <f>SUM(S66:S67)</f>
        <v>0</v>
      </c>
      <c r="T68" s="957"/>
      <c r="U68" s="1295"/>
      <c r="V68" s="1295"/>
      <c r="W68" s="792">
        <f>SUM(W66:W67)</f>
        <v>0</v>
      </c>
      <c r="X68" s="957"/>
      <c r="Y68" s="1297"/>
      <c r="Z68" s="1298"/>
      <c r="AA68" s="792">
        <f>SUM(AA66:AA67)</f>
        <v>0</v>
      </c>
      <c r="AB68" s="976"/>
      <c r="AC68" s="957"/>
      <c r="AD68" s="787">
        <f>G68+K68+O68+S68+W68+AA68</f>
        <v>0</v>
      </c>
      <c r="AE68" s="971"/>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292"/>
      <c r="BH68" s="292"/>
      <c r="BI68" s="292"/>
      <c r="BJ68" s="292"/>
      <c r="BK68" s="292"/>
      <c r="BL68" s="292"/>
      <c r="BM68" s="292"/>
      <c r="BN68" s="292"/>
      <c r="BO68" s="292"/>
      <c r="BP68" s="292"/>
      <c r="BQ68" s="292"/>
      <c r="BR68" s="292"/>
      <c r="BS68" s="292"/>
      <c r="BT68" s="292"/>
      <c r="BU68" s="292"/>
      <c r="BV68" s="292"/>
      <c r="BW68" s="292"/>
      <c r="BX68" s="292"/>
      <c r="BY68" s="292"/>
      <c r="BZ68" s="292"/>
      <c r="CA68" s="292"/>
      <c r="CB68" s="292"/>
      <c r="CC68" s="292"/>
      <c r="CD68" s="292"/>
      <c r="CE68" s="292"/>
      <c r="CF68" s="292"/>
      <c r="CG68" s="292"/>
      <c r="CH68" s="292"/>
      <c r="CI68" s="292"/>
      <c r="CJ68" s="292"/>
      <c r="CK68" s="292"/>
      <c r="CL68" s="292"/>
      <c r="CM68" s="292"/>
      <c r="CN68" s="292"/>
      <c r="CO68" s="292"/>
      <c r="CP68" s="292"/>
      <c r="CQ68" s="292"/>
      <c r="CR68" s="292"/>
      <c r="CS68" s="292"/>
      <c r="CT68" s="292"/>
      <c r="CU68" s="292"/>
      <c r="CV68" s="292"/>
      <c r="CW68" s="292"/>
      <c r="CX68" s="292"/>
      <c r="CY68" s="292"/>
      <c r="CZ68" s="292"/>
      <c r="DA68" s="292"/>
      <c r="DB68" s="292"/>
      <c r="DC68" s="292"/>
      <c r="DD68" s="292"/>
      <c r="DE68" s="292"/>
      <c r="DF68" s="292"/>
      <c r="DG68" s="292"/>
      <c r="DH68" s="292"/>
      <c r="DI68" s="292"/>
      <c r="DJ68" s="292"/>
      <c r="DK68" s="292"/>
      <c r="DL68" s="292"/>
      <c r="DM68" s="292"/>
      <c r="DN68" s="292"/>
      <c r="DO68" s="292"/>
      <c r="DP68" s="292"/>
      <c r="DQ68" s="292"/>
      <c r="DR68" s="292"/>
      <c r="DS68" s="292"/>
      <c r="DT68" s="292"/>
      <c r="DU68" s="292"/>
      <c r="DV68" s="292"/>
      <c r="DW68" s="292"/>
      <c r="DX68" s="292"/>
      <c r="DY68" s="292"/>
      <c r="DZ68" s="292"/>
      <c r="EA68" s="292"/>
      <c r="EB68" s="292"/>
      <c r="EC68" s="292"/>
      <c r="ED68" s="292"/>
      <c r="EE68" s="292"/>
      <c r="EF68" s="292"/>
      <c r="EG68" s="292"/>
      <c r="EH68" s="292"/>
      <c r="EI68" s="292"/>
      <c r="EJ68" s="292"/>
      <c r="EK68" s="292"/>
      <c r="EL68" s="292"/>
      <c r="EM68" s="292"/>
      <c r="EN68" s="292"/>
      <c r="EO68" s="292"/>
      <c r="EP68" s="292"/>
      <c r="EQ68" s="292"/>
      <c r="ER68" s="292"/>
      <c r="ES68" s="292"/>
      <c r="ET68" s="292"/>
      <c r="EU68" s="292"/>
      <c r="EV68" s="292"/>
      <c r="EW68" s="292"/>
      <c r="EX68" s="292"/>
      <c r="EY68" s="292"/>
      <c r="EZ68" s="292"/>
      <c r="FA68" s="292"/>
      <c r="FB68" s="292"/>
      <c r="FC68" s="292"/>
      <c r="FD68" s="292"/>
      <c r="FE68" s="292"/>
      <c r="FF68" s="292"/>
      <c r="FG68" s="292"/>
      <c r="FH68" s="292"/>
      <c r="FI68" s="292"/>
      <c r="FJ68" s="292"/>
      <c r="FK68" s="292"/>
      <c r="FL68" s="292"/>
      <c r="FM68" s="292"/>
      <c r="FN68" s="292"/>
      <c r="FO68" s="292"/>
      <c r="FP68" s="292"/>
      <c r="FQ68" s="292"/>
      <c r="FR68" s="292"/>
      <c r="FS68" s="292"/>
      <c r="FT68" s="292"/>
      <c r="FU68" s="292"/>
      <c r="FV68" s="292"/>
      <c r="FW68" s="292"/>
      <c r="FX68" s="292"/>
      <c r="FY68" s="292"/>
      <c r="FZ68" s="292"/>
      <c r="GA68" s="292"/>
      <c r="GB68" s="292"/>
      <c r="GC68" s="292"/>
      <c r="GD68" s="292"/>
      <c r="GE68" s="292"/>
      <c r="GF68" s="292"/>
      <c r="GG68" s="292"/>
      <c r="GH68" s="292"/>
      <c r="GI68" s="292"/>
      <c r="GJ68" s="292"/>
      <c r="GK68" s="292"/>
      <c r="GL68" s="292"/>
      <c r="GM68" s="292"/>
      <c r="GN68" s="292"/>
      <c r="GO68" s="292"/>
      <c r="GP68" s="292"/>
      <c r="GQ68" s="292"/>
      <c r="GR68" s="292"/>
      <c r="GS68" s="292"/>
      <c r="GT68" s="292"/>
      <c r="GU68" s="292"/>
      <c r="GV68" s="292"/>
      <c r="GW68" s="292"/>
      <c r="GX68" s="292"/>
      <c r="GY68" s="292"/>
      <c r="GZ68" s="292"/>
      <c r="HA68" s="292"/>
      <c r="HB68" s="292"/>
      <c r="HC68" s="292"/>
      <c r="HD68" s="292"/>
      <c r="HE68" s="292"/>
      <c r="HF68" s="292"/>
      <c r="HG68" s="292"/>
      <c r="HH68" s="292"/>
      <c r="HI68" s="292"/>
      <c r="HJ68" s="292"/>
      <c r="HK68" s="292"/>
      <c r="HL68" s="292"/>
      <c r="HM68" s="292"/>
      <c r="HN68" s="292"/>
      <c r="HO68" s="292"/>
      <c r="HP68" s="292"/>
      <c r="HQ68" s="292"/>
      <c r="HR68" s="292"/>
      <c r="HS68" s="292"/>
      <c r="HT68" s="292"/>
      <c r="HU68" s="292"/>
      <c r="HV68" s="292"/>
      <c r="HW68" s="292"/>
      <c r="HX68" s="292"/>
      <c r="HY68" s="292"/>
      <c r="HZ68" s="292"/>
      <c r="IA68" s="292"/>
      <c r="IB68" s="292"/>
      <c r="IC68" s="292"/>
      <c r="ID68" s="292"/>
      <c r="IE68" s="292"/>
      <c r="IF68" s="292"/>
      <c r="IG68" s="292"/>
      <c r="IH68" s="292"/>
      <c r="II68" s="292"/>
      <c r="IJ68" s="292"/>
      <c r="IK68" s="292"/>
      <c r="IL68" s="292"/>
      <c r="IM68" s="292"/>
      <c r="IN68" s="292"/>
      <c r="IO68" s="292"/>
      <c r="IP68" s="292"/>
      <c r="IQ68" s="292"/>
      <c r="IR68" s="292"/>
      <c r="IS68" s="292"/>
      <c r="IT68" s="292"/>
      <c r="IU68" s="292"/>
      <c r="IV68" s="292"/>
      <c r="IW68" s="292"/>
      <c r="IX68" s="292"/>
      <c r="IY68" s="292"/>
      <c r="IZ68" s="292"/>
      <c r="JA68" s="292"/>
      <c r="JB68" s="292"/>
      <c r="JC68" s="292"/>
      <c r="JD68" s="292"/>
      <c r="JE68" s="292"/>
      <c r="JF68" s="292"/>
      <c r="JG68" s="292"/>
      <c r="JH68" s="292"/>
      <c r="JI68" s="292"/>
      <c r="JJ68" s="292"/>
      <c r="JK68" s="292"/>
      <c r="JL68" s="292"/>
      <c r="JM68" s="292"/>
      <c r="JN68" s="292"/>
      <c r="JO68" s="292"/>
      <c r="JP68" s="292"/>
      <c r="JQ68" s="292"/>
      <c r="JR68" s="292"/>
      <c r="JS68" s="292"/>
      <c r="JT68" s="292"/>
      <c r="JU68" s="292"/>
      <c r="JV68" s="292"/>
      <c r="JW68" s="292"/>
      <c r="JX68" s="292"/>
      <c r="JY68" s="292"/>
      <c r="JZ68" s="292"/>
      <c r="KA68" s="292"/>
      <c r="KB68" s="292"/>
      <c r="KC68" s="292"/>
      <c r="KD68" s="292"/>
      <c r="KE68" s="292"/>
      <c r="KF68" s="292"/>
      <c r="KG68" s="292"/>
      <c r="KH68" s="292"/>
      <c r="KI68" s="292"/>
      <c r="KJ68" s="292"/>
      <c r="KK68" s="292"/>
      <c r="KL68" s="292"/>
      <c r="KM68" s="292"/>
      <c r="KN68" s="292"/>
      <c r="KO68" s="292"/>
      <c r="KP68" s="292"/>
      <c r="KQ68" s="292"/>
      <c r="KR68" s="292"/>
      <c r="KS68" s="292"/>
      <c r="KT68" s="292"/>
      <c r="KU68" s="292"/>
      <c r="KV68" s="292"/>
      <c r="KW68" s="292"/>
      <c r="KX68" s="292"/>
      <c r="KY68" s="292"/>
      <c r="KZ68" s="292"/>
      <c r="LA68" s="292"/>
      <c r="LB68" s="292"/>
      <c r="LC68" s="292"/>
      <c r="LD68" s="292"/>
      <c r="LE68" s="292"/>
      <c r="LF68" s="292"/>
      <c r="LG68" s="292"/>
      <c r="LH68" s="292"/>
      <c r="LI68" s="292"/>
      <c r="LJ68" s="292"/>
      <c r="LK68" s="292"/>
      <c r="LL68" s="292"/>
      <c r="LM68" s="292"/>
      <c r="LN68" s="292"/>
      <c r="LO68" s="292"/>
      <c r="LP68" s="292"/>
      <c r="LQ68" s="292"/>
      <c r="LR68" s="292"/>
      <c r="LS68" s="292"/>
      <c r="LT68" s="292"/>
      <c r="LU68" s="292"/>
      <c r="LV68" s="292"/>
      <c r="LW68" s="292"/>
      <c r="LX68" s="292"/>
      <c r="LY68" s="292"/>
      <c r="LZ68" s="292"/>
      <c r="MA68" s="292"/>
      <c r="MB68" s="292"/>
      <c r="MC68" s="292"/>
      <c r="MD68" s="292"/>
      <c r="ME68" s="292"/>
      <c r="MF68" s="292"/>
      <c r="MG68" s="292"/>
      <c r="MH68" s="292"/>
      <c r="MI68" s="292"/>
      <c r="MJ68" s="292"/>
      <c r="MK68" s="292"/>
      <c r="ML68" s="292"/>
      <c r="MM68" s="292"/>
      <c r="MN68" s="292"/>
      <c r="MO68" s="292"/>
      <c r="MP68" s="292"/>
      <c r="MQ68" s="292"/>
      <c r="MR68" s="292"/>
      <c r="MS68" s="292"/>
      <c r="MT68" s="292"/>
      <c r="MU68" s="292"/>
      <c r="MV68" s="292"/>
      <c r="MW68" s="292"/>
      <c r="MX68" s="292"/>
      <c r="MY68" s="292"/>
      <c r="MZ68" s="292"/>
      <c r="NA68" s="292"/>
      <c r="NB68" s="292"/>
      <c r="NC68" s="292"/>
      <c r="ND68" s="292"/>
      <c r="NE68" s="292"/>
      <c r="NF68" s="292"/>
      <c r="NG68" s="292"/>
      <c r="NH68" s="292"/>
      <c r="NI68" s="292"/>
      <c r="NJ68" s="292"/>
      <c r="NK68" s="292"/>
      <c r="NL68" s="292"/>
      <c r="NM68" s="292"/>
      <c r="NN68" s="292"/>
      <c r="NO68" s="292"/>
      <c r="NP68" s="292"/>
      <c r="NQ68" s="292"/>
      <c r="NR68" s="292"/>
      <c r="NS68" s="292"/>
      <c r="NT68" s="292"/>
      <c r="NU68" s="292"/>
      <c r="NV68" s="292"/>
      <c r="NW68" s="292"/>
      <c r="NX68" s="292"/>
      <c r="NY68" s="292"/>
      <c r="NZ68" s="292"/>
      <c r="OA68" s="292"/>
      <c r="OB68" s="292"/>
      <c r="OC68" s="292"/>
      <c r="OD68" s="292"/>
      <c r="OE68" s="292"/>
      <c r="OF68" s="292"/>
      <c r="OG68" s="292"/>
      <c r="OH68" s="292"/>
      <c r="OI68" s="292"/>
      <c r="OJ68" s="292"/>
      <c r="OK68" s="292"/>
      <c r="OL68" s="292"/>
      <c r="OM68" s="292"/>
      <c r="ON68" s="292"/>
      <c r="OO68" s="292"/>
      <c r="OP68" s="292"/>
      <c r="OQ68" s="292"/>
      <c r="OR68" s="292"/>
      <c r="OS68" s="292"/>
      <c r="OT68" s="292"/>
      <c r="OU68" s="292"/>
      <c r="OV68" s="292"/>
      <c r="OW68" s="292"/>
      <c r="OX68" s="292"/>
      <c r="OY68" s="292"/>
      <c r="OZ68" s="292"/>
      <c r="PA68" s="292"/>
      <c r="PB68" s="292"/>
      <c r="PC68" s="292"/>
      <c r="PD68" s="292"/>
      <c r="PE68" s="292"/>
      <c r="PF68" s="292"/>
      <c r="PG68" s="292"/>
      <c r="PH68" s="292"/>
      <c r="PI68" s="292"/>
      <c r="PJ68" s="292"/>
      <c r="PK68" s="292"/>
      <c r="PL68" s="292"/>
      <c r="PM68" s="292"/>
      <c r="PN68" s="292"/>
      <c r="PO68" s="292"/>
      <c r="PP68" s="292"/>
      <c r="PQ68" s="292"/>
      <c r="PR68" s="292"/>
      <c r="PS68" s="292"/>
      <c r="PT68" s="292"/>
      <c r="PU68" s="292"/>
      <c r="PV68" s="292"/>
      <c r="PW68" s="292"/>
      <c r="PX68" s="292"/>
      <c r="PY68" s="292"/>
      <c r="PZ68" s="292"/>
      <c r="QA68" s="292"/>
      <c r="QB68" s="292"/>
      <c r="QC68" s="292"/>
      <c r="QD68" s="292"/>
      <c r="QE68" s="292"/>
      <c r="QF68" s="292"/>
      <c r="QG68" s="292"/>
      <c r="QH68" s="292"/>
      <c r="QI68" s="292"/>
      <c r="QJ68" s="292"/>
      <c r="QK68" s="292"/>
      <c r="QL68" s="292"/>
      <c r="QM68" s="292"/>
      <c r="QN68" s="292"/>
      <c r="QO68" s="292"/>
      <c r="QP68" s="292"/>
      <c r="QQ68" s="292"/>
      <c r="QR68" s="292"/>
      <c r="QS68" s="292"/>
      <c r="QT68" s="292"/>
      <c r="QU68" s="292"/>
      <c r="QV68" s="292"/>
      <c r="QW68" s="292"/>
      <c r="QX68" s="292"/>
      <c r="QY68" s="292"/>
      <c r="QZ68" s="292"/>
      <c r="RA68" s="292"/>
      <c r="RB68" s="292"/>
      <c r="RC68" s="292"/>
      <c r="RD68" s="292"/>
      <c r="RE68" s="292"/>
      <c r="RF68" s="292"/>
      <c r="RG68" s="292"/>
      <c r="RH68" s="292"/>
      <c r="RI68" s="292"/>
      <c r="RJ68" s="292"/>
      <c r="RK68" s="292"/>
      <c r="RL68" s="292"/>
      <c r="RM68" s="292"/>
      <c r="RN68" s="292"/>
      <c r="RO68" s="292"/>
      <c r="RP68" s="292"/>
      <c r="RQ68" s="292"/>
      <c r="RR68" s="292"/>
      <c r="RS68" s="292"/>
      <c r="RT68" s="292"/>
      <c r="RU68" s="292"/>
      <c r="RV68" s="292"/>
      <c r="RW68" s="292"/>
      <c r="RX68" s="292"/>
      <c r="RY68" s="292"/>
      <c r="RZ68" s="292"/>
      <c r="SA68" s="292"/>
      <c r="SB68" s="292"/>
      <c r="SC68" s="292"/>
      <c r="SD68" s="292"/>
      <c r="SE68" s="292"/>
      <c r="SF68" s="292"/>
      <c r="SG68" s="292"/>
      <c r="SH68" s="292"/>
      <c r="SI68" s="292"/>
      <c r="SJ68" s="292"/>
      <c r="SK68" s="292"/>
      <c r="SL68" s="292"/>
      <c r="SM68" s="292"/>
      <c r="SN68" s="292"/>
      <c r="SO68" s="292"/>
      <c r="SP68" s="292"/>
      <c r="SQ68" s="292"/>
      <c r="SR68" s="292"/>
      <c r="SS68" s="292"/>
      <c r="ST68" s="292"/>
      <c r="SU68" s="292"/>
    </row>
    <row r="69" spans="1:515" s="624" customFormat="1" ht="11.5" customHeight="1" x14ac:dyDescent="0.25">
      <c r="A69" s="986"/>
      <c r="B69" s="984"/>
      <c r="C69" s="984"/>
      <c r="D69" s="957"/>
      <c r="E69" s="960"/>
      <c r="F69" s="960"/>
      <c r="G69" s="981"/>
      <c r="H69" s="957"/>
      <c r="I69" s="957"/>
      <c r="J69" s="957"/>
      <c r="K69" s="981"/>
      <c r="L69" s="957"/>
      <c r="M69" s="957"/>
      <c r="N69" s="957"/>
      <c r="O69" s="981"/>
      <c r="P69" s="957"/>
      <c r="Q69" s="957"/>
      <c r="R69" s="957"/>
      <c r="S69" s="981"/>
      <c r="T69" s="957"/>
      <c r="U69" s="1180"/>
      <c r="V69" s="1180"/>
      <c r="W69" s="981"/>
      <c r="X69" s="957"/>
      <c r="Y69" s="1180"/>
      <c r="Z69" s="1180"/>
      <c r="AA69" s="981"/>
      <c r="AB69" s="976"/>
      <c r="AC69" s="957"/>
      <c r="AD69" s="976"/>
      <c r="AE69" s="971"/>
      <c r="AF69" s="292"/>
      <c r="AG69" s="292"/>
      <c r="AH69" s="292"/>
      <c r="AI69" s="292"/>
      <c r="AJ69" s="292"/>
      <c r="AK69" s="292"/>
      <c r="AL69" s="292"/>
      <c r="AM69" s="292"/>
      <c r="AN69" s="292"/>
      <c r="AO69" s="292"/>
      <c r="AP69" s="292"/>
      <c r="AQ69" s="292"/>
      <c r="AR69" s="292"/>
      <c r="AS69" s="292"/>
      <c r="AT69" s="292"/>
      <c r="AU69" s="292"/>
      <c r="AV69" s="292"/>
      <c r="AW69" s="292"/>
      <c r="AX69" s="292"/>
      <c r="AY69" s="292"/>
      <c r="AZ69" s="292"/>
      <c r="BA69" s="292"/>
      <c r="BB69" s="292"/>
      <c r="BC69" s="292"/>
      <c r="BD69" s="292"/>
      <c r="BE69" s="292"/>
      <c r="BF69" s="292"/>
      <c r="BG69" s="292"/>
      <c r="BH69" s="292"/>
      <c r="BI69" s="292"/>
      <c r="BJ69" s="292"/>
      <c r="BK69" s="292"/>
      <c r="BL69" s="292"/>
      <c r="BM69" s="292"/>
      <c r="BN69" s="292"/>
      <c r="BO69" s="292"/>
      <c r="BP69" s="292"/>
      <c r="BQ69" s="292"/>
      <c r="BR69" s="292"/>
      <c r="BS69" s="292"/>
      <c r="BT69" s="292"/>
      <c r="BU69" s="292"/>
      <c r="BV69" s="292"/>
      <c r="BW69" s="292"/>
      <c r="BX69" s="292"/>
      <c r="BY69" s="292"/>
      <c r="BZ69" s="292"/>
      <c r="CA69" s="292"/>
      <c r="CB69" s="292"/>
      <c r="CC69" s="292"/>
      <c r="CD69" s="292"/>
      <c r="CE69" s="292"/>
      <c r="CF69" s="292"/>
      <c r="CG69" s="292"/>
      <c r="CH69" s="292"/>
      <c r="CI69" s="292"/>
      <c r="CJ69" s="292"/>
      <c r="CK69" s="292"/>
      <c r="CL69" s="292"/>
      <c r="CM69" s="292"/>
      <c r="CN69" s="292"/>
      <c r="CO69" s="292"/>
      <c r="CP69" s="292"/>
      <c r="CQ69" s="292"/>
      <c r="CR69" s="292"/>
      <c r="CS69" s="292"/>
      <c r="CT69" s="292"/>
      <c r="CU69" s="292"/>
      <c r="CV69" s="292"/>
      <c r="CW69" s="292"/>
      <c r="CX69" s="292"/>
      <c r="CY69" s="292"/>
      <c r="CZ69" s="292"/>
      <c r="DA69" s="292"/>
      <c r="DB69" s="292"/>
      <c r="DC69" s="292"/>
      <c r="DD69" s="292"/>
      <c r="DE69" s="292"/>
      <c r="DF69" s="292"/>
      <c r="DG69" s="292"/>
      <c r="DH69" s="292"/>
      <c r="DI69" s="292"/>
      <c r="DJ69" s="292"/>
      <c r="DK69" s="292"/>
      <c r="DL69" s="292"/>
      <c r="DM69" s="292"/>
      <c r="DN69" s="292"/>
      <c r="DO69" s="292"/>
      <c r="DP69" s="292"/>
      <c r="DQ69" s="292"/>
      <c r="DR69" s="292"/>
      <c r="DS69" s="292"/>
      <c r="DT69" s="292"/>
      <c r="DU69" s="292"/>
      <c r="DV69" s="292"/>
      <c r="DW69" s="292"/>
      <c r="DX69" s="292"/>
      <c r="DY69" s="292"/>
      <c r="DZ69" s="292"/>
      <c r="EA69" s="292"/>
      <c r="EB69" s="292"/>
      <c r="EC69" s="292"/>
      <c r="ED69" s="292"/>
      <c r="EE69" s="292"/>
      <c r="EF69" s="292"/>
      <c r="EG69" s="292"/>
      <c r="EH69" s="292"/>
      <c r="EI69" s="292"/>
      <c r="EJ69" s="292"/>
      <c r="EK69" s="292"/>
      <c r="EL69" s="292"/>
      <c r="EM69" s="292"/>
      <c r="EN69" s="292"/>
      <c r="EO69" s="292"/>
      <c r="EP69" s="292"/>
      <c r="EQ69" s="292"/>
      <c r="ER69" s="292"/>
      <c r="ES69" s="292"/>
      <c r="ET69" s="292"/>
      <c r="EU69" s="292"/>
      <c r="EV69" s="292"/>
      <c r="EW69" s="292"/>
      <c r="EX69" s="292"/>
      <c r="EY69" s="292"/>
      <c r="EZ69" s="292"/>
      <c r="FA69" s="292"/>
      <c r="FB69" s="292"/>
      <c r="FC69" s="292"/>
      <c r="FD69" s="292"/>
      <c r="FE69" s="292"/>
      <c r="FF69" s="292"/>
      <c r="FG69" s="292"/>
      <c r="FH69" s="292"/>
      <c r="FI69" s="292"/>
      <c r="FJ69" s="292"/>
      <c r="FK69" s="292"/>
      <c r="FL69" s="292"/>
      <c r="FM69" s="292"/>
      <c r="FN69" s="292"/>
      <c r="FO69" s="292"/>
      <c r="FP69" s="292"/>
      <c r="FQ69" s="292"/>
      <c r="FR69" s="292"/>
      <c r="FS69" s="292"/>
      <c r="FT69" s="292"/>
      <c r="FU69" s="292"/>
      <c r="FV69" s="292"/>
      <c r="FW69" s="292"/>
      <c r="FX69" s="292"/>
      <c r="FY69" s="292"/>
      <c r="FZ69" s="292"/>
      <c r="GA69" s="292"/>
      <c r="GB69" s="292"/>
      <c r="GC69" s="292"/>
      <c r="GD69" s="292"/>
      <c r="GE69" s="292"/>
      <c r="GF69" s="292"/>
      <c r="GG69" s="292"/>
      <c r="GH69" s="292"/>
      <c r="GI69" s="292"/>
      <c r="GJ69" s="292"/>
      <c r="GK69" s="292"/>
      <c r="GL69" s="292"/>
      <c r="GM69" s="292"/>
      <c r="GN69" s="292"/>
      <c r="GO69" s="292"/>
      <c r="GP69" s="292"/>
      <c r="GQ69" s="292"/>
      <c r="GR69" s="292"/>
      <c r="GS69" s="292"/>
      <c r="GT69" s="292"/>
      <c r="GU69" s="292"/>
      <c r="GV69" s="292"/>
      <c r="GW69" s="292"/>
      <c r="GX69" s="292"/>
      <c r="GY69" s="292"/>
      <c r="GZ69" s="292"/>
      <c r="HA69" s="292"/>
      <c r="HB69" s="292"/>
      <c r="HC69" s="292"/>
      <c r="HD69" s="292"/>
      <c r="HE69" s="292"/>
      <c r="HF69" s="292"/>
      <c r="HG69" s="292"/>
      <c r="HH69" s="292"/>
      <c r="HI69" s="292"/>
      <c r="HJ69" s="292"/>
      <c r="HK69" s="292"/>
      <c r="HL69" s="292"/>
      <c r="HM69" s="292"/>
      <c r="HN69" s="292"/>
      <c r="HO69" s="292"/>
      <c r="HP69" s="292"/>
      <c r="HQ69" s="292"/>
      <c r="HR69" s="292"/>
      <c r="HS69" s="292"/>
      <c r="HT69" s="292"/>
      <c r="HU69" s="292"/>
      <c r="HV69" s="292"/>
      <c r="HW69" s="292"/>
      <c r="HX69" s="292"/>
      <c r="HY69" s="292"/>
      <c r="HZ69" s="292"/>
      <c r="IA69" s="292"/>
      <c r="IB69" s="292"/>
      <c r="IC69" s="292"/>
      <c r="ID69" s="292"/>
      <c r="IE69" s="292"/>
      <c r="IF69" s="292"/>
      <c r="IG69" s="292"/>
      <c r="IH69" s="292"/>
      <c r="II69" s="292"/>
      <c r="IJ69" s="292"/>
      <c r="IK69" s="292"/>
      <c r="IL69" s="292"/>
      <c r="IM69" s="292"/>
      <c r="IN69" s="292"/>
      <c r="IO69" s="292"/>
      <c r="IP69" s="292"/>
      <c r="IQ69" s="292"/>
      <c r="IR69" s="292"/>
      <c r="IS69" s="292"/>
      <c r="IT69" s="292"/>
      <c r="IU69" s="292"/>
      <c r="IV69" s="292"/>
      <c r="IW69" s="292"/>
      <c r="IX69" s="292"/>
      <c r="IY69" s="292"/>
      <c r="IZ69" s="292"/>
      <c r="JA69" s="292"/>
      <c r="JB69" s="292"/>
      <c r="JC69" s="292"/>
      <c r="JD69" s="292"/>
      <c r="JE69" s="292"/>
      <c r="JF69" s="292"/>
      <c r="JG69" s="292"/>
      <c r="JH69" s="292"/>
      <c r="JI69" s="292"/>
      <c r="JJ69" s="292"/>
      <c r="JK69" s="292"/>
      <c r="JL69" s="292"/>
      <c r="JM69" s="292"/>
      <c r="JN69" s="292"/>
      <c r="JO69" s="292"/>
      <c r="JP69" s="292"/>
      <c r="JQ69" s="292"/>
      <c r="JR69" s="292"/>
      <c r="JS69" s="292"/>
      <c r="JT69" s="292"/>
      <c r="JU69" s="292"/>
      <c r="JV69" s="292"/>
      <c r="JW69" s="292"/>
      <c r="JX69" s="292"/>
      <c r="JY69" s="292"/>
      <c r="JZ69" s="292"/>
      <c r="KA69" s="292"/>
      <c r="KB69" s="292"/>
      <c r="KC69" s="292"/>
      <c r="KD69" s="292"/>
      <c r="KE69" s="292"/>
      <c r="KF69" s="292"/>
      <c r="KG69" s="292"/>
      <c r="KH69" s="292"/>
      <c r="KI69" s="292"/>
      <c r="KJ69" s="292"/>
      <c r="KK69" s="292"/>
      <c r="KL69" s="292"/>
      <c r="KM69" s="292"/>
      <c r="KN69" s="292"/>
      <c r="KO69" s="292"/>
      <c r="KP69" s="292"/>
      <c r="KQ69" s="292"/>
      <c r="KR69" s="292"/>
      <c r="KS69" s="292"/>
      <c r="KT69" s="292"/>
      <c r="KU69" s="292"/>
      <c r="KV69" s="292"/>
      <c r="KW69" s="292"/>
      <c r="KX69" s="292"/>
      <c r="KY69" s="292"/>
      <c r="KZ69" s="292"/>
      <c r="LA69" s="292"/>
      <c r="LB69" s="292"/>
      <c r="LC69" s="292"/>
      <c r="LD69" s="292"/>
      <c r="LE69" s="292"/>
      <c r="LF69" s="292"/>
      <c r="LG69" s="292"/>
      <c r="LH69" s="292"/>
      <c r="LI69" s="292"/>
      <c r="LJ69" s="292"/>
      <c r="LK69" s="292"/>
      <c r="LL69" s="292"/>
      <c r="LM69" s="292"/>
      <c r="LN69" s="292"/>
      <c r="LO69" s="292"/>
      <c r="LP69" s="292"/>
      <c r="LQ69" s="292"/>
      <c r="LR69" s="292"/>
      <c r="LS69" s="292"/>
      <c r="LT69" s="292"/>
      <c r="LU69" s="292"/>
      <c r="LV69" s="292"/>
      <c r="LW69" s="292"/>
      <c r="LX69" s="292"/>
      <c r="LY69" s="292"/>
      <c r="LZ69" s="292"/>
      <c r="MA69" s="292"/>
      <c r="MB69" s="292"/>
      <c r="MC69" s="292"/>
      <c r="MD69" s="292"/>
      <c r="ME69" s="292"/>
      <c r="MF69" s="292"/>
      <c r="MG69" s="292"/>
      <c r="MH69" s="292"/>
      <c r="MI69" s="292"/>
      <c r="MJ69" s="292"/>
      <c r="MK69" s="292"/>
      <c r="ML69" s="292"/>
      <c r="MM69" s="292"/>
      <c r="MN69" s="292"/>
      <c r="MO69" s="292"/>
      <c r="MP69" s="292"/>
      <c r="MQ69" s="292"/>
      <c r="MR69" s="292"/>
      <c r="MS69" s="292"/>
      <c r="MT69" s="292"/>
      <c r="MU69" s="292"/>
      <c r="MV69" s="292"/>
      <c r="MW69" s="292"/>
      <c r="MX69" s="292"/>
      <c r="MY69" s="292"/>
      <c r="MZ69" s="292"/>
      <c r="NA69" s="292"/>
      <c r="NB69" s="292"/>
      <c r="NC69" s="292"/>
      <c r="ND69" s="292"/>
      <c r="NE69" s="292"/>
      <c r="NF69" s="292"/>
      <c r="NG69" s="292"/>
      <c r="NH69" s="292"/>
      <c r="NI69" s="292"/>
      <c r="NJ69" s="292"/>
      <c r="NK69" s="292"/>
      <c r="NL69" s="292"/>
      <c r="NM69" s="292"/>
      <c r="NN69" s="292"/>
      <c r="NO69" s="292"/>
      <c r="NP69" s="292"/>
      <c r="NQ69" s="292"/>
      <c r="NR69" s="292"/>
      <c r="NS69" s="292"/>
      <c r="NT69" s="292"/>
      <c r="NU69" s="292"/>
      <c r="NV69" s="292"/>
      <c r="NW69" s="292"/>
      <c r="NX69" s="292"/>
      <c r="NY69" s="292"/>
      <c r="NZ69" s="292"/>
      <c r="OA69" s="292"/>
      <c r="OB69" s="292"/>
      <c r="OC69" s="292"/>
      <c r="OD69" s="292"/>
      <c r="OE69" s="292"/>
      <c r="OF69" s="292"/>
      <c r="OG69" s="292"/>
      <c r="OH69" s="292"/>
      <c r="OI69" s="292"/>
      <c r="OJ69" s="292"/>
      <c r="OK69" s="292"/>
      <c r="OL69" s="292"/>
      <c r="OM69" s="292"/>
      <c r="ON69" s="292"/>
      <c r="OO69" s="292"/>
      <c r="OP69" s="292"/>
      <c r="OQ69" s="292"/>
      <c r="OR69" s="292"/>
      <c r="OS69" s="292"/>
      <c r="OT69" s="292"/>
      <c r="OU69" s="292"/>
      <c r="OV69" s="292"/>
      <c r="OW69" s="292"/>
      <c r="OX69" s="292"/>
      <c r="OY69" s="292"/>
      <c r="OZ69" s="292"/>
      <c r="PA69" s="292"/>
      <c r="PB69" s="292"/>
      <c r="PC69" s="292"/>
      <c r="PD69" s="292"/>
      <c r="PE69" s="292"/>
      <c r="PF69" s="292"/>
      <c r="PG69" s="292"/>
      <c r="PH69" s="292"/>
      <c r="PI69" s="292"/>
      <c r="PJ69" s="292"/>
      <c r="PK69" s="292"/>
      <c r="PL69" s="292"/>
      <c r="PM69" s="292"/>
      <c r="PN69" s="292"/>
      <c r="PO69" s="292"/>
      <c r="PP69" s="292"/>
      <c r="PQ69" s="292"/>
      <c r="PR69" s="292"/>
      <c r="PS69" s="292"/>
      <c r="PT69" s="292"/>
      <c r="PU69" s="292"/>
      <c r="PV69" s="292"/>
      <c r="PW69" s="292"/>
      <c r="PX69" s="292"/>
      <c r="PY69" s="292"/>
      <c r="PZ69" s="292"/>
      <c r="QA69" s="292"/>
      <c r="QB69" s="292"/>
      <c r="QC69" s="292"/>
      <c r="QD69" s="292"/>
      <c r="QE69" s="292"/>
      <c r="QF69" s="292"/>
      <c r="QG69" s="292"/>
      <c r="QH69" s="292"/>
      <c r="QI69" s="292"/>
      <c r="QJ69" s="292"/>
      <c r="QK69" s="292"/>
      <c r="QL69" s="292"/>
      <c r="QM69" s="292"/>
      <c r="QN69" s="292"/>
      <c r="QO69" s="292"/>
      <c r="QP69" s="292"/>
      <c r="QQ69" s="292"/>
      <c r="QR69" s="292"/>
      <c r="QS69" s="292"/>
      <c r="QT69" s="292"/>
      <c r="QU69" s="292"/>
      <c r="QV69" s="292"/>
      <c r="QW69" s="292"/>
      <c r="QX69" s="292"/>
      <c r="QY69" s="292"/>
      <c r="QZ69" s="292"/>
      <c r="RA69" s="292"/>
      <c r="RB69" s="292"/>
      <c r="RC69" s="292"/>
      <c r="RD69" s="292"/>
      <c r="RE69" s="292"/>
      <c r="RF69" s="292"/>
      <c r="RG69" s="292"/>
      <c r="RH69" s="292"/>
      <c r="RI69" s="292"/>
      <c r="RJ69" s="292"/>
      <c r="RK69" s="292"/>
      <c r="RL69" s="292"/>
      <c r="RM69" s="292"/>
      <c r="RN69" s="292"/>
      <c r="RO69" s="292"/>
      <c r="RP69" s="292"/>
      <c r="RQ69" s="292"/>
      <c r="RR69" s="292"/>
      <c r="RS69" s="292"/>
      <c r="RT69" s="292"/>
      <c r="RU69" s="292"/>
      <c r="RV69" s="292"/>
      <c r="RW69" s="292"/>
      <c r="RX69" s="292"/>
      <c r="RY69" s="292"/>
      <c r="RZ69" s="292"/>
      <c r="SA69" s="292"/>
      <c r="SB69" s="292"/>
      <c r="SC69" s="292"/>
      <c r="SD69" s="292"/>
      <c r="SE69" s="292"/>
      <c r="SF69" s="292"/>
      <c r="SG69" s="292"/>
      <c r="SH69" s="292"/>
      <c r="SI69" s="292"/>
      <c r="SJ69" s="292"/>
      <c r="SK69" s="292"/>
      <c r="SL69" s="292"/>
      <c r="SM69" s="292"/>
      <c r="SN69" s="292"/>
      <c r="SO69" s="292"/>
      <c r="SP69" s="292"/>
      <c r="SQ69" s="292"/>
      <c r="SR69" s="292"/>
      <c r="SS69" s="292"/>
      <c r="ST69" s="292"/>
      <c r="SU69" s="292"/>
    </row>
    <row r="70" spans="1:515" s="624" customFormat="1" ht="11.5" customHeight="1" x14ac:dyDescent="0.25">
      <c r="A70" s="986"/>
      <c r="B70" s="984"/>
      <c r="C70" s="984"/>
      <c r="D70" s="957"/>
      <c r="E70" s="960"/>
      <c r="F70" s="960"/>
      <c r="G70" s="981"/>
      <c r="H70" s="957"/>
      <c r="I70" s="957"/>
      <c r="J70" s="957"/>
      <c r="K70" s="981"/>
      <c r="L70" s="957"/>
      <c r="M70" s="957"/>
      <c r="N70" s="957"/>
      <c r="O70" s="981"/>
      <c r="P70" s="957"/>
      <c r="Q70" s="957"/>
      <c r="R70" s="957"/>
      <c r="S70" s="981"/>
      <c r="T70" s="957"/>
      <c r="U70" s="1180"/>
      <c r="V70" s="1180"/>
      <c r="W70" s="981"/>
      <c r="X70" s="957"/>
      <c r="Y70" s="1180"/>
      <c r="Z70" s="1180"/>
      <c r="AA70" s="981"/>
      <c r="AB70" s="976"/>
      <c r="AC70" s="957"/>
      <c r="AD70" s="976"/>
      <c r="AE70" s="971"/>
      <c r="AF70" s="292"/>
      <c r="AG70" s="292"/>
      <c r="AH70" s="292"/>
      <c r="AI70" s="292"/>
      <c r="AJ70" s="292"/>
      <c r="AK70" s="292"/>
      <c r="AL70" s="292"/>
      <c r="AM70" s="292"/>
      <c r="AN70" s="292"/>
      <c r="AO70" s="292"/>
      <c r="AP70" s="292"/>
      <c r="AQ70" s="292"/>
      <c r="AR70" s="292"/>
      <c r="AS70" s="292"/>
      <c r="AT70" s="292"/>
      <c r="AU70" s="292"/>
      <c r="AV70" s="292"/>
      <c r="AW70" s="292"/>
      <c r="AX70" s="292"/>
      <c r="AY70" s="292"/>
      <c r="AZ70" s="292"/>
      <c r="BA70" s="292"/>
      <c r="BB70" s="292"/>
      <c r="BC70" s="292"/>
      <c r="BD70" s="292"/>
      <c r="BE70" s="292"/>
      <c r="BF70" s="292"/>
      <c r="BG70" s="292"/>
      <c r="BH70" s="292"/>
      <c r="BI70" s="292"/>
      <c r="BJ70" s="292"/>
      <c r="BK70" s="292"/>
      <c r="BL70" s="292"/>
      <c r="BM70" s="292"/>
      <c r="BN70" s="292"/>
      <c r="BO70" s="292"/>
      <c r="BP70" s="292"/>
      <c r="BQ70" s="292"/>
      <c r="BR70" s="292"/>
      <c r="BS70" s="292"/>
      <c r="BT70" s="292"/>
      <c r="BU70" s="292"/>
      <c r="BV70" s="292"/>
      <c r="BW70" s="292"/>
      <c r="BX70" s="292"/>
      <c r="BY70" s="292"/>
      <c r="BZ70" s="292"/>
      <c r="CA70" s="292"/>
      <c r="CB70" s="292"/>
      <c r="CC70" s="292"/>
      <c r="CD70" s="292"/>
      <c r="CE70" s="292"/>
      <c r="CF70" s="292"/>
      <c r="CG70" s="292"/>
      <c r="CH70" s="292"/>
      <c r="CI70" s="292"/>
      <c r="CJ70" s="292"/>
      <c r="CK70" s="292"/>
      <c r="CL70" s="292"/>
      <c r="CM70" s="292"/>
      <c r="CN70" s="292"/>
      <c r="CO70" s="292"/>
      <c r="CP70" s="292"/>
      <c r="CQ70" s="292"/>
      <c r="CR70" s="292"/>
      <c r="CS70" s="292"/>
      <c r="CT70" s="292"/>
      <c r="CU70" s="292"/>
      <c r="CV70" s="292"/>
      <c r="CW70" s="292"/>
      <c r="CX70" s="292"/>
      <c r="CY70" s="292"/>
      <c r="CZ70" s="292"/>
      <c r="DA70" s="292"/>
      <c r="DB70" s="292"/>
      <c r="DC70" s="292"/>
      <c r="DD70" s="292"/>
      <c r="DE70" s="292"/>
      <c r="DF70" s="292"/>
      <c r="DG70" s="292"/>
      <c r="DH70" s="292"/>
      <c r="DI70" s="292"/>
      <c r="DJ70" s="292"/>
      <c r="DK70" s="292"/>
      <c r="DL70" s="292"/>
      <c r="DM70" s="292"/>
      <c r="DN70" s="292"/>
      <c r="DO70" s="292"/>
      <c r="DP70" s="292"/>
      <c r="DQ70" s="292"/>
      <c r="DR70" s="292"/>
      <c r="DS70" s="292"/>
      <c r="DT70" s="292"/>
      <c r="DU70" s="292"/>
      <c r="DV70" s="292"/>
      <c r="DW70" s="292"/>
      <c r="DX70" s="292"/>
      <c r="DY70" s="292"/>
      <c r="DZ70" s="292"/>
      <c r="EA70" s="292"/>
      <c r="EB70" s="292"/>
      <c r="EC70" s="292"/>
      <c r="ED70" s="292"/>
      <c r="EE70" s="292"/>
      <c r="EF70" s="292"/>
      <c r="EG70" s="292"/>
      <c r="EH70" s="292"/>
      <c r="EI70" s="292"/>
      <c r="EJ70" s="292"/>
      <c r="EK70" s="292"/>
      <c r="EL70" s="292"/>
      <c r="EM70" s="292"/>
      <c r="EN70" s="292"/>
      <c r="EO70" s="292"/>
      <c r="EP70" s="292"/>
      <c r="EQ70" s="292"/>
      <c r="ER70" s="292"/>
      <c r="ES70" s="292"/>
      <c r="ET70" s="292"/>
      <c r="EU70" s="292"/>
      <c r="EV70" s="292"/>
      <c r="EW70" s="292"/>
      <c r="EX70" s="292"/>
      <c r="EY70" s="292"/>
      <c r="EZ70" s="292"/>
      <c r="FA70" s="292"/>
      <c r="FB70" s="292"/>
      <c r="FC70" s="292"/>
      <c r="FD70" s="292"/>
      <c r="FE70" s="292"/>
      <c r="FF70" s="292"/>
      <c r="FG70" s="292"/>
      <c r="FH70" s="292"/>
      <c r="FI70" s="292"/>
      <c r="FJ70" s="292"/>
      <c r="FK70" s="292"/>
      <c r="FL70" s="292"/>
      <c r="FM70" s="292"/>
      <c r="FN70" s="292"/>
      <c r="FO70" s="292"/>
      <c r="FP70" s="292"/>
      <c r="FQ70" s="292"/>
      <c r="FR70" s="292"/>
      <c r="FS70" s="292"/>
      <c r="FT70" s="292"/>
      <c r="FU70" s="292"/>
      <c r="FV70" s="292"/>
      <c r="FW70" s="292"/>
      <c r="FX70" s="292"/>
      <c r="FY70" s="292"/>
      <c r="FZ70" s="292"/>
      <c r="GA70" s="292"/>
      <c r="GB70" s="292"/>
      <c r="GC70" s="292"/>
      <c r="GD70" s="292"/>
      <c r="GE70" s="292"/>
      <c r="GF70" s="292"/>
      <c r="GG70" s="292"/>
      <c r="GH70" s="292"/>
      <c r="GI70" s="292"/>
      <c r="GJ70" s="292"/>
      <c r="GK70" s="292"/>
      <c r="GL70" s="292"/>
      <c r="GM70" s="292"/>
      <c r="GN70" s="292"/>
      <c r="GO70" s="292"/>
      <c r="GP70" s="292"/>
      <c r="GQ70" s="292"/>
      <c r="GR70" s="292"/>
      <c r="GS70" s="292"/>
      <c r="GT70" s="292"/>
      <c r="GU70" s="292"/>
      <c r="GV70" s="292"/>
      <c r="GW70" s="292"/>
      <c r="GX70" s="292"/>
      <c r="GY70" s="292"/>
      <c r="GZ70" s="292"/>
      <c r="HA70" s="292"/>
      <c r="HB70" s="292"/>
      <c r="HC70" s="292"/>
      <c r="HD70" s="292"/>
      <c r="HE70" s="292"/>
      <c r="HF70" s="292"/>
      <c r="HG70" s="292"/>
      <c r="HH70" s="292"/>
      <c r="HI70" s="292"/>
      <c r="HJ70" s="292"/>
      <c r="HK70" s="292"/>
      <c r="HL70" s="292"/>
      <c r="HM70" s="292"/>
      <c r="HN70" s="292"/>
      <c r="HO70" s="292"/>
      <c r="HP70" s="292"/>
      <c r="HQ70" s="292"/>
      <c r="HR70" s="292"/>
      <c r="HS70" s="292"/>
      <c r="HT70" s="292"/>
      <c r="HU70" s="292"/>
      <c r="HV70" s="292"/>
      <c r="HW70" s="292"/>
      <c r="HX70" s="292"/>
      <c r="HY70" s="292"/>
      <c r="HZ70" s="292"/>
      <c r="IA70" s="292"/>
      <c r="IB70" s="292"/>
      <c r="IC70" s="292"/>
      <c r="ID70" s="292"/>
      <c r="IE70" s="292"/>
      <c r="IF70" s="292"/>
      <c r="IG70" s="292"/>
      <c r="IH70" s="292"/>
      <c r="II70" s="292"/>
      <c r="IJ70" s="292"/>
      <c r="IK70" s="292"/>
      <c r="IL70" s="292"/>
      <c r="IM70" s="292"/>
      <c r="IN70" s="292"/>
      <c r="IO70" s="292"/>
      <c r="IP70" s="292"/>
      <c r="IQ70" s="292"/>
      <c r="IR70" s="292"/>
      <c r="IS70" s="292"/>
      <c r="IT70" s="292"/>
      <c r="IU70" s="292"/>
      <c r="IV70" s="292"/>
      <c r="IW70" s="292"/>
      <c r="IX70" s="292"/>
      <c r="IY70" s="292"/>
      <c r="IZ70" s="292"/>
      <c r="JA70" s="292"/>
      <c r="JB70" s="292"/>
      <c r="JC70" s="292"/>
      <c r="JD70" s="292"/>
      <c r="JE70" s="292"/>
      <c r="JF70" s="292"/>
      <c r="JG70" s="292"/>
      <c r="JH70" s="292"/>
      <c r="JI70" s="292"/>
      <c r="JJ70" s="292"/>
      <c r="JK70" s="292"/>
      <c r="JL70" s="292"/>
      <c r="JM70" s="292"/>
      <c r="JN70" s="292"/>
      <c r="JO70" s="292"/>
      <c r="JP70" s="292"/>
      <c r="JQ70" s="292"/>
      <c r="JR70" s="292"/>
      <c r="JS70" s="292"/>
      <c r="JT70" s="292"/>
      <c r="JU70" s="292"/>
      <c r="JV70" s="292"/>
      <c r="JW70" s="292"/>
      <c r="JX70" s="292"/>
      <c r="JY70" s="292"/>
      <c r="JZ70" s="292"/>
      <c r="KA70" s="292"/>
      <c r="KB70" s="292"/>
      <c r="KC70" s="292"/>
      <c r="KD70" s="292"/>
      <c r="KE70" s="292"/>
      <c r="KF70" s="292"/>
      <c r="KG70" s="292"/>
      <c r="KH70" s="292"/>
      <c r="KI70" s="292"/>
      <c r="KJ70" s="292"/>
      <c r="KK70" s="292"/>
      <c r="KL70" s="292"/>
      <c r="KM70" s="292"/>
      <c r="KN70" s="292"/>
      <c r="KO70" s="292"/>
      <c r="KP70" s="292"/>
      <c r="KQ70" s="292"/>
      <c r="KR70" s="292"/>
      <c r="KS70" s="292"/>
      <c r="KT70" s="292"/>
      <c r="KU70" s="292"/>
      <c r="KV70" s="292"/>
      <c r="KW70" s="292"/>
      <c r="KX70" s="292"/>
      <c r="KY70" s="292"/>
      <c r="KZ70" s="292"/>
      <c r="LA70" s="292"/>
      <c r="LB70" s="292"/>
      <c r="LC70" s="292"/>
      <c r="LD70" s="292"/>
      <c r="LE70" s="292"/>
      <c r="LF70" s="292"/>
      <c r="LG70" s="292"/>
      <c r="LH70" s="292"/>
      <c r="LI70" s="292"/>
      <c r="LJ70" s="292"/>
      <c r="LK70" s="292"/>
      <c r="LL70" s="292"/>
      <c r="LM70" s="292"/>
      <c r="LN70" s="292"/>
      <c r="LO70" s="292"/>
      <c r="LP70" s="292"/>
      <c r="LQ70" s="292"/>
      <c r="LR70" s="292"/>
      <c r="LS70" s="292"/>
      <c r="LT70" s="292"/>
      <c r="LU70" s="292"/>
      <c r="LV70" s="292"/>
      <c r="LW70" s="292"/>
      <c r="LX70" s="292"/>
      <c r="LY70" s="292"/>
      <c r="LZ70" s="292"/>
      <c r="MA70" s="292"/>
      <c r="MB70" s="292"/>
      <c r="MC70" s="292"/>
      <c r="MD70" s="292"/>
      <c r="ME70" s="292"/>
      <c r="MF70" s="292"/>
      <c r="MG70" s="292"/>
      <c r="MH70" s="292"/>
      <c r="MI70" s="292"/>
      <c r="MJ70" s="292"/>
      <c r="MK70" s="292"/>
      <c r="ML70" s="292"/>
      <c r="MM70" s="292"/>
      <c r="MN70" s="292"/>
      <c r="MO70" s="292"/>
      <c r="MP70" s="292"/>
      <c r="MQ70" s="292"/>
      <c r="MR70" s="292"/>
      <c r="MS70" s="292"/>
      <c r="MT70" s="292"/>
      <c r="MU70" s="292"/>
      <c r="MV70" s="292"/>
      <c r="MW70" s="292"/>
      <c r="MX70" s="292"/>
      <c r="MY70" s="292"/>
      <c r="MZ70" s="292"/>
      <c r="NA70" s="292"/>
      <c r="NB70" s="292"/>
      <c r="NC70" s="292"/>
      <c r="ND70" s="292"/>
      <c r="NE70" s="292"/>
      <c r="NF70" s="292"/>
      <c r="NG70" s="292"/>
      <c r="NH70" s="292"/>
      <c r="NI70" s="292"/>
      <c r="NJ70" s="292"/>
      <c r="NK70" s="292"/>
      <c r="NL70" s="292"/>
      <c r="NM70" s="292"/>
      <c r="NN70" s="292"/>
      <c r="NO70" s="292"/>
      <c r="NP70" s="292"/>
      <c r="NQ70" s="292"/>
      <c r="NR70" s="292"/>
      <c r="NS70" s="292"/>
      <c r="NT70" s="292"/>
      <c r="NU70" s="292"/>
      <c r="NV70" s="292"/>
      <c r="NW70" s="292"/>
      <c r="NX70" s="292"/>
      <c r="NY70" s="292"/>
      <c r="NZ70" s="292"/>
      <c r="OA70" s="292"/>
      <c r="OB70" s="292"/>
      <c r="OC70" s="292"/>
      <c r="OD70" s="292"/>
      <c r="OE70" s="292"/>
      <c r="OF70" s="292"/>
      <c r="OG70" s="292"/>
      <c r="OH70" s="292"/>
      <c r="OI70" s="292"/>
      <c r="OJ70" s="292"/>
      <c r="OK70" s="292"/>
      <c r="OL70" s="292"/>
      <c r="OM70" s="292"/>
      <c r="ON70" s="292"/>
      <c r="OO70" s="292"/>
      <c r="OP70" s="292"/>
      <c r="OQ70" s="292"/>
      <c r="OR70" s="292"/>
      <c r="OS70" s="292"/>
      <c r="OT70" s="292"/>
      <c r="OU70" s="292"/>
      <c r="OV70" s="292"/>
      <c r="OW70" s="292"/>
      <c r="OX70" s="292"/>
      <c r="OY70" s="292"/>
      <c r="OZ70" s="292"/>
      <c r="PA70" s="292"/>
      <c r="PB70" s="292"/>
      <c r="PC70" s="292"/>
      <c r="PD70" s="292"/>
      <c r="PE70" s="292"/>
      <c r="PF70" s="292"/>
      <c r="PG70" s="292"/>
      <c r="PH70" s="292"/>
      <c r="PI70" s="292"/>
      <c r="PJ70" s="292"/>
      <c r="PK70" s="292"/>
      <c r="PL70" s="292"/>
      <c r="PM70" s="292"/>
      <c r="PN70" s="292"/>
      <c r="PO70" s="292"/>
      <c r="PP70" s="292"/>
      <c r="PQ70" s="292"/>
      <c r="PR70" s="292"/>
      <c r="PS70" s="292"/>
      <c r="PT70" s="292"/>
      <c r="PU70" s="292"/>
      <c r="PV70" s="292"/>
      <c r="PW70" s="292"/>
      <c r="PX70" s="292"/>
      <c r="PY70" s="292"/>
      <c r="PZ70" s="292"/>
      <c r="QA70" s="292"/>
      <c r="QB70" s="292"/>
      <c r="QC70" s="292"/>
      <c r="QD70" s="292"/>
      <c r="QE70" s="292"/>
      <c r="QF70" s="292"/>
      <c r="QG70" s="292"/>
      <c r="QH70" s="292"/>
      <c r="QI70" s="292"/>
      <c r="QJ70" s="292"/>
      <c r="QK70" s="292"/>
      <c r="QL70" s="292"/>
      <c r="QM70" s="292"/>
      <c r="QN70" s="292"/>
      <c r="QO70" s="292"/>
      <c r="QP70" s="292"/>
      <c r="QQ70" s="292"/>
      <c r="QR70" s="292"/>
      <c r="QS70" s="292"/>
      <c r="QT70" s="292"/>
      <c r="QU70" s="292"/>
      <c r="QV70" s="292"/>
      <c r="QW70" s="292"/>
      <c r="QX70" s="292"/>
      <c r="QY70" s="292"/>
      <c r="QZ70" s="292"/>
      <c r="RA70" s="292"/>
      <c r="RB70" s="292"/>
      <c r="RC70" s="292"/>
      <c r="RD70" s="292"/>
      <c r="RE70" s="292"/>
      <c r="RF70" s="292"/>
      <c r="RG70" s="292"/>
      <c r="RH70" s="292"/>
      <c r="RI70" s="292"/>
      <c r="RJ70" s="292"/>
      <c r="RK70" s="292"/>
      <c r="RL70" s="292"/>
      <c r="RM70" s="292"/>
      <c r="RN70" s="292"/>
      <c r="RO70" s="292"/>
      <c r="RP70" s="292"/>
      <c r="RQ70" s="292"/>
      <c r="RR70" s="292"/>
      <c r="RS70" s="292"/>
      <c r="RT70" s="292"/>
      <c r="RU70" s="292"/>
      <c r="RV70" s="292"/>
      <c r="RW70" s="292"/>
      <c r="RX70" s="292"/>
      <c r="RY70" s="292"/>
      <c r="RZ70" s="292"/>
      <c r="SA70" s="292"/>
      <c r="SB70" s="292"/>
      <c r="SC70" s="292"/>
      <c r="SD70" s="292"/>
      <c r="SE70" s="292"/>
      <c r="SF70" s="292"/>
      <c r="SG70" s="292"/>
      <c r="SH70" s="292"/>
      <c r="SI70" s="292"/>
      <c r="SJ70" s="292"/>
      <c r="SK70" s="292"/>
      <c r="SL70" s="292"/>
      <c r="SM70" s="292"/>
      <c r="SN70" s="292"/>
      <c r="SO70" s="292"/>
      <c r="SP70" s="292"/>
      <c r="SQ70" s="292"/>
      <c r="SR70" s="292"/>
      <c r="SS70" s="292"/>
      <c r="ST70" s="292"/>
      <c r="SU70" s="292"/>
    </row>
    <row r="71" spans="1:515" s="624" customFormat="1" ht="20.5" customHeight="1" x14ac:dyDescent="0.25">
      <c r="A71" s="986"/>
      <c r="B71" s="984"/>
      <c r="C71" s="984"/>
      <c r="D71" s="957"/>
      <c r="E71" s="1294" t="s">
        <v>374</v>
      </c>
      <c r="F71" s="1294"/>
      <c r="G71" s="1294"/>
      <c r="H71" s="957"/>
      <c r="I71" s="1294" t="s">
        <v>374</v>
      </c>
      <c r="J71" s="1294"/>
      <c r="K71" s="1294"/>
      <c r="L71" s="957"/>
      <c r="M71" s="1294" t="s">
        <v>374</v>
      </c>
      <c r="N71" s="1294"/>
      <c r="O71" s="1294"/>
      <c r="P71" s="957"/>
      <c r="Q71" s="1294" t="s">
        <v>374</v>
      </c>
      <c r="R71" s="1294"/>
      <c r="S71" s="1294"/>
      <c r="T71" s="957"/>
      <c r="U71" s="1294" t="s">
        <v>374</v>
      </c>
      <c r="V71" s="1294"/>
      <c r="W71" s="1294"/>
      <c r="X71" s="957"/>
      <c r="Y71" s="1294" t="s">
        <v>374</v>
      </c>
      <c r="Z71" s="1294"/>
      <c r="AA71" s="1294"/>
      <c r="AB71" s="976"/>
      <c r="AC71" s="957"/>
      <c r="AD71" s="1145" t="s">
        <v>374</v>
      </c>
      <c r="AE71" s="971"/>
      <c r="AF71" s="292"/>
      <c r="AG71" s="292"/>
      <c r="AH71" s="292"/>
      <c r="AI71" s="292"/>
      <c r="AJ71" s="292"/>
      <c r="AK71" s="292"/>
      <c r="AL71" s="292"/>
      <c r="AM71" s="292"/>
      <c r="AN71" s="292"/>
      <c r="AO71" s="292"/>
      <c r="AP71" s="292"/>
      <c r="AQ71" s="292"/>
      <c r="AR71" s="292"/>
      <c r="AS71" s="292"/>
      <c r="AT71" s="292"/>
      <c r="AU71" s="292"/>
      <c r="AV71" s="292"/>
      <c r="AW71" s="292"/>
      <c r="AX71" s="292"/>
      <c r="AY71" s="292"/>
      <c r="AZ71" s="292"/>
      <c r="BA71" s="292"/>
      <c r="BB71" s="292"/>
      <c r="BC71" s="292"/>
      <c r="BD71" s="292"/>
      <c r="BE71" s="292"/>
      <c r="BF71" s="292"/>
      <c r="BG71" s="292"/>
      <c r="BH71" s="292"/>
      <c r="BI71" s="292"/>
      <c r="BJ71" s="292"/>
      <c r="BK71" s="292"/>
      <c r="BL71" s="292"/>
      <c r="BM71" s="292"/>
      <c r="BN71" s="292"/>
      <c r="BO71" s="292"/>
      <c r="BP71" s="292"/>
      <c r="BQ71" s="292"/>
      <c r="BR71" s="292"/>
      <c r="BS71" s="292"/>
      <c r="BT71" s="292"/>
      <c r="BU71" s="292"/>
      <c r="BV71" s="292"/>
      <c r="BW71" s="292"/>
      <c r="BX71" s="292"/>
      <c r="BY71" s="292"/>
      <c r="BZ71" s="292"/>
      <c r="CA71" s="292"/>
      <c r="CB71" s="292"/>
      <c r="CC71" s="292"/>
      <c r="CD71" s="292"/>
      <c r="CE71" s="292"/>
      <c r="CF71" s="292"/>
      <c r="CG71" s="292"/>
      <c r="CH71" s="292"/>
      <c r="CI71" s="292"/>
      <c r="CJ71" s="292"/>
      <c r="CK71" s="292"/>
      <c r="CL71" s="292"/>
      <c r="CM71" s="292"/>
      <c r="CN71" s="292"/>
      <c r="CO71" s="292"/>
      <c r="CP71" s="292"/>
      <c r="CQ71" s="292"/>
      <c r="CR71" s="292"/>
      <c r="CS71" s="292"/>
      <c r="CT71" s="292"/>
      <c r="CU71" s="292"/>
      <c r="CV71" s="292"/>
      <c r="CW71" s="292"/>
      <c r="CX71" s="292"/>
      <c r="CY71" s="292"/>
      <c r="CZ71" s="292"/>
      <c r="DA71" s="292"/>
      <c r="DB71" s="292"/>
      <c r="DC71" s="292"/>
      <c r="DD71" s="292"/>
      <c r="DE71" s="292"/>
      <c r="DF71" s="292"/>
      <c r="DG71" s="292"/>
      <c r="DH71" s="292"/>
      <c r="DI71" s="292"/>
      <c r="DJ71" s="292"/>
      <c r="DK71" s="292"/>
      <c r="DL71" s="292"/>
      <c r="DM71" s="292"/>
      <c r="DN71" s="292"/>
      <c r="DO71" s="292"/>
      <c r="DP71" s="292"/>
      <c r="DQ71" s="292"/>
      <c r="DR71" s="292"/>
      <c r="DS71" s="292"/>
      <c r="DT71" s="292"/>
      <c r="DU71" s="292"/>
      <c r="DV71" s="292"/>
      <c r="DW71" s="292"/>
      <c r="DX71" s="292"/>
      <c r="DY71" s="292"/>
      <c r="DZ71" s="292"/>
      <c r="EA71" s="292"/>
      <c r="EB71" s="292"/>
      <c r="EC71" s="292"/>
      <c r="ED71" s="292"/>
      <c r="EE71" s="292"/>
      <c r="EF71" s="292"/>
      <c r="EG71" s="292"/>
      <c r="EH71" s="292"/>
      <c r="EI71" s="292"/>
      <c r="EJ71" s="292"/>
      <c r="EK71" s="292"/>
      <c r="EL71" s="292"/>
      <c r="EM71" s="292"/>
      <c r="EN71" s="292"/>
      <c r="EO71" s="292"/>
      <c r="EP71" s="292"/>
      <c r="EQ71" s="292"/>
      <c r="ER71" s="292"/>
      <c r="ES71" s="292"/>
      <c r="ET71" s="292"/>
      <c r="EU71" s="292"/>
      <c r="EV71" s="292"/>
      <c r="EW71" s="292"/>
      <c r="EX71" s="292"/>
      <c r="EY71" s="292"/>
      <c r="EZ71" s="292"/>
      <c r="FA71" s="292"/>
      <c r="FB71" s="292"/>
      <c r="FC71" s="292"/>
      <c r="FD71" s="292"/>
      <c r="FE71" s="292"/>
      <c r="FF71" s="292"/>
      <c r="FG71" s="292"/>
      <c r="FH71" s="292"/>
      <c r="FI71" s="292"/>
      <c r="FJ71" s="292"/>
      <c r="FK71" s="292"/>
      <c r="FL71" s="292"/>
      <c r="FM71" s="292"/>
      <c r="FN71" s="292"/>
      <c r="FO71" s="292"/>
      <c r="FP71" s="292"/>
      <c r="FQ71" s="292"/>
      <c r="FR71" s="292"/>
      <c r="FS71" s="292"/>
      <c r="FT71" s="292"/>
      <c r="FU71" s="292"/>
      <c r="FV71" s="292"/>
      <c r="FW71" s="292"/>
      <c r="FX71" s="292"/>
      <c r="FY71" s="292"/>
      <c r="FZ71" s="292"/>
      <c r="GA71" s="292"/>
      <c r="GB71" s="292"/>
      <c r="GC71" s="292"/>
      <c r="GD71" s="292"/>
      <c r="GE71" s="292"/>
      <c r="GF71" s="292"/>
      <c r="GG71" s="292"/>
      <c r="GH71" s="292"/>
      <c r="GI71" s="292"/>
      <c r="GJ71" s="292"/>
      <c r="GK71" s="292"/>
      <c r="GL71" s="292"/>
      <c r="GM71" s="292"/>
      <c r="GN71" s="292"/>
      <c r="GO71" s="292"/>
      <c r="GP71" s="292"/>
      <c r="GQ71" s="292"/>
      <c r="GR71" s="292"/>
      <c r="GS71" s="292"/>
      <c r="GT71" s="292"/>
      <c r="GU71" s="292"/>
      <c r="GV71" s="292"/>
      <c r="GW71" s="292"/>
      <c r="GX71" s="292"/>
      <c r="GY71" s="292"/>
      <c r="GZ71" s="292"/>
      <c r="HA71" s="292"/>
      <c r="HB71" s="292"/>
      <c r="HC71" s="292"/>
      <c r="HD71" s="292"/>
      <c r="HE71" s="292"/>
      <c r="HF71" s="292"/>
      <c r="HG71" s="292"/>
      <c r="HH71" s="292"/>
      <c r="HI71" s="292"/>
      <c r="HJ71" s="292"/>
      <c r="HK71" s="292"/>
      <c r="HL71" s="292"/>
      <c r="HM71" s="292"/>
      <c r="HN71" s="292"/>
      <c r="HO71" s="292"/>
      <c r="HP71" s="292"/>
      <c r="HQ71" s="292"/>
      <c r="HR71" s="292"/>
      <c r="HS71" s="292"/>
      <c r="HT71" s="292"/>
      <c r="HU71" s="292"/>
      <c r="HV71" s="292"/>
      <c r="HW71" s="292"/>
      <c r="HX71" s="292"/>
      <c r="HY71" s="292"/>
      <c r="HZ71" s="292"/>
      <c r="IA71" s="292"/>
      <c r="IB71" s="292"/>
      <c r="IC71" s="292"/>
      <c r="ID71" s="292"/>
      <c r="IE71" s="292"/>
      <c r="IF71" s="292"/>
      <c r="IG71" s="292"/>
      <c r="IH71" s="292"/>
      <c r="II71" s="292"/>
      <c r="IJ71" s="292"/>
      <c r="IK71" s="292"/>
      <c r="IL71" s="292"/>
      <c r="IM71" s="292"/>
      <c r="IN71" s="292"/>
      <c r="IO71" s="292"/>
      <c r="IP71" s="292"/>
      <c r="IQ71" s="292"/>
      <c r="IR71" s="292"/>
      <c r="IS71" s="292"/>
      <c r="IT71" s="292"/>
      <c r="IU71" s="292"/>
      <c r="IV71" s="292"/>
      <c r="IW71" s="292"/>
      <c r="IX71" s="292"/>
      <c r="IY71" s="292"/>
      <c r="IZ71" s="292"/>
      <c r="JA71" s="292"/>
      <c r="JB71" s="292"/>
      <c r="JC71" s="292"/>
      <c r="JD71" s="292"/>
      <c r="JE71" s="292"/>
      <c r="JF71" s="292"/>
      <c r="JG71" s="292"/>
      <c r="JH71" s="292"/>
      <c r="JI71" s="292"/>
      <c r="JJ71" s="292"/>
      <c r="JK71" s="292"/>
      <c r="JL71" s="292"/>
      <c r="JM71" s="292"/>
      <c r="JN71" s="292"/>
      <c r="JO71" s="292"/>
      <c r="JP71" s="292"/>
      <c r="JQ71" s="292"/>
      <c r="JR71" s="292"/>
      <c r="JS71" s="292"/>
      <c r="JT71" s="292"/>
      <c r="JU71" s="292"/>
      <c r="JV71" s="292"/>
      <c r="JW71" s="292"/>
      <c r="JX71" s="292"/>
      <c r="JY71" s="292"/>
      <c r="JZ71" s="292"/>
      <c r="KA71" s="292"/>
      <c r="KB71" s="292"/>
      <c r="KC71" s="292"/>
      <c r="KD71" s="292"/>
      <c r="KE71" s="292"/>
      <c r="KF71" s="292"/>
      <c r="KG71" s="292"/>
      <c r="KH71" s="292"/>
      <c r="KI71" s="292"/>
      <c r="KJ71" s="292"/>
      <c r="KK71" s="292"/>
      <c r="KL71" s="292"/>
      <c r="KM71" s="292"/>
      <c r="KN71" s="292"/>
      <c r="KO71" s="292"/>
      <c r="KP71" s="292"/>
      <c r="KQ71" s="292"/>
      <c r="KR71" s="292"/>
      <c r="KS71" s="292"/>
      <c r="KT71" s="292"/>
      <c r="KU71" s="292"/>
      <c r="KV71" s="292"/>
      <c r="KW71" s="292"/>
      <c r="KX71" s="292"/>
      <c r="KY71" s="292"/>
      <c r="KZ71" s="292"/>
      <c r="LA71" s="292"/>
      <c r="LB71" s="292"/>
      <c r="LC71" s="292"/>
      <c r="LD71" s="292"/>
      <c r="LE71" s="292"/>
      <c r="LF71" s="292"/>
      <c r="LG71" s="292"/>
      <c r="LH71" s="292"/>
      <c r="LI71" s="292"/>
      <c r="LJ71" s="292"/>
      <c r="LK71" s="292"/>
      <c r="LL71" s="292"/>
      <c r="LM71" s="292"/>
      <c r="LN71" s="292"/>
      <c r="LO71" s="292"/>
      <c r="LP71" s="292"/>
      <c r="LQ71" s="292"/>
      <c r="LR71" s="292"/>
      <c r="LS71" s="292"/>
      <c r="LT71" s="292"/>
      <c r="LU71" s="292"/>
      <c r="LV71" s="292"/>
      <c r="LW71" s="292"/>
      <c r="LX71" s="292"/>
      <c r="LY71" s="292"/>
      <c r="LZ71" s="292"/>
      <c r="MA71" s="292"/>
      <c r="MB71" s="292"/>
      <c r="MC71" s="292"/>
      <c r="MD71" s="292"/>
      <c r="ME71" s="292"/>
      <c r="MF71" s="292"/>
      <c r="MG71" s="292"/>
      <c r="MH71" s="292"/>
      <c r="MI71" s="292"/>
      <c r="MJ71" s="292"/>
      <c r="MK71" s="292"/>
      <c r="ML71" s="292"/>
      <c r="MM71" s="292"/>
      <c r="MN71" s="292"/>
      <c r="MO71" s="292"/>
      <c r="MP71" s="292"/>
      <c r="MQ71" s="292"/>
      <c r="MR71" s="292"/>
      <c r="MS71" s="292"/>
      <c r="MT71" s="292"/>
      <c r="MU71" s="292"/>
      <c r="MV71" s="292"/>
      <c r="MW71" s="292"/>
      <c r="MX71" s="292"/>
      <c r="MY71" s="292"/>
      <c r="MZ71" s="292"/>
      <c r="NA71" s="292"/>
      <c r="NB71" s="292"/>
      <c r="NC71" s="292"/>
      <c r="ND71" s="292"/>
      <c r="NE71" s="292"/>
      <c r="NF71" s="292"/>
      <c r="NG71" s="292"/>
      <c r="NH71" s="292"/>
      <c r="NI71" s="292"/>
      <c r="NJ71" s="292"/>
      <c r="NK71" s="292"/>
      <c r="NL71" s="292"/>
      <c r="NM71" s="292"/>
      <c r="NN71" s="292"/>
      <c r="NO71" s="292"/>
      <c r="NP71" s="292"/>
      <c r="NQ71" s="292"/>
      <c r="NR71" s="292"/>
      <c r="NS71" s="292"/>
      <c r="NT71" s="292"/>
      <c r="NU71" s="292"/>
      <c r="NV71" s="292"/>
      <c r="NW71" s="292"/>
      <c r="NX71" s="292"/>
      <c r="NY71" s="292"/>
      <c r="NZ71" s="292"/>
      <c r="OA71" s="292"/>
      <c r="OB71" s="292"/>
      <c r="OC71" s="292"/>
      <c r="OD71" s="292"/>
      <c r="OE71" s="292"/>
      <c r="OF71" s="292"/>
      <c r="OG71" s="292"/>
      <c r="OH71" s="292"/>
      <c r="OI71" s="292"/>
      <c r="OJ71" s="292"/>
      <c r="OK71" s="292"/>
      <c r="OL71" s="292"/>
      <c r="OM71" s="292"/>
      <c r="ON71" s="292"/>
      <c r="OO71" s="292"/>
      <c r="OP71" s="292"/>
      <c r="OQ71" s="292"/>
      <c r="OR71" s="292"/>
      <c r="OS71" s="292"/>
      <c r="OT71" s="292"/>
      <c r="OU71" s="292"/>
      <c r="OV71" s="292"/>
      <c r="OW71" s="292"/>
      <c r="OX71" s="292"/>
      <c r="OY71" s="292"/>
      <c r="OZ71" s="292"/>
      <c r="PA71" s="292"/>
      <c r="PB71" s="292"/>
      <c r="PC71" s="292"/>
      <c r="PD71" s="292"/>
      <c r="PE71" s="292"/>
      <c r="PF71" s="292"/>
      <c r="PG71" s="292"/>
      <c r="PH71" s="292"/>
      <c r="PI71" s="292"/>
      <c r="PJ71" s="292"/>
      <c r="PK71" s="292"/>
      <c r="PL71" s="292"/>
      <c r="PM71" s="292"/>
      <c r="PN71" s="292"/>
      <c r="PO71" s="292"/>
      <c r="PP71" s="292"/>
      <c r="PQ71" s="292"/>
      <c r="PR71" s="292"/>
      <c r="PS71" s="292"/>
      <c r="PT71" s="292"/>
      <c r="PU71" s="292"/>
      <c r="PV71" s="292"/>
      <c r="PW71" s="292"/>
      <c r="PX71" s="292"/>
      <c r="PY71" s="292"/>
      <c r="PZ71" s="292"/>
      <c r="QA71" s="292"/>
      <c r="QB71" s="292"/>
      <c r="QC71" s="292"/>
      <c r="QD71" s="292"/>
      <c r="QE71" s="292"/>
      <c r="QF71" s="292"/>
      <c r="QG71" s="292"/>
      <c r="QH71" s="292"/>
      <c r="QI71" s="292"/>
      <c r="QJ71" s="292"/>
      <c r="QK71" s="292"/>
      <c r="QL71" s="292"/>
      <c r="QM71" s="292"/>
      <c r="QN71" s="292"/>
      <c r="QO71" s="292"/>
      <c r="QP71" s="292"/>
      <c r="QQ71" s="292"/>
      <c r="QR71" s="292"/>
      <c r="QS71" s="292"/>
      <c r="QT71" s="292"/>
      <c r="QU71" s="292"/>
      <c r="QV71" s="292"/>
      <c r="QW71" s="292"/>
      <c r="QX71" s="292"/>
      <c r="QY71" s="292"/>
      <c r="QZ71" s="292"/>
      <c r="RA71" s="292"/>
      <c r="RB71" s="292"/>
      <c r="RC71" s="292"/>
      <c r="RD71" s="292"/>
      <c r="RE71" s="292"/>
      <c r="RF71" s="292"/>
      <c r="RG71" s="292"/>
      <c r="RH71" s="292"/>
      <c r="RI71" s="292"/>
      <c r="RJ71" s="292"/>
      <c r="RK71" s="292"/>
      <c r="RL71" s="292"/>
      <c r="RM71" s="292"/>
      <c r="RN71" s="292"/>
      <c r="RO71" s="292"/>
      <c r="RP71" s="292"/>
      <c r="RQ71" s="292"/>
      <c r="RR71" s="292"/>
      <c r="RS71" s="292"/>
      <c r="RT71" s="292"/>
      <c r="RU71" s="292"/>
      <c r="RV71" s="292"/>
      <c r="RW71" s="292"/>
      <c r="RX71" s="292"/>
      <c r="RY71" s="292"/>
      <c r="RZ71" s="292"/>
      <c r="SA71" s="292"/>
      <c r="SB71" s="292"/>
      <c r="SC71" s="292"/>
      <c r="SD71" s="292"/>
      <c r="SE71" s="292"/>
      <c r="SF71" s="292"/>
      <c r="SG71" s="292"/>
      <c r="SH71" s="292"/>
      <c r="SI71" s="292"/>
      <c r="SJ71" s="292"/>
      <c r="SK71" s="292"/>
      <c r="SL71" s="292"/>
      <c r="SM71" s="292"/>
      <c r="SN71" s="292"/>
      <c r="SO71" s="292"/>
      <c r="SP71" s="292"/>
      <c r="SQ71" s="292"/>
      <c r="SR71" s="292"/>
      <c r="SS71" s="292"/>
      <c r="ST71" s="292"/>
      <c r="SU71" s="292"/>
    </row>
    <row r="72" spans="1:515" s="538" customFormat="1" ht="23.15" customHeight="1" x14ac:dyDescent="0.25">
      <c r="A72" s="1323" t="s">
        <v>375</v>
      </c>
      <c r="B72" s="1324"/>
      <c r="C72" s="1324"/>
      <c r="D72" s="957"/>
      <c r="E72" s="1296">
        <f>E63+G68</f>
        <v>0</v>
      </c>
      <c r="F72" s="1296"/>
      <c r="G72" s="1296"/>
      <c r="H72" s="957"/>
      <c r="I72" s="1296">
        <f>I63+K68</f>
        <v>0</v>
      </c>
      <c r="J72" s="1296"/>
      <c r="K72" s="1296"/>
      <c r="L72" s="957"/>
      <c r="M72" s="1296">
        <f>M63+O68</f>
        <v>0</v>
      </c>
      <c r="N72" s="1296"/>
      <c r="O72" s="1296"/>
      <c r="P72" s="957"/>
      <c r="Q72" s="1296">
        <f>Q63+S68</f>
        <v>0</v>
      </c>
      <c r="R72" s="1296"/>
      <c r="S72" s="1296"/>
      <c r="T72" s="957"/>
      <c r="U72" s="1296">
        <f>U63+W68</f>
        <v>0</v>
      </c>
      <c r="V72" s="1296"/>
      <c r="W72" s="1296"/>
      <c r="X72" s="957"/>
      <c r="Y72" s="1296">
        <f>Y63+AA68</f>
        <v>0</v>
      </c>
      <c r="Z72" s="1296"/>
      <c r="AA72" s="1296"/>
      <c r="AB72" s="976"/>
      <c r="AC72" s="1144"/>
      <c r="AD72" s="1176">
        <f>E72+I72+M72+Q72+U72+Y72</f>
        <v>0</v>
      </c>
      <c r="AE72" s="971"/>
      <c r="AF72" s="292"/>
      <c r="AG72" s="292"/>
      <c r="AH72" s="292"/>
      <c r="AI72" s="292"/>
      <c r="AJ72" s="292"/>
      <c r="AK72" s="292"/>
      <c r="AL72" s="292"/>
      <c r="AM72" s="292"/>
      <c r="AN72" s="292"/>
      <c r="AO72" s="292"/>
      <c r="AP72" s="292"/>
      <c r="AQ72" s="292"/>
      <c r="AR72" s="292"/>
      <c r="AS72" s="292"/>
      <c r="AT72" s="292"/>
      <c r="AU72" s="292"/>
      <c r="AV72" s="292"/>
      <c r="AW72" s="292"/>
      <c r="AX72" s="292"/>
      <c r="AY72" s="292"/>
      <c r="AZ72" s="292"/>
      <c r="BA72" s="292"/>
      <c r="BB72" s="292"/>
      <c r="BC72" s="292"/>
      <c r="BD72" s="292"/>
      <c r="BE72" s="292"/>
      <c r="BF72" s="292"/>
      <c r="BG72" s="292"/>
      <c r="BH72" s="292"/>
      <c r="BI72" s="292"/>
      <c r="BJ72" s="292"/>
      <c r="BK72" s="292"/>
      <c r="BL72" s="292"/>
      <c r="BM72" s="292"/>
      <c r="BN72" s="292"/>
      <c r="BO72" s="292"/>
      <c r="BP72" s="292"/>
      <c r="BQ72" s="292"/>
      <c r="BR72" s="292"/>
      <c r="BS72" s="292"/>
      <c r="BT72" s="292"/>
      <c r="BU72" s="292"/>
      <c r="BV72" s="292"/>
      <c r="BW72" s="292"/>
      <c r="BX72" s="292"/>
      <c r="BY72" s="292"/>
      <c r="BZ72" s="292"/>
      <c r="CA72" s="292"/>
      <c r="CB72" s="292"/>
      <c r="CC72" s="292"/>
      <c r="CD72" s="292"/>
      <c r="CE72" s="292"/>
      <c r="CF72" s="292"/>
      <c r="CG72" s="292"/>
      <c r="CH72" s="292"/>
      <c r="CI72" s="292"/>
      <c r="CJ72" s="292"/>
      <c r="CK72" s="292"/>
      <c r="CL72" s="292"/>
      <c r="CM72" s="292"/>
      <c r="CN72" s="292"/>
      <c r="CO72" s="292"/>
      <c r="CP72" s="292"/>
      <c r="CQ72" s="292"/>
      <c r="CR72" s="292"/>
      <c r="CS72" s="292"/>
      <c r="CT72" s="292"/>
      <c r="CU72" s="292"/>
      <c r="CV72" s="292"/>
      <c r="CW72" s="292"/>
      <c r="CX72" s="292"/>
      <c r="CY72" s="292"/>
      <c r="CZ72" s="292"/>
      <c r="DA72" s="292"/>
      <c r="DB72" s="292"/>
      <c r="DC72" s="292"/>
      <c r="DD72" s="292"/>
      <c r="DE72" s="292"/>
      <c r="DF72" s="292"/>
      <c r="DG72" s="292"/>
      <c r="DH72" s="292"/>
      <c r="DI72" s="292"/>
      <c r="DJ72" s="292"/>
      <c r="DK72" s="292"/>
      <c r="DL72" s="292"/>
      <c r="DM72" s="292"/>
      <c r="DN72" s="292"/>
      <c r="DO72" s="292"/>
      <c r="DP72" s="292"/>
      <c r="DQ72" s="292"/>
      <c r="DR72" s="292"/>
      <c r="DS72" s="292"/>
      <c r="DT72" s="292"/>
      <c r="DU72" s="292"/>
      <c r="DV72" s="292"/>
      <c r="DW72" s="292"/>
      <c r="DX72" s="292"/>
      <c r="DY72" s="292"/>
      <c r="DZ72" s="292"/>
      <c r="EA72" s="292"/>
      <c r="EB72" s="292"/>
      <c r="EC72" s="292"/>
      <c r="ED72" s="292"/>
      <c r="EE72" s="292"/>
      <c r="EF72" s="292"/>
      <c r="EG72" s="292"/>
      <c r="EH72" s="292"/>
      <c r="EI72" s="292"/>
      <c r="EJ72" s="292"/>
      <c r="EK72" s="292"/>
      <c r="EL72" s="292"/>
      <c r="EM72" s="292"/>
      <c r="EN72" s="292"/>
      <c r="EO72" s="292"/>
      <c r="EP72" s="292"/>
      <c r="EQ72" s="292"/>
      <c r="ER72" s="292"/>
      <c r="ES72" s="292"/>
      <c r="ET72" s="292"/>
      <c r="EU72" s="292"/>
      <c r="EV72" s="292"/>
      <c r="EW72" s="292"/>
      <c r="EX72" s="292"/>
      <c r="EY72" s="292"/>
      <c r="EZ72" s="292"/>
      <c r="FA72" s="292"/>
      <c r="FB72" s="292"/>
      <c r="FC72" s="292"/>
      <c r="FD72" s="292"/>
      <c r="FE72" s="292"/>
      <c r="FF72" s="292"/>
      <c r="FG72" s="292"/>
      <c r="FH72" s="292"/>
      <c r="FI72" s="292"/>
      <c r="FJ72" s="292"/>
      <c r="FK72" s="292"/>
      <c r="FL72" s="292"/>
      <c r="FM72" s="292"/>
      <c r="FN72" s="292"/>
      <c r="FO72" s="292"/>
      <c r="FP72" s="292"/>
      <c r="FQ72" s="292"/>
      <c r="FR72" s="292"/>
      <c r="FS72" s="292"/>
      <c r="FT72" s="292"/>
      <c r="FU72" s="292"/>
      <c r="FV72" s="292"/>
      <c r="FW72" s="292"/>
      <c r="FX72" s="292"/>
      <c r="FY72" s="292"/>
      <c r="FZ72" s="292"/>
      <c r="GA72" s="292"/>
      <c r="GB72" s="292"/>
      <c r="GC72" s="292"/>
      <c r="GD72" s="292"/>
      <c r="GE72" s="292"/>
      <c r="GF72" s="292"/>
      <c r="GG72" s="292"/>
      <c r="GH72" s="292"/>
      <c r="GI72" s="292"/>
      <c r="GJ72" s="292"/>
      <c r="GK72" s="292"/>
      <c r="GL72" s="292"/>
      <c r="GM72" s="292"/>
      <c r="GN72" s="292"/>
      <c r="GO72" s="292"/>
      <c r="GP72" s="292"/>
      <c r="GQ72" s="292"/>
      <c r="GR72" s="292"/>
      <c r="GS72" s="292"/>
      <c r="GT72" s="292"/>
      <c r="GU72" s="292"/>
      <c r="GV72" s="292"/>
      <c r="GW72" s="292"/>
      <c r="GX72" s="292"/>
      <c r="GY72" s="292"/>
      <c r="GZ72" s="292"/>
      <c r="HA72" s="292"/>
      <c r="HB72" s="292"/>
      <c r="HC72" s="292"/>
      <c r="HD72" s="292"/>
      <c r="HE72" s="292"/>
      <c r="HF72" s="292"/>
      <c r="HG72" s="292"/>
      <c r="HH72" s="292"/>
      <c r="HI72" s="292"/>
      <c r="HJ72" s="292"/>
      <c r="HK72" s="292"/>
      <c r="HL72" s="292"/>
      <c r="HM72" s="292"/>
      <c r="HN72" s="292"/>
      <c r="HO72" s="292"/>
      <c r="HP72" s="292"/>
      <c r="HQ72" s="292"/>
      <c r="HR72" s="292"/>
      <c r="HS72" s="292"/>
      <c r="HT72" s="292"/>
      <c r="HU72" s="292"/>
      <c r="HV72" s="292"/>
      <c r="HW72" s="292"/>
      <c r="HX72" s="292"/>
      <c r="HY72" s="292"/>
      <c r="HZ72" s="292"/>
      <c r="IA72" s="292"/>
      <c r="IB72" s="292"/>
      <c r="IC72" s="292"/>
      <c r="ID72" s="292"/>
      <c r="IE72" s="292"/>
      <c r="IF72" s="292"/>
      <c r="IG72" s="292"/>
      <c r="IH72" s="292"/>
      <c r="II72" s="292"/>
      <c r="IJ72" s="292"/>
      <c r="IK72" s="292"/>
      <c r="IL72" s="292"/>
      <c r="IM72" s="292"/>
      <c r="IN72" s="292"/>
      <c r="IO72" s="292"/>
      <c r="IP72" s="292"/>
      <c r="IQ72" s="292"/>
      <c r="IR72" s="292"/>
      <c r="IS72" s="292"/>
      <c r="IT72" s="292"/>
      <c r="IU72" s="292"/>
      <c r="IV72" s="292"/>
      <c r="IW72" s="292"/>
      <c r="IX72" s="292"/>
      <c r="IY72" s="292"/>
      <c r="IZ72" s="292"/>
      <c r="JA72" s="292"/>
      <c r="JB72" s="292"/>
      <c r="JC72" s="292"/>
      <c r="JD72" s="292"/>
      <c r="JE72" s="292"/>
      <c r="JF72" s="292"/>
      <c r="JG72" s="292"/>
      <c r="JH72" s="292"/>
      <c r="JI72" s="292"/>
      <c r="JJ72" s="292"/>
      <c r="JK72" s="292"/>
      <c r="JL72" s="292"/>
      <c r="JM72" s="292"/>
      <c r="JN72" s="292"/>
      <c r="JO72" s="292"/>
      <c r="JP72" s="292"/>
      <c r="JQ72" s="292"/>
      <c r="JR72" s="292"/>
      <c r="JS72" s="292"/>
      <c r="JT72" s="292"/>
      <c r="JU72" s="292"/>
      <c r="JV72" s="292"/>
      <c r="JW72" s="292"/>
      <c r="JX72" s="292"/>
      <c r="JY72" s="292"/>
      <c r="JZ72" s="292"/>
      <c r="KA72" s="292"/>
      <c r="KB72" s="292"/>
      <c r="KC72" s="292"/>
      <c r="KD72" s="292"/>
      <c r="KE72" s="292"/>
      <c r="KF72" s="292"/>
      <c r="KG72" s="292"/>
      <c r="KH72" s="292"/>
      <c r="KI72" s="292"/>
      <c r="KJ72" s="292"/>
      <c r="KK72" s="292"/>
      <c r="KL72" s="292"/>
      <c r="KM72" s="292"/>
      <c r="KN72" s="292"/>
      <c r="KO72" s="292"/>
      <c r="KP72" s="292"/>
      <c r="KQ72" s="292"/>
      <c r="KR72" s="292"/>
      <c r="KS72" s="292"/>
      <c r="KT72" s="292"/>
      <c r="KU72" s="292"/>
      <c r="KV72" s="292"/>
      <c r="KW72" s="292"/>
      <c r="KX72" s="292"/>
      <c r="KY72" s="292"/>
      <c r="KZ72" s="292"/>
      <c r="LA72" s="292"/>
      <c r="LB72" s="292"/>
      <c r="LC72" s="292"/>
      <c r="LD72" s="292"/>
      <c r="LE72" s="292"/>
      <c r="LF72" s="292"/>
      <c r="LG72" s="292"/>
      <c r="LH72" s="292"/>
      <c r="LI72" s="292"/>
      <c r="LJ72" s="292"/>
      <c r="LK72" s="292"/>
      <c r="LL72" s="292"/>
      <c r="LM72" s="292"/>
      <c r="LN72" s="292"/>
      <c r="LO72" s="292"/>
      <c r="LP72" s="292"/>
      <c r="LQ72" s="292"/>
      <c r="LR72" s="292"/>
      <c r="LS72" s="292"/>
      <c r="LT72" s="292"/>
      <c r="LU72" s="292"/>
      <c r="LV72" s="292"/>
      <c r="LW72" s="292"/>
      <c r="LX72" s="292"/>
      <c r="LY72" s="292"/>
      <c r="LZ72" s="292"/>
      <c r="MA72" s="292"/>
      <c r="MB72" s="292"/>
      <c r="MC72" s="292"/>
      <c r="MD72" s="292"/>
      <c r="ME72" s="292"/>
      <c r="MF72" s="292"/>
      <c r="MG72" s="292"/>
      <c r="MH72" s="292"/>
      <c r="MI72" s="292"/>
      <c r="MJ72" s="292"/>
      <c r="MK72" s="292"/>
      <c r="ML72" s="292"/>
      <c r="MM72" s="292"/>
      <c r="MN72" s="292"/>
      <c r="MO72" s="292"/>
      <c r="MP72" s="292"/>
      <c r="MQ72" s="292"/>
      <c r="MR72" s="292"/>
      <c r="MS72" s="292"/>
      <c r="MT72" s="292"/>
      <c r="MU72" s="292"/>
      <c r="MV72" s="292"/>
      <c r="MW72" s="292"/>
      <c r="MX72" s="292"/>
      <c r="MY72" s="292"/>
      <c r="MZ72" s="292"/>
      <c r="NA72" s="292"/>
      <c r="NB72" s="292"/>
      <c r="NC72" s="292"/>
      <c r="ND72" s="292"/>
      <c r="NE72" s="292"/>
      <c r="NF72" s="292"/>
      <c r="NG72" s="292"/>
      <c r="NH72" s="292"/>
      <c r="NI72" s="292"/>
      <c r="NJ72" s="292"/>
      <c r="NK72" s="292"/>
      <c r="NL72" s="292"/>
      <c r="NM72" s="292"/>
      <c r="NN72" s="292"/>
      <c r="NO72" s="292"/>
      <c r="NP72" s="292"/>
      <c r="NQ72" s="292"/>
      <c r="NR72" s="292"/>
      <c r="NS72" s="292"/>
      <c r="NT72" s="292"/>
      <c r="NU72" s="292"/>
      <c r="NV72" s="292"/>
      <c r="NW72" s="292"/>
      <c r="NX72" s="292"/>
      <c r="NY72" s="292"/>
      <c r="NZ72" s="292"/>
      <c r="OA72" s="292"/>
      <c r="OB72" s="292"/>
      <c r="OC72" s="292"/>
      <c r="OD72" s="292"/>
      <c r="OE72" s="292"/>
      <c r="OF72" s="292"/>
      <c r="OG72" s="292"/>
      <c r="OH72" s="292"/>
      <c r="OI72" s="292"/>
      <c r="OJ72" s="292"/>
      <c r="OK72" s="292"/>
      <c r="OL72" s="292"/>
      <c r="OM72" s="292"/>
      <c r="ON72" s="292"/>
      <c r="OO72" s="292"/>
      <c r="OP72" s="292"/>
      <c r="OQ72" s="292"/>
      <c r="OR72" s="292"/>
      <c r="OS72" s="292"/>
      <c r="OT72" s="292"/>
      <c r="OU72" s="292"/>
      <c r="OV72" s="292"/>
      <c r="OW72" s="292"/>
      <c r="OX72" s="292"/>
      <c r="OY72" s="292"/>
      <c r="OZ72" s="292"/>
      <c r="PA72" s="292"/>
      <c r="PB72" s="292"/>
      <c r="PC72" s="292"/>
      <c r="PD72" s="292"/>
      <c r="PE72" s="292"/>
      <c r="PF72" s="292"/>
      <c r="PG72" s="292"/>
      <c r="PH72" s="292"/>
      <c r="PI72" s="292"/>
      <c r="PJ72" s="292"/>
      <c r="PK72" s="292"/>
      <c r="PL72" s="292"/>
      <c r="PM72" s="292"/>
      <c r="PN72" s="292"/>
      <c r="PO72" s="292"/>
      <c r="PP72" s="292"/>
      <c r="PQ72" s="292"/>
      <c r="PR72" s="292"/>
      <c r="PS72" s="292"/>
      <c r="PT72" s="292"/>
      <c r="PU72" s="292"/>
      <c r="PV72" s="292"/>
      <c r="PW72" s="292"/>
      <c r="PX72" s="292"/>
      <c r="PY72" s="292"/>
      <c r="PZ72" s="292"/>
      <c r="QA72" s="292"/>
      <c r="QB72" s="292"/>
      <c r="QC72" s="292"/>
      <c r="QD72" s="292"/>
      <c r="QE72" s="292"/>
      <c r="QF72" s="292"/>
      <c r="QG72" s="292"/>
      <c r="QH72" s="292"/>
      <c r="QI72" s="292"/>
      <c r="QJ72" s="292"/>
      <c r="QK72" s="292"/>
      <c r="QL72" s="292"/>
      <c r="QM72" s="292"/>
      <c r="QN72" s="292"/>
      <c r="QO72" s="292"/>
      <c r="QP72" s="292"/>
      <c r="QQ72" s="292"/>
      <c r="QR72" s="292"/>
      <c r="QS72" s="292"/>
      <c r="QT72" s="292"/>
      <c r="QU72" s="292"/>
      <c r="QV72" s="292"/>
      <c r="QW72" s="292"/>
      <c r="QX72" s="292"/>
      <c r="QY72" s="292"/>
      <c r="QZ72" s="292"/>
      <c r="RA72" s="292"/>
      <c r="RB72" s="292"/>
      <c r="RC72" s="292"/>
      <c r="RD72" s="292"/>
      <c r="RE72" s="292"/>
      <c r="RF72" s="292"/>
      <c r="RG72" s="292"/>
      <c r="RH72" s="292"/>
      <c r="RI72" s="292"/>
      <c r="RJ72" s="292"/>
      <c r="RK72" s="292"/>
      <c r="RL72" s="292"/>
      <c r="RM72" s="292"/>
      <c r="RN72" s="292"/>
      <c r="RO72" s="292"/>
      <c r="RP72" s="292"/>
      <c r="RQ72" s="292"/>
      <c r="RR72" s="292"/>
      <c r="RS72" s="292"/>
      <c r="RT72" s="292"/>
      <c r="RU72" s="292"/>
      <c r="RV72" s="292"/>
      <c r="RW72" s="292"/>
      <c r="RX72" s="292"/>
      <c r="RY72" s="292"/>
      <c r="RZ72" s="292"/>
      <c r="SA72" s="292"/>
      <c r="SB72" s="292"/>
      <c r="SC72" s="292"/>
      <c r="SD72" s="292"/>
      <c r="SE72" s="292"/>
      <c r="SF72" s="292"/>
      <c r="SG72" s="292"/>
      <c r="SH72" s="292"/>
      <c r="SI72" s="292"/>
      <c r="SJ72" s="292"/>
      <c r="SK72" s="292"/>
      <c r="SL72" s="292"/>
      <c r="SM72" s="292"/>
      <c r="SN72" s="292"/>
      <c r="SO72" s="292"/>
      <c r="SP72" s="292"/>
      <c r="SQ72" s="292"/>
      <c r="SR72" s="292"/>
      <c r="SS72" s="292"/>
      <c r="ST72" s="292"/>
      <c r="SU72" s="292"/>
    </row>
    <row r="73" spans="1:515" s="538" customFormat="1" ht="15" customHeight="1" x14ac:dyDescent="0.25">
      <c r="A73" s="986"/>
      <c r="B73" s="984"/>
      <c r="C73" s="984"/>
      <c r="D73" s="957"/>
      <c r="E73" s="981"/>
      <c r="F73" s="981"/>
      <c r="G73" s="981"/>
      <c r="H73" s="957"/>
      <c r="I73" s="981"/>
      <c r="J73" s="981"/>
      <c r="K73" s="981"/>
      <c r="L73" s="957"/>
      <c r="M73" s="981"/>
      <c r="N73" s="981"/>
      <c r="O73" s="981"/>
      <c r="P73" s="957"/>
      <c r="Q73" s="981"/>
      <c r="R73" s="981"/>
      <c r="S73" s="981"/>
      <c r="T73" s="957"/>
      <c r="U73" s="981"/>
      <c r="V73" s="981"/>
      <c r="W73" s="981"/>
      <c r="X73" s="957"/>
      <c r="Y73" s="981"/>
      <c r="Z73" s="981"/>
      <c r="AA73" s="981"/>
      <c r="AB73" s="976"/>
      <c r="AC73" s="1144"/>
      <c r="AD73" s="981"/>
      <c r="AE73" s="971"/>
      <c r="AF73" s="292"/>
      <c r="AG73" s="292"/>
      <c r="AH73" s="292"/>
      <c r="AI73" s="292"/>
      <c r="AJ73" s="292"/>
      <c r="AK73" s="292"/>
      <c r="AL73" s="292"/>
      <c r="AM73" s="292"/>
      <c r="AN73" s="292"/>
      <c r="AO73" s="292"/>
      <c r="AP73" s="292"/>
      <c r="AQ73" s="292"/>
      <c r="AR73" s="292"/>
      <c r="AS73" s="292"/>
      <c r="AT73" s="292"/>
      <c r="AU73" s="292"/>
      <c r="AV73" s="292"/>
      <c r="AW73" s="292"/>
      <c r="AX73" s="292"/>
      <c r="AY73" s="292"/>
      <c r="AZ73" s="292"/>
      <c r="BA73" s="292"/>
      <c r="BB73" s="292"/>
      <c r="BC73" s="292"/>
      <c r="BD73" s="292"/>
      <c r="BE73" s="292"/>
      <c r="BF73" s="292"/>
      <c r="BG73" s="292"/>
      <c r="BH73" s="292"/>
      <c r="BI73" s="292"/>
      <c r="BJ73" s="292"/>
      <c r="BK73" s="292"/>
      <c r="BL73" s="292"/>
      <c r="BM73" s="292"/>
      <c r="BN73" s="292"/>
      <c r="BO73" s="292"/>
      <c r="BP73" s="292"/>
      <c r="BQ73" s="292"/>
      <c r="BR73" s="292"/>
      <c r="BS73" s="292"/>
      <c r="BT73" s="292"/>
      <c r="BU73" s="292"/>
      <c r="BV73" s="292"/>
      <c r="BW73" s="292"/>
      <c r="BX73" s="292"/>
      <c r="BY73" s="292"/>
      <c r="BZ73" s="292"/>
      <c r="CA73" s="292"/>
      <c r="CB73" s="292"/>
      <c r="CC73" s="292"/>
      <c r="CD73" s="292"/>
      <c r="CE73" s="292"/>
      <c r="CF73" s="292"/>
      <c r="CG73" s="292"/>
      <c r="CH73" s="292"/>
      <c r="CI73" s="292"/>
      <c r="CJ73" s="292"/>
      <c r="CK73" s="292"/>
      <c r="CL73" s="292"/>
      <c r="CM73" s="292"/>
      <c r="CN73" s="292"/>
      <c r="CO73" s="292"/>
      <c r="CP73" s="292"/>
      <c r="CQ73" s="292"/>
      <c r="CR73" s="292"/>
      <c r="CS73" s="292"/>
      <c r="CT73" s="292"/>
      <c r="CU73" s="292"/>
      <c r="CV73" s="292"/>
      <c r="CW73" s="292"/>
      <c r="CX73" s="292"/>
      <c r="CY73" s="292"/>
      <c r="CZ73" s="292"/>
      <c r="DA73" s="292"/>
      <c r="DB73" s="292"/>
      <c r="DC73" s="292"/>
      <c r="DD73" s="292"/>
      <c r="DE73" s="292"/>
      <c r="DF73" s="292"/>
      <c r="DG73" s="292"/>
      <c r="DH73" s="292"/>
      <c r="DI73" s="292"/>
      <c r="DJ73" s="292"/>
      <c r="DK73" s="292"/>
      <c r="DL73" s="292"/>
      <c r="DM73" s="292"/>
      <c r="DN73" s="292"/>
      <c r="DO73" s="292"/>
      <c r="DP73" s="292"/>
      <c r="DQ73" s="292"/>
      <c r="DR73" s="292"/>
      <c r="DS73" s="292"/>
      <c r="DT73" s="292"/>
      <c r="DU73" s="292"/>
      <c r="DV73" s="292"/>
      <c r="DW73" s="292"/>
      <c r="DX73" s="292"/>
      <c r="DY73" s="292"/>
      <c r="DZ73" s="292"/>
      <c r="EA73" s="292"/>
      <c r="EB73" s="292"/>
      <c r="EC73" s="292"/>
      <c r="ED73" s="292"/>
      <c r="EE73" s="292"/>
      <c r="EF73" s="292"/>
      <c r="EG73" s="292"/>
      <c r="EH73" s="292"/>
      <c r="EI73" s="292"/>
      <c r="EJ73" s="292"/>
      <c r="EK73" s="292"/>
      <c r="EL73" s="292"/>
      <c r="EM73" s="292"/>
      <c r="EN73" s="292"/>
      <c r="EO73" s="292"/>
      <c r="EP73" s="292"/>
      <c r="EQ73" s="292"/>
      <c r="ER73" s="292"/>
      <c r="ES73" s="292"/>
      <c r="ET73" s="292"/>
      <c r="EU73" s="292"/>
      <c r="EV73" s="292"/>
      <c r="EW73" s="292"/>
      <c r="EX73" s="292"/>
      <c r="EY73" s="292"/>
      <c r="EZ73" s="292"/>
      <c r="FA73" s="292"/>
      <c r="FB73" s="292"/>
      <c r="FC73" s="292"/>
      <c r="FD73" s="292"/>
      <c r="FE73" s="292"/>
      <c r="FF73" s="292"/>
      <c r="FG73" s="292"/>
      <c r="FH73" s="292"/>
      <c r="FI73" s="292"/>
      <c r="FJ73" s="292"/>
      <c r="FK73" s="292"/>
      <c r="FL73" s="292"/>
      <c r="FM73" s="292"/>
      <c r="FN73" s="292"/>
      <c r="FO73" s="292"/>
      <c r="FP73" s="292"/>
      <c r="FQ73" s="292"/>
      <c r="FR73" s="292"/>
      <c r="FS73" s="292"/>
      <c r="FT73" s="292"/>
      <c r="FU73" s="292"/>
      <c r="FV73" s="292"/>
      <c r="FW73" s="292"/>
      <c r="FX73" s="292"/>
      <c r="FY73" s="292"/>
      <c r="FZ73" s="292"/>
      <c r="GA73" s="292"/>
      <c r="GB73" s="292"/>
      <c r="GC73" s="292"/>
      <c r="GD73" s="292"/>
      <c r="GE73" s="292"/>
      <c r="GF73" s="292"/>
      <c r="GG73" s="292"/>
      <c r="GH73" s="292"/>
      <c r="GI73" s="292"/>
      <c r="GJ73" s="292"/>
      <c r="GK73" s="292"/>
      <c r="GL73" s="292"/>
      <c r="GM73" s="292"/>
      <c r="GN73" s="292"/>
      <c r="GO73" s="292"/>
      <c r="GP73" s="292"/>
      <c r="GQ73" s="292"/>
      <c r="GR73" s="292"/>
      <c r="GS73" s="292"/>
      <c r="GT73" s="292"/>
      <c r="GU73" s="292"/>
      <c r="GV73" s="292"/>
      <c r="GW73" s="292"/>
      <c r="GX73" s="292"/>
      <c r="GY73" s="292"/>
      <c r="GZ73" s="292"/>
      <c r="HA73" s="292"/>
      <c r="HB73" s="292"/>
      <c r="HC73" s="292"/>
      <c r="HD73" s="292"/>
      <c r="HE73" s="292"/>
      <c r="HF73" s="292"/>
      <c r="HG73" s="292"/>
      <c r="HH73" s="292"/>
      <c r="HI73" s="292"/>
      <c r="HJ73" s="292"/>
      <c r="HK73" s="292"/>
      <c r="HL73" s="292"/>
      <c r="HM73" s="292"/>
      <c r="HN73" s="292"/>
      <c r="HO73" s="292"/>
      <c r="HP73" s="292"/>
      <c r="HQ73" s="292"/>
      <c r="HR73" s="292"/>
      <c r="HS73" s="292"/>
      <c r="HT73" s="292"/>
      <c r="HU73" s="292"/>
      <c r="HV73" s="292"/>
      <c r="HW73" s="292"/>
      <c r="HX73" s="292"/>
      <c r="HY73" s="292"/>
      <c r="HZ73" s="292"/>
      <c r="IA73" s="292"/>
      <c r="IB73" s="292"/>
      <c r="IC73" s="292"/>
      <c r="ID73" s="292"/>
      <c r="IE73" s="292"/>
      <c r="IF73" s="292"/>
      <c r="IG73" s="292"/>
      <c r="IH73" s="292"/>
      <c r="II73" s="292"/>
      <c r="IJ73" s="292"/>
      <c r="IK73" s="292"/>
      <c r="IL73" s="292"/>
      <c r="IM73" s="292"/>
      <c r="IN73" s="292"/>
      <c r="IO73" s="292"/>
      <c r="IP73" s="292"/>
      <c r="IQ73" s="292"/>
      <c r="IR73" s="292"/>
      <c r="IS73" s="292"/>
      <c r="IT73" s="292"/>
      <c r="IU73" s="292"/>
      <c r="IV73" s="292"/>
      <c r="IW73" s="292"/>
      <c r="IX73" s="292"/>
      <c r="IY73" s="292"/>
      <c r="IZ73" s="292"/>
      <c r="JA73" s="292"/>
      <c r="JB73" s="292"/>
      <c r="JC73" s="292"/>
      <c r="JD73" s="292"/>
      <c r="JE73" s="292"/>
      <c r="JF73" s="292"/>
      <c r="JG73" s="292"/>
      <c r="JH73" s="292"/>
      <c r="JI73" s="292"/>
      <c r="JJ73" s="292"/>
      <c r="JK73" s="292"/>
      <c r="JL73" s="292"/>
      <c r="JM73" s="292"/>
      <c r="JN73" s="292"/>
      <c r="JO73" s="292"/>
      <c r="JP73" s="292"/>
      <c r="JQ73" s="292"/>
      <c r="JR73" s="292"/>
      <c r="JS73" s="292"/>
      <c r="JT73" s="292"/>
      <c r="JU73" s="292"/>
      <c r="JV73" s="292"/>
      <c r="JW73" s="292"/>
      <c r="JX73" s="292"/>
      <c r="JY73" s="292"/>
      <c r="JZ73" s="292"/>
      <c r="KA73" s="292"/>
      <c r="KB73" s="292"/>
      <c r="KC73" s="292"/>
      <c r="KD73" s="292"/>
      <c r="KE73" s="292"/>
      <c r="KF73" s="292"/>
      <c r="KG73" s="292"/>
      <c r="KH73" s="292"/>
      <c r="KI73" s="292"/>
      <c r="KJ73" s="292"/>
      <c r="KK73" s="292"/>
      <c r="KL73" s="292"/>
      <c r="KM73" s="292"/>
      <c r="KN73" s="292"/>
      <c r="KO73" s="292"/>
      <c r="KP73" s="292"/>
      <c r="KQ73" s="292"/>
      <c r="KR73" s="292"/>
      <c r="KS73" s="292"/>
      <c r="KT73" s="292"/>
      <c r="KU73" s="292"/>
      <c r="KV73" s="292"/>
      <c r="KW73" s="292"/>
      <c r="KX73" s="292"/>
      <c r="KY73" s="292"/>
      <c r="KZ73" s="292"/>
      <c r="LA73" s="292"/>
      <c r="LB73" s="292"/>
      <c r="LC73" s="292"/>
      <c r="LD73" s="292"/>
      <c r="LE73" s="292"/>
      <c r="LF73" s="292"/>
      <c r="LG73" s="292"/>
      <c r="LH73" s="292"/>
      <c r="LI73" s="292"/>
      <c r="LJ73" s="292"/>
      <c r="LK73" s="292"/>
      <c r="LL73" s="292"/>
      <c r="LM73" s="292"/>
      <c r="LN73" s="292"/>
      <c r="LO73" s="292"/>
      <c r="LP73" s="292"/>
      <c r="LQ73" s="292"/>
      <c r="LR73" s="292"/>
      <c r="LS73" s="292"/>
      <c r="LT73" s="292"/>
      <c r="LU73" s="292"/>
      <c r="LV73" s="292"/>
      <c r="LW73" s="292"/>
      <c r="LX73" s="292"/>
      <c r="LY73" s="292"/>
      <c r="LZ73" s="292"/>
      <c r="MA73" s="292"/>
      <c r="MB73" s="292"/>
      <c r="MC73" s="292"/>
      <c r="MD73" s="292"/>
      <c r="ME73" s="292"/>
      <c r="MF73" s="292"/>
      <c r="MG73" s="292"/>
      <c r="MH73" s="292"/>
      <c r="MI73" s="292"/>
      <c r="MJ73" s="292"/>
      <c r="MK73" s="292"/>
      <c r="ML73" s="292"/>
      <c r="MM73" s="292"/>
      <c r="MN73" s="292"/>
      <c r="MO73" s="292"/>
      <c r="MP73" s="292"/>
      <c r="MQ73" s="292"/>
      <c r="MR73" s="292"/>
      <c r="MS73" s="292"/>
      <c r="MT73" s="292"/>
      <c r="MU73" s="292"/>
      <c r="MV73" s="292"/>
      <c r="MW73" s="292"/>
      <c r="MX73" s="292"/>
      <c r="MY73" s="292"/>
      <c r="MZ73" s="292"/>
      <c r="NA73" s="292"/>
      <c r="NB73" s="292"/>
      <c r="NC73" s="292"/>
      <c r="ND73" s="292"/>
      <c r="NE73" s="292"/>
      <c r="NF73" s="292"/>
      <c r="NG73" s="292"/>
      <c r="NH73" s="292"/>
      <c r="NI73" s="292"/>
      <c r="NJ73" s="292"/>
      <c r="NK73" s="292"/>
      <c r="NL73" s="292"/>
      <c r="NM73" s="292"/>
      <c r="NN73" s="292"/>
      <c r="NO73" s="292"/>
      <c r="NP73" s="292"/>
      <c r="NQ73" s="292"/>
      <c r="NR73" s="292"/>
      <c r="NS73" s="292"/>
      <c r="NT73" s="292"/>
      <c r="NU73" s="292"/>
      <c r="NV73" s="292"/>
      <c r="NW73" s="292"/>
      <c r="NX73" s="292"/>
      <c r="NY73" s="292"/>
      <c r="NZ73" s="292"/>
      <c r="OA73" s="292"/>
      <c r="OB73" s="292"/>
      <c r="OC73" s="292"/>
      <c r="OD73" s="292"/>
      <c r="OE73" s="292"/>
      <c r="OF73" s="292"/>
      <c r="OG73" s="292"/>
      <c r="OH73" s="292"/>
      <c r="OI73" s="292"/>
      <c r="OJ73" s="292"/>
      <c r="OK73" s="292"/>
      <c r="OL73" s="292"/>
      <c r="OM73" s="292"/>
      <c r="ON73" s="292"/>
      <c r="OO73" s="292"/>
      <c r="OP73" s="292"/>
      <c r="OQ73" s="292"/>
      <c r="OR73" s="292"/>
      <c r="OS73" s="292"/>
      <c r="OT73" s="292"/>
      <c r="OU73" s="292"/>
      <c r="OV73" s="292"/>
      <c r="OW73" s="292"/>
      <c r="OX73" s="292"/>
      <c r="OY73" s="292"/>
      <c r="OZ73" s="292"/>
      <c r="PA73" s="292"/>
      <c r="PB73" s="292"/>
      <c r="PC73" s="292"/>
      <c r="PD73" s="292"/>
      <c r="PE73" s="292"/>
      <c r="PF73" s="292"/>
      <c r="PG73" s="292"/>
      <c r="PH73" s="292"/>
      <c r="PI73" s="292"/>
      <c r="PJ73" s="292"/>
      <c r="PK73" s="292"/>
      <c r="PL73" s="292"/>
      <c r="PM73" s="292"/>
      <c r="PN73" s="292"/>
      <c r="PO73" s="292"/>
      <c r="PP73" s="292"/>
      <c r="PQ73" s="292"/>
      <c r="PR73" s="292"/>
      <c r="PS73" s="292"/>
      <c r="PT73" s="292"/>
      <c r="PU73" s="292"/>
      <c r="PV73" s="292"/>
      <c r="PW73" s="292"/>
      <c r="PX73" s="292"/>
      <c r="PY73" s="292"/>
      <c r="PZ73" s="292"/>
      <c r="QA73" s="292"/>
      <c r="QB73" s="292"/>
      <c r="QC73" s="292"/>
      <c r="QD73" s="292"/>
      <c r="QE73" s="292"/>
      <c r="QF73" s="292"/>
      <c r="QG73" s="292"/>
      <c r="QH73" s="292"/>
      <c r="QI73" s="292"/>
      <c r="QJ73" s="292"/>
      <c r="QK73" s="292"/>
      <c r="QL73" s="292"/>
      <c r="QM73" s="292"/>
      <c r="QN73" s="292"/>
      <c r="QO73" s="292"/>
      <c r="QP73" s="292"/>
      <c r="QQ73" s="292"/>
      <c r="QR73" s="292"/>
      <c r="QS73" s="292"/>
      <c r="QT73" s="292"/>
      <c r="QU73" s="292"/>
      <c r="QV73" s="292"/>
      <c r="QW73" s="292"/>
      <c r="QX73" s="292"/>
      <c r="QY73" s="292"/>
      <c r="QZ73" s="292"/>
      <c r="RA73" s="292"/>
      <c r="RB73" s="292"/>
      <c r="RC73" s="292"/>
      <c r="RD73" s="292"/>
      <c r="RE73" s="292"/>
      <c r="RF73" s="292"/>
      <c r="RG73" s="292"/>
      <c r="RH73" s="292"/>
      <c r="RI73" s="292"/>
      <c r="RJ73" s="292"/>
      <c r="RK73" s="292"/>
      <c r="RL73" s="292"/>
      <c r="RM73" s="292"/>
      <c r="RN73" s="292"/>
      <c r="RO73" s="292"/>
      <c r="RP73" s="292"/>
      <c r="RQ73" s="292"/>
      <c r="RR73" s="292"/>
      <c r="RS73" s="292"/>
      <c r="RT73" s="292"/>
      <c r="RU73" s="292"/>
      <c r="RV73" s="292"/>
      <c r="RW73" s="292"/>
      <c r="RX73" s="292"/>
      <c r="RY73" s="292"/>
      <c r="RZ73" s="292"/>
      <c r="SA73" s="292"/>
      <c r="SB73" s="292"/>
      <c r="SC73" s="292"/>
      <c r="SD73" s="292"/>
      <c r="SE73" s="292"/>
      <c r="SF73" s="292"/>
      <c r="SG73" s="292"/>
      <c r="SH73" s="292"/>
      <c r="SI73" s="292"/>
      <c r="SJ73" s="292"/>
      <c r="SK73" s="292"/>
      <c r="SL73" s="292"/>
      <c r="SM73" s="292"/>
      <c r="SN73" s="292"/>
      <c r="SO73" s="292"/>
      <c r="SP73" s="292"/>
      <c r="SQ73" s="292"/>
      <c r="SR73" s="292"/>
      <c r="SS73" s="292"/>
      <c r="ST73" s="292"/>
      <c r="SU73" s="292"/>
    </row>
    <row r="74" spans="1:515" s="627" customFormat="1" ht="23.15" customHeight="1" x14ac:dyDescent="0.25">
      <c r="A74" s="1353" t="s">
        <v>376</v>
      </c>
      <c r="B74" s="1354"/>
      <c r="C74" s="1354"/>
      <c r="D74" s="957"/>
      <c r="E74" s="1174" t="s">
        <v>15</v>
      </c>
      <c r="F74" s="1174" t="s">
        <v>363</v>
      </c>
      <c r="G74" s="1174" t="s">
        <v>377</v>
      </c>
      <c r="H74" s="957"/>
      <c r="I74" s="1174" t="s">
        <v>15</v>
      </c>
      <c r="J74" s="1174" t="s">
        <v>363</v>
      </c>
      <c r="K74" s="1174" t="s">
        <v>377</v>
      </c>
      <c r="L74" s="957"/>
      <c r="M74" s="1174" t="s">
        <v>15</v>
      </c>
      <c r="N74" s="1174" t="s">
        <v>363</v>
      </c>
      <c r="O74" s="1174" t="s">
        <v>377</v>
      </c>
      <c r="P74" s="957"/>
      <c r="Q74" s="1174" t="s">
        <v>15</v>
      </c>
      <c r="R74" s="1174" t="s">
        <v>363</v>
      </c>
      <c r="S74" s="1174" t="s">
        <v>377</v>
      </c>
      <c r="T74" s="957"/>
      <c r="U74" s="1174" t="s">
        <v>15</v>
      </c>
      <c r="V74" s="1174" t="s">
        <v>363</v>
      </c>
      <c r="W74" s="1174" t="s">
        <v>377</v>
      </c>
      <c r="X74" s="960"/>
      <c r="Y74" s="1174" t="s">
        <v>15</v>
      </c>
      <c r="Z74" s="1174" t="s">
        <v>363</v>
      </c>
      <c r="AA74" s="1174" t="s">
        <v>377</v>
      </c>
      <c r="AB74" s="957"/>
      <c r="AC74" s="957"/>
      <c r="AD74" s="1174" t="s">
        <v>377</v>
      </c>
      <c r="AE74" s="971"/>
      <c r="AF74" s="292"/>
      <c r="AG74" s="292"/>
      <c r="AH74" s="292"/>
      <c r="AI74" s="292"/>
      <c r="AJ74" s="292"/>
      <c r="AK74" s="292"/>
      <c r="AL74" s="292"/>
      <c r="AM74" s="292"/>
      <c r="AN74" s="292"/>
      <c r="AO74" s="292"/>
      <c r="AP74" s="292"/>
      <c r="AQ74" s="292"/>
      <c r="AR74" s="292"/>
      <c r="AS74" s="292"/>
      <c r="AT74" s="292"/>
      <c r="AU74" s="292"/>
      <c r="AV74" s="292"/>
      <c r="AW74" s="292"/>
      <c r="AX74" s="292"/>
      <c r="AY74" s="292"/>
      <c r="AZ74" s="292"/>
      <c r="BA74" s="292"/>
      <c r="BB74" s="292"/>
      <c r="BC74" s="292"/>
      <c r="BD74" s="292"/>
      <c r="BE74" s="292"/>
      <c r="BF74" s="292"/>
      <c r="BG74" s="292"/>
      <c r="BH74" s="292"/>
      <c r="BI74" s="292"/>
      <c r="BJ74" s="292"/>
      <c r="BK74" s="292"/>
      <c r="BL74" s="292"/>
      <c r="BM74" s="292"/>
      <c r="BN74" s="292"/>
      <c r="BO74" s="292"/>
      <c r="BP74" s="292"/>
      <c r="BQ74" s="292"/>
      <c r="BR74" s="292"/>
      <c r="BS74" s="292"/>
      <c r="BT74" s="292"/>
      <c r="BU74" s="292"/>
      <c r="BV74" s="292"/>
      <c r="BW74" s="292"/>
      <c r="BX74" s="292"/>
      <c r="BY74" s="292"/>
      <c r="BZ74" s="292"/>
      <c r="CA74" s="292"/>
      <c r="CB74" s="292"/>
      <c r="CC74" s="292"/>
      <c r="CD74" s="292"/>
      <c r="CE74" s="292"/>
      <c r="CF74" s="292"/>
      <c r="CG74" s="292"/>
      <c r="CH74" s="292"/>
      <c r="CI74" s="292"/>
      <c r="CJ74" s="292"/>
      <c r="CK74" s="292"/>
      <c r="CL74" s="292"/>
      <c r="CM74" s="292"/>
      <c r="CN74" s="292"/>
      <c r="CO74" s="292"/>
      <c r="CP74" s="292"/>
      <c r="CQ74" s="292"/>
      <c r="CR74" s="292"/>
      <c r="CS74" s="292"/>
      <c r="CT74" s="292"/>
      <c r="CU74" s="292"/>
      <c r="CV74" s="292"/>
      <c r="CW74" s="292"/>
      <c r="CX74" s="292"/>
      <c r="CY74" s="292"/>
      <c r="CZ74" s="292"/>
      <c r="DA74" s="292"/>
      <c r="DB74" s="292"/>
      <c r="DC74" s="292"/>
      <c r="DD74" s="292"/>
      <c r="DE74" s="292"/>
      <c r="DF74" s="292"/>
      <c r="DG74" s="292"/>
      <c r="DH74" s="292"/>
      <c r="DI74" s="292"/>
      <c r="DJ74" s="292"/>
      <c r="DK74" s="292"/>
      <c r="DL74" s="292"/>
      <c r="DM74" s="292"/>
      <c r="DN74" s="292"/>
      <c r="DO74" s="292"/>
      <c r="DP74" s="292"/>
      <c r="DQ74" s="292"/>
      <c r="DR74" s="292"/>
      <c r="DS74" s="292"/>
      <c r="DT74" s="292"/>
      <c r="DU74" s="292"/>
      <c r="DV74" s="292"/>
      <c r="DW74" s="292"/>
      <c r="DX74" s="292"/>
      <c r="DY74" s="292"/>
      <c r="DZ74" s="292"/>
      <c r="EA74" s="292"/>
      <c r="EB74" s="292"/>
      <c r="EC74" s="292"/>
      <c r="ED74" s="292"/>
      <c r="EE74" s="292"/>
      <c r="EF74" s="292"/>
      <c r="EG74" s="292"/>
      <c r="EH74" s="292"/>
      <c r="EI74" s="292"/>
      <c r="EJ74" s="292"/>
      <c r="EK74" s="292"/>
      <c r="EL74" s="292"/>
      <c r="EM74" s="292"/>
      <c r="EN74" s="292"/>
      <c r="EO74" s="292"/>
      <c r="EP74" s="292"/>
      <c r="EQ74" s="292"/>
      <c r="ER74" s="292"/>
      <c r="ES74" s="292"/>
      <c r="ET74" s="292"/>
      <c r="EU74" s="292"/>
      <c r="EV74" s="292"/>
      <c r="EW74" s="292"/>
      <c r="EX74" s="292"/>
      <c r="EY74" s="292"/>
      <c r="EZ74" s="292"/>
      <c r="FA74" s="292"/>
      <c r="FB74" s="292"/>
      <c r="FC74" s="292"/>
      <c r="FD74" s="292"/>
      <c r="FE74" s="292"/>
      <c r="FF74" s="292"/>
      <c r="FG74" s="292"/>
      <c r="FH74" s="292"/>
      <c r="FI74" s="292"/>
      <c r="FJ74" s="292"/>
      <c r="FK74" s="292"/>
      <c r="FL74" s="292"/>
      <c r="FM74" s="292"/>
      <c r="FN74" s="292"/>
      <c r="FO74" s="292"/>
      <c r="FP74" s="292"/>
      <c r="FQ74" s="292"/>
      <c r="FR74" s="292"/>
      <c r="FS74" s="292"/>
      <c r="FT74" s="292"/>
      <c r="FU74" s="292"/>
      <c r="FV74" s="292"/>
      <c r="FW74" s="292"/>
      <c r="FX74" s="292"/>
      <c r="FY74" s="292"/>
      <c r="FZ74" s="292"/>
      <c r="GA74" s="292"/>
      <c r="GB74" s="292"/>
      <c r="GC74" s="292"/>
      <c r="GD74" s="292"/>
      <c r="GE74" s="292"/>
      <c r="GF74" s="292"/>
      <c r="GG74" s="292"/>
      <c r="GH74" s="292"/>
      <c r="GI74" s="292"/>
      <c r="GJ74" s="292"/>
      <c r="GK74" s="292"/>
      <c r="GL74" s="292"/>
      <c r="GM74" s="292"/>
      <c r="GN74" s="292"/>
      <c r="GO74" s="292"/>
      <c r="GP74" s="292"/>
      <c r="GQ74" s="292"/>
      <c r="GR74" s="292"/>
      <c r="GS74" s="292"/>
      <c r="GT74" s="292"/>
      <c r="GU74" s="292"/>
      <c r="GV74" s="292"/>
      <c r="GW74" s="292"/>
      <c r="GX74" s="292"/>
      <c r="GY74" s="292"/>
      <c r="GZ74" s="292"/>
      <c r="HA74" s="292"/>
      <c r="HB74" s="292"/>
      <c r="HC74" s="292"/>
      <c r="HD74" s="292"/>
      <c r="HE74" s="292"/>
      <c r="HF74" s="292"/>
      <c r="HG74" s="292"/>
      <c r="HH74" s="292"/>
      <c r="HI74" s="292"/>
      <c r="HJ74" s="292"/>
      <c r="HK74" s="292"/>
      <c r="HL74" s="292"/>
      <c r="HM74" s="292"/>
      <c r="HN74" s="292"/>
      <c r="HO74" s="292"/>
      <c r="HP74" s="292"/>
      <c r="HQ74" s="292"/>
      <c r="HR74" s="292"/>
      <c r="HS74" s="292"/>
      <c r="HT74" s="292"/>
      <c r="HU74" s="292"/>
      <c r="HV74" s="292"/>
      <c r="HW74" s="292"/>
      <c r="HX74" s="292"/>
      <c r="HY74" s="292"/>
      <c r="HZ74" s="292"/>
      <c r="IA74" s="292"/>
      <c r="IB74" s="292"/>
      <c r="IC74" s="292"/>
      <c r="ID74" s="292"/>
      <c r="IE74" s="292"/>
      <c r="IF74" s="292"/>
      <c r="IG74" s="292"/>
      <c r="IH74" s="292"/>
      <c r="II74" s="292"/>
      <c r="IJ74" s="292"/>
      <c r="IK74" s="292"/>
      <c r="IL74" s="292"/>
      <c r="IM74" s="292"/>
      <c r="IN74" s="292"/>
      <c r="IO74" s="292"/>
      <c r="IP74" s="292"/>
      <c r="IQ74" s="292"/>
      <c r="IR74" s="292"/>
      <c r="IS74" s="292"/>
      <c r="IT74" s="292"/>
      <c r="IU74" s="292"/>
      <c r="IV74" s="292"/>
      <c r="IW74" s="292"/>
      <c r="IX74" s="292"/>
      <c r="IY74" s="292"/>
      <c r="IZ74" s="292"/>
      <c r="JA74" s="292"/>
      <c r="JB74" s="292"/>
      <c r="JC74" s="292"/>
      <c r="JD74" s="292"/>
      <c r="JE74" s="292"/>
      <c r="JF74" s="292"/>
      <c r="JG74" s="292"/>
      <c r="JH74" s="292"/>
      <c r="JI74" s="292"/>
      <c r="JJ74" s="292"/>
      <c r="JK74" s="292"/>
      <c r="JL74" s="292"/>
      <c r="JM74" s="292"/>
      <c r="JN74" s="292"/>
      <c r="JO74" s="292"/>
      <c r="JP74" s="292"/>
      <c r="JQ74" s="292"/>
      <c r="JR74" s="292"/>
      <c r="JS74" s="292"/>
      <c r="JT74" s="292"/>
      <c r="JU74" s="292"/>
      <c r="JV74" s="292"/>
      <c r="JW74" s="292"/>
      <c r="JX74" s="292"/>
      <c r="JY74" s="292"/>
      <c r="JZ74" s="292"/>
      <c r="KA74" s="292"/>
      <c r="KB74" s="292"/>
      <c r="KC74" s="292"/>
      <c r="KD74" s="292"/>
      <c r="KE74" s="292"/>
      <c r="KF74" s="292"/>
      <c r="KG74" s="292"/>
      <c r="KH74" s="292"/>
      <c r="KI74" s="292"/>
      <c r="KJ74" s="292"/>
      <c r="KK74" s="292"/>
      <c r="KL74" s="292"/>
      <c r="KM74" s="292"/>
      <c r="KN74" s="292"/>
      <c r="KO74" s="292"/>
      <c r="KP74" s="292"/>
      <c r="KQ74" s="292"/>
      <c r="KR74" s="292"/>
      <c r="KS74" s="292"/>
      <c r="KT74" s="292"/>
      <c r="KU74" s="292"/>
      <c r="KV74" s="292"/>
      <c r="KW74" s="292"/>
      <c r="KX74" s="292"/>
      <c r="KY74" s="292"/>
      <c r="KZ74" s="292"/>
      <c r="LA74" s="292"/>
      <c r="LB74" s="292"/>
      <c r="LC74" s="292"/>
      <c r="LD74" s="292"/>
      <c r="LE74" s="292"/>
      <c r="LF74" s="292"/>
      <c r="LG74" s="292"/>
      <c r="LH74" s="292"/>
      <c r="LI74" s="292"/>
      <c r="LJ74" s="292"/>
      <c r="LK74" s="292"/>
      <c r="LL74" s="292"/>
      <c r="LM74" s="292"/>
      <c r="LN74" s="292"/>
      <c r="LO74" s="292"/>
      <c r="LP74" s="292"/>
      <c r="LQ74" s="292"/>
      <c r="LR74" s="292"/>
      <c r="LS74" s="292"/>
      <c r="LT74" s="292"/>
      <c r="LU74" s="292"/>
      <c r="LV74" s="292"/>
      <c r="LW74" s="292"/>
      <c r="LX74" s="292"/>
      <c r="LY74" s="292"/>
      <c r="LZ74" s="292"/>
      <c r="MA74" s="292"/>
      <c r="MB74" s="292"/>
      <c r="MC74" s="292"/>
      <c r="MD74" s="292"/>
      <c r="ME74" s="292"/>
      <c r="MF74" s="292"/>
      <c r="MG74" s="292"/>
      <c r="MH74" s="292"/>
      <c r="MI74" s="292"/>
      <c r="MJ74" s="292"/>
      <c r="MK74" s="292"/>
      <c r="ML74" s="292"/>
      <c r="MM74" s="292"/>
      <c r="MN74" s="292"/>
      <c r="MO74" s="292"/>
      <c r="MP74" s="292"/>
      <c r="MQ74" s="292"/>
      <c r="MR74" s="292"/>
      <c r="MS74" s="292"/>
      <c r="MT74" s="292"/>
      <c r="MU74" s="292"/>
      <c r="MV74" s="292"/>
      <c r="MW74" s="292"/>
      <c r="MX74" s="292"/>
      <c r="MY74" s="292"/>
      <c r="MZ74" s="292"/>
      <c r="NA74" s="292"/>
      <c r="NB74" s="292"/>
      <c r="NC74" s="292"/>
      <c r="ND74" s="292"/>
      <c r="NE74" s="292"/>
      <c r="NF74" s="292"/>
      <c r="NG74" s="292"/>
      <c r="NH74" s="292"/>
      <c r="NI74" s="292"/>
      <c r="NJ74" s="292"/>
      <c r="NK74" s="292"/>
      <c r="NL74" s="292"/>
      <c r="NM74" s="292"/>
      <c r="NN74" s="292"/>
      <c r="NO74" s="292"/>
      <c r="NP74" s="292"/>
      <c r="NQ74" s="292"/>
      <c r="NR74" s="292"/>
      <c r="NS74" s="292"/>
      <c r="NT74" s="292"/>
      <c r="NU74" s="292"/>
      <c r="NV74" s="292"/>
      <c r="NW74" s="292"/>
      <c r="NX74" s="292"/>
      <c r="NY74" s="292"/>
      <c r="NZ74" s="292"/>
      <c r="OA74" s="292"/>
      <c r="OB74" s="292"/>
      <c r="OC74" s="292"/>
      <c r="OD74" s="292"/>
      <c r="OE74" s="292"/>
      <c r="OF74" s="292"/>
      <c r="OG74" s="292"/>
      <c r="OH74" s="292"/>
      <c r="OI74" s="292"/>
      <c r="OJ74" s="292"/>
      <c r="OK74" s="292"/>
      <c r="OL74" s="292"/>
      <c r="OM74" s="292"/>
      <c r="ON74" s="292"/>
      <c r="OO74" s="292"/>
      <c r="OP74" s="292"/>
      <c r="OQ74" s="292"/>
      <c r="OR74" s="292"/>
      <c r="OS74" s="292"/>
      <c r="OT74" s="292"/>
      <c r="OU74" s="292"/>
      <c r="OV74" s="292"/>
      <c r="OW74" s="292"/>
      <c r="OX74" s="292"/>
      <c r="OY74" s="292"/>
      <c r="OZ74" s="292"/>
      <c r="PA74" s="292"/>
      <c r="PB74" s="292"/>
      <c r="PC74" s="292"/>
      <c r="PD74" s="292"/>
      <c r="PE74" s="292"/>
      <c r="PF74" s="292"/>
      <c r="PG74" s="292"/>
      <c r="PH74" s="292"/>
      <c r="PI74" s="292"/>
      <c r="PJ74" s="292"/>
      <c r="PK74" s="292"/>
      <c r="PL74" s="292"/>
      <c r="PM74" s="292"/>
      <c r="PN74" s="292"/>
      <c r="PO74" s="292"/>
      <c r="PP74" s="292"/>
      <c r="PQ74" s="292"/>
      <c r="PR74" s="292"/>
      <c r="PS74" s="292"/>
      <c r="PT74" s="292"/>
      <c r="PU74" s="292"/>
      <c r="PV74" s="292"/>
      <c r="PW74" s="292"/>
      <c r="PX74" s="292"/>
      <c r="PY74" s="292"/>
      <c r="PZ74" s="292"/>
      <c r="QA74" s="292"/>
      <c r="QB74" s="292"/>
      <c r="QC74" s="292"/>
      <c r="QD74" s="292"/>
      <c r="QE74" s="292"/>
      <c r="QF74" s="292"/>
      <c r="QG74" s="292"/>
      <c r="QH74" s="292"/>
      <c r="QI74" s="292"/>
      <c r="QJ74" s="292"/>
      <c r="QK74" s="292"/>
      <c r="QL74" s="292"/>
      <c r="QM74" s="292"/>
      <c r="QN74" s="292"/>
      <c r="QO74" s="292"/>
      <c r="QP74" s="292"/>
      <c r="QQ74" s="292"/>
      <c r="QR74" s="292"/>
      <c r="QS74" s="292"/>
      <c r="QT74" s="292"/>
      <c r="QU74" s="292"/>
      <c r="QV74" s="292"/>
      <c r="QW74" s="292"/>
      <c r="QX74" s="292"/>
      <c r="QY74" s="292"/>
      <c r="QZ74" s="292"/>
      <c r="RA74" s="292"/>
      <c r="RB74" s="292"/>
      <c r="RC74" s="292"/>
      <c r="RD74" s="292"/>
      <c r="RE74" s="292"/>
      <c r="RF74" s="292"/>
      <c r="RG74" s="292"/>
      <c r="RH74" s="292"/>
      <c r="RI74" s="292"/>
      <c r="RJ74" s="292"/>
      <c r="RK74" s="292"/>
      <c r="RL74" s="292"/>
      <c r="RM74" s="292"/>
      <c r="RN74" s="292"/>
      <c r="RO74" s="292"/>
      <c r="RP74" s="292"/>
      <c r="RQ74" s="292"/>
      <c r="RR74" s="292"/>
      <c r="RS74" s="292"/>
      <c r="RT74" s="292"/>
      <c r="RU74" s="292"/>
      <c r="RV74" s="292"/>
      <c r="RW74" s="292"/>
      <c r="RX74" s="292"/>
      <c r="RY74" s="292"/>
      <c r="RZ74" s="292"/>
      <c r="SA74" s="292"/>
      <c r="SB74" s="292"/>
      <c r="SC74" s="292"/>
      <c r="SD74" s="292"/>
      <c r="SE74" s="292"/>
      <c r="SF74" s="292"/>
      <c r="SG74" s="292"/>
      <c r="SH74" s="292"/>
      <c r="SI74" s="292"/>
      <c r="SJ74" s="292"/>
      <c r="SK74" s="292"/>
      <c r="SL74" s="292"/>
      <c r="SM74" s="292"/>
      <c r="SN74" s="292"/>
      <c r="SO74" s="292"/>
      <c r="SP74" s="292"/>
      <c r="SQ74" s="292"/>
      <c r="SR74" s="292"/>
      <c r="SS74" s="292"/>
      <c r="ST74" s="292"/>
      <c r="SU74" s="292"/>
    </row>
    <row r="75" spans="1:515" ht="15" customHeight="1" x14ac:dyDescent="0.25">
      <c r="A75" s="1349" t="s">
        <v>378</v>
      </c>
      <c r="B75" s="1350"/>
      <c r="C75" s="1350"/>
      <c r="D75" s="957"/>
      <c r="E75" s="622">
        <v>0</v>
      </c>
      <c r="F75" s="626">
        <v>0</v>
      </c>
      <c r="G75" s="1003">
        <f>E75*F75</f>
        <v>0</v>
      </c>
      <c r="H75" s="957"/>
      <c r="I75" s="622">
        <v>0</v>
      </c>
      <c r="J75" s="626">
        <v>0</v>
      </c>
      <c r="K75" s="1003">
        <f>I75*J75</f>
        <v>0</v>
      </c>
      <c r="L75" s="957"/>
      <c r="M75" s="622">
        <v>0</v>
      </c>
      <c r="N75" s="626">
        <v>0</v>
      </c>
      <c r="O75" s="1003">
        <f>M75*N75</f>
        <v>0</v>
      </c>
      <c r="P75" s="957"/>
      <c r="Q75" s="622">
        <v>0</v>
      </c>
      <c r="R75" s="626">
        <v>0.01</v>
      </c>
      <c r="S75" s="1003">
        <f>Q75*R75</f>
        <v>0</v>
      </c>
      <c r="T75" s="957"/>
      <c r="U75" s="622">
        <v>0</v>
      </c>
      <c r="V75" s="626">
        <v>0</v>
      </c>
      <c r="W75" s="1003">
        <f>U75*V75</f>
        <v>0</v>
      </c>
      <c r="X75" s="960"/>
      <c r="Y75" s="622">
        <v>0</v>
      </c>
      <c r="Z75" s="626">
        <v>0</v>
      </c>
      <c r="AA75" s="1003">
        <f>Y75*Z75</f>
        <v>0</v>
      </c>
      <c r="AB75" s="975"/>
      <c r="AC75" s="957"/>
      <c r="AD75" s="1003">
        <f>G75+K75+O75+S75+W75+AA75</f>
        <v>0</v>
      </c>
      <c r="AE75" s="971"/>
    </row>
    <row r="76" spans="1:515" ht="15" customHeight="1" x14ac:dyDescent="0.25">
      <c r="A76" s="1351" t="s">
        <v>379</v>
      </c>
      <c r="B76" s="1352"/>
      <c r="C76" s="1352"/>
      <c r="D76" s="957"/>
      <c r="E76" s="622">
        <v>0</v>
      </c>
      <c r="F76" s="626">
        <v>0</v>
      </c>
      <c r="G76" s="1003">
        <f>E76*F76</f>
        <v>0</v>
      </c>
      <c r="H76" s="957"/>
      <c r="I76" s="622">
        <v>0</v>
      </c>
      <c r="J76" s="626">
        <v>0</v>
      </c>
      <c r="K76" s="1003">
        <f>I76*J76</f>
        <v>0</v>
      </c>
      <c r="L76" s="957"/>
      <c r="M76" s="622">
        <v>0</v>
      </c>
      <c r="N76" s="626">
        <v>0</v>
      </c>
      <c r="O76" s="1003">
        <f>M76*N76</f>
        <v>0</v>
      </c>
      <c r="P76" s="957"/>
      <c r="Q76" s="622">
        <v>0</v>
      </c>
      <c r="R76" s="626">
        <v>0.01</v>
      </c>
      <c r="S76" s="1003">
        <f>Q76*R76</f>
        <v>0</v>
      </c>
      <c r="T76" s="957"/>
      <c r="U76" s="622">
        <v>0</v>
      </c>
      <c r="V76" s="626">
        <v>0</v>
      </c>
      <c r="W76" s="1003">
        <f>U76*V76</f>
        <v>0</v>
      </c>
      <c r="X76" s="960"/>
      <c r="Y76" s="622">
        <v>0</v>
      </c>
      <c r="Z76" s="626">
        <v>0</v>
      </c>
      <c r="AA76" s="1003">
        <f>Y76*Z76</f>
        <v>0</v>
      </c>
      <c r="AB76" s="975"/>
      <c r="AC76" s="957"/>
      <c r="AD76" s="1003">
        <f>G76+K76+O76+S76+W76+AA76</f>
        <v>0</v>
      </c>
      <c r="AE76" s="971"/>
    </row>
    <row r="77" spans="1:515" s="627" customFormat="1" ht="23.15" customHeight="1" x14ac:dyDescent="0.25">
      <c r="A77" s="1325" t="s">
        <v>380</v>
      </c>
      <c r="B77" s="1326"/>
      <c r="C77" s="1326"/>
      <c r="D77" s="957"/>
      <c r="E77" s="957"/>
      <c r="F77" s="992"/>
      <c r="G77" s="793">
        <f>SUM(G74:G76)</f>
        <v>0</v>
      </c>
      <c r="H77" s="957"/>
      <c r="I77" s="990"/>
      <c r="J77" s="991"/>
      <c r="K77" s="793">
        <f>SUM(K75:K76)</f>
        <v>0</v>
      </c>
      <c r="L77" s="957"/>
      <c r="M77" s="960"/>
      <c r="N77" s="993"/>
      <c r="O77" s="793">
        <f>SUM(O75:O76)</f>
        <v>0</v>
      </c>
      <c r="P77" s="957"/>
      <c r="Q77" s="957"/>
      <c r="R77" s="957"/>
      <c r="S77" s="793">
        <f>SUM(S75:S76)</f>
        <v>0</v>
      </c>
      <c r="T77" s="957"/>
      <c r="U77" s="1295"/>
      <c r="V77" s="1295"/>
      <c r="W77" s="793">
        <f>SUM(W75:W76)</f>
        <v>0</v>
      </c>
      <c r="X77" s="960"/>
      <c r="Y77" s="1304"/>
      <c r="Z77" s="1304"/>
      <c r="AA77" s="793">
        <f>SUM(AA75:AA76)</f>
        <v>0</v>
      </c>
      <c r="AB77" s="976"/>
      <c r="AC77" s="957"/>
      <c r="AD77" s="793">
        <f>G77+K77+O77+S77+W77+AA77</f>
        <v>0</v>
      </c>
      <c r="AE77" s="971"/>
      <c r="AF77" s="292"/>
      <c r="AG77" s="292"/>
      <c r="AH77" s="292"/>
      <c r="AI77" s="292"/>
      <c r="AJ77" s="292"/>
      <c r="AK77" s="292"/>
      <c r="AL77" s="292"/>
      <c r="AM77" s="292"/>
      <c r="AN77" s="292"/>
      <c r="AO77" s="292"/>
      <c r="AP77" s="292"/>
      <c r="AQ77" s="292"/>
      <c r="AR77" s="292"/>
      <c r="AS77" s="292"/>
      <c r="AT77" s="292"/>
      <c r="AU77" s="292"/>
      <c r="AV77" s="292"/>
      <c r="AW77" s="292"/>
      <c r="AX77" s="292"/>
      <c r="AY77" s="292"/>
      <c r="AZ77" s="292"/>
      <c r="BA77" s="292"/>
      <c r="BB77" s="292"/>
      <c r="BC77" s="292"/>
      <c r="BD77" s="292"/>
      <c r="BE77" s="292"/>
      <c r="BF77" s="292"/>
      <c r="BG77" s="292"/>
      <c r="BH77" s="292"/>
      <c r="BI77" s="292"/>
      <c r="BJ77" s="292"/>
      <c r="BK77" s="292"/>
      <c r="BL77" s="292"/>
      <c r="BM77" s="292"/>
      <c r="BN77" s="292"/>
      <c r="BO77" s="292"/>
      <c r="BP77" s="292"/>
      <c r="BQ77" s="292"/>
      <c r="BR77" s="292"/>
      <c r="BS77" s="292"/>
      <c r="BT77" s="292"/>
      <c r="BU77" s="292"/>
      <c r="BV77" s="292"/>
      <c r="BW77" s="292"/>
      <c r="BX77" s="292"/>
      <c r="BY77" s="292"/>
      <c r="BZ77" s="292"/>
      <c r="CA77" s="292"/>
      <c r="CB77" s="292"/>
      <c r="CC77" s="292"/>
      <c r="CD77" s="292"/>
      <c r="CE77" s="292"/>
      <c r="CF77" s="292"/>
      <c r="CG77" s="292"/>
      <c r="CH77" s="292"/>
      <c r="CI77" s="292"/>
      <c r="CJ77" s="292"/>
      <c r="CK77" s="292"/>
      <c r="CL77" s="292"/>
      <c r="CM77" s="292"/>
      <c r="CN77" s="292"/>
      <c r="CO77" s="292"/>
      <c r="CP77" s="292"/>
      <c r="CQ77" s="292"/>
      <c r="CR77" s="292"/>
      <c r="CS77" s="292"/>
      <c r="CT77" s="292"/>
      <c r="CU77" s="292"/>
      <c r="CV77" s="292"/>
      <c r="CW77" s="292"/>
      <c r="CX77" s="292"/>
      <c r="CY77" s="292"/>
      <c r="CZ77" s="292"/>
      <c r="DA77" s="292"/>
      <c r="DB77" s="292"/>
      <c r="DC77" s="292"/>
      <c r="DD77" s="292"/>
      <c r="DE77" s="292"/>
      <c r="DF77" s="292"/>
      <c r="DG77" s="292"/>
      <c r="DH77" s="292"/>
      <c r="DI77" s="292"/>
      <c r="DJ77" s="292"/>
      <c r="DK77" s="292"/>
      <c r="DL77" s="292"/>
      <c r="DM77" s="292"/>
      <c r="DN77" s="292"/>
      <c r="DO77" s="292"/>
      <c r="DP77" s="292"/>
      <c r="DQ77" s="292"/>
      <c r="DR77" s="292"/>
      <c r="DS77" s="292"/>
      <c r="DT77" s="292"/>
      <c r="DU77" s="292"/>
      <c r="DV77" s="292"/>
      <c r="DW77" s="292"/>
      <c r="DX77" s="292"/>
      <c r="DY77" s="292"/>
      <c r="DZ77" s="292"/>
      <c r="EA77" s="292"/>
      <c r="EB77" s="292"/>
      <c r="EC77" s="292"/>
      <c r="ED77" s="292"/>
      <c r="EE77" s="292"/>
      <c r="EF77" s="292"/>
      <c r="EG77" s="292"/>
      <c r="EH77" s="292"/>
      <c r="EI77" s="292"/>
      <c r="EJ77" s="292"/>
      <c r="EK77" s="292"/>
      <c r="EL77" s="292"/>
      <c r="EM77" s="292"/>
      <c r="EN77" s="292"/>
      <c r="EO77" s="292"/>
      <c r="EP77" s="292"/>
      <c r="EQ77" s="292"/>
      <c r="ER77" s="292"/>
      <c r="ES77" s="292"/>
      <c r="ET77" s="292"/>
      <c r="EU77" s="292"/>
      <c r="EV77" s="292"/>
      <c r="EW77" s="292"/>
      <c r="EX77" s="292"/>
      <c r="EY77" s="292"/>
      <c r="EZ77" s="292"/>
      <c r="FA77" s="292"/>
      <c r="FB77" s="292"/>
      <c r="FC77" s="292"/>
      <c r="FD77" s="292"/>
      <c r="FE77" s="292"/>
      <c r="FF77" s="292"/>
      <c r="FG77" s="292"/>
      <c r="FH77" s="292"/>
      <c r="FI77" s="292"/>
      <c r="FJ77" s="292"/>
      <c r="FK77" s="292"/>
      <c r="FL77" s="292"/>
      <c r="FM77" s="292"/>
      <c r="FN77" s="292"/>
      <c r="FO77" s="292"/>
      <c r="FP77" s="292"/>
      <c r="FQ77" s="292"/>
      <c r="FR77" s="292"/>
      <c r="FS77" s="292"/>
      <c r="FT77" s="292"/>
      <c r="FU77" s="292"/>
      <c r="FV77" s="292"/>
      <c r="FW77" s="292"/>
      <c r="FX77" s="292"/>
      <c r="FY77" s="292"/>
      <c r="FZ77" s="292"/>
      <c r="GA77" s="292"/>
      <c r="GB77" s="292"/>
      <c r="GC77" s="292"/>
      <c r="GD77" s="292"/>
      <c r="GE77" s="292"/>
      <c r="GF77" s="292"/>
      <c r="GG77" s="292"/>
      <c r="GH77" s="292"/>
      <c r="GI77" s="292"/>
      <c r="GJ77" s="292"/>
      <c r="GK77" s="292"/>
      <c r="GL77" s="292"/>
      <c r="GM77" s="292"/>
      <c r="GN77" s="292"/>
      <c r="GO77" s="292"/>
      <c r="GP77" s="292"/>
      <c r="GQ77" s="292"/>
      <c r="GR77" s="292"/>
      <c r="GS77" s="292"/>
      <c r="GT77" s="292"/>
      <c r="GU77" s="292"/>
      <c r="GV77" s="292"/>
      <c r="GW77" s="292"/>
      <c r="GX77" s="292"/>
      <c r="GY77" s="292"/>
      <c r="GZ77" s="292"/>
      <c r="HA77" s="292"/>
      <c r="HB77" s="292"/>
      <c r="HC77" s="292"/>
      <c r="HD77" s="292"/>
      <c r="HE77" s="292"/>
      <c r="HF77" s="292"/>
      <c r="HG77" s="292"/>
      <c r="HH77" s="292"/>
      <c r="HI77" s="292"/>
      <c r="HJ77" s="292"/>
      <c r="HK77" s="292"/>
      <c r="HL77" s="292"/>
      <c r="HM77" s="292"/>
      <c r="HN77" s="292"/>
      <c r="HO77" s="292"/>
      <c r="HP77" s="292"/>
      <c r="HQ77" s="292"/>
      <c r="HR77" s="292"/>
      <c r="HS77" s="292"/>
      <c r="HT77" s="292"/>
      <c r="HU77" s="292"/>
      <c r="HV77" s="292"/>
      <c r="HW77" s="292"/>
      <c r="HX77" s="292"/>
      <c r="HY77" s="292"/>
      <c r="HZ77" s="292"/>
      <c r="IA77" s="292"/>
      <c r="IB77" s="292"/>
      <c r="IC77" s="292"/>
      <c r="ID77" s="292"/>
      <c r="IE77" s="292"/>
      <c r="IF77" s="292"/>
      <c r="IG77" s="292"/>
      <c r="IH77" s="292"/>
      <c r="II77" s="292"/>
      <c r="IJ77" s="292"/>
      <c r="IK77" s="292"/>
      <c r="IL77" s="292"/>
      <c r="IM77" s="292"/>
      <c r="IN77" s="292"/>
      <c r="IO77" s="292"/>
      <c r="IP77" s="292"/>
      <c r="IQ77" s="292"/>
      <c r="IR77" s="292"/>
      <c r="IS77" s="292"/>
      <c r="IT77" s="292"/>
      <c r="IU77" s="292"/>
      <c r="IV77" s="292"/>
      <c r="IW77" s="292"/>
      <c r="IX77" s="292"/>
      <c r="IY77" s="292"/>
      <c r="IZ77" s="292"/>
      <c r="JA77" s="292"/>
      <c r="JB77" s="292"/>
      <c r="JC77" s="292"/>
      <c r="JD77" s="292"/>
      <c r="JE77" s="292"/>
      <c r="JF77" s="292"/>
      <c r="JG77" s="292"/>
      <c r="JH77" s="292"/>
      <c r="JI77" s="292"/>
      <c r="JJ77" s="292"/>
      <c r="JK77" s="292"/>
      <c r="JL77" s="292"/>
      <c r="JM77" s="292"/>
      <c r="JN77" s="292"/>
      <c r="JO77" s="292"/>
      <c r="JP77" s="292"/>
      <c r="JQ77" s="292"/>
      <c r="JR77" s="292"/>
      <c r="JS77" s="292"/>
      <c r="JT77" s="292"/>
      <c r="JU77" s="292"/>
      <c r="JV77" s="292"/>
      <c r="JW77" s="292"/>
      <c r="JX77" s="292"/>
      <c r="JY77" s="292"/>
      <c r="JZ77" s="292"/>
      <c r="KA77" s="292"/>
      <c r="KB77" s="292"/>
      <c r="KC77" s="292"/>
      <c r="KD77" s="292"/>
      <c r="KE77" s="292"/>
      <c r="KF77" s="292"/>
      <c r="KG77" s="292"/>
      <c r="KH77" s="292"/>
      <c r="KI77" s="292"/>
      <c r="KJ77" s="292"/>
      <c r="KK77" s="292"/>
      <c r="KL77" s="292"/>
      <c r="KM77" s="292"/>
      <c r="KN77" s="292"/>
      <c r="KO77" s="292"/>
      <c r="KP77" s="292"/>
      <c r="KQ77" s="292"/>
      <c r="KR77" s="292"/>
      <c r="KS77" s="292"/>
      <c r="KT77" s="292"/>
      <c r="KU77" s="292"/>
      <c r="KV77" s="292"/>
      <c r="KW77" s="292"/>
      <c r="KX77" s="292"/>
      <c r="KY77" s="292"/>
      <c r="KZ77" s="292"/>
      <c r="LA77" s="292"/>
      <c r="LB77" s="292"/>
      <c r="LC77" s="292"/>
      <c r="LD77" s="292"/>
      <c r="LE77" s="292"/>
      <c r="LF77" s="292"/>
      <c r="LG77" s="292"/>
      <c r="LH77" s="292"/>
      <c r="LI77" s="292"/>
      <c r="LJ77" s="292"/>
      <c r="LK77" s="292"/>
      <c r="LL77" s="292"/>
      <c r="LM77" s="292"/>
      <c r="LN77" s="292"/>
      <c r="LO77" s="292"/>
      <c r="LP77" s="292"/>
      <c r="LQ77" s="292"/>
      <c r="LR77" s="292"/>
      <c r="LS77" s="292"/>
      <c r="LT77" s="292"/>
      <c r="LU77" s="292"/>
      <c r="LV77" s="292"/>
      <c r="LW77" s="292"/>
      <c r="LX77" s="292"/>
      <c r="LY77" s="292"/>
      <c r="LZ77" s="292"/>
      <c r="MA77" s="292"/>
      <c r="MB77" s="292"/>
      <c r="MC77" s="292"/>
      <c r="MD77" s="292"/>
      <c r="ME77" s="292"/>
      <c r="MF77" s="292"/>
      <c r="MG77" s="292"/>
      <c r="MH77" s="292"/>
      <c r="MI77" s="292"/>
      <c r="MJ77" s="292"/>
      <c r="MK77" s="292"/>
      <c r="ML77" s="292"/>
      <c r="MM77" s="292"/>
      <c r="MN77" s="292"/>
      <c r="MO77" s="292"/>
      <c r="MP77" s="292"/>
      <c r="MQ77" s="292"/>
      <c r="MR77" s="292"/>
      <c r="MS77" s="292"/>
      <c r="MT77" s="292"/>
      <c r="MU77" s="292"/>
      <c r="MV77" s="292"/>
      <c r="MW77" s="292"/>
      <c r="MX77" s="292"/>
      <c r="MY77" s="292"/>
      <c r="MZ77" s="292"/>
      <c r="NA77" s="292"/>
      <c r="NB77" s="292"/>
      <c r="NC77" s="292"/>
      <c r="ND77" s="292"/>
      <c r="NE77" s="292"/>
      <c r="NF77" s="292"/>
      <c r="NG77" s="292"/>
      <c r="NH77" s="292"/>
      <c r="NI77" s="292"/>
      <c r="NJ77" s="292"/>
      <c r="NK77" s="292"/>
      <c r="NL77" s="292"/>
      <c r="NM77" s="292"/>
      <c r="NN77" s="292"/>
      <c r="NO77" s="292"/>
      <c r="NP77" s="292"/>
      <c r="NQ77" s="292"/>
      <c r="NR77" s="292"/>
      <c r="NS77" s="292"/>
      <c r="NT77" s="292"/>
      <c r="NU77" s="292"/>
      <c r="NV77" s="292"/>
      <c r="NW77" s="292"/>
      <c r="NX77" s="292"/>
      <c r="NY77" s="292"/>
      <c r="NZ77" s="292"/>
      <c r="OA77" s="292"/>
      <c r="OB77" s="292"/>
      <c r="OC77" s="292"/>
      <c r="OD77" s="292"/>
      <c r="OE77" s="292"/>
      <c r="OF77" s="292"/>
      <c r="OG77" s="292"/>
      <c r="OH77" s="292"/>
      <c r="OI77" s="292"/>
      <c r="OJ77" s="292"/>
      <c r="OK77" s="292"/>
      <c r="OL77" s="292"/>
      <c r="OM77" s="292"/>
      <c r="ON77" s="292"/>
      <c r="OO77" s="292"/>
      <c r="OP77" s="292"/>
      <c r="OQ77" s="292"/>
      <c r="OR77" s="292"/>
      <c r="OS77" s="292"/>
      <c r="OT77" s="292"/>
      <c r="OU77" s="292"/>
      <c r="OV77" s="292"/>
      <c r="OW77" s="292"/>
      <c r="OX77" s="292"/>
      <c r="OY77" s="292"/>
      <c r="OZ77" s="292"/>
      <c r="PA77" s="292"/>
      <c r="PB77" s="292"/>
      <c r="PC77" s="292"/>
      <c r="PD77" s="292"/>
      <c r="PE77" s="292"/>
      <c r="PF77" s="292"/>
      <c r="PG77" s="292"/>
      <c r="PH77" s="292"/>
      <c r="PI77" s="292"/>
      <c r="PJ77" s="292"/>
      <c r="PK77" s="292"/>
      <c r="PL77" s="292"/>
      <c r="PM77" s="292"/>
      <c r="PN77" s="292"/>
      <c r="PO77" s="292"/>
      <c r="PP77" s="292"/>
      <c r="PQ77" s="292"/>
      <c r="PR77" s="292"/>
      <c r="PS77" s="292"/>
      <c r="PT77" s="292"/>
      <c r="PU77" s="292"/>
      <c r="PV77" s="292"/>
      <c r="PW77" s="292"/>
      <c r="PX77" s="292"/>
      <c r="PY77" s="292"/>
      <c r="PZ77" s="292"/>
      <c r="QA77" s="292"/>
      <c r="QB77" s="292"/>
      <c r="QC77" s="292"/>
      <c r="QD77" s="292"/>
      <c r="QE77" s="292"/>
      <c r="QF77" s="292"/>
      <c r="QG77" s="292"/>
      <c r="QH77" s="292"/>
      <c r="QI77" s="292"/>
      <c r="QJ77" s="292"/>
      <c r="QK77" s="292"/>
      <c r="QL77" s="292"/>
      <c r="QM77" s="292"/>
      <c r="QN77" s="292"/>
      <c r="QO77" s="292"/>
      <c r="QP77" s="292"/>
      <c r="QQ77" s="292"/>
      <c r="QR77" s="292"/>
      <c r="QS77" s="292"/>
      <c r="QT77" s="292"/>
      <c r="QU77" s="292"/>
      <c r="QV77" s="292"/>
      <c r="QW77" s="292"/>
      <c r="QX77" s="292"/>
      <c r="QY77" s="292"/>
      <c r="QZ77" s="292"/>
      <c r="RA77" s="292"/>
      <c r="RB77" s="292"/>
      <c r="RC77" s="292"/>
      <c r="RD77" s="292"/>
      <c r="RE77" s="292"/>
      <c r="RF77" s="292"/>
      <c r="RG77" s="292"/>
      <c r="RH77" s="292"/>
      <c r="RI77" s="292"/>
      <c r="RJ77" s="292"/>
      <c r="RK77" s="292"/>
      <c r="RL77" s="292"/>
      <c r="RM77" s="292"/>
      <c r="RN77" s="292"/>
      <c r="RO77" s="292"/>
      <c r="RP77" s="292"/>
      <c r="RQ77" s="292"/>
      <c r="RR77" s="292"/>
      <c r="RS77" s="292"/>
      <c r="RT77" s="292"/>
      <c r="RU77" s="292"/>
      <c r="RV77" s="292"/>
      <c r="RW77" s="292"/>
      <c r="RX77" s="292"/>
      <c r="RY77" s="292"/>
      <c r="RZ77" s="292"/>
      <c r="SA77" s="292"/>
      <c r="SB77" s="292"/>
      <c r="SC77" s="292"/>
      <c r="SD77" s="292"/>
      <c r="SE77" s="292"/>
      <c r="SF77" s="292"/>
      <c r="SG77" s="292"/>
      <c r="SH77" s="292"/>
      <c r="SI77" s="292"/>
      <c r="SJ77" s="292"/>
      <c r="SK77" s="292"/>
      <c r="SL77" s="292"/>
      <c r="SM77" s="292"/>
      <c r="SN77" s="292"/>
      <c r="SO77" s="292"/>
      <c r="SP77" s="292"/>
      <c r="SQ77" s="292"/>
      <c r="SR77" s="292"/>
      <c r="SS77" s="292"/>
      <c r="ST77" s="292"/>
      <c r="SU77" s="292"/>
    </row>
    <row r="78" spans="1:515" s="960" customFormat="1" ht="23.15" customHeight="1" x14ac:dyDescent="0.25">
      <c r="A78" s="986"/>
      <c r="B78" s="984"/>
      <c r="C78" s="984"/>
      <c r="D78" s="957"/>
      <c r="E78" s="981"/>
      <c r="F78" s="981"/>
      <c r="G78" s="981"/>
      <c r="H78" s="957"/>
      <c r="I78" s="981"/>
      <c r="J78" s="981"/>
      <c r="K78" s="981"/>
      <c r="L78" s="957"/>
      <c r="M78" s="981"/>
      <c r="N78" s="981"/>
      <c r="O78" s="981"/>
      <c r="P78" s="957"/>
      <c r="Q78" s="981"/>
      <c r="R78" s="981"/>
      <c r="S78" s="981"/>
      <c r="T78" s="957"/>
      <c r="U78" s="981"/>
      <c r="V78" s="981"/>
      <c r="W78" s="981"/>
      <c r="X78" s="957"/>
      <c r="Y78" s="981"/>
      <c r="Z78" s="981"/>
      <c r="AA78" s="981"/>
      <c r="AB78" s="976"/>
      <c r="AC78" s="1144"/>
      <c r="AD78" s="981"/>
      <c r="AE78" s="971"/>
    </row>
    <row r="79" spans="1:515" s="628" customFormat="1" ht="22.5" customHeight="1" x14ac:dyDescent="0.25">
      <c r="A79" s="1339" t="s">
        <v>381</v>
      </c>
      <c r="B79" s="1340"/>
      <c r="C79" s="1340"/>
      <c r="D79" s="964"/>
      <c r="E79" s="1306" t="s">
        <v>382</v>
      </c>
      <c r="F79" s="1306"/>
      <c r="G79" s="1306"/>
      <c r="H79" s="964"/>
      <c r="I79" s="1306" t="s">
        <v>383</v>
      </c>
      <c r="J79" s="1306"/>
      <c r="K79" s="1306"/>
      <c r="L79" s="964"/>
      <c r="M79" s="1306" t="s">
        <v>384</v>
      </c>
      <c r="N79" s="1306"/>
      <c r="O79" s="1306"/>
      <c r="P79" s="964"/>
      <c r="Q79" s="1306" t="s">
        <v>385</v>
      </c>
      <c r="R79" s="1306"/>
      <c r="S79" s="1306"/>
      <c r="T79" s="964"/>
      <c r="U79" s="1306" t="s">
        <v>386</v>
      </c>
      <c r="V79" s="1306"/>
      <c r="W79" s="1306"/>
      <c r="X79" s="978"/>
      <c r="Y79" s="1306" t="s">
        <v>387</v>
      </c>
      <c r="Z79" s="1306"/>
      <c r="AA79" s="1306"/>
      <c r="AB79" s="976"/>
      <c r="AC79" s="1145" t="s">
        <v>388</v>
      </c>
      <c r="AD79" s="1145" t="s">
        <v>389</v>
      </c>
      <c r="AE79" s="971"/>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292"/>
      <c r="BI79" s="292"/>
      <c r="BJ79" s="292"/>
      <c r="BK79" s="292"/>
      <c r="BL79" s="292"/>
      <c r="BM79" s="292"/>
      <c r="BN79" s="292"/>
      <c r="BO79" s="292"/>
      <c r="BP79" s="292"/>
      <c r="BQ79" s="292"/>
      <c r="BR79" s="292"/>
      <c r="BS79" s="292"/>
      <c r="BT79" s="292"/>
      <c r="BU79" s="292"/>
      <c r="BV79" s="292"/>
      <c r="BW79" s="292"/>
      <c r="BX79" s="292"/>
      <c r="BY79" s="292"/>
      <c r="BZ79" s="292"/>
      <c r="CA79" s="292"/>
      <c r="CB79" s="292"/>
      <c r="CC79" s="292"/>
      <c r="CD79" s="292"/>
      <c r="CE79" s="292"/>
      <c r="CF79" s="292"/>
      <c r="CG79" s="292"/>
      <c r="CH79" s="292"/>
      <c r="CI79" s="292"/>
      <c r="CJ79" s="292"/>
      <c r="CK79" s="292"/>
      <c r="CL79" s="292"/>
      <c r="CM79" s="292"/>
      <c r="CN79" s="292"/>
      <c r="CO79" s="292"/>
      <c r="CP79" s="292"/>
      <c r="CQ79" s="292"/>
      <c r="CR79" s="292"/>
      <c r="CS79" s="292"/>
      <c r="CT79" s="292"/>
      <c r="CU79" s="292"/>
      <c r="CV79" s="292"/>
      <c r="CW79" s="292"/>
      <c r="CX79" s="292"/>
      <c r="CY79" s="292"/>
      <c r="CZ79" s="292"/>
      <c r="DA79" s="292"/>
      <c r="DB79" s="292"/>
      <c r="DC79" s="292"/>
      <c r="DD79" s="292"/>
      <c r="DE79" s="292"/>
      <c r="DF79" s="292"/>
      <c r="DG79" s="292"/>
      <c r="DH79" s="292"/>
      <c r="DI79" s="292"/>
      <c r="DJ79" s="292"/>
      <c r="DK79" s="292"/>
      <c r="DL79" s="292"/>
      <c r="DM79" s="292"/>
      <c r="DN79" s="292"/>
      <c r="DO79" s="292"/>
      <c r="DP79" s="292"/>
      <c r="DQ79" s="292"/>
      <c r="DR79" s="292"/>
      <c r="DS79" s="292"/>
      <c r="DT79" s="292"/>
      <c r="DU79" s="292"/>
      <c r="DV79" s="292"/>
      <c r="DW79" s="292"/>
      <c r="DX79" s="292"/>
      <c r="DY79" s="292"/>
      <c r="DZ79" s="292"/>
      <c r="EA79" s="292"/>
      <c r="EB79" s="292"/>
      <c r="EC79" s="292"/>
      <c r="ED79" s="292"/>
      <c r="EE79" s="292"/>
      <c r="EF79" s="292"/>
      <c r="EG79" s="292"/>
      <c r="EH79" s="292"/>
      <c r="EI79" s="292"/>
      <c r="EJ79" s="292"/>
      <c r="EK79" s="292"/>
      <c r="EL79" s="292"/>
      <c r="EM79" s="292"/>
      <c r="EN79" s="292"/>
      <c r="EO79" s="292"/>
      <c r="EP79" s="292"/>
      <c r="EQ79" s="292"/>
      <c r="ER79" s="292"/>
      <c r="ES79" s="292"/>
      <c r="ET79" s="292"/>
      <c r="EU79" s="292"/>
      <c r="EV79" s="292"/>
      <c r="EW79" s="292"/>
      <c r="EX79" s="292"/>
      <c r="EY79" s="292"/>
      <c r="EZ79" s="292"/>
      <c r="FA79" s="292"/>
      <c r="FB79" s="292"/>
      <c r="FC79" s="292"/>
      <c r="FD79" s="292"/>
      <c r="FE79" s="292"/>
      <c r="FF79" s="292"/>
      <c r="FG79" s="292"/>
      <c r="FH79" s="292"/>
      <c r="FI79" s="292"/>
      <c r="FJ79" s="292"/>
      <c r="FK79" s="292"/>
      <c r="FL79" s="292"/>
      <c r="FM79" s="292"/>
      <c r="FN79" s="292"/>
      <c r="FO79" s="292"/>
      <c r="FP79" s="292"/>
      <c r="FQ79" s="292"/>
      <c r="FR79" s="292"/>
      <c r="FS79" s="292"/>
      <c r="FT79" s="292"/>
      <c r="FU79" s="292"/>
      <c r="FV79" s="292"/>
      <c r="FW79" s="292"/>
      <c r="FX79" s="292"/>
      <c r="FY79" s="292"/>
      <c r="FZ79" s="292"/>
      <c r="GA79" s="292"/>
      <c r="GB79" s="292"/>
      <c r="GC79" s="292"/>
      <c r="GD79" s="292"/>
      <c r="GE79" s="292"/>
      <c r="GF79" s="292"/>
      <c r="GG79" s="292"/>
      <c r="GH79" s="292"/>
      <c r="GI79" s="292"/>
      <c r="GJ79" s="292"/>
      <c r="GK79" s="292"/>
      <c r="GL79" s="292"/>
      <c r="GM79" s="292"/>
      <c r="GN79" s="292"/>
      <c r="GO79" s="292"/>
      <c r="GP79" s="292"/>
      <c r="GQ79" s="292"/>
      <c r="GR79" s="292"/>
      <c r="GS79" s="292"/>
      <c r="GT79" s="292"/>
      <c r="GU79" s="292"/>
      <c r="GV79" s="292"/>
      <c r="GW79" s="292"/>
      <c r="GX79" s="292"/>
      <c r="GY79" s="292"/>
      <c r="GZ79" s="292"/>
      <c r="HA79" s="292"/>
      <c r="HB79" s="292"/>
      <c r="HC79" s="292"/>
      <c r="HD79" s="292"/>
      <c r="HE79" s="292"/>
      <c r="HF79" s="292"/>
      <c r="HG79" s="292"/>
      <c r="HH79" s="292"/>
      <c r="HI79" s="292"/>
      <c r="HJ79" s="292"/>
      <c r="HK79" s="292"/>
      <c r="HL79" s="292"/>
      <c r="HM79" s="292"/>
      <c r="HN79" s="292"/>
      <c r="HO79" s="292"/>
      <c r="HP79" s="292"/>
      <c r="HQ79" s="292"/>
      <c r="HR79" s="292"/>
      <c r="HS79" s="292"/>
      <c r="HT79" s="292"/>
      <c r="HU79" s="292"/>
      <c r="HV79" s="292"/>
      <c r="HW79" s="292"/>
      <c r="HX79" s="292"/>
      <c r="HY79" s="292"/>
      <c r="HZ79" s="292"/>
      <c r="IA79" s="292"/>
      <c r="IB79" s="292"/>
      <c r="IC79" s="292"/>
      <c r="ID79" s="292"/>
      <c r="IE79" s="292"/>
      <c r="IF79" s="292"/>
      <c r="IG79" s="292"/>
      <c r="IH79" s="292"/>
      <c r="II79" s="292"/>
      <c r="IJ79" s="292"/>
      <c r="IK79" s="292"/>
      <c r="IL79" s="292"/>
      <c r="IM79" s="292"/>
      <c r="IN79" s="292"/>
      <c r="IO79" s="292"/>
      <c r="IP79" s="292"/>
      <c r="IQ79" s="292"/>
      <c r="IR79" s="292"/>
      <c r="IS79" s="292"/>
      <c r="IT79" s="292"/>
      <c r="IU79" s="292"/>
      <c r="IV79" s="292"/>
      <c r="IW79" s="292"/>
      <c r="IX79" s="292"/>
      <c r="IY79" s="292"/>
      <c r="IZ79" s="292"/>
      <c r="JA79" s="292"/>
      <c r="JB79" s="292"/>
      <c r="JC79" s="292"/>
      <c r="JD79" s="292"/>
      <c r="JE79" s="292"/>
      <c r="JF79" s="292"/>
      <c r="JG79" s="292"/>
      <c r="JH79" s="292"/>
      <c r="JI79" s="292"/>
      <c r="JJ79" s="292"/>
      <c r="JK79" s="292"/>
      <c r="JL79" s="292"/>
      <c r="JM79" s="292"/>
      <c r="JN79" s="292"/>
      <c r="JO79" s="292"/>
      <c r="JP79" s="292"/>
      <c r="JQ79" s="292"/>
      <c r="JR79" s="292"/>
      <c r="JS79" s="292"/>
      <c r="JT79" s="292"/>
      <c r="JU79" s="292"/>
      <c r="JV79" s="292"/>
      <c r="JW79" s="292"/>
      <c r="JX79" s="292"/>
      <c r="JY79" s="292"/>
      <c r="JZ79" s="292"/>
      <c r="KA79" s="292"/>
      <c r="KB79" s="292"/>
      <c r="KC79" s="292"/>
      <c r="KD79" s="292"/>
      <c r="KE79" s="292"/>
      <c r="KF79" s="292"/>
      <c r="KG79" s="292"/>
      <c r="KH79" s="292"/>
      <c r="KI79" s="292"/>
      <c r="KJ79" s="292"/>
      <c r="KK79" s="292"/>
      <c r="KL79" s="292"/>
      <c r="KM79" s="292"/>
      <c r="KN79" s="292"/>
      <c r="KO79" s="292"/>
      <c r="KP79" s="292"/>
      <c r="KQ79" s="292"/>
      <c r="KR79" s="292"/>
      <c r="KS79" s="292"/>
      <c r="KT79" s="292"/>
      <c r="KU79" s="292"/>
      <c r="KV79" s="292"/>
      <c r="KW79" s="292"/>
      <c r="KX79" s="292"/>
      <c r="KY79" s="292"/>
      <c r="KZ79" s="292"/>
      <c r="LA79" s="292"/>
      <c r="LB79" s="292"/>
      <c r="LC79" s="292"/>
      <c r="LD79" s="292"/>
      <c r="LE79" s="292"/>
      <c r="LF79" s="292"/>
      <c r="LG79" s="292"/>
      <c r="LH79" s="292"/>
      <c r="LI79" s="292"/>
      <c r="LJ79" s="292"/>
      <c r="LK79" s="292"/>
      <c r="LL79" s="292"/>
      <c r="LM79" s="292"/>
      <c r="LN79" s="292"/>
      <c r="LO79" s="292"/>
      <c r="LP79" s="292"/>
      <c r="LQ79" s="292"/>
      <c r="LR79" s="292"/>
      <c r="LS79" s="292"/>
      <c r="LT79" s="292"/>
      <c r="LU79" s="292"/>
      <c r="LV79" s="292"/>
      <c r="LW79" s="292"/>
      <c r="LX79" s="292"/>
      <c r="LY79" s="292"/>
      <c r="LZ79" s="292"/>
      <c r="MA79" s="292"/>
      <c r="MB79" s="292"/>
      <c r="MC79" s="292"/>
      <c r="MD79" s="292"/>
      <c r="ME79" s="292"/>
      <c r="MF79" s="292"/>
      <c r="MG79" s="292"/>
      <c r="MH79" s="292"/>
      <c r="MI79" s="292"/>
      <c r="MJ79" s="292"/>
      <c r="MK79" s="292"/>
      <c r="ML79" s="292"/>
      <c r="MM79" s="292"/>
      <c r="MN79" s="292"/>
      <c r="MO79" s="292"/>
      <c r="MP79" s="292"/>
      <c r="MQ79" s="292"/>
      <c r="MR79" s="292"/>
      <c r="MS79" s="292"/>
      <c r="MT79" s="292"/>
      <c r="MU79" s="292"/>
      <c r="MV79" s="292"/>
      <c r="MW79" s="292"/>
      <c r="MX79" s="292"/>
      <c r="MY79" s="292"/>
      <c r="MZ79" s="292"/>
      <c r="NA79" s="292"/>
      <c r="NB79" s="292"/>
      <c r="NC79" s="292"/>
      <c r="ND79" s="292"/>
      <c r="NE79" s="292"/>
      <c r="NF79" s="292"/>
      <c r="NG79" s="292"/>
      <c r="NH79" s="292"/>
      <c r="NI79" s="292"/>
      <c r="NJ79" s="292"/>
      <c r="NK79" s="292"/>
      <c r="NL79" s="292"/>
      <c r="NM79" s="292"/>
      <c r="NN79" s="292"/>
      <c r="NO79" s="292"/>
      <c r="NP79" s="292"/>
      <c r="NQ79" s="292"/>
      <c r="NR79" s="292"/>
      <c r="NS79" s="292"/>
      <c r="NT79" s="292"/>
      <c r="NU79" s="292"/>
      <c r="NV79" s="292"/>
      <c r="NW79" s="292"/>
      <c r="NX79" s="292"/>
      <c r="NY79" s="292"/>
      <c r="NZ79" s="292"/>
      <c r="OA79" s="292"/>
      <c r="OB79" s="292"/>
      <c r="OC79" s="292"/>
      <c r="OD79" s="292"/>
      <c r="OE79" s="292"/>
      <c r="OF79" s="292"/>
      <c r="OG79" s="292"/>
      <c r="OH79" s="292"/>
      <c r="OI79" s="292"/>
      <c r="OJ79" s="292"/>
      <c r="OK79" s="292"/>
      <c r="OL79" s="292"/>
      <c r="OM79" s="292"/>
      <c r="ON79" s="292"/>
      <c r="OO79" s="292"/>
      <c r="OP79" s="292"/>
      <c r="OQ79" s="292"/>
      <c r="OR79" s="292"/>
      <c r="OS79" s="292"/>
      <c r="OT79" s="292"/>
      <c r="OU79" s="292"/>
      <c r="OV79" s="292"/>
      <c r="OW79" s="292"/>
      <c r="OX79" s="292"/>
      <c r="OY79" s="292"/>
      <c r="OZ79" s="292"/>
      <c r="PA79" s="292"/>
      <c r="PB79" s="292"/>
      <c r="PC79" s="292"/>
      <c r="PD79" s="292"/>
      <c r="PE79" s="292"/>
      <c r="PF79" s="292"/>
      <c r="PG79" s="292"/>
      <c r="PH79" s="292"/>
      <c r="PI79" s="292"/>
      <c r="PJ79" s="292"/>
      <c r="PK79" s="292"/>
      <c r="PL79" s="292"/>
      <c r="PM79" s="292"/>
      <c r="PN79" s="292"/>
      <c r="PO79" s="292"/>
      <c r="PP79" s="292"/>
      <c r="PQ79" s="292"/>
      <c r="PR79" s="292"/>
      <c r="PS79" s="292"/>
      <c r="PT79" s="292"/>
      <c r="PU79" s="292"/>
      <c r="PV79" s="292"/>
      <c r="PW79" s="292"/>
      <c r="PX79" s="292"/>
      <c r="PY79" s="292"/>
      <c r="PZ79" s="292"/>
      <c r="QA79" s="292"/>
      <c r="QB79" s="292"/>
      <c r="QC79" s="292"/>
      <c r="QD79" s="292"/>
      <c r="QE79" s="292"/>
      <c r="QF79" s="292"/>
      <c r="QG79" s="292"/>
      <c r="QH79" s="292"/>
      <c r="QI79" s="292"/>
      <c r="QJ79" s="292"/>
      <c r="QK79" s="292"/>
      <c r="QL79" s="292"/>
      <c r="QM79" s="292"/>
      <c r="QN79" s="292"/>
      <c r="QO79" s="292"/>
      <c r="QP79" s="292"/>
      <c r="QQ79" s="292"/>
      <c r="QR79" s="292"/>
      <c r="QS79" s="292"/>
      <c r="QT79" s="292"/>
      <c r="QU79" s="292"/>
      <c r="QV79" s="292"/>
      <c r="QW79" s="292"/>
      <c r="QX79" s="292"/>
      <c r="QY79" s="292"/>
      <c r="QZ79" s="292"/>
      <c r="RA79" s="292"/>
      <c r="RB79" s="292"/>
      <c r="RC79" s="292"/>
      <c r="RD79" s="292"/>
      <c r="RE79" s="292"/>
      <c r="RF79" s="292"/>
      <c r="RG79" s="292"/>
      <c r="RH79" s="292"/>
      <c r="RI79" s="292"/>
      <c r="RJ79" s="292"/>
      <c r="RK79" s="292"/>
      <c r="RL79" s="292"/>
      <c r="RM79" s="292"/>
      <c r="RN79" s="292"/>
      <c r="RO79" s="292"/>
      <c r="RP79" s="292"/>
      <c r="RQ79" s="292"/>
      <c r="RR79" s="292"/>
      <c r="RS79" s="292"/>
      <c r="RT79" s="292"/>
      <c r="RU79" s="292"/>
      <c r="RV79" s="292"/>
      <c r="RW79" s="292"/>
      <c r="RX79" s="292"/>
      <c r="RY79" s="292"/>
      <c r="RZ79" s="292"/>
      <c r="SA79" s="292"/>
      <c r="SB79" s="292"/>
      <c r="SC79" s="292"/>
      <c r="SD79" s="292"/>
      <c r="SE79" s="292"/>
      <c r="SF79" s="292"/>
      <c r="SG79" s="292"/>
      <c r="SH79" s="292"/>
      <c r="SI79" s="292"/>
      <c r="SJ79" s="292"/>
      <c r="SK79" s="292"/>
      <c r="SL79" s="292"/>
      <c r="SM79" s="292"/>
      <c r="SN79" s="292"/>
      <c r="SO79" s="292"/>
      <c r="SP79" s="292"/>
      <c r="SQ79" s="292"/>
      <c r="SR79" s="292"/>
      <c r="SS79" s="292"/>
      <c r="ST79" s="292"/>
      <c r="SU79" s="292"/>
    </row>
    <row r="80" spans="1:515" s="629" customFormat="1" ht="23.15" customHeight="1" x14ac:dyDescent="0.25">
      <c r="A80" s="1341"/>
      <c r="B80" s="1342"/>
      <c r="C80" s="1342"/>
      <c r="D80" s="962"/>
      <c r="E80" s="1305">
        <f>E72+G77</f>
        <v>0</v>
      </c>
      <c r="F80" s="1305"/>
      <c r="G80" s="1305"/>
      <c r="H80" s="962"/>
      <c r="I80" s="1305">
        <f>I72+K77</f>
        <v>0</v>
      </c>
      <c r="J80" s="1305"/>
      <c r="K80" s="1305"/>
      <c r="L80" s="962"/>
      <c r="M80" s="1305">
        <f>M72+O77</f>
        <v>0</v>
      </c>
      <c r="N80" s="1305"/>
      <c r="O80" s="1305"/>
      <c r="P80" s="962"/>
      <c r="Q80" s="1305">
        <f>Q72+S77</f>
        <v>0</v>
      </c>
      <c r="R80" s="1305"/>
      <c r="S80" s="1305"/>
      <c r="T80" s="962"/>
      <c r="U80" s="1305">
        <f>U72+W77</f>
        <v>0</v>
      </c>
      <c r="V80" s="1305"/>
      <c r="W80" s="1305"/>
      <c r="X80" s="962"/>
      <c r="Y80" s="1305">
        <f>Y72+AA77</f>
        <v>0</v>
      </c>
      <c r="Z80" s="1305"/>
      <c r="AA80" s="1305"/>
      <c r="AB80" s="976"/>
      <c r="AC80" s="799">
        <f>AC47+AC33</f>
        <v>0</v>
      </c>
      <c r="AD80" s="790">
        <f>E80+I80+M80+Q80+U80+Y80</f>
        <v>0</v>
      </c>
      <c r="AE80" s="971"/>
      <c r="AF80" s="292"/>
      <c r="AG80" s="292"/>
      <c r="AH80" s="292"/>
      <c r="AI80" s="292"/>
      <c r="AJ80" s="292"/>
      <c r="AK80" s="292"/>
      <c r="AL80" s="292"/>
      <c r="AM80" s="292"/>
      <c r="AN80" s="292"/>
      <c r="AO80" s="292"/>
      <c r="AP80" s="292"/>
      <c r="AQ80" s="292"/>
      <c r="AR80" s="292"/>
      <c r="AS80" s="292"/>
      <c r="AT80" s="292"/>
      <c r="AU80" s="292"/>
      <c r="AV80" s="292"/>
      <c r="AW80" s="292"/>
      <c r="AX80" s="292"/>
      <c r="AY80" s="292"/>
      <c r="AZ80" s="292"/>
      <c r="BA80" s="292"/>
      <c r="BB80" s="292"/>
      <c r="BC80" s="292"/>
      <c r="BD80" s="292"/>
      <c r="BE80" s="292"/>
      <c r="BF80" s="292"/>
      <c r="BG80" s="292"/>
      <c r="BH80" s="292"/>
      <c r="BI80" s="292"/>
      <c r="BJ80" s="292"/>
      <c r="BK80" s="292"/>
      <c r="BL80" s="292"/>
      <c r="BM80" s="292"/>
      <c r="BN80" s="292"/>
      <c r="BO80" s="292"/>
      <c r="BP80" s="292"/>
      <c r="BQ80" s="292"/>
      <c r="BR80" s="292"/>
      <c r="BS80" s="292"/>
      <c r="BT80" s="292"/>
      <c r="BU80" s="292"/>
      <c r="BV80" s="292"/>
      <c r="BW80" s="292"/>
      <c r="BX80" s="292"/>
      <c r="BY80" s="292"/>
      <c r="BZ80" s="292"/>
      <c r="CA80" s="292"/>
      <c r="CB80" s="292"/>
      <c r="CC80" s="292"/>
      <c r="CD80" s="292"/>
      <c r="CE80" s="292"/>
      <c r="CF80" s="292"/>
      <c r="CG80" s="292"/>
      <c r="CH80" s="292"/>
      <c r="CI80" s="292"/>
      <c r="CJ80" s="292"/>
      <c r="CK80" s="292"/>
      <c r="CL80" s="292"/>
      <c r="CM80" s="292"/>
      <c r="CN80" s="292"/>
      <c r="CO80" s="292"/>
      <c r="CP80" s="292"/>
      <c r="CQ80" s="292"/>
      <c r="CR80" s="292"/>
      <c r="CS80" s="292"/>
      <c r="CT80" s="292"/>
      <c r="CU80" s="292"/>
      <c r="CV80" s="292"/>
      <c r="CW80" s="292"/>
      <c r="CX80" s="292"/>
      <c r="CY80" s="292"/>
      <c r="CZ80" s="292"/>
      <c r="DA80" s="292"/>
      <c r="DB80" s="292"/>
      <c r="DC80" s="292"/>
      <c r="DD80" s="292"/>
      <c r="DE80" s="292"/>
      <c r="DF80" s="292"/>
      <c r="DG80" s="292"/>
      <c r="DH80" s="292"/>
      <c r="DI80" s="292"/>
      <c r="DJ80" s="292"/>
      <c r="DK80" s="292"/>
      <c r="DL80" s="292"/>
      <c r="DM80" s="292"/>
      <c r="DN80" s="292"/>
      <c r="DO80" s="292"/>
      <c r="DP80" s="292"/>
      <c r="DQ80" s="292"/>
      <c r="DR80" s="292"/>
      <c r="DS80" s="292"/>
      <c r="DT80" s="292"/>
      <c r="DU80" s="292"/>
      <c r="DV80" s="292"/>
      <c r="DW80" s="292"/>
      <c r="DX80" s="292"/>
      <c r="DY80" s="292"/>
      <c r="DZ80" s="292"/>
      <c r="EA80" s="292"/>
      <c r="EB80" s="292"/>
      <c r="EC80" s="292"/>
      <c r="ED80" s="292"/>
      <c r="EE80" s="292"/>
      <c r="EF80" s="292"/>
      <c r="EG80" s="292"/>
      <c r="EH80" s="292"/>
      <c r="EI80" s="292"/>
      <c r="EJ80" s="292"/>
      <c r="EK80" s="292"/>
      <c r="EL80" s="292"/>
      <c r="EM80" s="292"/>
      <c r="EN80" s="292"/>
      <c r="EO80" s="292"/>
      <c r="EP80" s="292"/>
      <c r="EQ80" s="292"/>
      <c r="ER80" s="292"/>
      <c r="ES80" s="292"/>
      <c r="ET80" s="292"/>
      <c r="EU80" s="292"/>
      <c r="EV80" s="292"/>
      <c r="EW80" s="292"/>
      <c r="EX80" s="292"/>
      <c r="EY80" s="292"/>
      <c r="EZ80" s="292"/>
      <c r="FA80" s="292"/>
      <c r="FB80" s="292"/>
      <c r="FC80" s="292"/>
      <c r="FD80" s="292"/>
      <c r="FE80" s="292"/>
      <c r="FF80" s="292"/>
      <c r="FG80" s="292"/>
      <c r="FH80" s="292"/>
      <c r="FI80" s="292"/>
      <c r="FJ80" s="292"/>
      <c r="FK80" s="292"/>
      <c r="FL80" s="292"/>
      <c r="FM80" s="292"/>
      <c r="FN80" s="292"/>
      <c r="FO80" s="292"/>
      <c r="FP80" s="292"/>
      <c r="FQ80" s="292"/>
      <c r="FR80" s="292"/>
      <c r="FS80" s="292"/>
      <c r="FT80" s="292"/>
      <c r="FU80" s="292"/>
      <c r="FV80" s="292"/>
      <c r="FW80" s="292"/>
      <c r="FX80" s="292"/>
      <c r="FY80" s="292"/>
      <c r="FZ80" s="292"/>
      <c r="GA80" s="292"/>
      <c r="GB80" s="292"/>
      <c r="GC80" s="292"/>
      <c r="GD80" s="292"/>
      <c r="GE80" s="292"/>
      <c r="GF80" s="292"/>
      <c r="GG80" s="292"/>
      <c r="GH80" s="292"/>
      <c r="GI80" s="292"/>
      <c r="GJ80" s="292"/>
      <c r="GK80" s="292"/>
      <c r="GL80" s="292"/>
      <c r="GM80" s="292"/>
      <c r="GN80" s="292"/>
      <c r="GO80" s="292"/>
      <c r="GP80" s="292"/>
      <c r="GQ80" s="292"/>
      <c r="GR80" s="292"/>
      <c r="GS80" s="292"/>
      <c r="GT80" s="292"/>
      <c r="GU80" s="292"/>
      <c r="GV80" s="292"/>
      <c r="GW80" s="292"/>
      <c r="GX80" s="292"/>
      <c r="GY80" s="292"/>
      <c r="GZ80" s="292"/>
      <c r="HA80" s="292"/>
      <c r="HB80" s="292"/>
      <c r="HC80" s="292"/>
      <c r="HD80" s="292"/>
      <c r="HE80" s="292"/>
      <c r="HF80" s="292"/>
      <c r="HG80" s="292"/>
      <c r="HH80" s="292"/>
      <c r="HI80" s="292"/>
      <c r="HJ80" s="292"/>
      <c r="HK80" s="292"/>
      <c r="HL80" s="292"/>
      <c r="HM80" s="292"/>
      <c r="HN80" s="292"/>
      <c r="HO80" s="292"/>
      <c r="HP80" s="292"/>
      <c r="HQ80" s="292"/>
      <c r="HR80" s="292"/>
      <c r="HS80" s="292"/>
      <c r="HT80" s="292"/>
      <c r="HU80" s="292"/>
      <c r="HV80" s="292"/>
      <c r="HW80" s="292"/>
      <c r="HX80" s="292"/>
      <c r="HY80" s="292"/>
      <c r="HZ80" s="292"/>
      <c r="IA80" s="292"/>
      <c r="IB80" s="292"/>
      <c r="IC80" s="292"/>
      <c r="ID80" s="292"/>
      <c r="IE80" s="292"/>
      <c r="IF80" s="292"/>
      <c r="IG80" s="292"/>
      <c r="IH80" s="292"/>
      <c r="II80" s="292"/>
      <c r="IJ80" s="292"/>
      <c r="IK80" s="292"/>
      <c r="IL80" s="292"/>
      <c r="IM80" s="292"/>
      <c r="IN80" s="292"/>
      <c r="IO80" s="292"/>
      <c r="IP80" s="292"/>
      <c r="IQ80" s="292"/>
      <c r="IR80" s="292"/>
      <c r="IS80" s="292"/>
      <c r="IT80" s="292"/>
      <c r="IU80" s="292"/>
      <c r="IV80" s="292"/>
      <c r="IW80" s="292"/>
      <c r="IX80" s="292"/>
      <c r="IY80" s="292"/>
      <c r="IZ80" s="292"/>
      <c r="JA80" s="292"/>
      <c r="JB80" s="292"/>
      <c r="JC80" s="292"/>
      <c r="JD80" s="292"/>
      <c r="JE80" s="292"/>
      <c r="JF80" s="292"/>
      <c r="JG80" s="292"/>
      <c r="JH80" s="292"/>
      <c r="JI80" s="292"/>
      <c r="JJ80" s="292"/>
      <c r="JK80" s="292"/>
      <c r="JL80" s="292"/>
      <c r="JM80" s="292"/>
      <c r="JN80" s="292"/>
      <c r="JO80" s="292"/>
      <c r="JP80" s="292"/>
      <c r="JQ80" s="292"/>
      <c r="JR80" s="292"/>
      <c r="JS80" s="292"/>
      <c r="JT80" s="292"/>
      <c r="JU80" s="292"/>
      <c r="JV80" s="292"/>
      <c r="JW80" s="292"/>
      <c r="JX80" s="292"/>
      <c r="JY80" s="292"/>
      <c r="JZ80" s="292"/>
      <c r="KA80" s="292"/>
      <c r="KB80" s="292"/>
      <c r="KC80" s="292"/>
      <c r="KD80" s="292"/>
      <c r="KE80" s="292"/>
      <c r="KF80" s="292"/>
      <c r="KG80" s="292"/>
      <c r="KH80" s="292"/>
      <c r="KI80" s="292"/>
      <c r="KJ80" s="292"/>
      <c r="KK80" s="292"/>
      <c r="KL80" s="292"/>
      <c r="KM80" s="292"/>
      <c r="KN80" s="292"/>
      <c r="KO80" s="292"/>
      <c r="KP80" s="292"/>
      <c r="KQ80" s="292"/>
      <c r="KR80" s="292"/>
      <c r="KS80" s="292"/>
      <c r="KT80" s="292"/>
      <c r="KU80" s="292"/>
      <c r="KV80" s="292"/>
      <c r="KW80" s="292"/>
      <c r="KX80" s="292"/>
      <c r="KY80" s="292"/>
      <c r="KZ80" s="292"/>
      <c r="LA80" s="292"/>
      <c r="LB80" s="292"/>
      <c r="LC80" s="292"/>
      <c r="LD80" s="292"/>
      <c r="LE80" s="292"/>
      <c r="LF80" s="292"/>
      <c r="LG80" s="292"/>
      <c r="LH80" s="292"/>
      <c r="LI80" s="292"/>
      <c r="LJ80" s="292"/>
      <c r="LK80" s="292"/>
      <c r="LL80" s="292"/>
      <c r="LM80" s="292"/>
      <c r="LN80" s="292"/>
      <c r="LO80" s="292"/>
      <c r="LP80" s="292"/>
      <c r="LQ80" s="292"/>
      <c r="LR80" s="292"/>
      <c r="LS80" s="292"/>
      <c r="LT80" s="292"/>
      <c r="LU80" s="292"/>
      <c r="LV80" s="292"/>
      <c r="LW80" s="292"/>
      <c r="LX80" s="292"/>
      <c r="LY80" s="292"/>
      <c r="LZ80" s="292"/>
      <c r="MA80" s="292"/>
      <c r="MB80" s="292"/>
      <c r="MC80" s="292"/>
      <c r="MD80" s="292"/>
      <c r="ME80" s="292"/>
      <c r="MF80" s="292"/>
      <c r="MG80" s="292"/>
      <c r="MH80" s="292"/>
      <c r="MI80" s="292"/>
      <c r="MJ80" s="292"/>
      <c r="MK80" s="292"/>
      <c r="ML80" s="292"/>
      <c r="MM80" s="292"/>
      <c r="MN80" s="292"/>
      <c r="MO80" s="292"/>
      <c r="MP80" s="292"/>
      <c r="MQ80" s="292"/>
      <c r="MR80" s="292"/>
      <c r="MS80" s="292"/>
      <c r="MT80" s="292"/>
      <c r="MU80" s="292"/>
      <c r="MV80" s="292"/>
      <c r="MW80" s="292"/>
      <c r="MX80" s="292"/>
      <c r="MY80" s="292"/>
      <c r="MZ80" s="292"/>
      <c r="NA80" s="292"/>
      <c r="NB80" s="292"/>
      <c r="NC80" s="292"/>
      <c r="ND80" s="292"/>
      <c r="NE80" s="292"/>
      <c r="NF80" s="292"/>
      <c r="NG80" s="292"/>
      <c r="NH80" s="292"/>
      <c r="NI80" s="292"/>
      <c r="NJ80" s="292"/>
      <c r="NK80" s="292"/>
      <c r="NL80" s="292"/>
      <c r="NM80" s="292"/>
      <c r="NN80" s="292"/>
      <c r="NO80" s="292"/>
      <c r="NP80" s="292"/>
      <c r="NQ80" s="292"/>
      <c r="NR80" s="292"/>
      <c r="NS80" s="292"/>
      <c r="NT80" s="292"/>
      <c r="NU80" s="292"/>
      <c r="NV80" s="292"/>
      <c r="NW80" s="292"/>
      <c r="NX80" s="292"/>
      <c r="NY80" s="292"/>
      <c r="NZ80" s="292"/>
      <c r="OA80" s="292"/>
      <c r="OB80" s="292"/>
      <c r="OC80" s="292"/>
      <c r="OD80" s="292"/>
      <c r="OE80" s="292"/>
      <c r="OF80" s="292"/>
      <c r="OG80" s="292"/>
      <c r="OH80" s="292"/>
      <c r="OI80" s="292"/>
      <c r="OJ80" s="292"/>
      <c r="OK80" s="292"/>
      <c r="OL80" s="292"/>
      <c r="OM80" s="292"/>
      <c r="ON80" s="292"/>
      <c r="OO80" s="292"/>
      <c r="OP80" s="292"/>
      <c r="OQ80" s="292"/>
      <c r="OR80" s="292"/>
      <c r="OS80" s="292"/>
      <c r="OT80" s="292"/>
      <c r="OU80" s="292"/>
      <c r="OV80" s="292"/>
      <c r="OW80" s="292"/>
      <c r="OX80" s="292"/>
      <c r="OY80" s="292"/>
      <c r="OZ80" s="292"/>
      <c r="PA80" s="292"/>
      <c r="PB80" s="292"/>
      <c r="PC80" s="292"/>
      <c r="PD80" s="292"/>
      <c r="PE80" s="292"/>
      <c r="PF80" s="292"/>
      <c r="PG80" s="292"/>
      <c r="PH80" s="292"/>
      <c r="PI80" s="292"/>
      <c r="PJ80" s="292"/>
      <c r="PK80" s="292"/>
      <c r="PL80" s="292"/>
      <c r="PM80" s="292"/>
      <c r="PN80" s="292"/>
      <c r="PO80" s="292"/>
      <c r="PP80" s="292"/>
      <c r="PQ80" s="292"/>
      <c r="PR80" s="292"/>
      <c r="PS80" s="292"/>
      <c r="PT80" s="292"/>
      <c r="PU80" s="292"/>
      <c r="PV80" s="292"/>
      <c r="PW80" s="292"/>
      <c r="PX80" s="292"/>
      <c r="PY80" s="292"/>
      <c r="PZ80" s="292"/>
      <c r="QA80" s="292"/>
      <c r="QB80" s="292"/>
      <c r="QC80" s="292"/>
      <c r="QD80" s="292"/>
      <c r="QE80" s="292"/>
      <c r="QF80" s="292"/>
      <c r="QG80" s="292"/>
      <c r="QH80" s="292"/>
      <c r="QI80" s="292"/>
      <c r="QJ80" s="292"/>
      <c r="QK80" s="292"/>
      <c r="QL80" s="292"/>
      <c r="QM80" s="292"/>
      <c r="QN80" s="292"/>
      <c r="QO80" s="292"/>
      <c r="QP80" s="292"/>
      <c r="QQ80" s="292"/>
      <c r="QR80" s="292"/>
      <c r="QS80" s="292"/>
      <c r="QT80" s="292"/>
      <c r="QU80" s="292"/>
      <c r="QV80" s="292"/>
      <c r="QW80" s="292"/>
      <c r="QX80" s="292"/>
      <c r="QY80" s="292"/>
      <c r="QZ80" s="292"/>
      <c r="RA80" s="292"/>
      <c r="RB80" s="292"/>
      <c r="RC80" s="292"/>
      <c r="RD80" s="292"/>
      <c r="RE80" s="292"/>
      <c r="RF80" s="292"/>
      <c r="RG80" s="292"/>
      <c r="RH80" s="292"/>
      <c r="RI80" s="292"/>
      <c r="RJ80" s="292"/>
      <c r="RK80" s="292"/>
      <c r="RL80" s="292"/>
      <c r="RM80" s="292"/>
      <c r="RN80" s="292"/>
      <c r="RO80" s="292"/>
      <c r="RP80" s="292"/>
      <c r="RQ80" s="292"/>
      <c r="RR80" s="292"/>
      <c r="RS80" s="292"/>
      <c r="RT80" s="292"/>
      <c r="RU80" s="292"/>
      <c r="RV80" s="292"/>
      <c r="RW80" s="292"/>
      <c r="RX80" s="292"/>
      <c r="RY80" s="292"/>
      <c r="RZ80" s="292"/>
      <c r="SA80" s="292"/>
      <c r="SB80" s="292"/>
      <c r="SC80" s="292"/>
      <c r="SD80" s="292"/>
      <c r="SE80" s="292"/>
      <c r="SF80" s="292"/>
      <c r="SG80" s="292"/>
      <c r="SH80" s="292"/>
      <c r="SI80" s="292"/>
      <c r="SJ80" s="292"/>
      <c r="SK80" s="292"/>
      <c r="SL80" s="292"/>
      <c r="SM80" s="292"/>
      <c r="SN80" s="292"/>
      <c r="SO80" s="292"/>
      <c r="SP80" s="292"/>
      <c r="SQ80" s="292"/>
      <c r="SR80" s="292"/>
      <c r="SS80" s="292"/>
      <c r="ST80" s="292"/>
      <c r="SU80" s="292"/>
    </row>
    <row r="81" spans="1:31" ht="15" customHeight="1" x14ac:dyDescent="0.25">
      <c r="A81" s="959"/>
      <c r="B81" s="960"/>
      <c r="C81" s="960"/>
      <c r="D81" s="960"/>
      <c r="E81" s="960"/>
      <c r="F81" s="960"/>
      <c r="G81" s="960"/>
      <c r="H81" s="960"/>
      <c r="I81" s="960"/>
      <c r="J81" s="960"/>
      <c r="K81" s="960"/>
      <c r="L81" s="960"/>
      <c r="M81" s="960"/>
      <c r="N81" s="960"/>
      <c r="O81" s="960"/>
      <c r="P81" s="960"/>
      <c r="Q81" s="960"/>
      <c r="R81" s="960"/>
      <c r="S81" s="960"/>
      <c r="T81" s="960"/>
      <c r="U81" s="960"/>
      <c r="V81" s="960"/>
      <c r="W81" s="960"/>
      <c r="X81" s="960"/>
      <c r="Y81" s="960"/>
      <c r="Z81" s="960"/>
      <c r="AA81" s="960"/>
      <c r="AB81" s="960"/>
      <c r="AC81" s="960"/>
      <c r="AD81" s="960"/>
      <c r="AE81" s="967"/>
    </row>
    <row r="82" spans="1:31" ht="15" customHeight="1" x14ac:dyDescent="0.25">
      <c r="A82" s="960"/>
      <c r="B82" s="960"/>
      <c r="C82" s="960"/>
      <c r="D82" s="960"/>
      <c r="E82" s="960"/>
      <c r="F82" s="960"/>
      <c r="G82" s="960"/>
      <c r="H82" s="960"/>
      <c r="I82" s="960"/>
      <c r="J82" s="960"/>
      <c r="K82" s="960"/>
      <c r="L82" s="960"/>
      <c r="M82" s="960"/>
      <c r="N82" s="960"/>
      <c r="O82" s="960"/>
      <c r="P82" s="960"/>
      <c r="Q82" s="960"/>
      <c r="R82" s="960"/>
      <c r="S82" s="960"/>
      <c r="T82" s="960"/>
      <c r="U82" s="960"/>
      <c r="V82" s="960"/>
      <c r="W82" s="960"/>
      <c r="X82" s="960"/>
      <c r="Y82" s="960"/>
      <c r="Z82" s="960"/>
      <c r="AA82" s="960"/>
      <c r="AB82" s="960"/>
      <c r="AC82" s="960"/>
      <c r="AD82" s="960"/>
      <c r="AE82" s="967"/>
    </row>
    <row r="83" spans="1:31" ht="15" customHeight="1" x14ac:dyDescent="0.25">
      <c r="A83" s="960"/>
      <c r="B83" s="960"/>
      <c r="C83" s="960"/>
      <c r="D83" s="960"/>
      <c r="E83" s="1192" t="s">
        <v>15</v>
      </c>
      <c r="F83" s="1192" t="s">
        <v>390</v>
      </c>
      <c r="G83" s="1192" t="s">
        <v>345</v>
      </c>
      <c r="H83" s="960"/>
      <c r="I83" s="1192" t="s">
        <v>15</v>
      </c>
      <c r="J83" s="1192" t="s">
        <v>390</v>
      </c>
      <c r="K83" s="1192" t="s">
        <v>345</v>
      </c>
      <c r="L83" s="960"/>
      <c r="M83" s="1192" t="s">
        <v>15</v>
      </c>
      <c r="N83" s="1192" t="s">
        <v>390</v>
      </c>
      <c r="O83" s="1192" t="s">
        <v>345</v>
      </c>
      <c r="P83" s="960"/>
      <c r="Q83" s="1192" t="s">
        <v>15</v>
      </c>
      <c r="R83" s="1192" t="s">
        <v>390</v>
      </c>
      <c r="S83" s="1192" t="s">
        <v>345</v>
      </c>
      <c r="T83" s="960"/>
      <c r="U83" s="1192" t="s">
        <v>15</v>
      </c>
      <c r="V83" s="1192" t="s">
        <v>390</v>
      </c>
      <c r="W83" s="1192" t="s">
        <v>345</v>
      </c>
      <c r="X83" s="960"/>
      <c r="Y83" s="1192" t="s">
        <v>15</v>
      </c>
      <c r="Z83" s="1192" t="s">
        <v>390</v>
      </c>
      <c r="AA83" s="1192" t="s">
        <v>345</v>
      </c>
      <c r="AB83" s="960"/>
      <c r="AC83" s="1192" t="s">
        <v>390</v>
      </c>
      <c r="AD83" s="1192" t="s">
        <v>391</v>
      </c>
      <c r="AE83" s="967"/>
    </row>
    <row r="84" spans="1:31" ht="23.5" customHeight="1" x14ac:dyDescent="0.25">
      <c r="A84" s="1368" t="s">
        <v>392</v>
      </c>
      <c r="B84" s="1369"/>
      <c r="C84" s="1178" t="s">
        <v>393</v>
      </c>
      <c r="D84" s="960"/>
      <c r="E84" s="1302">
        <f>E80</f>
        <v>0</v>
      </c>
      <c r="F84" s="1161">
        <v>0</v>
      </c>
      <c r="G84" s="1160">
        <f>E84*F84</f>
        <v>0</v>
      </c>
      <c r="H84" s="960"/>
      <c r="I84" s="1302">
        <f>I80</f>
        <v>0</v>
      </c>
      <c r="J84" s="1161">
        <v>0</v>
      </c>
      <c r="K84" s="1160">
        <f>I84*J84</f>
        <v>0</v>
      </c>
      <c r="L84" s="960"/>
      <c r="M84" s="1302">
        <f>M80</f>
        <v>0</v>
      </c>
      <c r="N84" s="1161">
        <v>0</v>
      </c>
      <c r="O84" s="1160">
        <f>M84*N84</f>
        <v>0</v>
      </c>
      <c r="P84" s="960"/>
      <c r="Q84" s="1302">
        <f>Q80</f>
        <v>0</v>
      </c>
      <c r="R84" s="1161">
        <v>0</v>
      </c>
      <c r="S84" s="1160">
        <f>Q84*R84</f>
        <v>0</v>
      </c>
      <c r="T84" s="960"/>
      <c r="U84" s="1302">
        <f>U80</f>
        <v>0</v>
      </c>
      <c r="V84" s="1161">
        <v>0</v>
      </c>
      <c r="W84" s="1160">
        <f>U84*V84</f>
        <v>0</v>
      </c>
      <c r="X84" s="960"/>
      <c r="Y84" s="1302">
        <f>Y80</f>
        <v>0</v>
      </c>
      <c r="Z84" s="1161">
        <v>0</v>
      </c>
      <c r="AA84" s="1160">
        <f>Y84*Z84</f>
        <v>0</v>
      </c>
      <c r="AB84" s="960"/>
      <c r="AC84" s="1162">
        <f>AVERAGE(Z84,V84,R84,N84,J84,F84)</f>
        <v>0</v>
      </c>
      <c r="AD84" s="1200">
        <f>AA84+W84+S84+O84+K84+G84</f>
        <v>0</v>
      </c>
      <c r="AE84" s="967"/>
    </row>
    <row r="85" spans="1:31" ht="25.5" customHeight="1" x14ac:dyDescent="0.25">
      <c r="A85" s="1370"/>
      <c r="B85" s="1371"/>
      <c r="C85" s="1178" t="s">
        <v>394</v>
      </c>
      <c r="D85" s="960"/>
      <c r="E85" s="1303"/>
      <c r="F85" s="1161">
        <v>0</v>
      </c>
      <c r="G85" s="1160">
        <f>E85*F85</f>
        <v>0</v>
      </c>
      <c r="H85" s="960"/>
      <c r="I85" s="1303"/>
      <c r="J85" s="1161">
        <v>0</v>
      </c>
      <c r="K85" s="1160">
        <f>I85*J85</f>
        <v>0</v>
      </c>
      <c r="L85" s="960"/>
      <c r="M85" s="1303"/>
      <c r="N85" s="1161">
        <v>0</v>
      </c>
      <c r="O85" s="1160">
        <f>M85*N85</f>
        <v>0</v>
      </c>
      <c r="P85" s="960"/>
      <c r="Q85" s="1303"/>
      <c r="R85" s="1161">
        <v>0</v>
      </c>
      <c r="S85" s="1160">
        <f>Q85*R85</f>
        <v>0</v>
      </c>
      <c r="T85" s="960"/>
      <c r="U85" s="1303"/>
      <c r="V85" s="1161">
        <v>0</v>
      </c>
      <c r="W85" s="1160">
        <f>U85*V85</f>
        <v>0</v>
      </c>
      <c r="X85" s="960"/>
      <c r="Y85" s="1303"/>
      <c r="Z85" s="1161">
        <v>0</v>
      </c>
      <c r="AA85" s="1160">
        <f>Y85*Z85</f>
        <v>0</v>
      </c>
      <c r="AB85" s="960"/>
      <c r="AC85" s="1162">
        <f>AVERAGE(Z85,V85,R85,N85,J85,F85)</f>
        <v>0</v>
      </c>
      <c r="AD85" s="1200">
        <f>AA85+W85+S85+O85+K85+G85</f>
        <v>0</v>
      </c>
      <c r="AE85" s="967"/>
    </row>
    <row r="86" spans="1:31" ht="15" customHeight="1" x14ac:dyDescent="0.25">
      <c r="A86" s="960"/>
      <c r="B86" s="960"/>
      <c r="C86" s="960"/>
      <c r="D86" s="960"/>
      <c r="E86" s="960"/>
      <c r="F86" s="960"/>
      <c r="G86" s="960"/>
      <c r="H86" s="960"/>
      <c r="I86" s="960"/>
      <c r="J86" s="960"/>
      <c r="K86" s="960"/>
      <c r="L86" s="960"/>
      <c r="M86" s="960"/>
      <c r="N86" s="960"/>
      <c r="O86" s="960"/>
      <c r="P86" s="960"/>
      <c r="Q86" s="960"/>
      <c r="R86" s="960"/>
      <c r="S86" s="960"/>
      <c r="T86" s="960"/>
      <c r="U86" s="960"/>
      <c r="V86" s="960"/>
      <c r="W86" s="960"/>
      <c r="X86" s="960"/>
      <c r="Y86" s="960"/>
      <c r="Z86" s="960"/>
      <c r="AA86" s="960"/>
      <c r="AB86" s="960"/>
      <c r="AC86" s="960"/>
      <c r="AD86" s="960"/>
      <c r="AE86" s="967"/>
    </row>
    <row r="87" spans="1:31" ht="15" customHeight="1" thickBot="1" x14ac:dyDescent="0.3">
      <c r="A87" s="959"/>
      <c r="B87" s="960"/>
      <c r="C87" s="960"/>
      <c r="D87" s="960"/>
      <c r="E87" s="960"/>
      <c r="F87" s="960"/>
      <c r="G87" s="960"/>
      <c r="H87" s="960"/>
      <c r="I87" s="960"/>
      <c r="J87" s="960"/>
      <c r="K87" s="960"/>
      <c r="L87" s="960"/>
      <c r="M87" s="960"/>
      <c r="N87" s="960"/>
      <c r="O87" s="960"/>
      <c r="P87" s="960"/>
      <c r="Q87" s="960"/>
      <c r="R87" s="960"/>
      <c r="S87" s="960"/>
      <c r="T87" s="960"/>
      <c r="U87" s="960"/>
      <c r="V87" s="960"/>
      <c r="W87" s="960"/>
      <c r="X87" s="960"/>
      <c r="Y87" s="960"/>
      <c r="Z87" s="960"/>
      <c r="AA87" s="960"/>
      <c r="AB87" s="960"/>
      <c r="AC87" s="960"/>
      <c r="AD87" s="960"/>
      <c r="AE87" s="967"/>
    </row>
    <row r="88" spans="1:31" ht="25.5" customHeight="1" thickBot="1" x14ac:dyDescent="0.3">
      <c r="A88" s="1355" t="s">
        <v>395</v>
      </c>
      <c r="B88" s="1356"/>
      <c r="C88" s="1357"/>
      <c r="D88" s="960"/>
      <c r="E88" s="960"/>
      <c r="F88" s="960"/>
      <c r="G88" s="960"/>
      <c r="H88" s="960"/>
      <c r="I88" s="960"/>
      <c r="J88" s="960"/>
      <c r="K88" s="960"/>
      <c r="L88" s="960"/>
      <c r="M88" s="960"/>
      <c r="N88" s="960"/>
      <c r="O88" s="960"/>
      <c r="P88" s="960"/>
      <c r="Q88" s="960"/>
      <c r="R88" s="960"/>
      <c r="S88" s="960"/>
      <c r="T88" s="960"/>
      <c r="U88" s="960"/>
      <c r="V88" s="960"/>
      <c r="W88" s="960"/>
      <c r="X88" s="960"/>
      <c r="Y88" s="960"/>
      <c r="Z88" s="960"/>
      <c r="AA88" s="960"/>
      <c r="AB88" s="960"/>
      <c r="AC88" s="960"/>
      <c r="AD88" s="960"/>
      <c r="AE88" s="967"/>
    </row>
    <row r="89" spans="1:31" ht="38.5" customHeight="1" x14ac:dyDescent="0.25">
      <c r="A89" s="1372" t="s">
        <v>396</v>
      </c>
      <c r="B89" s="1373"/>
      <c r="C89" s="1374"/>
      <c r="D89" s="960"/>
      <c r="E89" s="960"/>
      <c r="F89" s="960"/>
      <c r="G89" s="960"/>
      <c r="H89" s="960"/>
      <c r="I89" s="960"/>
      <c r="J89" s="960"/>
      <c r="K89" s="960"/>
      <c r="L89" s="960"/>
      <c r="M89" s="960"/>
      <c r="N89" s="960"/>
      <c r="O89" s="960"/>
      <c r="P89" s="960"/>
      <c r="Q89" s="960"/>
      <c r="R89" s="960"/>
      <c r="S89" s="960"/>
      <c r="T89" s="960"/>
      <c r="U89" s="960"/>
      <c r="V89" s="960"/>
      <c r="W89" s="960"/>
      <c r="X89" s="960"/>
      <c r="Y89" s="960"/>
      <c r="Z89" s="960"/>
      <c r="AA89" s="960"/>
      <c r="AB89" s="960"/>
      <c r="AC89" s="960"/>
      <c r="AD89" s="960"/>
      <c r="AE89" s="967"/>
    </row>
    <row r="90" spans="1:31" ht="30" customHeight="1" x14ac:dyDescent="0.25">
      <c r="A90" s="1299" t="s">
        <v>397</v>
      </c>
      <c r="B90" s="1300"/>
      <c r="C90" s="1301"/>
      <c r="D90" s="965"/>
      <c r="E90" s="965"/>
      <c r="F90" s="965"/>
      <c r="G90" s="965"/>
      <c r="H90" s="965"/>
      <c r="I90" s="965"/>
      <c r="J90" s="965"/>
      <c r="K90" s="965"/>
      <c r="L90" s="960"/>
      <c r="M90" s="960"/>
      <c r="N90" s="960"/>
      <c r="O90" s="960"/>
      <c r="P90" s="960"/>
      <c r="Q90" s="960"/>
      <c r="R90" s="960"/>
      <c r="S90" s="960"/>
      <c r="T90" s="960"/>
      <c r="U90" s="960"/>
      <c r="V90" s="960"/>
      <c r="W90" s="960"/>
      <c r="X90" s="960"/>
      <c r="Y90" s="960"/>
      <c r="Z90" s="960"/>
      <c r="AA90" s="960"/>
      <c r="AB90" s="960"/>
      <c r="AC90" s="960"/>
      <c r="AD90" s="960"/>
      <c r="AE90" s="967"/>
    </row>
    <row r="91" spans="1:31" ht="63" customHeight="1" x14ac:dyDescent="0.25">
      <c r="A91" s="1343" t="s">
        <v>398</v>
      </c>
      <c r="B91" s="1343"/>
      <c r="C91" s="1343"/>
      <c r="D91" s="960"/>
      <c r="E91" s="960"/>
      <c r="F91" s="960"/>
      <c r="G91" s="960"/>
      <c r="H91" s="960"/>
      <c r="I91" s="960"/>
      <c r="J91" s="960"/>
      <c r="K91" s="960"/>
      <c r="L91" s="960"/>
      <c r="M91" s="960"/>
      <c r="N91" s="960"/>
      <c r="O91" s="960"/>
      <c r="P91" s="960"/>
      <c r="Q91" s="960"/>
      <c r="R91" s="960"/>
      <c r="S91" s="960"/>
      <c r="T91" s="960"/>
      <c r="U91" s="960"/>
      <c r="V91" s="960"/>
      <c r="W91" s="960"/>
      <c r="X91" s="960"/>
      <c r="Y91" s="960"/>
      <c r="Z91" s="960"/>
      <c r="AA91" s="960"/>
      <c r="AB91" s="960"/>
      <c r="AC91" s="960"/>
      <c r="AD91" s="960"/>
      <c r="AE91" s="967"/>
    </row>
    <row r="92" spans="1:31" ht="29.5" customHeight="1" x14ac:dyDescent="0.25">
      <c r="A92" s="1299" t="s">
        <v>399</v>
      </c>
      <c r="B92" s="1300"/>
      <c r="C92" s="1301"/>
      <c r="D92" s="960"/>
      <c r="E92" s="960"/>
      <c r="F92" s="960"/>
      <c r="G92" s="960"/>
      <c r="H92" s="960"/>
      <c r="I92" s="960"/>
      <c r="J92" s="960"/>
      <c r="K92" s="960"/>
      <c r="L92" s="960"/>
      <c r="M92" s="960"/>
      <c r="N92" s="960"/>
      <c r="O92" s="960"/>
      <c r="P92" s="960"/>
      <c r="Q92" s="960"/>
      <c r="R92" s="960"/>
      <c r="S92" s="960"/>
      <c r="T92" s="960"/>
      <c r="U92" s="960"/>
      <c r="V92" s="960"/>
      <c r="W92" s="960"/>
      <c r="X92" s="960"/>
      <c r="Y92" s="960"/>
      <c r="Z92" s="960"/>
      <c r="AA92" s="960"/>
      <c r="AB92" s="960"/>
      <c r="AC92" s="960"/>
      <c r="AD92" s="960"/>
      <c r="AE92" s="967"/>
    </row>
    <row r="93" spans="1:31" ht="13" customHeight="1" thickBot="1" x14ac:dyDescent="0.3">
      <c r="A93" s="968"/>
      <c r="B93" s="969"/>
      <c r="C93" s="969"/>
      <c r="D93" s="966"/>
      <c r="E93" s="966"/>
      <c r="F93" s="966"/>
      <c r="G93" s="966"/>
      <c r="H93" s="966"/>
      <c r="I93" s="966"/>
      <c r="J93" s="966"/>
      <c r="K93" s="966"/>
      <c r="L93" s="966"/>
      <c r="M93" s="966"/>
      <c r="N93" s="966"/>
      <c r="O93" s="966"/>
      <c r="P93" s="966"/>
      <c r="Q93" s="966"/>
      <c r="R93" s="966"/>
      <c r="S93" s="966"/>
      <c r="T93" s="966"/>
      <c r="U93" s="966"/>
      <c r="V93" s="966"/>
      <c r="W93" s="966"/>
      <c r="X93" s="966"/>
      <c r="Y93" s="966"/>
      <c r="Z93" s="966"/>
      <c r="AA93" s="966"/>
      <c r="AB93" s="966"/>
      <c r="AC93" s="966"/>
      <c r="AD93" s="966"/>
      <c r="AE93" s="970"/>
    </row>
    <row r="94" spans="1:31" x14ac:dyDescent="0.25">
      <c r="A94" s="796"/>
      <c r="B94" s="796"/>
      <c r="C94" s="796"/>
    </row>
    <row r="95" spans="1:31" x14ac:dyDescent="0.25">
      <c r="A95" s="796"/>
      <c r="B95" s="796"/>
      <c r="C95" s="796"/>
    </row>
    <row r="96" spans="1:31" x14ac:dyDescent="0.25">
      <c r="A96" s="796"/>
      <c r="B96" s="796"/>
      <c r="C96" s="796"/>
    </row>
    <row r="97" spans="1:3" x14ac:dyDescent="0.25">
      <c r="A97" s="796"/>
      <c r="B97" s="796"/>
      <c r="C97" s="796"/>
    </row>
    <row r="98" spans="1:3" x14ac:dyDescent="0.25">
      <c r="A98" s="796"/>
      <c r="B98" s="796"/>
      <c r="C98" s="796"/>
    </row>
    <row r="99" spans="1:3" ht="13" customHeight="1" x14ac:dyDescent="0.25">
      <c r="B99" s="577"/>
      <c r="C99" s="577"/>
    </row>
    <row r="100" spans="1:3" x14ac:dyDescent="0.25">
      <c r="A100" s="577"/>
      <c r="B100" s="577"/>
      <c r="C100" s="577"/>
    </row>
    <row r="101" spans="1:3" x14ac:dyDescent="0.25">
      <c r="A101" s="577"/>
      <c r="B101" s="577"/>
      <c r="C101" s="577"/>
    </row>
    <row r="102" spans="1:3" x14ac:dyDescent="0.25">
      <c r="A102" s="577"/>
      <c r="B102" s="577"/>
      <c r="C102" s="577"/>
    </row>
  </sheetData>
  <mergeCells count="140">
    <mergeCell ref="Q84:Q85"/>
    <mergeCell ref="U84:U85"/>
    <mergeCell ref="A74:C74"/>
    <mergeCell ref="A77:C77"/>
    <mergeCell ref="E79:G79"/>
    <mergeCell ref="A90:C90"/>
    <mergeCell ref="A91:C91"/>
    <mergeCell ref="A92:C92"/>
    <mergeCell ref="A84:B85"/>
    <mergeCell ref="E84:E85"/>
    <mergeCell ref="I84:I85"/>
    <mergeCell ref="A79:C80"/>
    <mergeCell ref="A76:C76"/>
    <mergeCell ref="U77:V77"/>
    <mergeCell ref="Y84:Y85"/>
    <mergeCell ref="A88:C88"/>
    <mergeCell ref="A89:C89"/>
    <mergeCell ref="Y6:AA6"/>
    <mergeCell ref="AC6:AD6"/>
    <mergeCell ref="A57:C57"/>
    <mergeCell ref="A58:C58"/>
    <mergeCell ref="A68:C68"/>
    <mergeCell ref="U68:V68"/>
    <mergeCell ref="Y68:Z68"/>
    <mergeCell ref="Q79:S79"/>
    <mergeCell ref="U79:W79"/>
    <mergeCell ref="Y79:AA79"/>
    <mergeCell ref="A72:C72"/>
    <mergeCell ref="A75:C75"/>
    <mergeCell ref="E72:G72"/>
    <mergeCell ref="I72:K72"/>
    <mergeCell ref="M72:O72"/>
    <mergeCell ref="Q72:S72"/>
    <mergeCell ref="U72:W72"/>
    <mergeCell ref="A65:C65"/>
    <mergeCell ref="M84:M85"/>
    <mergeCell ref="A66:B66"/>
    <mergeCell ref="C66:C67"/>
    <mergeCell ref="A40:C40"/>
    <mergeCell ref="U40:V40"/>
    <mergeCell ref="A67:B67"/>
    <mergeCell ref="A63:C63"/>
    <mergeCell ref="E62:G62"/>
    <mergeCell ref="I62:K62"/>
    <mergeCell ref="M62:O62"/>
    <mergeCell ref="Q62:S62"/>
    <mergeCell ref="U62:W62"/>
    <mergeCell ref="A47:C47"/>
    <mergeCell ref="A26:B26"/>
    <mergeCell ref="A27:B27"/>
    <mergeCell ref="A28:B28"/>
    <mergeCell ref="Y40:Z40"/>
    <mergeCell ref="A42:C42"/>
    <mergeCell ref="A43:B43"/>
    <mergeCell ref="A44:B44"/>
    <mergeCell ref="A45:B45"/>
    <mergeCell ref="A46:B46"/>
    <mergeCell ref="A29:B29"/>
    <mergeCell ref="A30:B30"/>
    <mergeCell ref="A31:B31"/>
    <mergeCell ref="A32:B32"/>
    <mergeCell ref="A35:C35"/>
    <mergeCell ref="A36:B36"/>
    <mergeCell ref="A37:B37"/>
    <mergeCell ref="A38:B38"/>
    <mergeCell ref="A39:B39"/>
    <mergeCell ref="A14:B14"/>
    <mergeCell ref="A15:B15"/>
    <mergeCell ref="A16:B16"/>
    <mergeCell ref="A20:B20"/>
    <mergeCell ref="A21:B21"/>
    <mergeCell ref="A22:B22"/>
    <mergeCell ref="A23:B23"/>
    <mergeCell ref="A24:B24"/>
    <mergeCell ref="A25:B25"/>
    <mergeCell ref="M6:O6"/>
    <mergeCell ref="Q6:S6"/>
    <mergeCell ref="U6:W6"/>
    <mergeCell ref="A8:B8"/>
    <mergeCell ref="A9:B9"/>
    <mergeCell ref="A10:B10"/>
    <mergeCell ref="A11:B11"/>
    <mergeCell ref="A12:B12"/>
    <mergeCell ref="A13:B13"/>
    <mergeCell ref="A2:B2"/>
    <mergeCell ref="B4:C4"/>
    <mergeCell ref="E4:G4"/>
    <mergeCell ref="I4:K4"/>
    <mergeCell ref="M4:O4"/>
    <mergeCell ref="Q4:S4"/>
    <mergeCell ref="U4:W4"/>
    <mergeCell ref="Y4:AA4"/>
    <mergeCell ref="B5:C5"/>
    <mergeCell ref="BG5:BI5"/>
    <mergeCell ref="AC7:AD7"/>
    <mergeCell ref="U54:V54"/>
    <mergeCell ref="Y54:Z54"/>
    <mergeCell ref="A59:C59"/>
    <mergeCell ref="A54:C54"/>
    <mergeCell ref="A49:C49"/>
    <mergeCell ref="A50:B50"/>
    <mergeCell ref="A51:B51"/>
    <mergeCell ref="A52:B52"/>
    <mergeCell ref="A53:B53"/>
    <mergeCell ref="A56:C56"/>
    <mergeCell ref="E7:G7"/>
    <mergeCell ref="I7:K7"/>
    <mergeCell ref="M7:O7"/>
    <mergeCell ref="A17:B17"/>
    <mergeCell ref="A18:B18"/>
    <mergeCell ref="A19:B19"/>
    <mergeCell ref="Q7:S7"/>
    <mergeCell ref="U7:W7"/>
    <mergeCell ref="Y7:AA7"/>
    <mergeCell ref="A7:C7"/>
    <mergeCell ref="E6:G6"/>
    <mergeCell ref="I6:K6"/>
    <mergeCell ref="Y77:Z77"/>
    <mergeCell ref="E80:G80"/>
    <mergeCell ref="I80:K80"/>
    <mergeCell ref="M80:O80"/>
    <mergeCell ref="Q80:S80"/>
    <mergeCell ref="U80:W80"/>
    <mergeCell ref="Y80:AA80"/>
    <mergeCell ref="Y62:AA62"/>
    <mergeCell ref="E71:G71"/>
    <mergeCell ref="I71:K71"/>
    <mergeCell ref="M71:O71"/>
    <mergeCell ref="Q71:S71"/>
    <mergeCell ref="U71:W71"/>
    <mergeCell ref="Y71:AA71"/>
    <mergeCell ref="E63:G63"/>
    <mergeCell ref="I63:K63"/>
    <mergeCell ref="M63:O63"/>
    <mergeCell ref="Q63:S63"/>
    <mergeCell ref="U63:W63"/>
    <mergeCell ref="Y63:AA63"/>
    <mergeCell ref="I79:K79"/>
    <mergeCell ref="M79:O79"/>
    <mergeCell ref="Y72:AA72"/>
  </mergeCells>
  <phoneticPr fontId="20" type="noConversion"/>
  <pageMargins left="0.25" right="0.25" top="0.75" bottom="0.75" header="0.3" footer="0.3"/>
  <pageSetup scale="33" fitToHeight="3" orientation="landscape" r:id="rId1"/>
  <headerFooter alignWithMargins="0"/>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B4BF9-5584-4EF3-8151-A16F63B96478}">
  <sheetPr codeName="Sheet28"/>
  <dimension ref="A1:O67"/>
  <sheetViews>
    <sheetView workbookViewId="0">
      <selection activeCell="I2" sqref="I2:M4"/>
    </sheetView>
  </sheetViews>
  <sheetFormatPr defaultColWidth="8.7265625" defaultRowHeight="13" x14ac:dyDescent="0.25"/>
  <cols>
    <col min="1" max="1" width="5.1796875" style="857" customWidth="1"/>
    <col min="2" max="2" width="13.26953125" style="857" customWidth="1"/>
    <col min="3" max="3" width="25.453125" style="857" customWidth="1"/>
    <col min="4" max="4" width="8.7265625" style="857"/>
    <col min="5" max="5" width="10.453125" style="857" customWidth="1"/>
    <col min="6" max="6" width="8.1796875" style="857" customWidth="1"/>
    <col min="7" max="7" width="11.1796875" style="857" customWidth="1"/>
    <col min="8" max="8" width="15.54296875" style="857" customWidth="1"/>
    <col min="9" max="9" width="16.453125" style="857" customWidth="1"/>
    <col min="10" max="11" width="14.7265625" style="857" customWidth="1"/>
    <col min="12" max="12" width="16.81640625" style="857" customWidth="1"/>
    <col min="13" max="13" width="14.54296875" style="857" customWidth="1"/>
    <col min="14" max="14" width="11.453125" style="857" customWidth="1"/>
    <col min="15" max="15" width="20.81640625" style="857" customWidth="1"/>
    <col min="16" max="16384" width="8.7265625" style="857"/>
  </cols>
  <sheetData>
    <row r="1" spans="1:15" ht="13.5" thickBot="1" x14ac:dyDescent="0.3">
      <c r="A1" s="1008"/>
      <c r="B1" s="1018"/>
      <c r="C1" s="1018"/>
      <c r="D1" s="1018"/>
      <c r="E1" s="1018"/>
      <c r="F1" s="1018"/>
      <c r="G1" s="1018"/>
      <c r="H1" s="1018"/>
      <c r="I1" s="1018"/>
      <c r="J1" s="1018"/>
      <c r="K1" s="1018"/>
      <c r="L1" s="1018"/>
      <c r="M1" s="1018"/>
      <c r="N1" s="1018"/>
      <c r="O1" s="1017"/>
    </row>
    <row r="2" spans="1:15" ht="36" customHeight="1" thickBot="1" x14ac:dyDescent="0.3">
      <c r="A2" s="1009"/>
      <c r="B2" s="1380" t="s">
        <v>523</v>
      </c>
      <c r="C2" s="1381"/>
      <c r="D2" s="1013"/>
      <c r="E2" s="1013"/>
      <c r="F2" s="1013"/>
      <c r="G2" s="1013"/>
      <c r="H2" s="1027" t="s">
        <v>292</v>
      </c>
      <c r="I2" s="1384" t="s">
        <v>401</v>
      </c>
      <c r="J2" s="1385"/>
      <c r="K2" s="1385"/>
      <c r="L2" s="1385"/>
      <c r="M2" s="1386"/>
      <c r="N2" s="1013"/>
      <c r="O2" s="1016"/>
    </row>
    <row r="3" spans="1:15" ht="32.15" customHeight="1" x14ac:dyDescent="0.25">
      <c r="A3" s="1009"/>
      <c r="B3" s="1013"/>
      <c r="C3" s="1019"/>
      <c r="D3" s="1013"/>
      <c r="E3" s="1013"/>
      <c r="F3" s="1013"/>
      <c r="G3" s="1020"/>
      <c r="H3" s="1020"/>
      <c r="I3" s="1387"/>
      <c r="J3" s="1388"/>
      <c r="K3" s="1388"/>
      <c r="L3" s="1388"/>
      <c r="M3" s="1389"/>
      <c r="N3" s="1013"/>
      <c r="O3" s="1016"/>
    </row>
    <row r="4" spans="1:15" x14ac:dyDescent="0.25">
      <c r="A4" s="1009"/>
      <c r="B4" s="1013"/>
      <c r="C4" s="1013"/>
      <c r="D4" s="1013"/>
      <c r="E4" s="1020"/>
      <c r="F4" s="1020"/>
      <c r="G4" s="1020"/>
      <c r="H4" s="1020"/>
      <c r="I4" s="1390"/>
      <c r="J4" s="1391"/>
      <c r="K4" s="1391"/>
      <c r="L4" s="1391"/>
      <c r="M4" s="1392"/>
      <c r="N4" s="1013"/>
      <c r="O4" s="1016"/>
    </row>
    <row r="5" spans="1:15" ht="13.5" thickBot="1" x14ac:dyDescent="0.3">
      <c r="A5" s="1009"/>
      <c r="B5" s="1013"/>
      <c r="C5" s="1013"/>
      <c r="D5" s="1013"/>
      <c r="E5" s="1013"/>
      <c r="F5" s="1013"/>
      <c r="G5" s="1013"/>
      <c r="H5" s="1013"/>
      <c r="I5" s="1013"/>
      <c r="J5" s="1013"/>
      <c r="K5" s="1013"/>
      <c r="L5" s="1022"/>
      <c r="M5" s="1022"/>
      <c r="N5" s="1013"/>
      <c r="O5" s="1016"/>
    </row>
    <row r="6" spans="1:15" ht="31" customHeight="1" thickBot="1" x14ac:dyDescent="0.3">
      <c r="A6" s="1009"/>
      <c r="B6" s="1382" t="str">
        <f>General!D4</f>
        <v>Name</v>
      </c>
      <c r="C6" s="1383"/>
      <c r="D6" s="1021"/>
      <c r="E6" s="1021"/>
      <c r="F6" s="1013"/>
      <c r="G6" s="1013"/>
      <c r="H6" s="1379"/>
      <c r="I6" s="1379"/>
      <c r="J6" s="1379"/>
      <c r="K6" s="1379"/>
      <c r="L6" s="1013"/>
      <c r="M6" s="1013"/>
      <c r="N6" s="1013"/>
      <c r="O6" s="1016"/>
    </row>
    <row r="7" spans="1:15" ht="39.5" thickBot="1" x14ac:dyDescent="0.3">
      <c r="A7" s="1009"/>
      <c r="B7" s="882" t="s">
        <v>402</v>
      </c>
      <c r="C7" s="883" t="s">
        <v>403</v>
      </c>
      <c r="D7" s="884" t="s">
        <v>404</v>
      </c>
      <c r="E7" s="884" t="s">
        <v>405</v>
      </c>
      <c r="F7" s="884" t="s">
        <v>406</v>
      </c>
      <c r="G7" s="884" t="s">
        <v>405</v>
      </c>
      <c r="H7" s="885" t="s">
        <v>407</v>
      </c>
      <c r="I7" s="885" t="s">
        <v>408</v>
      </c>
      <c r="J7" s="885" t="s">
        <v>409</v>
      </c>
      <c r="K7" s="885" t="s">
        <v>410</v>
      </c>
      <c r="L7" s="886" t="s">
        <v>411</v>
      </c>
      <c r="M7" s="887" t="s">
        <v>412</v>
      </c>
      <c r="N7" s="1013"/>
      <c r="O7" s="1016"/>
    </row>
    <row r="8" spans="1:15" x14ac:dyDescent="0.25">
      <c r="A8" s="1009"/>
      <c r="B8" s="888" t="s">
        <v>524</v>
      </c>
      <c r="C8" s="889"/>
      <c r="D8" s="889"/>
      <c r="E8" s="889"/>
      <c r="F8" s="889"/>
      <c r="G8" s="889"/>
      <c r="H8" s="890">
        <v>0</v>
      </c>
      <c r="I8" s="890">
        <v>0</v>
      </c>
      <c r="J8" s="890">
        <v>0</v>
      </c>
      <c r="K8" s="890">
        <v>0</v>
      </c>
      <c r="L8" s="891">
        <f t="shared" ref="L8:L14" si="0">SUM(H8:K8)</f>
        <v>0</v>
      </c>
      <c r="M8" s="1378"/>
      <c r="N8" s="1013"/>
      <c r="O8" s="1016"/>
    </row>
    <row r="9" spans="1:15" x14ac:dyDescent="0.25">
      <c r="A9" s="1009"/>
      <c r="B9" s="888" t="s">
        <v>524</v>
      </c>
      <c r="C9" s="1169"/>
      <c r="D9" s="1169"/>
      <c r="E9" s="1169"/>
      <c r="F9" s="1169"/>
      <c r="G9" s="1169"/>
      <c r="H9" s="892">
        <v>0</v>
      </c>
      <c r="I9" s="892">
        <v>0</v>
      </c>
      <c r="J9" s="892">
        <v>0</v>
      </c>
      <c r="K9" s="892">
        <v>0</v>
      </c>
      <c r="L9" s="893">
        <f t="shared" si="0"/>
        <v>0</v>
      </c>
      <c r="M9" s="1378"/>
      <c r="N9" s="1013"/>
      <c r="O9" s="1016"/>
    </row>
    <row r="10" spans="1:15" x14ac:dyDescent="0.25">
      <c r="A10" s="1009"/>
      <c r="B10" s="888" t="s">
        <v>524</v>
      </c>
      <c r="C10" s="1169"/>
      <c r="D10" s="1169"/>
      <c r="E10" s="1169"/>
      <c r="F10" s="1169"/>
      <c r="G10" s="1169"/>
      <c r="H10" s="892">
        <v>0</v>
      </c>
      <c r="I10" s="892">
        <v>0</v>
      </c>
      <c r="J10" s="892">
        <v>0</v>
      </c>
      <c r="K10" s="892">
        <v>0</v>
      </c>
      <c r="L10" s="893">
        <f t="shared" si="0"/>
        <v>0</v>
      </c>
      <c r="M10" s="1378"/>
      <c r="N10" s="1013"/>
      <c r="O10" s="1016"/>
    </row>
    <row r="11" spans="1:15" x14ac:dyDescent="0.25">
      <c r="A11" s="1009"/>
      <c r="B11" s="888" t="s">
        <v>524</v>
      </c>
      <c r="C11" s="1169"/>
      <c r="D11" s="1169"/>
      <c r="E11" s="1169"/>
      <c r="F11" s="1169"/>
      <c r="G11" s="1169"/>
      <c r="H11" s="892">
        <v>0</v>
      </c>
      <c r="I11" s="892">
        <v>0</v>
      </c>
      <c r="J11" s="892">
        <v>0</v>
      </c>
      <c r="K11" s="892">
        <v>0</v>
      </c>
      <c r="L11" s="893">
        <f t="shared" si="0"/>
        <v>0</v>
      </c>
      <c r="M11" s="1378"/>
      <c r="N11" s="1013"/>
      <c r="O11" s="1016"/>
    </row>
    <row r="12" spans="1:15" x14ac:dyDescent="0.25">
      <c r="A12" s="1009"/>
      <c r="B12" s="888" t="s">
        <v>524</v>
      </c>
      <c r="C12" s="1169"/>
      <c r="D12" s="1169"/>
      <c r="E12" s="1169"/>
      <c r="F12" s="1169"/>
      <c r="G12" s="1169"/>
      <c r="H12" s="892">
        <v>0</v>
      </c>
      <c r="I12" s="892">
        <v>0</v>
      </c>
      <c r="J12" s="892">
        <v>0</v>
      </c>
      <c r="K12" s="892">
        <v>0</v>
      </c>
      <c r="L12" s="893">
        <f t="shared" si="0"/>
        <v>0</v>
      </c>
      <c r="M12" s="1378"/>
      <c r="N12" s="1013"/>
      <c r="O12" s="1016"/>
    </row>
    <row r="13" spans="1:15" x14ac:dyDescent="0.25">
      <c r="A13" s="1009"/>
      <c r="B13" s="888" t="s">
        <v>524</v>
      </c>
      <c r="C13" s="1169"/>
      <c r="D13" s="1169"/>
      <c r="E13" s="1169"/>
      <c r="F13" s="1169"/>
      <c r="G13" s="1169"/>
      <c r="H13" s="892">
        <v>0</v>
      </c>
      <c r="I13" s="892">
        <v>0</v>
      </c>
      <c r="J13" s="892">
        <v>0</v>
      </c>
      <c r="K13" s="892">
        <v>0</v>
      </c>
      <c r="L13" s="893">
        <f t="shared" si="0"/>
        <v>0</v>
      </c>
      <c r="M13" s="1378"/>
      <c r="N13" s="1013"/>
      <c r="O13" s="1016"/>
    </row>
    <row r="14" spans="1:15" ht="13.5" thickBot="1" x14ac:dyDescent="0.3">
      <c r="A14" s="1009"/>
      <c r="B14" s="888" t="s">
        <v>524</v>
      </c>
      <c r="C14" s="894"/>
      <c r="D14" s="894"/>
      <c r="E14" s="894"/>
      <c r="F14" s="894"/>
      <c r="G14" s="894"/>
      <c r="H14" s="895">
        <v>0</v>
      </c>
      <c r="I14" s="895">
        <v>0</v>
      </c>
      <c r="J14" s="895">
        <v>0</v>
      </c>
      <c r="K14" s="895">
        <v>0</v>
      </c>
      <c r="L14" s="896">
        <f t="shared" si="0"/>
        <v>0</v>
      </c>
      <c r="M14" s="1378"/>
      <c r="N14" s="1013"/>
      <c r="O14" s="1016"/>
    </row>
    <row r="15" spans="1:15" ht="19" customHeight="1" thickBot="1" x14ac:dyDescent="0.3">
      <c r="A15" s="1009"/>
      <c r="B15" s="1375" t="s">
        <v>525</v>
      </c>
      <c r="C15" s="1376"/>
      <c r="D15" s="1376"/>
      <c r="E15" s="1376"/>
      <c r="F15" s="1376"/>
      <c r="G15" s="1377"/>
      <c r="H15" s="897">
        <f>SUM(H8:H14)</f>
        <v>0</v>
      </c>
      <c r="I15" s="897">
        <f>SUM(I8:I14)</f>
        <v>0</v>
      </c>
      <c r="J15" s="897">
        <f>SUM(J8:J14)</f>
        <v>0</v>
      </c>
      <c r="K15" s="897">
        <f>SUM(K8:K14)</f>
        <v>0</v>
      </c>
      <c r="L15" s="1013"/>
      <c r="M15" s="898">
        <f>SUM(H15:K15)</f>
        <v>0</v>
      </c>
      <c r="N15" s="1013"/>
      <c r="O15" s="1016"/>
    </row>
    <row r="16" spans="1:15" x14ac:dyDescent="0.25">
      <c r="A16" s="1009"/>
      <c r="B16" s="1378"/>
      <c r="C16" s="1378"/>
      <c r="D16" s="1378"/>
      <c r="E16" s="1378"/>
      <c r="F16" s="1378"/>
      <c r="G16" s="1378"/>
      <c r="H16" s="1378"/>
      <c r="I16" s="1378"/>
      <c r="J16" s="1378"/>
      <c r="K16" s="1378"/>
      <c r="L16" s="1378"/>
      <c r="M16" s="1378"/>
      <c r="N16" s="1013"/>
      <c r="O16" s="1016"/>
    </row>
    <row r="17" spans="1:15" ht="13.5" thickBot="1" x14ac:dyDescent="0.3">
      <c r="A17" s="1009"/>
      <c r="B17" s="1378"/>
      <c r="C17" s="1378"/>
      <c r="D17" s="1378"/>
      <c r="E17" s="1378"/>
      <c r="F17" s="1378"/>
      <c r="G17" s="1378"/>
      <c r="H17" s="1378"/>
      <c r="I17" s="1378"/>
      <c r="J17" s="1378"/>
      <c r="K17" s="1378"/>
      <c r="L17" s="1378"/>
      <c r="M17" s="1378"/>
      <c r="N17" s="1013"/>
      <c r="O17" s="1016"/>
    </row>
    <row r="18" spans="1:15" x14ac:dyDescent="0.25">
      <c r="A18" s="1009"/>
      <c r="B18" s="899" t="s">
        <v>526</v>
      </c>
      <c r="C18" s="900"/>
      <c r="D18" s="900"/>
      <c r="E18" s="900"/>
      <c r="F18" s="900"/>
      <c r="G18" s="900"/>
      <c r="H18" s="901">
        <v>0</v>
      </c>
      <c r="I18" s="901">
        <v>0</v>
      </c>
      <c r="J18" s="901">
        <v>0</v>
      </c>
      <c r="K18" s="902">
        <v>0</v>
      </c>
      <c r="L18" s="903">
        <f t="shared" ref="L18:L24" si="1">SUM(H18:K18)</f>
        <v>0</v>
      </c>
      <c r="M18" s="1378"/>
      <c r="N18" s="1013"/>
      <c r="O18" s="1016"/>
    </row>
    <row r="19" spans="1:15" x14ac:dyDescent="0.25">
      <c r="A19" s="1009"/>
      <c r="B19" s="904" t="s">
        <v>526</v>
      </c>
      <c r="C19" s="1169"/>
      <c r="D19" s="1169"/>
      <c r="E19" s="1169"/>
      <c r="F19" s="1169"/>
      <c r="G19" s="1169"/>
      <c r="H19" s="892">
        <v>0</v>
      </c>
      <c r="I19" s="892">
        <v>0</v>
      </c>
      <c r="J19" s="892">
        <v>0</v>
      </c>
      <c r="K19" s="905">
        <v>0</v>
      </c>
      <c r="L19" s="906">
        <f t="shared" si="1"/>
        <v>0</v>
      </c>
      <c r="M19" s="1378"/>
      <c r="N19" s="1013"/>
      <c r="O19" s="1016"/>
    </row>
    <row r="20" spans="1:15" x14ac:dyDescent="0.25">
      <c r="A20" s="1009"/>
      <c r="B20" s="904" t="s">
        <v>526</v>
      </c>
      <c r="C20" s="1169"/>
      <c r="D20" s="1169"/>
      <c r="E20" s="1169"/>
      <c r="F20" s="1169"/>
      <c r="G20" s="1169"/>
      <c r="H20" s="892">
        <v>0</v>
      </c>
      <c r="I20" s="892">
        <v>0</v>
      </c>
      <c r="J20" s="892">
        <v>0</v>
      </c>
      <c r="K20" s="905">
        <v>0</v>
      </c>
      <c r="L20" s="906">
        <f t="shared" si="1"/>
        <v>0</v>
      </c>
      <c r="M20" s="1378"/>
      <c r="N20" s="1013"/>
      <c r="O20" s="1016"/>
    </row>
    <row r="21" spans="1:15" x14ac:dyDescent="0.25">
      <c r="A21" s="1009"/>
      <c r="B21" s="904" t="s">
        <v>526</v>
      </c>
      <c r="C21" s="1169"/>
      <c r="D21" s="1169"/>
      <c r="E21" s="1169"/>
      <c r="F21" s="1169"/>
      <c r="G21" s="1169"/>
      <c r="H21" s="892">
        <v>0</v>
      </c>
      <c r="I21" s="892">
        <v>0</v>
      </c>
      <c r="J21" s="892">
        <v>0</v>
      </c>
      <c r="K21" s="905">
        <v>0</v>
      </c>
      <c r="L21" s="906">
        <f t="shared" si="1"/>
        <v>0</v>
      </c>
      <c r="M21" s="1378"/>
      <c r="N21" s="1013"/>
      <c r="O21" s="1016"/>
    </row>
    <row r="22" spans="1:15" x14ac:dyDescent="0.25">
      <c r="A22" s="1009"/>
      <c r="B22" s="904" t="s">
        <v>526</v>
      </c>
      <c r="C22" s="1169"/>
      <c r="D22" s="1169"/>
      <c r="E22" s="1169"/>
      <c r="F22" s="1169"/>
      <c r="G22" s="1169"/>
      <c r="H22" s="892">
        <v>0</v>
      </c>
      <c r="I22" s="892">
        <v>0</v>
      </c>
      <c r="J22" s="892">
        <v>0</v>
      </c>
      <c r="K22" s="905">
        <v>0</v>
      </c>
      <c r="L22" s="906">
        <f t="shared" si="1"/>
        <v>0</v>
      </c>
      <c r="M22" s="1378"/>
      <c r="N22" s="1013"/>
      <c r="O22" s="1016"/>
    </row>
    <row r="23" spans="1:15" x14ac:dyDescent="0.25">
      <c r="A23" s="1009"/>
      <c r="B23" s="904" t="s">
        <v>526</v>
      </c>
      <c r="C23" s="1169"/>
      <c r="D23" s="1169"/>
      <c r="E23" s="1169"/>
      <c r="F23" s="1169"/>
      <c r="G23" s="1169"/>
      <c r="H23" s="892">
        <v>0</v>
      </c>
      <c r="I23" s="892">
        <v>0</v>
      </c>
      <c r="J23" s="892">
        <v>0</v>
      </c>
      <c r="K23" s="905">
        <v>0</v>
      </c>
      <c r="L23" s="906">
        <f t="shared" si="1"/>
        <v>0</v>
      </c>
      <c r="M23" s="1378"/>
      <c r="N23" s="1013"/>
      <c r="O23" s="1016"/>
    </row>
    <row r="24" spans="1:15" ht="13.5" thickBot="1" x14ac:dyDescent="0.3">
      <c r="A24" s="1009"/>
      <c r="B24" s="904" t="s">
        <v>526</v>
      </c>
      <c r="C24" s="907"/>
      <c r="D24" s="907"/>
      <c r="E24" s="907"/>
      <c r="F24" s="907"/>
      <c r="G24" s="907"/>
      <c r="H24" s="895">
        <v>0</v>
      </c>
      <c r="I24" s="895">
        <v>0</v>
      </c>
      <c r="J24" s="895">
        <v>0</v>
      </c>
      <c r="K24" s="908">
        <v>0</v>
      </c>
      <c r="L24" s="909">
        <f t="shared" si="1"/>
        <v>0</v>
      </c>
      <c r="M24" s="1378"/>
      <c r="N24" s="1013"/>
      <c r="O24" s="1016"/>
    </row>
    <row r="25" spans="1:15" ht="17.5" customHeight="1" thickBot="1" x14ac:dyDescent="0.3">
      <c r="A25" s="1009"/>
      <c r="B25" s="1375" t="s">
        <v>527</v>
      </c>
      <c r="C25" s="1376"/>
      <c r="D25" s="1376"/>
      <c r="E25" s="1376"/>
      <c r="F25" s="1376"/>
      <c r="G25" s="1377"/>
      <c r="H25" s="910">
        <f>SUM(H18:H24)</f>
        <v>0</v>
      </c>
      <c r="I25" s="911">
        <f>SUM(I18:I24)</f>
        <v>0</v>
      </c>
      <c r="J25" s="911">
        <f>SUM(J18:J24)</f>
        <v>0</v>
      </c>
      <c r="K25" s="912">
        <f>SUM(K18:K24)</f>
        <v>0</v>
      </c>
      <c r="L25" s="1013"/>
      <c r="M25" s="898">
        <f>SUM(H25:K25)</f>
        <v>0</v>
      </c>
      <c r="N25" s="1013"/>
      <c r="O25" s="1016"/>
    </row>
    <row r="26" spans="1:15" x14ac:dyDescent="0.25">
      <c r="A26" s="1009"/>
      <c r="B26" s="1378"/>
      <c r="C26" s="1378"/>
      <c r="D26" s="1378"/>
      <c r="E26" s="1378"/>
      <c r="F26" s="1378"/>
      <c r="G26" s="1378"/>
      <c r="H26" s="1378"/>
      <c r="I26" s="1378"/>
      <c r="J26" s="1378"/>
      <c r="K26" s="1378"/>
      <c r="L26" s="1378"/>
      <c r="M26" s="1378"/>
      <c r="N26" s="1013"/>
      <c r="O26" s="1016"/>
    </row>
    <row r="27" spans="1:15" ht="13.5" thickBot="1" x14ac:dyDescent="0.3">
      <c r="A27" s="1009"/>
      <c r="B27" s="1378"/>
      <c r="C27" s="1378"/>
      <c r="D27" s="1378"/>
      <c r="E27" s="1378"/>
      <c r="F27" s="1378"/>
      <c r="G27" s="1378"/>
      <c r="H27" s="1378"/>
      <c r="I27" s="1378"/>
      <c r="J27" s="1378"/>
      <c r="K27" s="1378"/>
      <c r="L27" s="1378"/>
      <c r="M27" s="1378"/>
      <c r="N27" s="1013"/>
      <c r="O27" s="1016"/>
    </row>
    <row r="28" spans="1:15" x14ac:dyDescent="0.25">
      <c r="A28" s="1009"/>
      <c r="B28" s="899" t="s">
        <v>528</v>
      </c>
      <c r="C28" s="900"/>
      <c r="D28" s="900"/>
      <c r="E28" s="900"/>
      <c r="F28" s="900"/>
      <c r="G28" s="900"/>
      <c r="H28" s="902">
        <v>0</v>
      </c>
      <c r="I28" s="902">
        <v>0</v>
      </c>
      <c r="J28" s="902">
        <v>0</v>
      </c>
      <c r="K28" s="902">
        <v>0</v>
      </c>
      <c r="L28" s="903">
        <f t="shared" ref="L28:L34" si="2">SUM(H28:K28)</f>
        <v>0</v>
      </c>
      <c r="M28" s="1378"/>
      <c r="N28" s="1013"/>
      <c r="O28" s="1016"/>
    </row>
    <row r="29" spans="1:15" x14ac:dyDescent="0.25">
      <c r="A29" s="1009"/>
      <c r="B29" s="904" t="s">
        <v>528</v>
      </c>
      <c r="C29" s="1169"/>
      <c r="D29" s="1169"/>
      <c r="E29" s="1169"/>
      <c r="F29" s="1169"/>
      <c r="G29" s="1169"/>
      <c r="H29" s="913">
        <v>0</v>
      </c>
      <c r="I29" s="913">
        <v>0</v>
      </c>
      <c r="J29" s="913">
        <v>0</v>
      </c>
      <c r="K29" s="913">
        <v>0</v>
      </c>
      <c r="L29" s="906">
        <f t="shared" si="2"/>
        <v>0</v>
      </c>
      <c r="M29" s="1378"/>
      <c r="N29" s="1013"/>
      <c r="O29" s="1016"/>
    </row>
    <row r="30" spans="1:15" x14ac:dyDescent="0.25">
      <c r="A30" s="1009"/>
      <c r="B30" s="904" t="s">
        <v>528</v>
      </c>
      <c r="C30" s="1169"/>
      <c r="D30" s="1169"/>
      <c r="E30" s="1169"/>
      <c r="F30" s="1169"/>
      <c r="G30" s="1169"/>
      <c r="H30" s="913">
        <v>0</v>
      </c>
      <c r="I30" s="913">
        <v>0</v>
      </c>
      <c r="J30" s="913">
        <v>0</v>
      </c>
      <c r="K30" s="913">
        <v>0</v>
      </c>
      <c r="L30" s="906">
        <f t="shared" si="2"/>
        <v>0</v>
      </c>
      <c r="M30" s="1378"/>
      <c r="N30" s="1013"/>
      <c r="O30" s="1016"/>
    </row>
    <row r="31" spans="1:15" x14ac:dyDescent="0.25">
      <c r="A31" s="1009"/>
      <c r="B31" s="904" t="s">
        <v>528</v>
      </c>
      <c r="C31" s="1169"/>
      <c r="D31" s="1169"/>
      <c r="E31" s="1169"/>
      <c r="F31" s="1169"/>
      <c r="G31" s="1169"/>
      <c r="H31" s="913">
        <v>0</v>
      </c>
      <c r="I31" s="913">
        <v>0</v>
      </c>
      <c r="J31" s="913">
        <v>0</v>
      </c>
      <c r="K31" s="913">
        <v>0</v>
      </c>
      <c r="L31" s="906">
        <f t="shared" si="2"/>
        <v>0</v>
      </c>
      <c r="M31" s="1378"/>
      <c r="N31" s="1013"/>
      <c r="O31" s="1016"/>
    </row>
    <row r="32" spans="1:15" x14ac:dyDescent="0.25">
      <c r="A32" s="1009"/>
      <c r="B32" s="904" t="s">
        <v>528</v>
      </c>
      <c r="C32" s="1169"/>
      <c r="D32" s="1169"/>
      <c r="E32" s="1169"/>
      <c r="F32" s="1169"/>
      <c r="G32" s="1169"/>
      <c r="H32" s="913">
        <v>0</v>
      </c>
      <c r="I32" s="913">
        <v>0</v>
      </c>
      <c r="J32" s="913">
        <v>0</v>
      </c>
      <c r="K32" s="913">
        <v>0</v>
      </c>
      <c r="L32" s="906">
        <f t="shared" si="2"/>
        <v>0</v>
      </c>
      <c r="M32" s="1378"/>
      <c r="N32" s="1013"/>
      <c r="O32" s="1016"/>
    </row>
    <row r="33" spans="1:15" x14ac:dyDescent="0.25">
      <c r="A33" s="1009"/>
      <c r="B33" s="904" t="s">
        <v>528</v>
      </c>
      <c r="C33" s="1169"/>
      <c r="D33" s="1169"/>
      <c r="E33" s="1169"/>
      <c r="F33" s="1169"/>
      <c r="G33" s="1169"/>
      <c r="H33" s="913">
        <v>0</v>
      </c>
      <c r="I33" s="913">
        <v>0</v>
      </c>
      <c r="J33" s="913">
        <v>0</v>
      </c>
      <c r="K33" s="913">
        <v>0</v>
      </c>
      <c r="L33" s="906">
        <f t="shared" si="2"/>
        <v>0</v>
      </c>
      <c r="M33" s="1378"/>
      <c r="N33" s="1013"/>
      <c r="O33" s="1016"/>
    </row>
    <row r="34" spans="1:15" ht="13.5" thickBot="1" x14ac:dyDescent="0.3">
      <c r="A34" s="1009"/>
      <c r="B34" s="904" t="s">
        <v>528</v>
      </c>
      <c r="C34" s="894"/>
      <c r="D34" s="894"/>
      <c r="E34" s="894"/>
      <c r="F34" s="894"/>
      <c r="G34" s="894"/>
      <c r="H34" s="895">
        <v>0</v>
      </c>
      <c r="I34" s="890">
        <v>0</v>
      </c>
      <c r="J34" s="890">
        <v>0</v>
      </c>
      <c r="K34" s="913">
        <v>0</v>
      </c>
      <c r="L34" s="909">
        <f t="shared" si="2"/>
        <v>0</v>
      </c>
      <c r="M34" s="1378"/>
      <c r="N34" s="1013"/>
      <c r="O34" s="1016"/>
    </row>
    <row r="35" spans="1:15" ht="18" customHeight="1" thickBot="1" x14ac:dyDescent="0.3">
      <c r="A35" s="1009"/>
      <c r="B35" s="1375" t="s">
        <v>529</v>
      </c>
      <c r="C35" s="1376"/>
      <c r="D35" s="1376"/>
      <c r="E35" s="1376"/>
      <c r="F35" s="1376"/>
      <c r="G35" s="1377"/>
      <c r="H35" s="897">
        <f>SUM(H28:H34)</f>
        <v>0</v>
      </c>
      <c r="I35" s="897">
        <f>SUM(I28:I34)</f>
        <v>0</v>
      </c>
      <c r="J35" s="897">
        <f>SUM(J28:J34)</f>
        <v>0</v>
      </c>
      <c r="K35" s="898">
        <f>SUM(K28:K34)</f>
        <v>0</v>
      </c>
      <c r="L35" s="1013"/>
      <c r="M35" s="898">
        <f>SUM(H35:K35)</f>
        <v>0</v>
      </c>
      <c r="N35" s="1013"/>
      <c r="O35" s="1016"/>
    </row>
    <row r="36" spans="1:15" x14ac:dyDescent="0.25">
      <c r="A36" s="1009"/>
      <c r="B36" s="1378"/>
      <c r="C36" s="1378"/>
      <c r="D36" s="1378"/>
      <c r="E36" s="1378"/>
      <c r="F36" s="1378"/>
      <c r="G36" s="1378"/>
      <c r="H36" s="1378"/>
      <c r="I36" s="1378"/>
      <c r="J36" s="1378"/>
      <c r="K36" s="1378"/>
      <c r="L36" s="1378"/>
      <c r="M36" s="1378"/>
      <c r="N36" s="1013"/>
      <c r="O36" s="1016"/>
    </row>
    <row r="37" spans="1:15" ht="13.5" thickBot="1" x14ac:dyDescent="0.3">
      <c r="A37" s="1009"/>
      <c r="B37" s="1378"/>
      <c r="C37" s="1378"/>
      <c r="D37" s="1378"/>
      <c r="E37" s="1378"/>
      <c r="F37" s="1378"/>
      <c r="G37" s="1378"/>
      <c r="H37" s="1378"/>
      <c r="I37" s="1378"/>
      <c r="J37" s="1378"/>
      <c r="K37" s="1378"/>
      <c r="L37" s="1378"/>
      <c r="M37" s="1378"/>
      <c r="N37" s="1013"/>
      <c r="O37" s="1016"/>
    </row>
    <row r="38" spans="1:15" x14ac:dyDescent="0.25">
      <c r="A38" s="1009"/>
      <c r="B38" s="899" t="s">
        <v>530</v>
      </c>
      <c r="C38" s="900"/>
      <c r="D38" s="900"/>
      <c r="E38" s="900"/>
      <c r="F38" s="900"/>
      <c r="G38" s="900"/>
      <c r="H38" s="902">
        <v>0</v>
      </c>
      <c r="I38" s="902">
        <v>0</v>
      </c>
      <c r="J38" s="902">
        <v>0</v>
      </c>
      <c r="K38" s="902">
        <v>0</v>
      </c>
      <c r="L38" s="903">
        <f t="shared" ref="L38:L43" si="3">SUM(H38:K38)</f>
        <v>0</v>
      </c>
      <c r="M38" s="1378"/>
      <c r="N38" s="1013"/>
      <c r="O38" s="1016"/>
    </row>
    <row r="39" spans="1:15" x14ac:dyDescent="0.25">
      <c r="A39" s="1009"/>
      <c r="B39" s="904" t="s">
        <v>530</v>
      </c>
      <c r="C39" s="1169"/>
      <c r="D39" s="1169"/>
      <c r="E39" s="1169"/>
      <c r="F39" s="1169"/>
      <c r="G39" s="1169"/>
      <c r="H39" s="913">
        <v>0</v>
      </c>
      <c r="I39" s="913">
        <v>0</v>
      </c>
      <c r="J39" s="913">
        <v>0</v>
      </c>
      <c r="K39" s="913">
        <v>0</v>
      </c>
      <c r="L39" s="906">
        <f t="shared" si="3"/>
        <v>0</v>
      </c>
      <c r="M39" s="1378"/>
      <c r="N39" s="1013"/>
      <c r="O39" s="1016"/>
    </row>
    <row r="40" spans="1:15" x14ac:dyDescent="0.25">
      <c r="A40" s="1009"/>
      <c r="B40" s="904" t="s">
        <v>530</v>
      </c>
      <c r="C40" s="1169"/>
      <c r="D40" s="1169"/>
      <c r="E40" s="1169"/>
      <c r="F40" s="1169"/>
      <c r="G40" s="1169"/>
      <c r="H40" s="913">
        <v>0</v>
      </c>
      <c r="I40" s="913">
        <v>0</v>
      </c>
      <c r="J40" s="913">
        <v>0</v>
      </c>
      <c r="K40" s="913">
        <v>0</v>
      </c>
      <c r="L40" s="906">
        <f t="shared" si="3"/>
        <v>0</v>
      </c>
      <c r="M40" s="1378"/>
      <c r="N40" s="1013"/>
      <c r="O40" s="1016"/>
    </row>
    <row r="41" spans="1:15" x14ac:dyDescent="0.25">
      <c r="A41" s="1009"/>
      <c r="B41" s="904" t="s">
        <v>530</v>
      </c>
      <c r="C41" s="1169"/>
      <c r="D41" s="1169"/>
      <c r="E41" s="1169"/>
      <c r="F41" s="1169"/>
      <c r="G41" s="1169"/>
      <c r="H41" s="913">
        <v>0</v>
      </c>
      <c r="I41" s="913">
        <v>0</v>
      </c>
      <c r="J41" s="913">
        <v>0</v>
      </c>
      <c r="K41" s="913">
        <v>0</v>
      </c>
      <c r="L41" s="906">
        <f t="shared" si="3"/>
        <v>0</v>
      </c>
      <c r="M41" s="1378"/>
      <c r="N41" s="1013"/>
      <c r="O41" s="1016"/>
    </row>
    <row r="42" spans="1:15" x14ac:dyDescent="0.25">
      <c r="A42" s="1009"/>
      <c r="B42" s="904" t="s">
        <v>530</v>
      </c>
      <c r="C42" s="1169"/>
      <c r="D42" s="1169"/>
      <c r="E42" s="1169"/>
      <c r="F42" s="1169"/>
      <c r="G42" s="1169"/>
      <c r="H42" s="913">
        <v>0</v>
      </c>
      <c r="I42" s="913">
        <v>0</v>
      </c>
      <c r="J42" s="913">
        <v>0</v>
      </c>
      <c r="K42" s="913">
        <v>0</v>
      </c>
      <c r="L42" s="906">
        <f t="shared" si="3"/>
        <v>0</v>
      </c>
      <c r="M42" s="1378"/>
      <c r="N42" s="1013"/>
      <c r="O42" s="1016"/>
    </row>
    <row r="43" spans="1:15" ht="13.5" thickBot="1" x14ac:dyDescent="0.3">
      <c r="A43" s="1009"/>
      <c r="B43" s="904" t="s">
        <v>530</v>
      </c>
      <c r="C43" s="894"/>
      <c r="D43" s="894"/>
      <c r="E43" s="894"/>
      <c r="F43" s="894"/>
      <c r="G43" s="894"/>
      <c r="H43" s="913">
        <v>0</v>
      </c>
      <c r="I43" s="913">
        <v>0</v>
      </c>
      <c r="J43" s="913">
        <v>0</v>
      </c>
      <c r="K43" s="913">
        <v>0</v>
      </c>
      <c r="L43" s="909">
        <f t="shared" si="3"/>
        <v>0</v>
      </c>
      <c r="M43" s="1378"/>
      <c r="N43" s="1013"/>
      <c r="O43" s="1016"/>
    </row>
    <row r="44" spans="1:15" ht="18" customHeight="1" thickBot="1" x14ac:dyDescent="0.3">
      <c r="A44" s="1009"/>
      <c r="B44" s="1375" t="s">
        <v>531</v>
      </c>
      <c r="C44" s="1376"/>
      <c r="D44" s="1376"/>
      <c r="E44" s="1376"/>
      <c r="F44" s="1376"/>
      <c r="G44" s="1377"/>
      <c r="H44" s="897">
        <f>SUM(H38:H43)</f>
        <v>0</v>
      </c>
      <c r="I44" s="914">
        <f>SUM(I38:I43)</f>
        <v>0</v>
      </c>
      <c r="J44" s="914">
        <f>SUM(J38:J43)</f>
        <v>0</v>
      </c>
      <c r="K44" s="915">
        <f>SUM(K38:K43)</f>
        <v>0</v>
      </c>
      <c r="L44" s="1013"/>
      <c r="M44" s="898">
        <f>SUM(H44:K44)</f>
        <v>0</v>
      </c>
      <c r="N44" s="1013"/>
      <c r="O44" s="1016"/>
    </row>
    <row r="45" spans="1:15" x14ac:dyDescent="0.25">
      <c r="A45" s="1009"/>
      <c r="B45" s="1378"/>
      <c r="C45" s="1378"/>
      <c r="D45" s="1378"/>
      <c r="E45" s="1378"/>
      <c r="F45" s="1378"/>
      <c r="G45" s="1378"/>
      <c r="H45" s="1378"/>
      <c r="I45" s="1378"/>
      <c r="J45" s="1378"/>
      <c r="K45" s="1378"/>
      <c r="L45" s="1378"/>
      <c r="M45" s="1378"/>
      <c r="N45" s="1013"/>
      <c r="O45" s="1016"/>
    </row>
    <row r="46" spans="1:15" ht="13.5" thickBot="1" x14ac:dyDescent="0.3">
      <c r="A46" s="1009"/>
      <c r="B46" s="1378"/>
      <c r="C46" s="1378"/>
      <c r="D46" s="1378"/>
      <c r="E46" s="1378"/>
      <c r="F46" s="1378"/>
      <c r="G46" s="1378"/>
      <c r="H46" s="1378"/>
      <c r="I46" s="1378"/>
      <c r="J46" s="1378"/>
      <c r="K46" s="1378"/>
      <c r="L46" s="1378"/>
      <c r="M46" s="1378"/>
      <c r="N46" s="1013"/>
      <c r="O46" s="1016"/>
    </row>
    <row r="47" spans="1:15" x14ac:dyDescent="0.25">
      <c r="A47" s="1009"/>
      <c r="B47" s="899" t="s">
        <v>532</v>
      </c>
      <c r="C47" s="900"/>
      <c r="D47" s="900"/>
      <c r="E47" s="900"/>
      <c r="F47" s="900"/>
      <c r="G47" s="900"/>
      <c r="H47" s="902">
        <v>0</v>
      </c>
      <c r="I47" s="902">
        <v>0</v>
      </c>
      <c r="J47" s="902">
        <v>0</v>
      </c>
      <c r="K47" s="902">
        <v>0</v>
      </c>
      <c r="L47" s="903">
        <f t="shared" ref="L47:L55" si="4">SUM(H47:K47)</f>
        <v>0</v>
      </c>
      <c r="M47" s="1378"/>
      <c r="N47" s="1013"/>
      <c r="O47" s="1016"/>
    </row>
    <row r="48" spans="1:15" x14ac:dyDescent="0.25">
      <c r="A48" s="1009"/>
      <c r="B48" s="904" t="s">
        <v>532</v>
      </c>
      <c r="C48" s="1169"/>
      <c r="D48" s="1169"/>
      <c r="E48" s="1169"/>
      <c r="F48" s="1169"/>
      <c r="G48" s="1169"/>
      <c r="H48" s="913">
        <v>0</v>
      </c>
      <c r="I48" s="913">
        <v>0</v>
      </c>
      <c r="J48" s="913">
        <v>0</v>
      </c>
      <c r="K48" s="913">
        <v>0</v>
      </c>
      <c r="L48" s="906">
        <f t="shared" si="4"/>
        <v>0</v>
      </c>
      <c r="M48" s="1378"/>
      <c r="N48" s="1013"/>
      <c r="O48" s="1016"/>
    </row>
    <row r="49" spans="1:15" x14ac:dyDescent="0.25">
      <c r="A49" s="1009"/>
      <c r="B49" s="904" t="s">
        <v>532</v>
      </c>
      <c r="C49" s="1169"/>
      <c r="D49" s="1169"/>
      <c r="E49" s="1169"/>
      <c r="F49" s="1169"/>
      <c r="G49" s="1169"/>
      <c r="H49" s="913">
        <v>0</v>
      </c>
      <c r="I49" s="913">
        <v>0</v>
      </c>
      <c r="J49" s="913">
        <v>0</v>
      </c>
      <c r="K49" s="913">
        <v>0</v>
      </c>
      <c r="L49" s="906">
        <f t="shared" si="4"/>
        <v>0</v>
      </c>
      <c r="M49" s="1378"/>
      <c r="N49" s="1013"/>
      <c r="O49" s="1016"/>
    </row>
    <row r="50" spans="1:15" x14ac:dyDescent="0.25">
      <c r="A50" s="1009"/>
      <c r="B50" s="904" t="s">
        <v>532</v>
      </c>
      <c r="C50" s="1169"/>
      <c r="D50" s="1169"/>
      <c r="E50" s="1169"/>
      <c r="F50" s="1169"/>
      <c r="G50" s="1169"/>
      <c r="H50" s="913">
        <v>0</v>
      </c>
      <c r="I50" s="913">
        <v>0</v>
      </c>
      <c r="J50" s="913">
        <v>0</v>
      </c>
      <c r="K50" s="913">
        <v>0</v>
      </c>
      <c r="L50" s="906">
        <f t="shared" si="4"/>
        <v>0</v>
      </c>
      <c r="M50" s="1378"/>
      <c r="N50" s="1013"/>
      <c r="O50" s="1016"/>
    </row>
    <row r="51" spans="1:15" x14ac:dyDescent="0.25">
      <c r="A51" s="1009"/>
      <c r="B51" s="904" t="s">
        <v>532</v>
      </c>
      <c r="C51" s="1169"/>
      <c r="D51" s="1169"/>
      <c r="E51" s="1169"/>
      <c r="F51" s="1169"/>
      <c r="G51" s="1169"/>
      <c r="H51" s="913">
        <v>0</v>
      </c>
      <c r="I51" s="913">
        <v>0</v>
      </c>
      <c r="J51" s="913">
        <v>0</v>
      </c>
      <c r="K51" s="913">
        <v>0</v>
      </c>
      <c r="L51" s="906">
        <f t="shared" si="4"/>
        <v>0</v>
      </c>
      <c r="M51" s="1378"/>
      <c r="N51" s="1013"/>
      <c r="O51" s="1016"/>
    </row>
    <row r="52" spans="1:15" x14ac:dyDescent="0.25">
      <c r="A52" s="1009"/>
      <c r="B52" s="904" t="s">
        <v>532</v>
      </c>
      <c r="C52" s="1169"/>
      <c r="D52" s="1169"/>
      <c r="E52" s="1169"/>
      <c r="F52" s="1169"/>
      <c r="G52" s="1169"/>
      <c r="H52" s="913">
        <v>0</v>
      </c>
      <c r="I52" s="913">
        <v>0</v>
      </c>
      <c r="J52" s="913">
        <v>0</v>
      </c>
      <c r="K52" s="913">
        <v>0</v>
      </c>
      <c r="L52" s="906">
        <f t="shared" si="4"/>
        <v>0</v>
      </c>
      <c r="M52" s="1378"/>
      <c r="N52" s="1013"/>
      <c r="O52" s="1016"/>
    </row>
    <row r="53" spans="1:15" x14ac:dyDescent="0.25">
      <c r="A53" s="1009"/>
      <c r="B53" s="904" t="s">
        <v>532</v>
      </c>
      <c r="C53" s="1169"/>
      <c r="D53" s="1169"/>
      <c r="E53" s="1169"/>
      <c r="F53" s="1169"/>
      <c r="G53" s="1169"/>
      <c r="H53" s="895">
        <v>0</v>
      </c>
      <c r="I53" s="890">
        <v>0</v>
      </c>
      <c r="J53" s="890">
        <v>0</v>
      </c>
      <c r="K53" s="913">
        <v>0</v>
      </c>
      <c r="L53" s="906">
        <f t="shared" si="4"/>
        <v>0</v>
      </c>
      <c r="M53" s="1378"/>
      <c r="N53" s="1013"/>
      <c r="O53" s="1016"/>
    </row>
    <row r="54" spans="1:15" x14ac:dyDescent="0.25">
      <c r="A54" s="1009"/>
      <c r="B54" s="904" t="s">
        <v>532</v>
      </c>
      <c r="C54" s="1169"/>
      <c r="D54" s="1169"/>
      <c r="E54" s="1169"/>
      <c r="F54" s="1169"/>
      <c r="G54" s="1169"/>
      <c r="H54" s="892">
        <v>0</v>
      </c>
      <c r="I54" s="892">
        <v>0</v>
      </c>
      <c r="J54" s="892">
        <v>0</v>
      </c>
      <c r="K54" s="905">
        <v>0</v>
      </c>
      <c r="L54" s="906">
        <f t="shared" si="4"/>
        <v>0</v>
      </c>
      <c r="M54" s="1378"/>
      <c r="N54" s="1013"/>
      <c r="O54" s="1016"/>
    </row>
    <row r="55" spans="1:15" ht="13.5" thickBot="1" x14ac:dyDescent="0.3">
      <c r="A55" s="1009"/>
      <c r="B55" s="916" t="s">
        <v>532</v>
      </c>
      <c r="C55" s="907"/>
      <c r="D55" s="907"/>
      <c r="E55" s="907"/>
      <c r="F55" s="907"/>
      <c r="G55" s="907"/>
      <c r="H55" s="917">
        <v>0</v>
      </c>
      <c r="I55" s="917">
        <v>0</v>
      </c>
      <c r="J55" s="917">
        <v>0</v>
      </c>
      <c r="K55" s="918">
        <v>0</v>
      </c>
      <c r="L55" s="909">
        <f t="shared" si="4"/>
        <v>0</v>
      </c>
      <c r="M55" s="1378"/>
      <c r="N55" s="1013"/>
      <c r="O55" s="1016"/>
    </row>
    <row r="56" spans="1:15" ht="20.5" customHeight="1" thickBot="1" x14ac:dyDescent="0.3">
      <c r="A56" s="1009"/>
      <c r="B56" s="1375" t="s">
        <v>533</v>
      </c>
      <c r="C56" s="1376"/>
      <c r="D56" s="1376"/>
      <c r="E56" s="1376"/>
      <c r="F56" s="1376"/>
      <c r="G56" s="1377"/>
      <c r="H56" s="911">
        <f>SUM(H47:H55)</f>
        <v>0</v>
      </c>
      <c r="I56" s="919">
        <f>SUM(I47:I55)</f>
        <v>0</v>
      </c>
      <c r="J56" s="920">
        <f>SUM(J47:J55)</f>
        <v>0</v>
      </c>
      <c r="K56" s="921">
        <f>SUM(K47:K55)</f>
        <v>0</v>
      </c>
      <c r="L56" s="1378"/>
      <c r="M56" s="898">
        <f>SUM(H56:K56)</f>
        <v>0</v>
      </c>
      <c r="N56" s="1013"/>
      <c r="O56" s="1016"/>
    </row>
    <row r="57" spans="1:15" ht="20.5" customHeight="1" thickBot="1" x14ac:dyDescent="0.3">
      <c r="A57" s="1009"/>
      <c r="B57" s="1024"/>
      <c r="C57" s="1024"/>
      <c r="D57" s="1024"/>
      <c r="E57" s="1024"/>
      <c r="F57" s="1024"/>
      <c r="G57" s="1024"/>
      <c r="H57" s="1025"/>
      <c r="I57" s="1026"/>
      <c r="J57" s="1025"/>
      <c r="K57" s="1025"/>
      <c r="L57" s="1378"/>
      <c r="M57" s="1023"/>
      <c r="N57" s="1013"/>
      <c r="O57" s="1016"/>
    </row>
    <row r="58" spans="1:15" ht="20.5" customHeight="1" thickBot="1" x14ac:dyDescent="0.3">
      <c r="A58" s="1009"/>
      <c r="B58" s="1375" t="s">
        <v>534</v>
      </c>
      <c r="C58" s="1376"/>
      <c r="D58" s="1376"/>
      <c r="E58" s="1376"/>
      <c r="F58" s="1376"/>
      <c r="G58" s="1376"/>
      <c r="H58" s="914">
        <f>H56+H44+H35+H25+H15</f>
        <v>0</v>
      </c>
      <c r="I58" s="914">
        <f>I56+I44+I35+I25+I15</f>
        <v>0</v>
      </c>
      <c r="J58" s="914">
        <f>J56+J44+J35+J25+J15</f>
        <v>0</v>
      </c>
      <c r="K58" s="915">
        <f>K56+K44+K35+K25+K15</f>
        <v>0</v>
      </c>
      <c r="L58" s="1379"/>
      <c r="M58" s="1023"/>
      <c r="N58" s="922">
        <f>SUM(H58:K58)</f>
        <v>0</v>
      </c>
      <c r="O58" s="1016"/>
    </row>
    <row r="59" spans="1:15" s="923" customFormat="1" ht="23.5" customHeight="1" thickBot="1" x14ac:dyDescent="0.3">
      <c r="A59" s="1010"/>
      <c r="B59" s="1012"/>
      <c r="C59" s="1012"/>
      <c r="D59" s="1012"/>
      <c r="E59" s="1012"/>
      <c r="F59" s="1012"/>
      <c r="G59" s="1012"/>
      <c r="H59" s="1012"/>
      <c r="I59" s="1012"/>
      <c r="J59" s="1012"/>
      <c r="K59" s="1012"/>
      <c r="L59" s="922">
        <f>SUM(L8:L56)</f>
        <v>0</v>
      </c>
      <c r="M59" s="922">
        <f>SUM(M15:M56)</f>
        <v>0</v>
      </c>
      <c r="N59" s="1012"/>
      <c r="O59" s="1016"/>
    </row>
    <row r="60" spans="1:15" ht="26.5" thickBot="1" x14ac:dyDescent="0.3">
      <c r="A60" s="1009"/>
      <c r="B60" s="1013"/>
      <c r="C60" s="1013"/>
      <c r="D60" s="1013"/>
      <c r="E60" s="1013"/>
      <c r="F60" s="1013"/>
      <c r="G60" s="1013"/>
      <c r="H60" s="1013"/>
      <c r="I60" s="1013"/>
      <c r="J60" s="1013"/>
      <c r="K60" s="1013"/>
      <c r="L60" s="1013"/>
      <c r="M60" s="1013"/>
      <c r="N60" s="1013"/>
      <c r="O60" s="924" t="s">
        <v>535</v>
      </c>
    </row>
    <row r="61" spans="1:15" ht="25.5" customHeight="1" thickBot="1" x14ac:dyDescent="0.3">
      <c r="A61" s="1011"/>
      <c r="B61" s="1014"/>
      <c r="C61" s="1014"/>
      <c r="D61" s="1014"/>
      <c r="E61" s="1014"/>
      <c r="F61" s="1014"/>
      <c r="G61" s="1014"/>
      <c r="H61" s="1014"/>
      <c r="I61" s="1014"/>
      <c r="J61" s="1014"/>
      <c r="K61" s="1015"/>
      <c r="L61" s="1014"/>
      <c r="M61" s="1014"/>
      <c r="N61" s="1014"/>
      <c r="O61" s="925">
        <f>'Phase 5 Costs'!BA67</f>
        <v>0</v>
      </c>
    </row>
    <row r="62" spans="1:15" x14ac:dyDescent="0.25">
      <c r="K62" s="926"/>
    </row>
    <row r="63" spans="1:15" x14ac:dyDescent="0.25">
      <c r="K63" s="926"/>
    </row>
    <row r="64" spans="1:15" x14ac:dyDescent="0.25">
      <c r="K64" s="926"/>
    </row>
    <row r="65" spans="8:11" x14ac:dyDescent="0.25">
      <c r="K65" s="926"/>
    </row>
    <row r="66" spans="8:11" x14ac:dyDescent="0.25">
      <c r="K66" s="926"/>
    </row>
    <row r="67" spans="8:11" x14ac:dyDescent="0.25">
      <c r="H67" s="927"/>
      <c r="I67" s="927"/>
      <c r="J67" s="927"/>
      <c r="K67" s="926"/>
    </row>
  </sheetData>
  <mergeCells count="20">
    <mergeCell ref="B15:G15"/>
    <mergeCell ref="B2:C2"/>
    <mergeCell ref="I2:M4"/>
    <mergeCell ref="B6:C6"/>
    <mergeCell ref="H6:K6"/>
    <mergeCell ref="M8:M14"/>
    <mergeCell ref="B56:G56"/>
    <mergeCell ref="L56:L58"/>
    <mergeCell ref="B58:G58"/>
    <mergeCell ref="B16:M17"/>
    <mergeCell ref="M18:M24"/>
    <mergeCell ref="B25:G25"/>
    <mergeCell ref="B26:M27"/>
    <mergeCell ref="M28:M34"/>
    <mergeCell ref="B35:G35"/>
    <mergeCell ref="B36:M37"/>
    <mergeCell ref="M38:M43"/>
    <mergeCell ref="B44:G44"/>
    <mergeCell ref="B45:M46"/>
    <mergeCell ref="M47:M55"/>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8">
    <tabColor theme="2" tint="-0.249977111117893"/>
    <pageSetUpPr fitToPage="1"/>
  </sheetPr>
  <dimension ref="A1:TY102"/>
  <sheetViews>
    <sheetView zoomScale="85" zoomScaleNormal="85" workbookViewId="0">
      <pane xSplit="3" ySplit="6" topLeftCell="D7" activePane="bottomRight" state="frozen"/>
      <selection pane="topRight" activeCell="D1" sqref="D1"/>
      <selection pane="bottomLeft" activeCell="A7" sqref="A7"/>
      <selection pane="bottomRight" activeCell="A2" sqref="A2:B2"/>
    </sheetView>
  </sheetViews>
  <sheetFormatPr defaultColWidth="8.453125" defaultRowHeight="13" x14ac:dyDescent="0.25"/>
  <cols>
    <col min="1" max="1" width="18.81640625" style="292" customWidth="1"/>
    <col min="2" max="2" width="18.54296875" style="292" customWidth="1"/>
    <col min="3" max="3" width="31.81640625" style="292" customWidth="1"/>
    <col min="4" max="4" width="3.81640625" style="292" customWidth="1"/>
    <col min="5" max="5" width="17.1796875" style="292" customWidth="1"/>
    <col min="6" max="6" width="11.7265625" style="292" bestFit="1" customWidth="1"/>
    <col min="7" max="7" width="20.1796875" style="292" customWidth="1"/>
    <col min="8" max="8" width="4" style="292" customWidth="1"/>
    <col min="9" max="9" width="15.7265625" style="292" customWidth="1"/>
    <col min="10" max="10" width="11.7265625" style="292" bestFit="1" customWidth="1"/>
    <col min="11" max="11" width="21.7265625" style="292" customWidth="1"/>
    <col min="12" max="12" width="3.453125" style="292" customWidth="1"/>
    <col min="13" max="13" width="15.7265625" style="292" customWidth="1"/>
    <col min="14" max="14" width="12.54296875" style="292" bestFit="1" customWidth="1"/>
    <col min="15" max="15" width="14.81640625" style="292" customWidth="1"/>
    <col min="16" max="16" width="3.81640625" style="292" customWidth="1"/>
    <col min="17" max="17" width="15.453125" style="292" customWidth="1"/>
    <col min="18" max="18" width="12.81640625" style="292" bestFit="1" customWidth="1"/>
    <col min="19" max="19" width="15.453125" style="292" customWidth="1"/>
    <col min="20" max="20" width="3.81640625" style="292" customWidth="1"/>
    <col min="21" max="21" width="16.81640625" style="292" customWidth="1"/>
    <col min="22" max="22" width="12.1796875" style="292" customWidth="1"/>
    <col min="23" max="23" width="15.1796875" style="292" customWidth="1"/>
    <col min="24" max="24" width="3.81640625" style="292" customWidth="1"/>
    <col min="25" max="25" width="13.26953125" style="292" bestFit="1" customWidth="1"/>
    <col min="26" max="26" width="12.54296875" style="292" bestFit="1" customWidth="1"/>
    <col min="27" max="27" width="17.453125" style="292" customWidth="1"/>
    <col min="28" max="28" width="3.453125" style="292" customWidth="1"/>
    <col min="29" max="29" width="15.81640625" style="292" customWidth="1"/>
    <col min="30" max="30" width="23.453125" style="292" customWidth="1"/>
    <col min="31" max="31" width="6.453125" style="292" customWidth="1"/>
    <col min="32" max="16384" width="8.453125" style="292"/>
  </cols>
  <sheetData>
    <row r="1" spans="1:61" ht="12.65" customHeight="1" x14ac:dyDescent="0.25">
      <c r="A1" s="951"/>
      <c r="B1" s="952"/>
      <c r="C1" s="953"/>
      <c r="D1" s="954"/>
      <c r="E1" s="955"/>
      <c r="F1" s="955"/>
      <c r="G1" s="955"/>
      <c r="H1" s="954"/>
      <c r="I1" s="955"/>
      <c r="J1" s="955"/>
      <c r="K1" s="955"/>
      <c r="L1" s="954"/>
      <c r="M1" s="955"/>
      <c r="N1" s="955"/>
      <c r="O1" s="955"/>
      <c r="P1" s="954"/>
      <c r="Q1" s="955"/>
      <c r="R1" s="955"/>
      <c r="S1" s="955"/>
      <c r="T1" s="954"/>
      <c r="U1" s="955"/>
      <c r="V1" s="955"/>
      <c r="W1" s="955"/>
      <c r="X1" s="954"/>
      <c r="Y1" s="955"/>
      <c r="Z1" s="955"/>
      <c r="AA1" s="955"/>
      <c r="AB1" s="955"/>
      <c r="AC1" s="955"/>
      <c r="AD1" s="955"/>
      <c r="AE1" s="956"/>
      <c r="AF1" s="802"/>
      <c r="AG1" s="802"/>
      <c r="AH1" s="802"/>
      <c r="AI1" s="802"/>
      <c r="AJ1" s="802"/>
      <c r="AK1" s="802"/>
      <c r="AL1" s="802"/>
      <c r="AM1" s="802"/>
      <c r="AN1" s="802"/>
      <c r="AO1" s="802"/>
      <c r="AP1" s="802"/>
      <c r="AQ1" s="802"/>
      <c r="AR1" s="802"/>
      <c r="AS1" s="802"/>
      <c r="AT1" s="802"/>
      <c r="AU1" s="802"/>
      <c r="AV1" s="802"/>
      <c r="AW1" s="802"/>
      <c r="AX1" s="802"/>
      <c r="AY1" s="802"/>
      <c r="AZ1" s="802"/>
      <c r="BA1" s="802"/>
      <c r="BB1" s="802"/>
      <c r="BC1" s="802"/>
      <c r="BD1" s="802"/>
    </row>
    <row r="2" spans="1:61" ht="34" customHeight="1" x14ac:dyDescent="0.25">
      <c r="A2" s="1317" t="s">
        <v>536</v>
      </c>
      <c r="B2" s="1318"/>
      <c r="C2" s="614" t="s">
        <v>319</v>
      </c>
      <c r="D2" s="1180"/>
      <c r="E2" s="957"/>
      <c r="F2" s="957"/>
      <c r="G2" s="957"/>
      <c r="H2" s="1180"/>
      <c r="I2" s="957"/>
      <c r="J2" s="957"/>
      <c r="K2" s="957"/>
      <c r="L2" s="1180"/>
      <c r="M2" s="957"/>
      <c r="N2" s="957"/>
      <c r="O2" s="957"/>
      <c r="P2" s="1180"/>
      <c r="Q2" s="957"/>
      <c r="R2" s="957"/>
      <c r="S2" s="957"/>
      <c r="T2" s="1180"/>
      <c r="U2" s="957"/>
      <c r="V2" s="957"/>
      <c r="W2" s="957"/>
      <c r="X2" s="1180"/>
      <c r="Y2" s="957"/>
      <c r="Z2" s="957"/>
      <c r="AA2" s="957"/>
      <c r="AB2" s="957"/>
      <c r="AC2" s="957"/>
      <c r="AD2" s="957"/>
      <c r="AE2" s="958"/>
      <c r="AF2" s="802"/>
      <c r="AG2" s="802"/>
      <c r="AH2" s="802"/>
      <c r="AI2" s="802"/>
      <c r="AJ2" s="802"/>
      <c r="AK2" s="802"/>
      <c r="AL2" s="802"/>
      <c r="AM2" s="802"/>
      <c r="AN2" s="802"/>
      <c r="AO2" s="802"/>
      <c r="AP2" s="802"/>
      <c r="AQ2" s="802"/>
      <c r="AR2" s="802"/>
      <c r="AS2" s="802"/>
      <c r="AT2" s="802"/>
      <c r="AU2" s="802"/>
      <c r="AV2" s="802"/>
      <c r="AW2" s="802"/>
      <c r="AX2" s="802"/>
      <c r="AY2" s="802"/>
      <c r="AZ2" s="802"/>
      <c r="BA2" s="802"/>
      <c r="BB2" s="802"/>
      <c r="BC2" s="802"/>
      <c r="BD2" s="802"/>
    </row>
    <row r="3" spans="1:61" ht="10.5" customHeight="1" x14ac:dyDescent="0.25">
      <c r="A3" s="959"/>
      <c r="B3" s="960"/>
      <c r="C3" s="960"/>
      <c r="D3" s="1180"/>
      <c r="E3" s="957"/>
      <c r="F3" s="957"/>
      <c r="G3" s="957"/>
      <c r="H3" s="1180"/>
      <c r="I3" s="957"/>
      <c r="J3" s="957"/>
      <c r="K3" s="957"/>
      <c r="L3" s="1180"/>
      <c r="M3" s="957"/>
      <c r="N3" s="957"/>
      <c r="O3" s="957"/>
      <c r="P3" s="1180"/>
      <c r="Q3" s="957"/>
      <c r="R3" s="957"/>
      <c r="S3" s="957"/>
      <c r="T3" s="1180"/>
      <c r="U3" s="957"/>
      <c r="V3" s="957"/>
      <c r="W3" s="957"/>
      <c r="X3" s="1180"/>
      <c r="Y3" s="957"/>
      <c r="Z3" s="957"/>
      <c r="AA3" s="957"/>
      <c r="AB3" s="957"/>
      <c r="AC3" s="957"/>
      <c r="AD3" s="957"/>
      <c r="AE3" s="958"/>
      <c r="AF3" s="802"/>
      <c r="AG3" s="802"/>
      <c r="AH3" s="802"/>
      <c r="AI3" s="802"/>
      <c r="AJ3" s="802"/>
      <c r="AK3" s="802"/>
      <c r="AL3" s="802"/>
      <c r="AM3" s="802"/>
      <c r="AN3" s="802"/>
      <c r="AO3" s="802"/>
      <c r="AP3" s="802"/>
      <c r="AQ3" s="802"/>
      <c r="AR3" s="802"/>
      <c r="AS3" s="802"/>
      <c r="AT3" s="802"/>
      <c r="AU3" s="802"/>
      <c r="AV3" s="802"/>
      <c r="AW3" s="802"/>
      <c r="AX3" s="802"/>
      <c r="AY3" s="802"/>
      <c r="AZ3" s="802"/>
      <c r="BA3" s="802"/>
      <c r="BB3" s="802"/>
      <c r="BC3" s="802"/>
      <c r="BD3" s="802"/>
    </row>
    <row r="4" spans="1:61" ht="21" customHeight="1" x14ac:dyDescent="0.25">
      <c r="A4" s="1149" t="s">
        <v>320</v>
      </c>
      <c r="B4" s="1331" t="str">
        <f>General!D4</f>
        <v>Name</v>
      </c>
      <c r="C4" s="1331"/>
      <c r="D4" s="1180"/>
      <c r="E4" s="1309"/>
      <c r="F4" s="1309"/>
      <c r="G4" s="1309"/>
      <c r="H4" s="1180"/>
      <c r="I4" s="1309"/>
      <c r="J4" s="1309"/>
      <c r="K4" s="1309"/>
      <c r="L4" s="1180"/>
      <c r="M4" s="1309"/>
      <c r="N4" s="1309"/>
      <c r="O4" s="1309"/>
      <c r="P4" s="1180"/>
      <c r="Q4" s="1309"/>
      <c r="R4" s="1309"/>
      <c r="S4" s="1309"/>
      <c r="T4" s="1180"/>
      <c r="U4" s="1309"/>
      <c r="V4" s="1309"/>
      <c r="W4" s="1309"/>
      <c r="X4" s="1180"/>
      <c r="Y4" s="1309"/>
      <c r="Z4" s="1309"/>
      <c r="AA4" s="1309"/>
      <c r="AB4" s="1177"/>
      <c r="AC4" s="957"/>
      <c r="AD4" s="957"/>
      <c r="AE4" s="958"/>
      <c r="AF4" s="802"/>
      <c r="AG4" s="802"/>
      <c r="AH4" s="802"/>
      <c r="AI4" s="802"/>
      <c r="AJ4" s="802"/>
      <c r="AK4" s="802"/>
      <c r="AL4" s="802"/>
      <c r="AM4" s="802"/>
      <c r="AN4" s="802"/>
      <c r="AO4" s="802"/>
      <c r="AP4" s="802"/>
      <c r="AQ4" s="802"/>
      <c r="AR4" s="802"/>
      <c r="AS4" s="802"/>
      <c r="AT4" s="802"/>
      <c r="AU4" s="802"/>
      <c r="AV4" s="802"/>
      <c r="AW4" s="802"/>
      <c r="AX4" s="802"/>
      <c r="AY4" s="802"/>
      <c r="AZ4" s="802"/>
      <c r="BA4" s="802"/>
      <c r="BB4" s="802"/>
      <c r="BC4" s="802"/>
      <c r="BD4" s="802"/>
    </row>
    <row r="5" spans="1:61" ht="22" customHeight="1" x14ac:dyDescent="0.25">
      <c r="A5" s="1149" t="s">
        <v>321</v>
      </c>
      <c r="B5" s="1331" t="str">
        <f>General!D5</f>
        <v>Name</v>
      </c>
      <c r="C5" s="1331"/>
      <c r="D5" s="960"/>
      <c r="E5" s="960"/>
      <c r="F5" s="960"/>
      <c r="G5" s="960"/>
      <c r="H5" s="1180"/>
      <c r="I5" s="960"/>
      <c r="J5" s="960"/>
      <c r="K5" s="960"/>
      <c r="L5" s="1180"/>
      <c r="M5" s="960"/>
      <c r="N5" s="960"/>
      <c r="O5" s="960"/>
      <c r="P5" s="1180"/>
      <c r="Q5" s="960"/>
      <c r="R5" s="960"/>
      <c r="S5" s="960"/>
      <c r="T5" s="1180"/>
      <c r="U5" s="960"/>
      <c r="V5" s="960"/>
      <c r="W5" s="960"/>
      <c r="X5" s="1180"/>
      <c r="Y5" s="960"/>
      <c r="Z5" s="960"/>
      <c r="AA5" s="960"/>
      <c r="AB5" s="972"/>
      <c r="AC5" s="960"/>
      <c r="AD5" s="960"/>
      <c r="AE5" s="958"/>
      <c r="AF5" s="803"/>
      <c r="AG5" s="803"/>
      <c r="AH5" s="803"/>
      <c r="AR5" s="803"/>
      <c r="AS5" s="803"/>
      <c r="AT5" s="803"/>
      <c r="AU5" s="803"/>
      <c r="AV5" s="803"/>
      <c r="AW5" s="803"/>
      <c r="AX5" s="803"/>
      <c r="AZ5" s="803"/>
      <c r="BA5" s="803"/>
      <c r="BB5" s="803"/>
      <c r="BC5" s="803"/>
      <c r="BD5" s="803"/>
      <c r="BE5" s="803"/>
      <c r="BF5" s="803"/>
      <c r="BG5" s="1307"/>
      <c r="BH5" s="1307"/>
      <c r="BI5" s="1307"/>
    </row>
    <row r="6" spans="1:61" ht="24" customHeight="1" x14ac:dyDescent="0.25">
      <c r="A6" s="961"/>
      <c r="B6" s="962"/>
      <c r="C6" s="962"/>
      <c r="D6" s="960"/>
      <c r="E6" s="1314" t="str">
        <f>Period1_Label</f>
        <v>FY 1</v>
      </c>
      <c r="F6" s="1315"/>
      <c r="G6" s="1316"/>
      <c r="H6" s="1180"/>
      <c r="I6" s="1314" t="str">
        <f>Period2_Label</f>
        <v>FY 2</v>
      </c>
      <c r="J6" s="1315"/>
      <c r="K6" s="1316"/>
      <c r="L6" s="1180"/>
      <c r="M6" s="1314" t="str">
        <f>Period3_Label</f>
        <v>FY 3</v>
      </c>
      <c r="N6" s="1315"/>
      <c r="O6" s="1316"/>
      <c r="P6" s="1180"/>
      <c r="Q6" s="1314" t="str">
        <f>Period4_Label</f>
        <v>FY 4</v>
      </c>
      <c r="R6" s="1315"/>
      <c r="S6" s="1316"/>
      <c r="T6" s="1180"/>
      <c r="U6" s="1314" t="str">
        <f>Period5_Label</f>
        <v>FY 5</v>
      </c>
      <c r="V6" s="1315"/>
      <c r="W6" s="1316"/>
      <c r="X6" s="1180"/>
      <c r="Y6" s="1314" t="str">
        <f>Period6_Label</f>
        <v>FY 6</v>
      </c>
      <c r="Z6" s="1315"/>
      <c r="AA6" s="1316"/>
      <c r="AB6" s="972"/>
      <c r="AC6" s="1312" t="s">
        <v>322</v>
      </c>
      <c r="AD6" s="1313"/>
      <c r="AE6" s="958"/>
      <c r="AF6" s="804"/>
      <c r="AG6" s="804"/>
      <c r="AH6" s="804"/>
      <c r="AJ6" s="804"/>
      <c r="AK6" s="804"/>
      <c r="AL6" s="804"/>
      <c r="AM6" s="804"/>
      <c r="AN6" s="804"/>
      <c r="AO6" s="804"/>
      <c r="AP6" s="804"/>
      <c r="AR6" s="804"/>
      <c r="AS6" s="804"/>
      <c r="AT6" s="804"/>
      <c r="AU6" s="804"/>
      <c r="AV6" s="804"/>
      <c r="AW6" s="804"/>
      <c r="AX6" s="804"/>
      <c r="AZ6" s="804"/>
      <c r="BA6" s="804"/>
      <c r="BB6" s="804"/>
      <c r="BC6" s="804"/>
      <c r="BD6" s="804"/>
      <c r="BE6" s="804"/>
      <c r="BF6" s="804"/>
    </row>
    <row r="7" spans="1:61" ht="21.65" customHeight="1" x14ac:dyDescent="0.25">
      <c r="A7" s="1336" t="s">
        <v>323</v>
      </c>
      <c r="B7" s="1336"/>
      <c r="C7" s="1336"/>
      <c r="D7" s="960"/>
      <c r="E7" s="1308" t="str">
        <f>CONCATENATE(TEXT('Proposer Constants'!C14,"MM/DD/YY")," to ",TEXT('Proposer Constants'!C15,"MM/DD/YY"))</f>
        <v>06/01/25 to 05/31/26</v>
      </c>
      <c r="F7" s="1308"/>
      <c r="G7" s="1308"/>
      <c r="H7" s="1180"/>
      <c r="I7" s="1308" t="str">
        <f>CONCATENATE(TEXT('Proposer Constants'!D14,"MM/DD/YY")," to ",TEXT('Proposer Constants'!D15,"MM/DD/YY"))</f>
        <v>06/01/26 to 05/31/27</v>
      </c>
      <c r="J7" s="1308"/>
      <c r="K7" s="1308"/>
      <c r="L7" s="1180"/>
      <c r="M7" s="1308" t="str">
        <f>CONCATENATE(TEXT('Proposer Constants'!E14,"MM/DD/YY")," to ",TEXT('Proposer Constants'!E15,"MM/DD/YY"))</f>
        <v>06/01/27 to 05/31/28</v>
      </c>
      <c r="N7" s="1308"/>
      <c r="O7" s="1308"/>
      <c r="P7" s="1180"/>
      <c r="Q7" s="1308" t="str">
        <f>CONCATENATE(TEXT('Proposer Constants'!F14,"MM/DD/YY")," to ",TEXT('Proposer Constants'!F15,"MM/DD/YY"))</f>
        <v>06/01/28 to 05/31/29</v>
      </c>
      <c r="R7" s="1308"/>
      <c r="S7" s="1308"/>
      <c r="T7" s="1180"/>
      <c r="U7" s="1308" t="str">
        <f>CONCATENATE(TEXT('Proposer Constants'!G14,"MM/DD/YY")," to ",TEXT('Proposer Constants'!G15,"MM/DD/YY"))</f>
        <v>06/01/29 to 05/31/30</v>
      </c>
      <c r="V7" s="1308"/>
      <c r="W7" s="1308"/>
      <c r="X7" s="1180"/>
      <c r="Y7" s="1308" t="str">
        <f>CONCATENATE(TEXT('Proposer Constants'!H14,"MM/DD/YY")," to ",TEXT('Proposer Constants'!H15,"MM/DD/YY"))</f>
        <v>06/01/30 to 05/31/31</v>
      </c>
      <c r="Z7" s="1308"/>
      <c r="AA7" s="1308"/>
      <c r="AB7" s="973"/>
      <c r="AC7" s="1310" t="s">
        <v>324</v>
      </c>
      <c r="AD7" s="1311"/>
      <c r="AE7" s="958"/>
      <c r="AF7" s="802"/>
      <c r="AG7" s="802"/>
      <c r="AH7" s="802"/>
      <c r="AI7" s="802"/>
      <c r="AL7" s="802"/>
      <c r="AM7" s="805"/>
      <c r="AN7" s="802"/>
      <c r="AO7" s="802"/>
      <c r="AP7" s="802"/>
      <c r="AQ7" s="802"/>
      <c r="AS7" s="804"/>
      <c r="AT7" s="802"/>
      <c r="AU7" s="805"/>
      <c r="AV7" s="802"/>
    </row>
    <row r="8" spans="1:61" s="616" customFormat="1" ht="31.5" customHeight="1" x14ac:dyDescent="0.25">
      <c r="A8" s="1332" t="s">
        <v>325</v>
      </c>
      <c r="B8" s="1333"/>
      <c r="C8" s="1098" t="s">
        <v>326</v>
      </c>
      <c r="D8" s="963"/>
      <c r="E8" s="617" t="s">
        <v>327</v>
      </c>
      <c r="F8" s="617" t="s">
        <v>328</v>
      </c>
      <c r="G8" s="617" t="s">
        <v>329</v>
      </c>
      <c r="H8" s="1180"/>
      <c r="I8" s="617" t="s">
        <v>327</v>
      </c>
      <c r="J8" s="617" t="s">
        <v>328</v>
      </c>
      <c r="K8" s="617" t="s">
        <v>329</v>
      </c>
      <c r="L8" s="1180"/>
      <c r="M8" s="617" t="s">
        <v>327</v>
      </c>
      <c r="N8" s="617" t="s">
        <v>328</v>
      </c>
      <c r="O8" s="617" t="s">
        <v>329</v>
      </c>
      <c r="P8" s="1180"/>
      <c r="Q8" s="617" t="s">
        <v>327</v>
      </c>
      <c r="R8" s="617" t="s">
        <v>328</v>
      </c>
      <c r="S8" s="617" t="s">
        <v>329</v>
      </c>
      <c r="T8" s="1180"/>
      <c r="U8" s="617" t="s">
        <v>327</v>
      </c>
      <c r="V8" s="617" t="s">
        <v>328</v>
      </c>
      <c r="W8" s="617" t="s">
        <v>329</v>
      </c>
      <c r="X8" s="1180"/>
      <c r="Y8" s="617" t="s">
        <v>327</v>
      </c>
      <c r="Z8" s="617" t="s">
        <v>328</v>
      </c>
      <c r="AA8" s="617" t="s">
        <v>329</v>
      </c>
      <c r="AB8" s="974"/>
      <c r="AC8" s="617" t="s">
        <v>330</v>
      </c>
      <c r="AD8" s="617" t="s">
        <v>331</v>
      </c>
      <c r="AE8" s="958"/>
    </row>
    <row r="9" spans="1:61" ht="15" customHeight="1" x14ac:dyDescent="0.25">
      <c r="A9" s="1321" t="str">
        <f>IF(ISBLANK('Labor Rates'!D8),"",'Labor Rates'!D8)</f>
        <v/>
      </c>
      <c r="B9" s="1322"/>
      <c r="C9" s="949" t="str">
        <f>IF(ISBLANK('Labor Rates'!E8),"",'Labor Rates'!E8)</f>
        <v/>
      </c>
      <c r="D9" s="960"/>
      <c r="E9" s="791">
        <v>0</v>
      </c>
      <c r="F9" s="618">
        <f>'Labor Rates'!F8</f>
        <v>0</v>
      </c>
      <c r="G9" s="619">
        <f>E9*F9</f>
        <v>0</v>
      </c>
      <c r="H9" s="1180"/>
      <c r="I9" s="791">
        <v>0</v>
      </c>
      <c r="J9" s="618">
        <f>'Labor Rates'!H8</f>
        <v>0</v>
      </c>
      <c r="K9" s="619">
        <f>I9*J9</f>
        <v>0</v>
      </c>
      <c r="L9" s="1180"/>
      <c r="M9" s="791">
        <v>0</v>
      </c>
      <c r="N9" s="618">
        <f>'Labor Rates'!J8</f>
        <v>0</v>
      </c>
      <c r="O9" s="619">
        <f>M9*N9</f>
        <v>0</v>
      </c>
      <c r="P9" s="1180"/>
      <c r="Q9" s="791">
        <v>0</v>
      </c>
      <c r="R9" s="618">
        <f>'Labor Rates'!L8</f>
        <v>0</v>
      </c>
      <c r="S9" s="619">
        <f>Q9*R9</f>
        <v>0</v>
      </c>
      <c r="T9" s="1180"/>
      <c r="U9" s="791">
        <v>0</v>
      </c>
      <c r="V9" s="618">
        <f>'Labor Rates'!N8</f>
        <v>0</v>
      </c>
      <c r="W9" s="619">
        <f>U9*V9</f>
        <v>0</v>
      </c>
      <c r="X9" s="1180"/>
      <c r="Y9" s="791">
        <v>0</v>
      </c>
      <c r="Z9" s="618">
        <f>'Labor Rates'!P8</f>
        <v>0</v>
      </c>
      <c r="AA9" s="619">
        <f>Y9*Z9</f>
        <v>0</v>
      </c>
      <c r="AB9" s="975"/>
      <c r="AC9" s="1002">
        <f t="shared" ref="AC9:AC32" si="0">E9+I9+M9+Q9+U9+Y9</f>
        <v>0</v>
      </c>
      <c r="AD9" s="619">
        <f t="shared" ref="AD9:AD32" si="1">G9+K9+O9+S9+W9+AA9</f>
        <v>0</v>
      </c>
      <c r="AE9" s="958"/>
    </row>
    <row r="10" spans="1:61" ht="15" customHeight="1" x14ac:dyDescent="0.25">
      <c r="A10" s="1321" t="str">
        <f>IF(ISBLANK('Labor Rates'!D9),"",'Labor Rates'!D9)</f>
        <v/>
      </c>
      <c r="B10" s="1322"/>
      <c r="C10" s="949" t="str">
        <f>IF(ISBLANK('Labor Rates'!E9),"",'Labor Rates'!E9)</f>
        <v/>
      </c>
      <c r="D10" s="960"/>
      <c r="E10" s="791">
        <v>0</v>
      </c>
      <c r="F10" s="618">
        <f>'Labor Rates'!F9</f>
        <v>0</v>
      </c>
      <c r="G10" s="619">
        <f t="shared" ref="G10:G32" si="2">E10*F10</f>
        <v>0</v>
      </c>
      <c r="H10" s="1180"/>
      <c r="I10" s="791">
        <v>0</v>
      </c>
      <c r="J10" s="618">
        <f>'Labor Rates'!H9</f>
        <v>0</v>
      </c>
      <c r="K10" s="619">
        <f t="shared" ref="K10:K32" si="3">I10*J10</f>
        <v>0</v>
      </c>
      <c r="L10" s="1180"/>
      <c r="M10" s="791">
        <v>0</v>
      </c>
      <c r="N10" s="618">
        <f>'Labor Rates'!J9</f>
        <v>0</v>
      </c>
      <c r="O10" s="619">
        <f t="shared" ref="O10:O32" si="4">M10*N10</f>
        <v>0</v>
      </c>
      <c r="P10" s="1180"/>
      <c r="Q10" s="791">
        <v>0</v>
      </c>
      <c r="R10" s="618">
        <f>'Labor Rates'!L9</f>
        <v>0</v>
      </c>
      <c r="S10" s="619">
        <f t="shared" ref="S10:S32" si="5">Q10*R10</f>
        <v>0</v>
      </c>
      <c r="T10" s="1180"/>
      <c r="U10" s="791">
        <v>0</v>
      </c>
      <c r="V10" s="618">
        <f>'Labor Rates'!N9</f>
        <v>0</v>
      </c>
      <c r="W10" s="619">
        <f t="shared" ref="W10:W32" si="6">U10*V10</f>
        <v>0</v>
      </c>
      <c r="X10" s="1180"/>
      <c r="Y10" s="791">
        <v>0</v>
      </c>
      <c r="Z10" s="618">
        <f>'Labor Rates'!P9</f>
        <v>0</v>
      </c>
      <c r="AA10" s="619">
        <f t="shared" ref="AA10:AA32" si="7">Y10*Z10</f>
        <v>0</v>
      </c>
      <c r="AB10" s="975"/>
      <c r="AC10" s="1002">
        <f t="shared" si="0"/>
        <v>0</v>
      </c>
      <c r="AD10" s="619">
        <f t="shared" si="1"/>
        <v>0</v>
      </c>
      <c r="AE10" s="958"/>
    </row>
    <row r="11" spans="1:61" ht="15" customHeight="1" x14ac:dyDescent="0.25">
      <c r="A11" s="1321" t="str">
        <f>IF(ISBLANK('Labor Rates'!D10),"",'Labor Rates'!D10)</f>
        <v/>
      </c>
      <c r="B11" s="1322"/>
      <c r="C11" s="949" t="str">
        <f>IF(ISBLANK('Labor Rates'!E10),"",'Labor Rates'!E10)</f>
        <v/>
      </c>
      <c r="D11" s="960"/>
      <c r="E11" s="791">
        <v>0</v>
      </c>
      <c r="F11" s="618">
        <f>'Labor Rates'!F10</f>
        <v>0</v>
      </c>
      <c r="G11" s="619">
        <f t="shared" si="2"/>
        <v>0</v>
      </c>
      <c r="H11" s="1180"/>
      <c r="I11" s="791">
        <v>0</v>
      </c>
      <c r="J11" s="618">
        <f>'Labor Rates'!H10</f>
        <v>0</v>
      </c>
      <c r="K11" s="619">
        <f t="shared" si="3"/>
        <v>0</v>
      </c>
      <c r="L11" s="1180"/>
      <c r="M11" s="791">
        <v>0</v>
      </c>
      <c r="N11" s="618">
        <f>'Labor Rates'!J10</f>
        <v>0</v>
      </c>
      <c r="O11" s="619">
        <f t="shared" si="4"/>
        <v>0</v>
      </c>
      <c r="P11" s="1180"/>
      <c r="Q11" s="791">
        <v>0</v>
      </c>
      <c r="R11" s="618">
        <f>'Labor Rates'!L10</f>
        <v>0</v>
      </c>
      <c r="S11" s="619">
        <f t="shared" si="5"/>
        <v>0</v>
      </c>
      <c r="T11" s="1180"/>
      <c r="U11" s="791">
        <v>0</v>
      </c>
      <c r="V11" s="618">
        <f>'Labor Rates'!N10</f>
        <v>0</v>
      </c>
      <c r="W11" s="619">
        <f t="shared" si="6"/>
        <v>0</v>
      </c>
      <c r="X11" s="1180"/>
      <c r="Y11" s="791">
        <v>0</v>
      </c>
      <c r="Z11" s="618">
        <f>'Labor Rates'!P10</f>
        <v>0</v>
      </c>
      <c r="AA11" s="619">
        <f t="shared" si="7"/>
        <v>0</v>
      </c>
      <c r="AB11" s="975"/>
      <c r="AC11" s="1002">
        <f t="shared" si="0"/>
        <v>0</v>
      </c>
      <c r="AD11" s="619">
        <f t="shared" si="1"/>
        <v>0</v>
      </c>
      <c r="AE11" s="958"/>
    </row>
    <row r="12" spans="1:61" ht="15" customHeight="1" x14ac:dyDescent="0.25">
      <c r="A12" s="1321" t="str">
        <f>IF(ISBLANK('Labor Rates'!D11),"",'Labor Rates'!D11)</f>
        <v/>
      </c>
      <c r="B12" s="1322"/>
      <c r="C12" s="949" t="str">
        <f>IF(ISBLANK('Labor Rates'!E11),"",'Labor Rates'!E11)</f>
        <v/>
      </c>
      <c r="D12" s="960"/>
      <c r="E12" s="791">
        <v>0</v>
      </c>
      <c r="F12" s="618">
        <f>'Labor Rates'!F11</f>
        <v>0</v>
      </c>
      <c r="G12" s="619">
        <f t="shared" si="2"/>
        <v>0</v>
      </c>
      <c r="H12" s="1180"/>
      <c r="I12" s="791">
        <v>0</v>
      </c>
      <c r="J12" s="618">
        <f>'Labor Rates'!H11</f>
        <v>0</v>
      </c>
      <c r="K12" s="619">
        <f t="shared" si="3"/>
        <v>0</v>
      </c>
      <c r="L12" s="1180"/>
      <c r="M12" s="791">
        <v>0</v>
      </c>
      <c r="N12" s="618">
        <f>'Labor Rates'!J11</f>
        <v>0</v>
      </c>
      <c r="O12" s="619">
        <f t="shared" si="4"/>
        <v>0</v>
      </c>
      <c r="P12" s="1180"/>
      <c r="Q12" s="791">
        <v>0</v>
      </c>
      <c r="R12" s="618">
        <f>'Labor Rates'!L11</f>
        <v>0</v>
      </c>
      <c r="S12" s="619">
        <f t="shared" si="5"/>
        <v>0</v>
      </c>
      <c r="T12" s="1180"/>
      <c r="U12" s="791">
        <v>0</v>
      </c>
      <c r="V12" s="618">
        <f>'Labor Rates'!N11</f>
        <v>0</v>
      </c>
      <c r="W12" s="619">
        <f t="shared" si="6"/>
        <v>0</v>
      </c>
      <c r="X12" s="1180"/>
      <c r="Y12" s="791">
        <v>0</v>
      </c>
      <c r="Z12" s="618">
        <f>'Labor Rates'!P11</f>
        <v>0</v>
      </c>
      <c r="AA12" s="619">
        <f t="shared" si="7"/>
        <v>0</v>
      </c>
      <c r="AB12" s="975"/>
      <c r="AC12" s="1002">
        <f t="shared" si="0"/>
        <v>0</v>
      </c>
      <c r="AD12" s="619">
        <f t="shared" si="1"/>
        <v>0</v>
      </c>
      <c r="AE12" s="958"/>
    </row>
    <row r="13" spans="1:61" ht="15" customHeight="1" x14ac:dyDescent="0.25">
      <c r="A13" s="1321" t="str">
        <f>IF(ISBLANK('Labor Rates'!D12),"",'Labor Rates'!D12)</f>
        <v/>
      </c>
      <c r="B13" s="1322"/>
      <c r="C13" s="949" t="str">
        <f>IF(ISBLANK('Labor Rates'!E12),"",'Labor Rates'!E12)</f>
        <v/>
      </c>
      <c r="D13" s="960"/>
      <c r="E13" s="791">
        <v>0</v>
      </c>
      <c r="F13" s="618">
        <f>'Labor Rates'!F12</f>
        <v>0</v>
      </c>
      <c r="G13" s="619">
        <f t="shared" si="2"/>
        <v>0</v>
      </c>
      <c r="H13" s="1180"/>
      <c r="I13" s="791">
        <v>0</v>
      </c>
      <c r="J13" s="618">
        <f>'Labor Rates'!H12</f>
        <v>0</v>
      </c>
      <c r="K13" s="619">
        <f t="shared" si="3"/>
        <v>0</v>
      </c>
      <c r="L13" s="1180"/>
      <c r="M13" s="791">
        <v>0</v>
      </c>
      <c r="N13" s="618">
        <f>'Labor Rates'!J12</f>
        <v>0</v>
      </c>
      <c r="O13" s="619">
        <f t="shared" si="4"/>
        <v>0</v>
      </c>
      <c r="P13" s="1180"/>
      <c r="Q13" s="791">
        <v>0</v>
      </c>
      <c r="R13" s="618">
        <f>'Labor Rates'!L12</f>
        <v>0</v>
      </c>
      <c r="S13" s="619">
        <f t="shared" si="5"/>
        <v>0</v>
      </c>
      <c r="T13" s="1180"/>
      <c r="U13" s="791">
        <v>0</v>
      </c>
      <c r="V13" s="618">
        <f>'Labor Rates'!N12</f>
        <v>0</v>
      </c>
      <c r="W13" s="619">
        <f t="shared" si="6"/>
        <v>0</v>
      </c>
      <c r="X13" s="1180"/>
      <c r="Y13" s="791">
        <v>0</v>
      </c>
      <c r="Z13" s="618">
        <f>'Labor Rates'!P12</f>
        <v>0</v>
      </c>
      <c r="AA13" s="619">
        <f t="shared" si="7"/>
        <v>0</v>
      </c>
      <c r="AB13" s="975"/>
      <c r="AC13" s="1002">
        <f t="shared" si="0"/>
        <v>0</v>
      </c>
      <c r="AD13" s="619">
        <f t="shared" si="1"/>
        <v>0</v>
      </c>
      <c r="AE13" s="958"/>
    </row>
    <row r="14" spans="1:61" ht="15" customHeight="1" x14ac:dyDescent="0.25">
      <c r="A14" s="1321" t="str">
        <f>IF(ISBLANK('Labor Rates'!D13),"",'Labor Rates'!D13)</f>
        <v/>
      </c>
      <c r="B14" s="1322"/>
      <c r="C14" s="949" t="str">
        <f>IF(ISBLANK('Labor Rates'!E13),"",'Labor Rates'!E13)</f>
        <v/>
      </c>
      <c r="D14" s="960"/>
      <c r="E14" s="791">
        <v>0</v>
      </c>
      <c r="F14" s="618">
        <f>'Labor Rates'!F13</f>
        <v>0</v>
      </c>
      <c r="G14" s="619">
        <f t="shared" si="2"/>
        <v>0</v>
      </c>
      <c r="H14" s="1180"/>
      <c r="I14" s="791">
        <v>0</v>
      </c>
      <c r="J14" s="618">
        <f>'Labor Rates'!H13</f>
        <v>0</v>
      </c>
      <c r="K14" s="619">
        <f t="shared" si="3"/>
        <v>0</v>
      </c>
      <c r="L14" s="1180"/>
      <c r="M14" s="791">
        <v>0</v>
      </c>
      <c r="N14" s="618">
        <f>'Labor Rates'!J13</f>
        <v>0</v>
      </c>
      <c r="O14" s="619">
        <f t="shared" si="4"/>
        <v>0</v>
      </c>
      <c r="P14" s="1180"/>
      <c r="Q14" s="791">
        <v>0</v>
      </c>
      <c r="R14" s="618">
        <f>'Labor Rates'!L13</f>
        <v>0</v>
      </c>
      <c r="S14" s="619">
        <f t="shared" si="5"/>
        <v>0</v>
      </c>
      <c r="T14" s="1180"/>
      <c r="U14" s="791">
        <v>0</v>
      </c>
      <c r="V14" s="618">
        <f>'Labor Rates'!N13</f>
        <v>0</v>
      </c>
      <c r="W14" s="619">
        <f t="shared" si="6"/>
        <v>0</v>
      </c>
      <c r="X14" s="1180"/>
      <c r="Y14" s="791">
        <v>0</v>
      </c>
      <c r="Z14" s="618">
        <f>'Labor Rates'!P13</f>
        <v>0</v>
      </c>
      <c r="AA14" s="619">
        <f t="shared" si="7"/>
        <v>0</v>
      </c>
      <c r="AB14" s="975"/>
      <c r="AC14" s="1002">
        <f t="shared" si="0"/>
        <v>0</v>
      </c>
      <c r="AD14" s="619">
        <f t="shared" si="1"/>
        <v>0</v>
      </c>
      <c r="AE14" s="958"/>
    </row>
    <row r="15" spans="1:61" ht="15" customHeight="1" x14ac:dyDescent="0.25">
      <c r="A15" s="1321" t="str">
        <f>IF(ISBLANK('Labor Rates'!D14),"",'Labor Rates'!D14)</f>
        <v/>
      </c>
      <c r="B15" s="1322"/>
      <c r="C15" s="949" t="str">
        <f>IF(ISBLANK('Labor Rates'!E14),"",'Labor Rates'!E14)</f>
        <v/>
      </c>
      <c r="D15" s="960"/>
      <c r="E15" s="791">
        <v>0</v>
      </c>
      <c r="F15" s="618">
        <f>'Labor Rates'!F14</f>
        <v>0</v>
      </c>
      <c r="G15" s="619">
        <f t="shared" si="2"/>
        <v>0</v>
      </c>
      <c r="H15" s="1180"/>
      <c r="I15" s="791">
        <v>0</v>
      </c>
      <c r="J15" s="618">
        <f>'Labor Rates'!H14</f>
        <v>0</v>
      </c>
      <c r="K15" s="619">
        <f t="shared" si="3"/>
        <v>0</v>
      </c>
      <c r="L15" s="1180"/>
      <c r="M15" s="791">
        <v>0</v>
      </c>
      <c r="N15" s="618">
        <f>'Labor Rates'!J14</f>
        <v>0</v>
      </c>
      <c r="O15" s="619">
        <f t="shared" si="4"/>
        <v>0</v>
      </c>
      <c r="P15" s="1180"/>
      <c r="Q15" s="791">
        <v>0</v>
      </c>
      <c r="R15" s="618">
        <f>'Labor Rates'!L14</f>
        <v>0</v>
      </c>
      <c r="S15" s="619">
        <f t="shared" si="5"/>
        <v>0</v>
      </c>
      <c r="T15" s="1180"/>
      <c r="U15" s="791">
        <v>0</v>
      </c>
      <c r="V15" s="618">
        <f>'Labor Rates'!N14</f>
        <v>0</v>
      </c>
      <c r="W15" s="619">
        <f t="shared" si="6"/>
        <v>0</v>
      </c>
      <c r="X15" s="1180"/>
      <c r="Y15" s="791">
        <v>0</v>
      </c>
      <c r="Z15" s="618">
        <f>'Labor Rates'!P14</f>
        <v>0</v>
      </c>
      <c r="AA15" s="619">
        <f t="shared" si="7"/>
        <v>0</v>
      </c>
      <c r="AB15" s="975"/>
      <c r="AC15" s="1002">
        <f t="shared" si="0"/>
        <v>0</v>
      </c>
      <c r="AD15" s="619">
        <f t="shared" si="1"/>
        <v>0</v>
      </c>
      <c r="AE15" s="958"/>
    </row>
    <row r="16" spans="1:61" ht="15" customHeight="1" x14ac:dyDescent="0.25">
      <c r="A16" s="1321" t="str">
        <f>IF(ISBLANK('Labor Rates'!D15),"",'Labor Rates'!D15)</f>
        <v/>
      </c>
      <c r="B16" s="1322"/>
      <c r="C16" s="949" t="str">
        <f>IF(ISBLANK('Labor Rates'!E15),"",'Labor Rates'!E15)</f>
        <v/>
      </c>
      <c r="D16" s="960"/>
      <c r="E16" s="791">
        <v>0</v>
      </c>
      <c r="F16" s="618">
        <f>'Labor Rates'!F15</f>
        <v>0</v>
      </c>
      <c r="G16" s="619">
        <f t="shared" si="2"/>
        <v>0</v>
      </c>
      <c r="H16" s="1180"/>
      <c r="I16" s="791">
        <v>0</v>
      </c>
      <c r="J16" s="618">
        <f>'Labor Rates'!H15</f>
        <v>0</v>
      </c>
      <c r="K16" s="619">
        <f t="shared" si="3"/>
        <v>0</v>
      </c>
      <c r="L16" s="1180"/>
      <c r="M16" s="791">
        <v>0</v>
      </c>
      <c r="N16" s="618">
        <f>'Labor Rates'!J15</f>
        <v>0</v>
      </c>
      <c r="O16" s="619">
        <f t="shared" si="4"/>
        <v>0</v>
      </c>
      <c r="P16" s="1180"/>
      <c r="Q16" s="791">
        <v>0</v>
      </c>
      <c r="R16" s="618">
        <f>'Labor Rates'!L15</f>
        <v>0</v>
      </c>
      <c r="S16" s="619">
        <f t="shared" si="5"/>
        <v>0</v>
      </c>
      <c r="T16" s="1180"/>
      <c r="U16" s="791">
        <v>0</v>
      </c>
      <c r="V16" s="618">
        <f>'Labor Rates'!N15</f>
        <v>0</v>
      </c>
      <c r="W16" s="619">
        <f t="shared" si="6"/>
        <v>0</v>
      </c>
      <c r="X16" s="1180"/>
      <c r="Y16" s="791">
        <v>0</v>
      </c>
      <c r="Z16" s="618">
        <f>'Labor Rates'!P15</f>
        <v>0</v>
      </c>
      <c r="AA16" s="619">
        <f t="shared" si="7"/>
        <v>0</v>
      </c>
      <c r="AB16" s="975"/>
      <c r="AC16" s="1002">
        <f t="shared" si="0"/>
        <v>0</v>
      </c>
      <c r="AD16" s="619">
        <f t="shared" si="1"/>
        <v>0</v>
      </c>
      <c r="AE16" s="958"/>
    </row>
    <row r="17" spans="1:31" ht="15" customHeight="1" x14ac:dyDescent="0.25">
      <c r="A17" s="1321" t="str">
        <f>IF(ISBLANK('Labor Rates'!D16),"",'Labor Rates'!D16)</f>
        <v/>
      </c>
      <c r="B17" s="1322"/>
      <c r="C17" s="950" t="str">
        <f>IF(ISBLANK('Labor Rates'!E16),"",'Labor Rates'!E16)</f>
        <v/>
      </c>
      <c r="D17" s="960"/>
      <c r="E17" s="791">
        <v>0</v>
      </c>
      <c r="F17" s="618">
        <f>'Labor Rates'!F16</f>
        <v>0</v>
      </c>
      <c r="G17" s="619">
        <f t="shared" si="2"/>
        <v>0</v>
      </c>
      <c r="H17" s="1180"/>
      <c r="I17" s="791">
        <v>0</v>
      </c>
      <c r="J17" s="618">
        <f>'Labor Rates'!H16</f>
        <v>0</v>
      </c>
      <c r="K17" s="619">
        <f t="shared" si="3"/>
        <v>0</v>
      </c>
      <c r="L17" s="1180"/>
      <c r="M17" s="791">
        <v>0</v>
      </c>
      <c r="N17" s="618">
        <f>'Labor Rates'!J16</f>
        <v>0</v>
      </c>
      <c r="O17" s="619">
        <f t="shared" si="4"/>
        <v>0</v>
      </c>
      <c r="P17" s="1180"/>
      <c r="Q17" s="791">
        <v>0</v>
      </c>
      <c r="R17" s="618">
        <f>'Labor Rates'!L16</f>
        <v>0</v>
      </c>
      <c r="S17" s="619">
        <f t="shared" si="5"/>
        <v>0</v>
      </c>
      <c r="T17" s="1180"/>
      <c r="U17" s="791">
        <v>0</v>
      </c>
      <c r="V17" s="618">
        <f>'Labor Rates'!N16</f>
        <v>0</v>
      </c>
      <c r="W17" s="619">
        <f t="shared" si="6"/>
        <v>0</v>
      </c>
      <c r="X17" s="1180"/>
      <c r="Y17" s="791">
        <v>0</v>
      </c>
      <c r="Z17" s="618">
        <f>'Labor Rates'!P16</f>
        <v>0</v>
      </c>
      <c r="AA17" s="619">
        <f t="shared" si="7"/>
        <v>0</v>
      </c>
      <c r="AB17" s="975"/>
      <c r="AC17" s="1002">
        <f t="shared" si="0"/>
        <v>0</v>
      </c>
      <c r="AD17" s="619">
        <f t="shared" si="1"/>
        <v>0</v>
      </c>
      <c r="AE17" s="958"/>
    </row>
    <row r="18" spans="1:31" ht="15" customHeight="1" x14ac:dyDescent="0.25">
      <c r="A18" s="1321" t="str">
        <f>IF(ISBLANK('Labor Rates'!D17),"",'Labor Rates'!D17)</f>
        <v/>
      </c>
      <c r="B18" s="1322"/>
      <c r="C18" s="950" t="str">
        <f>IF(ISBLANK('Labor Rates'!E17),"",'Labor Rates'!E17)</f>
        <v/>
      </c>
      <c r="D18" s="960"/>
      <c r="E18" s="791">
        <v>0</v>
      </c>
      <c r="F18" s="618">
        <f>'Labor Rates'!F17</f>
        <v>0</v>
      </c>
      <c r="G18" s="619">
        <f t="shared" si="2"/>
        <v>0</v>
      </c>
      <c r="H18" s="1180"/>
      <c r="I18" s="791">
        <v>0</v>
      </c>
      <c r="J18" s="618">
        <f>'Labor Rates'!H17</f>
        <v>0</v>
      </c>
      <c r="K18" s="619">
        <f t="shared" si="3"/>
        <v>0</v>
      </c>
      <c r="L18" s="1180"/>
      <c r="M18" s="791">
        <v>0</v>
      </c>
      <c r="N18" s="618">
        <f>'Labor Rates'!J17</f>
        <v>0</v>
      </c>
      <c r="O18" s="619">
        <f t="shared" si="4"/>
        <v>0</v>
      </c>
      <c r="P18" s="1180"/>
      <c r="Q18" s="791">
        <v>0</v>
      </c>
      <c r="R18" s="618">
        <f>'Labor Rates'!L17</f>
        <v>0</v>
      </c>
      <c r="S18" s="619">
        <f t="shared" si="5"/>
        <v>0</v>
      </c>
      <c r="T18" s="1180"/>
      <c r="U18" s="791">
        <v>0</v>
      </c>
      <c r="V18" s="618">
        <f>'Labor Rates'!N17</f>
        <v>0</v>
      </c>
      <c r="W18" s="619">
        <f t="shared" si="6"/>
        <v>0</v>
      </c>
      <c r="X18" s="1180"/>
      <c r="Y18" s="791">
        <v>0</v>
      </c>
      <c r="Z18" s="618">
        <f>'Labor Rates'!P17</f>
        <v>0</v>
      </c>
      <c r="AA18" s="619">
        <f t="shared" si="7"/>
        <v>0</v>
      </c>
      <c r="AB18" s="975"/>
      <c r="AC18" s="1002">
        <f t="shared" si="0"/>
        <v>0</v>
      </c>
      <c r="AD18" s="619">
        <f t="shared" si="1"/>
        <v>0</v>
      </c>
      <c r="AE18" s="958"/>
    </row>
    <row r="19" spans="1:31" ht="15" customHeight="1" x14ac:dyDescent="0.25">
      <c r="A19" s="1321" t="str">
        <f>IF(ISBLANK('Labor Rates'!D18),"",'Labor Rates'!D18)</f>
        <v/>
      </c>
      <c r="B19" s="1322"/>
      <c r="C19" s="950" t="str">
        <f>IF(ISBLANK('Labor Rates'!E18),"",'Labor Rates'!E18)</f>
        <v/>
      </c>
      <c r="D19" s="960"/>
      <c r="E19" s="791">
        <v>0</v>
      </c>
      <c r="F19" s="618">
        <f>'Labor Rates'!F18</f>
        <v>0</v>
      </c>
      <c r="G19" s="619">
        <f t="shared" si="2"/>
        <v>0</v>
      </c>
      <c r="H19" s="1180"/>
      <c r="I19" s="791">
        <v>0</v>
      </c>
      <c r="J19" s="618">
        <f>'Labor Rates'!H18</f>
        <v>0</v>
      </c>
      <c r="K19" s="619">
        <f t="shared" si="3"/>
        <v>0</v>
      </c>
      <c r="L19" s="1180"/>
      <c r="M19" s="791">
        <v>0</v>
      </c>
      <c r="N19" s="618">
        <f>'Labor Rates'!J18</f>
        <v>0</v>
      </c>
      <c r="O19" s="619">
        <f t="shared" si="4"/>
        <v>0</v>
      </c>
      <c r="P19" s="1180"/>
      <c r="Q19" s="791">
        <v>0</v>
      </c>
      <c r="R19" s="618">
        <f>'Labor Rates'!L18</f>
        <v>0</v>
      </c>
      <c r="S19" s="619">
        <f t="shared" si="5"/>
        <v>0</v>
      </c>
      <c r="T19" s="1180"/>
      <c r="U19" s="791">
        <v>0</v>
      </c>
      <c r="V19" s="618">
        <f>'Labor Rates'!N18</f>
        <v>0</v>
      </c>
      <c r="W19" s="619">
        <f t="shared" si="6"/>
        <v>0</v>
      </c>
      <c r="X19" s="1180"/>
      <c r="Y19" s="791">
        <v>0</v>
      </c>
      <c r="Z19" s="618">
        <f>'Labor Rates'!P18</f>
        <v>0</v>
      </c>
      <c r="AA19" s="619">
        <f t="shared" si="7"/>
        <v>0</v>
      </c>
      <c r="AB19" s="975"/>
      <c r="AC19" s="1002">
        <f t="shared" si="0"/>
        <v>0</v>
      </c>
      <c r="AD19" s="619">
        <f t="shared" si="1"/>
        <v>0</v>
      </c>
      <c r="AE19" s="958"/>
    </row>
    <row r="20" spans="1:31" ht="15" customHeight="1" x14ac:dyDescent="0.25">
      <c r="A20" s="1321" t="str">
        <f>IF(ISBLANK('Labor Rates'!D19),"",'Labor Rates'!D19)</f>
        <v/>
      </c>
      <c r="B20" s="1322"/>
      <c r="C20" s="950" t="str">
        <f>IF(ISBLANK('Labor Rates'!E19),"",'Labor Rates'!E19)</f>
        <v/>
      </c>
      <c r="D20" s="960"/>
      <c r="E20" s="791">
        <v>0</v>
      </c>
      <c r="F20" s="618">
        <f>'Labor Rates'!F19</f>
        <v>0</v>
      </c>
      <c r="G20" s="619">
        <f t="shared" si="2"/>
        <v>0</v>
      </c>
      <c r="H20" s="1180"/>
      <c r="I20" s="791">
        <v>0</v>
      </c>
      <c r="J20" s="618">
        <f>'Labor Rates'!H19</f>
        <v>0</v>
      </c>
      <c r="K20" s="619">
        <f t="shared" si="3"/>
        <v>0</v>
      </c>
      <c r="L20" s="1180"/>
      <c r="M20" s="791">
        <v>0</v>
      </c>
      <c r="N20" s="618">
        <f>'Labor Rates'!J19</f>
        <v>0</v>
      </c>
      <c r="O20" s="619">
        <f t="shared" si="4"/>
        <v>0</v>
      </c>
      <c r="P20" s="1180"/>
      <c r="Q20" s="791">
        <v>0</v>
      </c>
      <c r="R20" s="618">
        <f>'Labor Rates'!L19</f>
        <v>0</v>
      </c>
      <c r="S20" s="619">
        <f t="shared" si="5"/>
        <v>0</v>
      </c>
      <c r="T20" s="1180"/>
      <c r="U20" s="791">
        <v>0</v>
      </c>
      <c r="V20" s="618">
        <f>'Labor Rates'!N19</f>
        <v>0</v>
      </c>
      <c r="W20" s="619">
        <f t="shared" si="6"/>
        <v>0</v>
      </c>
      <c r="X20" s="1180"/>
      <c r="Y20" s="791">
        <v>0</v>
      </c>
      <c r="Z20" s="618">
        <f>'Labor Rates'!P19</f>
        <v>0</v>
      </c>
      <c r="AA20" s="619">
        <f t="shared" si="7"/>
        <v>0</v>
      </c>
      <c r="AB20" s="975"/>
      <c r="AC20" s="1002">
        <f t="shared" si="0"/>
        <v>0</v>
      </c>
      <c r="AD20" s="619">
        <f t="shared" si="1"/>
        <v>0</v>
      </c>
      <c r="AE20" s="958"/>
    </row>
    <row r="21" spans="1:31" ht="15" customHeight="1" x14ac:dyDescent="0.25">
      <c r="A21" s="1321" t="str">
        <f>IF(ISBLANK('Labor Rates'!D20),"",'Labor Rates'!D20)</f>
        <v/>
      </c>
      <c r="B21" s="1322"/>
      <c r="C21" s="950" t="str">
        <f>IF(ISBLANK('Labor Rates'!E20),"",'Labor Rates'!E20)</f>
        <v/>
      </c>
      <c r="D21" s="960"/>
      <c r="E21" s="791">
        <v>0</v>
      </c>
      <c r="F21" s="618">
        <f>'Labor Rates'!F20</f>
        <v>0</v>
      </c>
      <c r="G21" s="619">
        <f t="shared" si="2"/>
        <v>0</v>
      </c>
      <c r="H21" s="1180"/>
      <c r="I21" s="791">
        <v>0</v>
      </c>
      <c r="J21" s="618">
        <f>'Labor Rates'!H20</f>
        <v>0</v>
      </c>
      <c r="K21" s="619">
        <f t="shared" si="3"/>
        <v>0</v>
      </c>
      <c r="L21" s="1180"/>
      <c r="M21" s="791">
        <v>0</v>
      </c>
      <c r="N21" s="618">
        <f>'Labor Rates'!J20</f>
        <v>0</v>
      </c>
      <c r="O21" s="619">
        <f t="shared" si="4"/>
        <v>0</v>
      </c>
      <c r="P21" s="1180"/>
      <c r="Q21" s="791">
        <v>0</v>
      </c>
      <c r="R21" s="618">
        <f>'Labor Rates'!L20</f>
        <v>0</v>
      </c>
      <c r="S21" s="619">
        <f t="shared" si="5"/>
        <v>0</v>
      </c>
      <c r="T21" s="1180"/>
      <c r="U21" s="791">
        <v>0</v>
      </c>
      <c r="V21" s="618">
        <f>'Labor Rates'!N20</f>
        <v>0</v>
      </c>
      <c r="W21" s="619">
        <f t="shared" si="6"/>
        <v>0</v>
      </c>
      <c r="X21" s="1180"/>
      <c r="Y21" s="791">
        <v>0</v>
      </c>
      <c r="Z21" s="618">
        <f>'Labor Rates'!P20</f>
        <v>0</v>
      </c>
      <c r="AA21" s="619">
        <f t="shared" si="7"/>
        <v>0</v>
      </c>
      <c r="AB21" s="975"/>
      <c r="AC21" s="1002">
        <f t="shared" si="0"/>
        <v>0</v>
      </c>
      <c r="AD21" s="619">
        <f t="shared" si="1"/>
        <v>0</v>
      </c>
      <c r="AE21" s="958"/>
    </row>
    <row r="22" spans="1:31" ht="15" customHeight="1" x14ac:dyDescent="0.25">
      <c r="A22" s="1321" t="str">
        <f>IF(ISBLANK('Labor Rates'!D21),"",'Labor Rates'!D21)</f>
        <v/>
      </c>
      <c r="B22" s="1322"/>
      <c r="C22" s="950" t="str">
        <f>IF(ISBLANK('Labor Rates'!E21),"",'Labor Rates'!E21)</f>
        <v/>
      </c>
      <c r="D22" s="960"/>
      <c r="E22" s="791">
        <v>0</v>
      </c>
      <c r="F22" s="618">
        <f>'Labor Rates'!F21</f>
        <v>0</v>
      </c>
      <c r="G22" s="619">
        <f t="shared" si="2"/>
        <v>0</v>
      </c>
      <c r="H22" s="1180"/>
      <c r="I22" s="791">
        <v>0</v>
      </c>
      <c r="J22" s="618">
        <f>'Labor Rates'!H21</f>
        <v>0</v>
      </c>
      <c r="K22" s="619">
        <f t="shared" si="3"/>
        <v>0</v>
      </c>
      <c r="L22" s="1180"/>
      <c r="M22" s="791">
        <v>0</v>
      </c>
      <c r="N22" s="618">
        <f>'Labor Rates'!J21</f>
        <v>0</v>
      </c>
      <c r="O22" s="619">
        <f t="shared" si="4"/>
        <v>0</v>
      </c>
      <c r="P22" s="1180"/>
      <c r="Q22" s="791">
        <v>0</v>
      </c>
      <c r="R22" s="618">
        <f>'Labor Rates'!L21</f>
        <v>0</v>
      </c>
      <c r="S22" s="619">
        <f t="shared" si="5"/>
        <v>0</v>
      </c>
      <c r="T22" s="1180"/>
      <c r="U22" s="791">
        <v>0</v>
      </c>
      <c r="V22" s="618">
        <f>'Labor Rates'!N21</f>
        <v>0</v>
      </c>
      <c r="W22" s="619">
        <f t="shared" si="6"/>
        <v>0</v>
      </c>
      <c r="X22" s="1180"/>
      <c r="Y22" s="791">
        <v>0</v>
      </c>
      <c r="Z22" s="618">
        <f>'Labor Rates'!P21</f>
        <v>0</v>
      </c>
      <c r="AA22" s="619">
        <f t="shared" si="7"/>
        <v>0</v>
      </c>
      <c r="AB22" s="975"/>
      <c r="AC22" s="1002">
        <f t="shared" si="0"/>
        <v>0</v>
      </c>
      <c r="AD22" s="619">
        <f t="shared" si="1"/>
        <v>0</v>
      </c>
      <c r="AE22" s="958"/>
    </row>
    <row r="23" spans="1:31" ht="15" customHeight="1" x14ac:dyDescent="0.25">
      <c r="A23" s="1321" t="str">
        <f>IF(ISBLANK('Labor Rates'!D22),"",'Labor Rates'!D22)</f>
        <v/>
      </c>
      <c r="B23" s="1322"/>
      <c r="C23" s="950" t="str">
        <f>IF(ISBLANK('Labor Rates'!E22),"",'Labor Rates'!E22)</f>
        <v/>
      </c>
      <c r="D23" s="960"/>
      <c r="E23" s="791">
        <v>0</v>
      </c>
      <c r="F23" s="618">
        <f>'Labor Rates'!F22</f>
        <v>0</v>
      </c>
      <c r="G23" s="619">
        <f t="shared" si="2"/>
        <v>0</v>
      </c>
      <c r="H23" s="1180"/>
      <c r="I23" s="791">
        <v>0</v>
      </c>
      <c r="J23" s="618">
        <f>'Labor Rates'!H22</f>
        <v>0</v>
      </c>
      <c r="K23" s="619">
        <f t="shared" si="3"/>
        <v>0</v>
      </c>
      <c r="L23" s="1180"/>
      <c r="M23" s="791">
        <v>0</v>
      </c>
      <c r="N23" s="618">
        <f>'Labor Rates'!J22</f>
        <v>0</v>
      </c>
      <c r="O23" s="619">
        <f t="shared" si="4"/>
        <v>0</v>
      </c>
      <c r="P23" s="1180"/>
      <c r="Q23" s="791">
        <v>0</v>
      </c>
      <c r="R23" s="618">
        <f>'Labor Rates'!L22</f>
        <v>0</v>
      </c>
      <c r="S23" s="619">
        <f t="shared" si="5"/>
        <v>0</v>
      </c>
      <c r="T23" s="1180"/>
      <c r="U23" s="791">
        <v>0</v>
      </c>
      <c r="V23" s="618">
        <f>'Labor Rates'!N22</f>
        <v>0</v>
      </c>
      <c r="W23" s="619">
        <f t="shared" si="6"/>
        <v>0</v>
      </c>
      <c r="X23" s="1180"/>
      <c r="Y23" s="791">
        <v>0</v>
      </c>
      <c r="Z23" s="618">
        <f>'Labor Rates'!P22</f>
        <v>0</v>
      </c>
      <c r="AA23" s="619">
        <f t="shared" si="7"/>
        <v>0</v>
      </c>
      <c r="AB23" s="975"/>
      <c r="AC23" s="1002">
        <f t="shared" si="0"/>
        <v>0</v>
      </c>
      <c r="AD23" s="619">
        <f t="shared" si="1"/>
        <v>0</v>
      </c>
      <c r="AE23" s="958"/>
    </row>
    <row r="24" spans="1:31" ht="15" customHeight="1" x14ac:dyDescent="0.25">
      <c r="A24" s="1321" t="str">
        <f>IF(ISBLANK('Labor Rates'!D23),"",'Labor Rates'!D23)</f>
        <v/>
      </c>
      <c r="B24" s="1322"/>
      <c r="C24" s="950" t="str">
        <f>IF(ISBLANK('Labor Rates'!E23),"",'Labor Rates'!E23)</f>
        <v/>
      </c>
      <c r="D24" s="960"/>
      <c r="E24" s="791">
        <v>0</v>
      </c>
      <c r="F24" s="618">
        <f>'Labor Rates'!F23</f>
        <v>0</v>
      </c>
      <c r="G24" s="619">
        <f t="shared" si="2"/>
        <v>0</v>
      </c>
      <c r="H24" s="1180"/>
      <c r="I24" s="791">
        <v>0</v>
      </c>
      <c r="J24" s="618">
        <f>'Labor Rates'!H23</f>
        <v>0</v>
      </c>
      <c r="K24" s="619">
        <f t="shared" si="3"/>
        <v>0</v>
      </c>
      <c r="L24" s="1180"/>
      <c r="M24" s="791">
        <v>0</v>
      </c>
      <c r="N24" s="618">
        <f>'Labor Rates'!J23</f>
        <v>0</v>
      </c>
      <c r="O24" s="619">
        <f t="shared" si="4"/>
        <v>0</v>
      </c>
      <c r="P24" s="1180"/>
      <c r="Q24" s="791">
        <v>0</v>
      </c>
      <c r="R24" s="618">
        <f>'Labor Rates'!L23</f>
        <v>0</v>
      </c>
      <c r="S24" s="619">
        <f t="shared" si="5"/>
        <v>0</v>
      </c>
      <c r="T24" s="1180"/>
      <c r="U24" s="791">
        <v>0</v>
      </c>
      <c r="V24" s="618">
        <f>'Labor Rates'!N23</f>
        <v>0</v>
      </c>
      <c r="W24" s="619">
        <f t="shared" si="6"/>
        <v>0</v>
      </c>
      <c r="X24" s="1180"/>
      <c r="Y24" s="791">
        <v>0</v>
      </c>
      <c r="Z24" s="618">
        <f>'Labor Rates'!P23</f>
        <v>0</v>
      </c>
      <c r="AA24" s="619">
        <f t="shared" si="7"/>
        <v>0</v>
      </c>
      <c r="AB24" s="975"/>
      <c r="AC24" s="1002">
        <f t="shared" si="0"/>
        <v>0</v>
      </c>
      <c r="AD24" s="619">
        <f t="shared" si="1"/>
        <v>0</v>
      </c>
      <c r="AE24" s="958"/>
    </row>
    <row r="25" spans="1:31" ht="15" customHeight="1" x14ac:dyDescent="0.25">
      <c r="A25" s="1321" t="str">
        <f>IF(ISBLANK('Labor Rates'!D24),"",'Labor Rates'!D24)</f>
        <v/>
      </c>
      <c r="B25" s="1322"/>
      <c r="C25" s="950" t="str">
        <f>IF(ISBLANK('Labor Rates'!E24),"",'Labor Rates'!E24)</f>
        <v/>
      </c>
      <c r="D25" s="960"/>
      <c r="E25" s="791">
        <v>0</v>
      </c>
      <c r="F25" s="618">
        <f>'Labor Rates'!F24</f>
        <v>0</v>
      </c>
      <c r="G25" s="619">
        <f t="shared" si="2"/>
        <v>0</v>
      </c>
      <c r="H25" s="1180"/>
      <c r="I25" s="791">
        <v>0</v>
      </c>
      <c r="J25" s="618">
        <f>'Labor Rates'!H24</f>
        <v>0</v>
      </c>
      <c r="K25" s="619">
        <f t="shared" si="3"/>
        <v>0</v>
      </c>
      <c r="L25" s="1180"/>
      <c r="M25" s="791">
        <v>0</v>
      </c>
      <c r="N25" s="618">
        <f>'Labor Rates'!J24</f>
        <v>0</v>
      </c>
      <c r="O25" s="619">
        <f t="shared" si="4"/>
        <v>0</v>
      </c>
      <c r="P25" s="1180"/>
      <c r="Q25" s="791">
        <v>0</v>
      </c>
      <c r="R25" s="618">
        <f>'Labor Rates'!L24</f>
        <v>0</v>
      </c>
      <c r="S25" s="619">
        <f t="shared" si="5"/>
        <v>0</v>
      </c>
      <c r="T25" s="1180"/>
      <c r="U25" s="791">
        <v>0</v>
      </c>
      <c r="V25" s="618">
        <f>'Labor Rates'!N24</f>
        <v>0</v>
      </c>
      <c r="W25" s="619">
        <f t="shared" si="6"/>
        <v>0</v>
      </c>
      <c r="X25" s="1180"/>
      <c r="Y25" s="791">
        <v>0</v>
      </c>
      <c r="Z25" s="618">
        <f>'Labor Rates'!P24</f>
        <v>0</v>
      </c>
      <c r="AA25" s="619">
        <f t="shared" si="7"/>
        <v>0</v>
      </c>
      <c r="AB25" s="975"/>
      <c r="AC25" s="1002">
        <f t="shared" si="0"/>
        <v>0</v>
      </c>
      <c r="AD25" s="619">
        <f t="shared" si="1"/>
        <v>0</v>
      </c>
      <c r="AE25" s="958"/>
    </row>
    <row r="26" spans="1:31" ht="15" customHeight="1" x14ac:dyDescent="0.25">
      <c r="A26" s="1321" t="str">
        <f>IF(ISBLANK('Labor Rates'!D25),"",'Labor Rates'!D25)</f>
        <v/>
      </c>
      <c r="B26" s="1322"/>
      <c r="C26" s="950" t="str">
        <f>IF(ISBLANK('Labor Rates'!E25),"",'Labor Rates'!E25)</f>
        <v/>
      </c>
      <c r="D26" s="960"/>
      <c r="E26" s="791">
        <v>0</v>
      </c>
      <c r="F26" s="618">
        <f>'Labor Rates'!F25</f>
        <v>0</v>
      </c>
      <c r="G26" s="619">
        <f t="shared" si="2"/>
        <v>0</v>
      </c>
      <c r="H26" s="1180"/>
      <c r="I26" s="791">
        <v>0</v>
      </c>
      <c r="J26" s="618">
        <f>'Labor Rates'!H25</f>
        <v>0</v>
      </c>
      <c r="K26" s="619">
        <f t="shared" si="3"/>
        <v>0</v>
      </c>
      <c r="L26" s="1180"/>
      <c r="M26" s="791">
        <v>0</v>
      </c>
      <c r="N26" s="618">
        <f>'Labor Rates'!J25</f>
        <v>0</v>
      </c>
      <c r="O26" s="619">
        <f t="shared" si="4"/>
        <v>0</v>
      </c>
      <c r="P26" s="1180"/>
      <c r="Q26" s="791">
        <v>0</v>
      </c>
      <c r="R26" s="618">
        <f>'Labor Rates'!L25</f>
        <v>0</v>
      </c>
      <c r="S26" s="619">
        <f t="shared" si="5"/>
        <v>0</v>
      </c>
      <c r="T26" s="1180"/>
      <c r="U26" s="791">
        <v>0</v>
      </c>
      <c r="V26" s="618">
        <f>'Labor Rates'!N25</f>
        <v>0</v>
      </c>
      <c r="W26" s="619">
        <f t="shared" si="6"/>
        <v>0</v>
      </c>
      <c r="X26" s="1180"/>
      <c r="Y26" s="791">
        <v>0</v>
      </c>
      <c r="Z26" s="618">
        <f>'Labor Rates'!P25</f>
        <v>0</v>
      </c>
      <c r="AA26" s="619">
        <f t="shared" si="7"/>
        <v>0</v>
      </c>
      <c r="AB26" s="975"/>
      <c r="AC26" s="1002">
        <f t="shared" si="0"/>
        <v>0</v>
      </c>
      <c r="AD26" s="619">
        <f t="shared" si="1"/>
        <v>0</v>
      </c>
      <c r="AE26" s="958"/>
    </row>
    <row r="27" spans="1:31" ht="15" customHeight="1" x14ac:dyDescent="0.25">
      <c r="A27" s="1321" t="str">
        <f>IF(ISBLANK('Labor Rates'!D26),"",'Labor Rates'!D26)</f>
        <v/>
      </c>
      <c r="B27" s="1322"/>
      <c r="C27" s="950" t="str">
        <f>IF(ISBLANK('Labor Rates'!E26),"",'Labor Rates'!E26)</f>
        <v/>
      </c>
      <c r="D27" s="960"/>
      <c r="E27" s="791">
        <v>0</v>
      </c>
      <c r="F27" s="618">
        <f>'Labor Rates'!F26</f>
        <v>0</v>
      </c>
      <c r="G27" s="619">
        <f t="shared" si="2"/>
        <v>0</v>
      </c>
      <c r="H27" s="1180"/>
      <c r="I27" s="791">
        <v>0</v>
      </c>
      <c r="J27" s="618">
        <f>'Labor Rates'!H26</f>
        <v>0</v>
      </c>
      <c r="K27" s="619">
        <f t="shared" si="3"/>
        <v>0</v>
      </c>
      <c r="L27" s="1180"/>
      <c r="M27" s="791">
        <v>0</v>
      </c>
      <c r="N27" s="618">
        <f>'Labor Rates'!J26</f>
        <v>0</v>
      </c>
      <c r="O27" s="619">
        <f t="shared" si="4"/>
        <v>0</v>
      </c>
      <c r="P27" s="1180"/>
      <c r="Q27" s="791">
        <v>0</v>
      </c>
      <c r="R27" s="618">
        <f>'Labor Rates'!L26</f>
        <v>0</v>
      </c>
      <c r="S27" s="619">
        <f t="shared" si="5"/>
        <v>0</v>
      </c>
      <c r="T27" s="1180"/>
      <c r="U27" s="791">
        <v>0</v>
      </c>
      <c r="V27" s="618">
        <f>'Labor Rates'!N26</f>
        <v>0</v>
      </c>
      <c r="W27" s="619">
        <f t="shared" si="6"/>
        <v>0</v>
      </c>
      <c r="X27" s="1180"/>
      <c r="Y27" s="791">
        <v>0</v>
      </c>
      <c r="Z27" s="618">
        <f>'Labor Rates'!P26</f>
        <v>0</v>
      </c>
      <c r="AA27" s="619">
        <f t="shared" si="7"/>
        <v>0</v>
      </c>
      <c r="AB27" s="975"/>
      <c r="AC27" s="1002">
        <f t="shared" si="0"/>
        <v>0</v>
      </c>
      <c r="AD27" s="619">
        <f t="shared" si="1"/>
        <v>0</v>
      </c>
      <c r="AE27" s="958"/>
    </row>
    <row r="28" spans="1:31" ht="15" customHeight="1" x14ac:dyDescent="0.25">
      <c r="A28" s="1321" t="str">
        <f>IF(ISBLANK('Labor Rates'!D27),"",'Labor Rates'!D27)</f>
        <v/>
      </c>
      <c r="B28" s="1322"/>
      <c r="C28" s="950" t="str">
        <f>IF(ISBLANK('Labor Rates'!E27),"",'Labor Rates'!E27)</f>
        <v/>
      </c>
      <c r="D28" s="960"/>
      <c r="E28" s="791">
        <v>0</v>
      </c>
      <c r="F28" s="618">
        <f>'Labor Rates'!F27</f>
        <v>0</v>
      </c>
      <c r="G28" s="619">
        <f t="shared" si="2"/>
        <v>0</v>
      </c>
      <c r="H28" s="1180"/>
      <c r="I28" s="791">
        <v>0</v>
      </c>
      <c r="J28" s="618">
        <f>'Labor Rates'!H27</f>
        <v>0</v>
      </c>
      <c r="K28" s="619">
        <f t="shared" si="3"/>
        <v>0</v>
      </c>
      <c r="L28" s="1180"/>
      <c r="M28" s="791">
        <v>0</v>
      </c>
      <c r="N28" s="618">
        <f>'Labor Rates'!J27</f>
        <v>0</v>
      </c>
      <c r="O28" s="619">
        <f t="shared" si="4"/>
        <v>0</v>
      </c>
      <c r="P28" s="1180"/>
      <c r="Q28" s="791">
        <v>0</v>
      </c>
      <c r="R28" s="618">
        <f>'Labor Rates'!L27</f>
        <v>0</v>
      </c>
      <c r="S28" s="619">
        <f t="shared" si="5"/>
        <v>0</v>
      </c>
      <c r="T28" s="1180"/>
      <c r="U28" s="791">
        <v>0</v>
      </c>
      <c r="V28" s="618">
        <f>'Labor Rates'!N27</f>
        <v>0</v>
      </c>
      <c r="W28" s="619">
        <f t="shared" si="6"/>
        <v>0</v>
      </c>
      <c r="X28" s="1180"/>
      <c r="Y28" s="791">
        <v>0</v>
      </c>
      <c r="Z28" s="618">
        <f>'Labor Rates'!P27</f>
        <v>0</v>
      </c>
      <c r="AA28" s="619">
        <f t="shared" si="7"/>
        <v>0</v>
      </c>
      <c r="AB28" s="975"/>
      <c r="AC28" s="1002">
        <f t="shared" si="0"/>
        <v>0</v>
      </c>
      <c r="AD28" s="619">
        <f t="shared" si="1"/>
        <v>0</v>
      </c>
      <c r="AE28" s="958"/>
    </row>
    <row r="29" spans="1:31" ht="15" customHeight="1" x14ac:dyDescent="0.25">
      <c r="A29" s="1321" t="str">
        <f>IF(ISBLANK('Labor Rates'!D28),"",'Labor Rates'!D28)</f>
        <v/>
      </c>
      <c r="B29" s="1322"/>
      <c r="C29" s="950" t="str">
        <f>IF(ISBLANK('Labor Rates'!E28),"",'Labor Rates'!E28)</f>
        <v/>
      </c>
      <c r="D29" s="960"/>
      <c r="E29" s="791">
        <v>0</v>
      </c>
      <c r="F29" s="618">
        <f>'Labor Rates'!F28</f>
        <v>0</v>
      </c>
      <c r="G29" s="619">
        <f t="shared" si="2"/>
        <v>0</v>
      </c>
      <c r="H29" s="1180"/>
      <c r="I29" s="791">
        <v>0</v>
      </c>
      <c r="J29" s="618">
        <f>'Labor Rates'!H28</f>
        <v>0</v>
      </c>
      <c r="K29" s="619">
        <f t="shared" si="3"/>
        <v>0</v>
      </c>
      <c r="L29" s="1180"/>
      <c r="M29" s="791">
        <v>0</v>
      </c>
      <c r="N29" s="618">
        <f>'Labor Rates'!J28</f>
        <v>0</v>
      </c>
      <c r="O29" s="619">
        <f t="shared" si="4"/>
        <v>0</v>
      </c>
      <c r="P29" s="1180"/>
      <c r="Q29" s="791">
        <v>0</v>
      </c>
      <c r="R29" s="618">
        <f>'Labor Rates'!L28</f>
        <v>0</v>
      </c>
      <c r="S29" s="619">
        <f t="shared" si="5"/>
        <v>0</v>
      </c>
      <c r="T29" s="1180"/>
      <c r="U29" s="791">
        <v>0</v>
      </c>
      <c r="V29" s="618">
        <f>'Labor Rates'!N28</f>
        <v>0</v>
      </c>
      <c r="W29" s="619">
        <f t="shared" si="6"/>
        <v>0</v>
      </c>
      <c r="X29" s="1180"/>
      <c r="Y29" s="791">
        <v>0</v>
      </c>
      <c r="Z29" s="618">
        <f>'Labor Rates'!P28</f>
        <v>0</v>
      </c>
      <c r="AA29" s="619">
        <f t="shared" si="7"/>
        <v>0</v>
      </c>
      <c r="AB29" s="975"/>
      <c r="AC29" s="1002">
        <f t="shared" si="0"/>
        <v>0</v>
      </c>
      <c r="AD29" s="619">
        <f t="shared" si="1"/>
        <v>0</v>
      </c>
      <c r="AE29" s="958"/>
    </row>
    <row r="30" spans="1:31" ht="15" customHeight="1" x14ac:dyDescent="0.25">
      <c r="A30" s="1321" t="str">
        <f>IF(ISBLANK('Labor Rates'!D29),"",'Labor Rates'!D29)</f>
        <v/>
      </c>
      <c r="B30" s="1322"/>
      <c r="C30" s="950" t="str">
        <f>IF(ISBLANK('Labor Rates'!E29),"",'Labor Rates'!E29)</f>
        <v/>
      </c>
      <c r="D30" s="960"/>
      <c r="E30" s="791">
        <v>0</v>
      </c>
      <c r="F30" s="618">
        <f>'Labor Rates'!F29</f>
        <v>0</v>
      </c>
      <c r="G30" s="619">
        <f t="shared" si="2"/>
        <v>0</v>
      </c>
      <c r="H30" s="1180"/>
      <c r="I30" s="791">
        <v>0</v>
      </c>
      <c r="J30" s="618">
        <f>'Labor Rates'!H29</f>
        <v>0</v>
      </c>
      <c r="K30" s="619">
        <f t="shared" si="3"/>
        <v>0</v>
      </c>
      <c r="L30" s="1180"/>
      <c r="M30" s="791">
        <v>0</v>
      </c>
      <c r="N30" s="618">
        <f>'Labor Rates'!J29</f>
        <v>0</v>
      </c>
      <c r="O30" s="619">
        <f t="shared" si="4"/>
        <v>0</v>
      </c>
      <c r="P30" s="1180"/>
      <c r="Q30" s="791">
        <v>0</v>
      </c>
      <c r="R30" s="618">
        <f>'Labor Rates'!L29</f>
        <v>0</v>
      </c>
      <c r="S30" s="619">
        <f t="shared" si="5"/>
        <v>0</v>
      </c>
      <c r="T30" s="1180"/>
      <c r="U30" s="791">
        <v>0</v>
      </c>
      <c r="V30" s="618">
        <f>'Labor Rates'!N29</f>
        <v>0</v>
      </c>
      <c r="W30" s="619">
        <f t="shared" si="6"/>
        <v>0</v>
      </c>
      <c r="X30" s="1180"/>
      <c r="Y30" s="791">
        <v>0</v>
      </c>
      <c r="Z30" s="618">
        <f>'Labor Rates'!P29</f>
        <v>0</v>
      </c>
      <c r="AA30" s="619">
        <f t="shared" si="7"/>
        <v>0</v>
      </c>
      <c r="AB30" s="975"/>
      <c r="AC30" s="1002">
        <f t="shared" si="0"/>
        <v>0</v>
      </c>
      <c r="AD30" s="619">
        <f t="shared" si="1"/>
        <v>0</v>
      </c>
      <c r="AE30" s="958"/>
    </row>
    <row r="31" spans="1:31" ht="15" customHeight="1" x14ac:dyDescent="0.25">
      <c r="A31" s="1321" t="str">
        <f>IF(ISBLANK('Labor Rates'!D30),"",'Labor Rates'!D30)</f>
        <v/>
      </c>
      <c r="B31" s="1322"/>
      <c r="C31" s="950" t="str">
        <f>IF(ISBLANK('Labor Rates'!E30),"",'Labor Rates'!E30)</f>
        <v/>
      </c>
      <c r="D31" s="960"/>
      <c r="E31" s="791">
        <v>0</v>
      </c>
      <c r="F31" s="618">
        <f>'Labor Rates'!F30</f>
        <v>0</v>
      </c>
      <c r="G31" s="619">
        <f t="shared" si="2"/>
        <v>0</v>
      </c>
      <c r="H31" s="1180"/>
      <c r="I31" s="791">
        <v>0</v>
      </c>
      <c r="J31" s="618">
        <f>'Labor Rates'!H30</f>
        <v>0</v>
      </c>
      <c r="K31" s="619">
        <f t="shared" si="3"/>
        <v>0</v>
      </c>
      <c r="L31" s="1180"/>
      <c r="M31" s="791">
        <v>0</v>
      </c>
      <c r="N31" s="618">
        <f>'Labor Rates'!J30</f>
        <v>0</v>
      </c>
      <c r="O31" s="619">
        <f t="shared" si="4"/>
        <v>0</v>
      </c>
      <c r="P31" s="1180"/>
      <c r="Q31" s="791">
        <v>0</v>
      </c>
      <c r="R31" s="618">
        <f>'Labor Rates'!L30</f>
        <v>0</v>
      </c>
      <c r="S31" s="619">
        <f t="shared" si="5"/>
        <v>0</v>
      </c>
      <c r="T31" s="1180"/>
      <c r="U31" s="791">
        <v>0</v>
      </c>
      <c r="V31" s="618">
        <f>'Labor Rates'!N30</f>
        <v>0</v>
      </c>
      <c r="W31" s="619">
        <f t="shared" si="6"/>
        <v>0</v>
      </c>
      <c r="X31" s="1180"/>
      <c r="Y31" s="791">
        <v>0</v>
      </c>
      <c r="Z31" s="618">
        <f>'Labor Rates'!P30</f>
        <v>0</v>
      </c>
      <c r="AA31" s="619">
        <f t="shared" si="7"/>
        <v>0</v>
      </c>
      <c r="AB31" s="975"/>
      <c r="AC31" s="1002">
        <f t="shared" si="0"/>
        <v>0</v>
      </c>
      <c r="AD31" s="619">
        <f t="shared" si="1"/>
        <v>0</v>
      </c>
      <c r="AE31" s="958"/>
    </row>
    <row r="32" spans="1:31" ht="15" customHeight="1" x14ac:dyDescent="0.25">
      <c r="A32" s="1321" t="str">
        <f>IF(ISBLANK('Labor Rates'!D31),"",'Labor Rates'!D31)</f>
        <v/>
      </c>
      <c r="B32" s="1322"/>
      <c r="C32" s="949" t="str">
        <f>IF(ISBLANK('Labor Rates'!E31),"",'Labor Rates'!E31)</f>
        <v/>
      </c>
      <c r="D32" s="960"/>
      <c r="E32" s="791">
        <v>0</v>
      </c>
      <c r="F32" s="618">
        <f>'Labor Rates'!F31</f>
        <v>0</v>
      </c>
      <c r="G32" s="619">
        <f t="shared" si="2"/>
        <v>0</v>
      </c>
      <c r="H32" s="1180"/>
      <c r="I32" s="791">
        <v>0</v>
      </c>
      <c r="J32" s="618">
        <f>'Labor Rates'!H31</f>
        <v>0</v>
      </c>
      <c r="K32" s="619">
        <f t="shared" si="3"/>
        <v>0</v>
      </c>
      <c r="L32" s="1180"/>
      <c r="M32" s="791">
        <v>0</v>
      </c>
      <c r="N32" s="618">
        <f>'Labor Rates'!J31</f>
        <v>0</v>
      </c>
      <c r="O32" s="619">
        <f t="shared" si="4"/>
        <v>0</v>
      </c>
      <c r="P32" s="1180"/>
      <c r="Q32" s="791">
        <v>0</v>
      </c>
      <c r="R32" s="618">
        <f>'Labor Rates'!L31</f>
        <v>0</v>
      </c>
      <c r="S32" s="619">
        <f t="shared" si="5"/>
        <v>0</v>
      </c>
      <c r="T32" s="1180"/>
      <c r="U32" s="791">
        <v>0</v>
      </c>
      <c r="V32" s="618">
        <f>'Labor Rates'!N31</f>
        <v>0</v>
      </c>
      <c r="W32" s="619">
        <f t="shared" si="6"/>
        <v>0</v>
      </c>
      <c r="X32" s="1180"/>
      <c r="Y32" s="791">
        <v>0</v>
      </c>
      <c r="Z32" s="618">
        <f>'Labor Rates'!P31</f>
        <v>0</v>
      </c>
      <c r="AA32" s="619">
        <f t="shared" si="7"/>
        <v>0</v>
      </c>
      <c r="AB32" s="975"/>
      <c r="AC32" s="1002">
        <f t="shared" si="0"/>
        <v>0</v>
      </c>
      <c r="AD32" s="619">
        <f t="shared" si="1"/>
        <v>0</v>
      </c>
      <c r="AE32" s="958"/>
    </row>
    <row r="33" spans="1:545" s="620" customFormat="1" ht="23.15" customHeight="1" x14ac:dyDescent="0.25">
      <c r="A33" s="1004"/>
      <c r="B33" s="1005"/>
      <c r="C33" s="1130" t="s">
        <v>332</v>
      </c>
      <c r="D33" s="960"/>
      <c r="E33" s="800">
        <f>SUM(E9:E32)</f>
        <v>0</v>
      </c>
      <c r="F33" s="1143" t="s">
        <v>333</v>
      </c>
      <c r="G33" s="795">
        <f>SUM(G9:G32)</f>
        <v>0</v>
      </c>
      <c r="H33" s="977"/>
      <c r="I33" s="800">
        <f>SUM(I9:I32)</f>
        <v>0</v>
      </c>
      <c r="J33" s="1143" t="s">
        <v>333</v>
      </c>
      <c r="K33" s="795">
        <f>SUM(K9:K32)</f>
        <v>0</v>
      </c>
      <c r="L33" s="977"/>
      <c r="M33" s="800">
        <f>SUM(M9:M32)</f>
        <v>0</v>
      </c>
      <c r="N33" s="1143" t="s">
        <v>333</v>
      </c>
      <c r="O33" s="795">
        <f>SUM(O9:O32)</f>
        <v>0</v>
      </c>
      <c r="P33" s="977"/>
      <c r="Q33" s="800">
        <f>SUM(Q9:Q32)</f>
        <v>0</v>
      </c>
      <c r="R33" s="1143" t="s">
        <v>333</v>
      </c>
      <c r="S33" s="621">
        <f>SUM(S9:S32)</f>
        <v>0</v>
      </c>
      <c r="T33" s="977"/>
      <c r="U33" s="800">
        <f>SUM(U9:U32)</f>
        <v>0</v>
      </c>
      <c r="V33" s="1143" t="s">
        <v>333</v>
      </c>
      <c r="W33" s="795">
        <f>SUM(W9:W32)</f>
        <v>0</v>
      </c>
      <c r="X33" s="977"/>
      <c r="Y33" s="800">
        <f>SUM(Y9:Y32)</f>
        <v>0</v>
      </c>
      <c r="Z33" s="1143" t="s">
        <v>333</v>
      </c>
      <c r="AA33" s="795">
        <f>SUM(AA9:AA32)</f>
        <v>0</v>
      </c>
      <c r="AB33" s="976"/>
      <c r="AC33" s="800">
        <f>SUM(AC9:AC32)</f>
        <v>0</v>
      </c>
      <c r="AD33" s="795">
        <f>SUM(AD9:AD32)</f>
        <v>0</v>
      </c>
      <c r="AE33" s="971"/>
      <c r="AF33" s="806"/>
      <c r="AG33" s="806"/>
      <c r="AH33" s="292"/>
      <c r="AI33" s="292"/>
      <c r="AJ33" s="292"/>
      <c r="AK33" s="292"/>
      <c r="AL33" s="806"/>
      <c r="AM33" s="806"/>
      <c r="AN33" s="806"/>
      <c r="AO33" s="806"/>
      <c r="AP33" s="807"/>
      <c r="AQ33" s="292"/>
      <c r="AR33" s="292"/>
      <c r="AS33" s="292"/>
      <c r="AT33" s="806"/>
      <c r="AU33" s="806"/>
      <c r="AV33" s="806"/>
      <c r="AW33" s="806"/>
      <c r="AX33" s="807"/>
      <c r="AY33" s="292"/>
      <c r="AZ33" s="292"/>
      <c r="BA33" s="292"/>
      <c r="BB33" s="806"/>
      <c r="BC33" s="806"/>
      <c r="BD33" s="806"/>
      <c r="BE33" s="806"/>
      <c r="BF33" s="807"/>
      <c r="BG33" s="292"/>
      <c r="BH33" s="807"/>
      <c r="BI33" s="292"/>
      <c r="BJ33" s="292"/>
      <c r="BK33" s="292"/>
      <c r="BL33" s="292"/>
      <c r="BM33" s="292"/>
      <c r="BN33" s="292"/>
      <c r="BO33" s="292"/>
      <c r="BP33" s="292"/>
      <c r="BQ33" s="292"/>
      <c r="BR33" s="292"/>
      <c r="BS33" s="292"/>
      <c r="BT33" s="292"/>
      <c r="BU33" s="292"/>
      <c r="BV33" s="292"/>
      <c r="BW33" s="292"/>
      <c r="BX33" s="292"/>
      <c r="BY33" s="292"/>
      <c r="BZ33" s="292"/>
      <c r="CA33" s="292"/>
      <c r="CB33" s="292"/>
      <c r="CC33" s="292"/>
      <c r="CD33" s="292"/>
      <c r="CE33" s="292"/>
      <c r="CF33" s="292"/>
      <c r="CG33" s="292"/>
      <c r="CH33" s="292"/>
      <c r="CI33" s="292"/>
      <c r="CJ33" s="292"/>
      <c r="CK33" s="292"/>
      <c r="CL33" s="292"/>
      <c r="CM33" s="292"/>
      <c r="CN33" s="292"/>
      <c r="CO33" s="292"/>
      <c r="CP33" s="292"/>
      <c r="CQ33" s="292"/>
      <c r="CR33" s="292"/>
      <c r="CS33" s="292"/>
      <c r="CT33" s="292"/>
      <c r="CU33" s="292"/>
      <c r="CV33" s="292"/>
      <c r="CW33" s="292"/>
      <c r="CX33" s="292"/>
      <c r="CY33" s="292"/>
      <c r="CZ33" s="292"/>
      <c r="DA33" s="292"/>
      <c r="DB33" s="292"/>
      <c r="DC33" s="292"/>
      <c r="DD33" s="292"/>
      <c r="DE33" s="292"/>
      <c r="DF33" s="292"/>
      <c r="DG33" s="292"/>
      <c r="DH33" s="292"/>
      <c r="DI33" s="292"/>
      <c r="DJ33" s="292"/>
      <c r="DK33" s="292"/>
      <c r="DL33" s="292"/>
      <c r="DM33" s="292"/>
      <c r="DN33" s="292"/>
      <c r="DO33" s="292"/>
      <c r="DP33" s="292"/>
      <c r="DQ33" s="292"/>
      <c r="DR33" s="292"/>
      <c r="DS33" s="292"/>
      <c r="DT33" s="292"/>
      <c r="DU33" s="292"/>
      <c r="DV33" s="292"/>
      <c r="DW33" s="292"/>
      <c r="DX33" s="292"/>
      <c r="DY33" s="292"/>
      <c r="DZ33" s="292"/>
      <c r="EA33" s="292"/>
      <c r="EB33" s="292"/>
      <c r="EC33" s="292"/>
      <c r="ED33" s="292"/>
      <c r="EE33" s="292"/>
      <c r="EF33" s="292"/>
      <c r="EG33" s="292"/>
      <c r="EH33" s="292"/>
      <c r="EI33" s="292"/>
      <c r="EJ33" s="292"/>
      <c r="EK33" s="292"/>
      <c r="EL33" s="292"/>
      <c r="EM33" s="292"/>
      <c r="EN33" s="292"/>
      <c r="EO33" s="292"/>
      <c r="EP33" s="292"/>
      <c r="EQ33" s="292"/>
      <c r="ER33" s="292"/>
      <c r="ES33" s="292"/>
      <c r="ET33" s="292"/>
      <c r="EU33" s="292"/>
      <c r="EV33" s="292"/>
      <c r="EW33" s="292"/>
      <c r="EX33" s="292"/>
      <c r="EY33" s="292"/>
      <c r="EZ33" s="292"/>
      <c r="FA33" s="292"/>
      <c r="FB33" s="292"/>
      <c r="FC33" s="292"/>
      <c r="FD33" s="292"/>
      <c r="FE33" s="292"/>
      <c r="FF33" s="292"/>
      <c r="FG33" s="292"/>
      <c r="FH33" s="292"/>
      <c r="FI33" s="292"/>
      <c r="FJ33" s="292"/>
      <c r="FK33" s="292"/>
      <c r="FL33" s="292"/>
      <c r="FM33" s="292"/>
      <c r="FN33" s="292"/>
      <c r="FO33" s="292"/>
      <c r="FP33" s="292"/>
      <c r="FQ33" s="292"/>
      <c r="FR33" s="292"/>
      <c r="FS33" s="292"/>
      <c r="FT33" s="292"/>
      <c r="FU33" s="292"/>
      <c r="FV33" s="292"/>
      <c r="FW33" s="292"/>
      <c r="FX33" s="292"/>
      <c r="FY33" s="292"/>
      <c r="FZ33" s="292"/>
      <c r="GA33" s="292"/>
      <c r="GB33" s="292"/>
      <c r="GC33" s="292"/>
      <c r="GD33" s="292"/>
      <c r="GE33" s="292"/>
      <c r="GF33" s="292"/>
      <c r="GG33" s="292"/>
      <c r="GH33" s="292"/>
      <c r="GI33" s="292"/>
      <c r="GJ33" s="292"/>
      <c r="GK33" s="292"/>
      <c r="GL33" s="292"/>
      <c r="GM33" s="292"/>
      <c r="GN33" s="292"/>
      <c r="GO33" s="292"/>
      <c r="GP33" s="292"/>
      <c r="GQ33" s="292"/>
      <c r="GR33" s="292"/>
      <c r="GS33" s="292"/>
      <c r="GT33" s="292"/>
      <c r="GU33" s="292"/>
      <c r="GV33" s="292"/>
      <c r="GW33" s="292"/>
      <c r="GX33" s="292"/>
      <c r="GY33" s="292"/>
      <c r="GZ33" s="292"/>
      <c r="HA33" s="292"/>
      <c r="HB33" s="292"/>
      <c r="HC33" s="292"/>
      <c r="HD33" s="292"/>
      <c r="HE33" s="292"/>
      <c r="HF33" s="292"/>
      <c r="HG33" s="292"/>
      <c r="HH33" s="292"/>
      <c r="HI33" s="292"/>
      <c r="HJ33" s="292"/>
      <c r="HK33" s="292"/>
      <c r="HL33" s="292"/>
      <c r="HM33" s="292"/>
      <c r="HN33" s="292"/>
      <c r="HO33" s="292"/>
      <c r="HP33" s="292"/>
      <c r="HQ33" s="292"/>
      <c r="HR33" s="292"/>
      <c r="HS33" s="292"/>
      <c r="HT33" s="292"/>
      <c r="HU33" s="292"/>
      <c r="HV33" s="292"/>
      <c r="HW33" s="292"/>
      <c r="HX33" s="292"/>
      <c r="HY33" s="292"/>
      <c r="HZ33" s="292"/>
      <c r="IA33" s="292"/>
      <c r="IB33" s="292"/>
      <c r="IC33" s="292"/>
      <c r="ID33" s="292"/>
      <c r="IE33" s="292"/>
      <c r="IF33" s="292"/>
      <c r="IG33" s="292"/>
      <c r="IH33" s="292"/>
      <c r="II33" s="292"/>
      <c r="IJ33" s="292"/>
      <c r="IK33" s="292"/>
      <c r="IL33" s="292"/>
      <c r="IM33" s="292"/>
      <c r="IN33" s="292"/>
      <c r="IO33" s="292"/>
      <c r="IP33" s="292"/>
      <c r="IQ33" s="292"/>
      <c r="IR33" s="292"/>
      <c r="IS33" s="292"/>
      <c r="IT33" s="292"/>
      <c r="IU33" s="292"/>
      <c r="IV33" s="292"/>
      <c r="IW33" s="292"/>
      <c r="IX33" s="292"/>
      <c r="IY33" s="292"/>
      <c r="IZ33" s="292"/>
      <c r="JA33" s="292"/>
      <c r="JB33" s="292"/>
      <c r="JC33" s="292"/>
      <c r="JD33" s="292"/>
      <c r="JE33" s="292"/>
      <c r="JF33" s="292"/>
      <c r="JG33" s="292"/>
      <c r="JH33" s="292"/>
      <c r="JI33" s="292"/>
      <c r="JJ33" s="292"/>
      <c r="JK33" s="292"/>
      <c r="JL33" s="292"/>
      <c r="JM33" s="292"/>
      <c r="JN33" s="292"/>
      <c r="JO33" s="292"/>
      <c r="JP33" s="292"/>
      <c r="JQ33" s="292"/>
      <c r="JR33" s="292"/>
      <c r="JS33" s="292"/>
      <c r="JT33" s="292"/>
      <c r="JU33" s="292"/>
      <c r="JV33" s="292"/>
      <c r="JW33" s="292"/>
      <c r="JX33" s="292"/>
      <c r="JY33" s="292"/>
      <c r="JZ33" s="292"/>
      <c r="KA33" s="292"/>
      <c r="KB33" s="292"/>
      <c r="KC33" s="292"/>
      <c r="KD33" s="292"/>
      <c r="KE33" s="292"/>
      <c r="KF33" s="292"/>
      <c r="KG33" s="292"/>
      <c r="KH33" s="292"/>
      <c r="KI33" s="292"/>
      <c r="KJ33" s="292"/>
      <c r="KK33" s="292"/>
      <c r="KL33" s="292"/>
      <c r="KM33" s="292"/>
      <c r="KN33" s="292"/>
      <c r="KO33" s="292"/>
      <c r="KP33" s="292"/>
      <c r="KQ33" s="292"/>
      <c r="KR33" s="292"/>
      <c r="KS33" s="292"/>
      <c r="KT33" s="292"/>
      <c r="KU33" s="292"/>
      <c r="KV33" s="292"/>
      <c r="KW33" s="292"/>
      <c r="KX33" s="292"/>
      <c r="KY33" s="292"/>
      <c r="KZ33" s="292"/>
      <c r="LA33" s="292"/>
      <c r="LB33" s="292"/>
      <c r="LC33" s="292"/>
      <c r="LD33" s="292"/>
      <c r="LE33" s="292"/>
      <c r="LF33" s="292"/>
      <c r="LG33" s="292"/>
      <c r="LH33" s="292"/>
      <c r="LI33" s="292"/>
      <c r="LJ33" s="292"/>
      <c r="LK33" s="292"/>
      <c r="LL33" s="292"/>
      <c r="LM33" s="292"/>
      <c r="LN33" s="292"/>
      <c r="LO33" s="292"/>
      <c r="LP33" s="292"/>
      <c r="LQ33" s="292"/>
      <c r="LR33" s="292"/>
      <c r="LS33" s="292"/>
      <c r="LT33" s="292"/>
      <c r="LU33" s="292"/>
      <c r="LV33" s="292"/>
      <c r="LW33" s="292"/>
      <c r="LX33" s="292"/>
      <c r="LY33" s="292"/>
      <c r="LZ33" s="292"/>
      <c r="MA33" s="292"/>
      <c r="MB33" s="292"/>
      <c r="MC33" s="292"/>
      <c r="MD33" s="292"/>
      <c r="ME33" s="292"/>
      <c r="MF33" s="292"/>
      <c r="MG33" s="292"/>
      <c r="MH33" s="292"/>
      <c r="MI33" s="292"/>
      <c r="MJ33" s="292"/>
      <c r="MK33" s="292"/>
      <c r="ML33" s="292"/>
      <c r="MM33" s="292"/>
      <c r="MN33" s="292"/>
      <c r="MO33" s="292"/>
      <c r="MP33" s="292"/>
      <c r="MQ33" s="292"/>
      <c r="MR33" s="292"/>
      <c r="MS33" s="292"/>
      <c r="MT33" s="292"/>
      <c r="MU33" s="292"/>
      <c r="MV33" s="292"/>
      <c r="MW33" s="292"/>
      <c r="MX33" s="292"/>
      <c r="MY33" s="292"/>
      <c r="MZ33" s="292"/>
      <c r="NA33" s="292"/>
      <c r="NB33" s="292"/>
      <c r="NC33" s="292"/>
      <c r="ND33" s="292"/>
      <c r="NE33" s="292"/>
      <c r="NF33" s="292"/>
      <c r="NG33" s="292"/>
      <c r="NH33" s="292"/>
      <c r="NI33" s="292"/>
      <c r="NJ33" s="292"/>
      <c r="NK33" s="292"/>
      <c r="NL33" s="292"/>
      <c r="NM33" s="292"/>
      <c r="NN33" s="292"/>
      <c r="NO33" s="292"/>
      <c r="NP33" s="292"/>
      <c r="NQ33" s="292"/>
      <c r="NR33" s="292"/>
      <c r="NS33" s="292"/>
      <c r="NT33" s="292"/>
      <c r="NU33" s="292"/>
      <c r="NV33" s="292"/>
      <c r="NW33" s="292"/>
      <c r="NX33" s="292"/>
      <c r="NY33" s="292"/>
      <c r="NZ33" s="292"/>
      <c r="OA33" s="292"/>
      <c r="OB33" s="292"/>
      <c r="OC33" s="292"/>
      <c r="OD33" s="292"/>
      <c r="OE33" s="292"/>
      <c r="OF33" s="292"/>
      <c r="OG33" s="292"/>
      <c r="OH33" s="292"/>
      <c r="OI33" s="292"/>
      <c r="OJ33" s="292"/>
      <c r="OK33" s="292"/>
      <c r="OL33" s="292"/>
      <c r="OM33" s="292"/>
      <c r="ON33" s="292"/>
      <c r="OO33" s="292"/>
      <c r="OP33" s="292"/>
      <c r="OQ33" s="292"/>
      <c r="OR33" s="292"/>
      <c r="OS33" s="292"/>
      <c r="OT33" s="292"/>
      <c r="OU33" s="292"/>
      <c r="OV33" s="292"/>
      <c r="OW33" s="292"/>
      <c r="OX33" s="292"/>
      <c r="OY33" s="292"/>
      <c r="OZ33" s="292"/>
      <c r="PA33" s="292"/>
      <c r="PB33" s="292"/>
      <c r="PC33" s="292"/>
      <c r="PD33" s="292"/>
      <c r="PE33" s="292"/>
      <c r="PF33" s="292"/>
      <c r="PG33" s="292"/>
      <c r="PH33" s="292"/>
      <c r="PI33" s="292"/>
      <c r="PJ33" s="292"/>
      <c r="PK33" s="292"/>
      <c r="PL33" s="292"/>
      <c r="PM33" s="292"/>
      <c r="PN33" s="292"/>
      <c r="PO33" s="292"/>
      <c r="PP33" s="292"/>
      <c r="PQ33" s="292"/>
      <c r="PR33" s="292"/>
      <c r="PS33" s="292"/>
      <c r="PT33" s="292"/>
      <c r="PU33" s="292"/>
      <c r="PV33" s="292"/>
      <c r="PW33" s="292"/>
      <c r="PX33" s="292"/>
      <c r="PY33" s="292"/>
      <c r="PZ33" s="292"/>
      <c r="QA33" s="292"/>
      <c r="QB33" s="292"/>
      <c r="QC33" s="292"/>
      <c r="QD33" s="292"/>
      <c r="QE33" s="292"/>
      <c r="QF33" s="292"/>
      <c r="QG33" s="292"/>
      <c r="QH33" s="292"/>
      <c r="QI33" s="292"/>
      <c r="QJ33" s="292"/>
      <c r="QK33" s="292"/>
      <c r="QL33" s="292"/>
      <c r="QM33" s="292"/>
      <c r="QN33" s="292"/>
      <c r="QO33" s="292"/>
      <c r="QP33" s="292"/>
      <c r="QQ33" s="292"/>
      <c r="QR33" s="292"/>
      <c r="QS33" s="292"/>
      <c r="QT33" s="292"/>
      <c r="QU33" s="292"/>
      <c r="QV33" s="292"/>
      <c r="QW33" s="292"/>
      <c r="QX33" s="292"/>
      <c r="QY33" s="292"/>
      <c r="QZ33" s="292"/>
      <c r="RA33" s="292"/>
      <c r="RB33" s="292"/>
      <c r="RC33" s="292"/>
      <c r="RD33" s="292"/>
      <c r="RE33" s="292"/>
      <c r="RF33" s="292"/>
      <c r="RG33" s="292"/>
      <c r="RH33" s="292"/>
      <c r="RI33" s="292"/>
      <c r="RJ33" s="292"/>
      <c r="RK33" s="292"/>
      <c r="RL33" s="292"/>
      <c r="RM33" s="292"/>
      <c r="RN33" s="292"/>
      <c r="RO33" s="292"/>
      <c r="RP33" s="292"/>
      <c r="RQ33" s="292"/>
      <c r="RR33" s="292"/>
      <c r="RS33" s="292"/>
      <c r="RT33" s="292"/>
      <c r="RU33" s="292"/>
      <c r="RV33" s="292"/>
      <c r="RW33" s="292"/>
      <c r="RX33" s="292"/>
      <c r="RY33" s="292"/>
      <c r="RZ33" s="292"/>
      <c r="SA33" s="292"/>
      <c r="SB33" s="292"/>
      <c r="SC33" s="292"/>
      <c r="SD33" s="292"/>
      <c r="SE33" s="292"/>
      <c r="SF33" s="292"/>
      <c r="SG33" s="292"/>
      <c r="SH33" s="292"/>
      <c r="SI33" s="292"/>
      <c r="SJ33" s="292"/>
      <c r="SK33" s="292"/>
      <c r="SL33" s="292"/>
      <c r="SM33" s="292"/>
      <c r="SN33" s="292"/>
      <c r="SO33" s="292"/>
      <c r="SP33" s="292"/>
      <c r="SQ33" s="292"/>
      <c r="SR33" s="292"/>
      <c r="SS33" s="292"/>
      <c r="ST33" s="292"/>
      <c r="SU33" s="292"/>
      <c r="SV33" s="292"/>
      <c r="SW33" s="292"/>
      <c r="SX33" s="292"/>
      <c r="SY33" s="292"/>
      <c r="SZ33" s="292"/>
      <c r="TA33" s="292"/>
      <c r="TB33" s="292"/>
      <c r="TC33" s="292"/>
      <c r="TD33" s="292"/>
      <c r="TE33" s="292"/>
      <c r="TF33" s="292"/>
      <c r="TG33" s="292"/>
      <c r="TH33" s="292"/>
      <c r="TI33" s="292"/>
      <c r="TJ33" s="292"/>
      <c r="TK33" s="292"/>
      <c r="TL33" s="292"/>
      <c r="TM33" s="292"/>
      <c r="TN33" s="292"/>
      <c r="TO33" s="292"/>
      <c r="TP33" s="292"/>
      <c r="TQ33" s="292"/>
      <c r="TR33" s="292"/>
      <c r="TS33" s="292"/>
      <c r="TT33" s="292"/>
      <c r="TU33" s="292"/>
      <c r="TV33" s="292"/>
      <c r="TW33" s="292"/>
      <c r="TX33" s="292"/>
      <c r="TY33" s="292"/>
    </row>
    <row r="34" spans="1:545" s="620" customFormat="1" ht="15" customHeight="1" x14ac:dyDescent="0.25">
      <c r="A34" s="1004"/>
      <c r="B34" s="1005"/>
      <c r="C34" s="1006"/>
      <c r="D34" s="960"/>
      <c r="E34" s="980"/>
      <c r="F34" s="976"/>
      <c r="G34" s="981"/>
      <c r="H34" s="977"/>
      <c r="I34" s="980"/>
      <c r="J34" s="962"/>
      <c r="K34" s="981"/>
      <c r="L34" s="977"/>
      <c r="M34" s="980"/>
      <c r="N34" s="982"/>
      <c r="O34" s="981"/>
      <c r="P34" s="977"/>
      <c r="Q34" s="980"/>
      <c r="R34" s="962"/>
      <c r="S34" s="976"/>
      <c r="T34" s="977"/>
      <c r="U34" s="980"/>
      <c r="V34" s="962"/>
      <c r="W34" s="981"/>
      <c r="X34" s="977"/>
      <c r="Y34" s="980"/>
      <c r="Z34" s="962"/>
      <c r="AA34" s="981"/>
      <c r="AB34" s="976"/>
      <c r="AC34" s="980"/>
      <c r="AD34" s="981"/>
      <c r="AE34" s="971"/>
      <c r="AF34" s="806"/>
      <c r="AG34" s="806"/>
      <c r="AH34" s="292"/>
      <c r="AI34" s="292"/>
      <c r="AJ34" s="292"/>
      <c r="AK34" s="292"/>
      <c r="AL34" s="806"/>
      <c r="AM34" s="806"/>
      <c r="AN34" s="806"/>
      <c r="AO34" s="806"/>
      <c r="AP34" s="807"/>
      <c r="AQ34" s="292"/>
      <c r="AR34" s="292"/>
      <c r="AS34" s="292"/>
      <c r="AT34" s="806"/>
      <c r="AU34" s="806"/>
      <c r="AV34" s="806"/>
      <c r="AW34" s="806"/>
      <c r="AX34" s="807"/>
      <c r="AY34" s="292"/>
      <c r="AZ34" s="292"/>
      <c r="BA34" s="292"/>
      <c r="BB34" s="806"/>
      <c r="BC34" s="806"/>
      <c r="BD34" s="806"/>
      <c r="BE34" s="806"/>
      <c r="BF34" s="807"/>
      <c r="BG34" s="292"/>
      <c r="BH34" s="807"/>
      <c r="BI34" s="292"/>
      <c r="BJ34" s="292"/>
      <c r="BK34" s="292"/>
      <c r="BL34" s="292"/>
      <c r="BM34" s="292"/>
      <c r="BN34" s="292"/>
      <c r="BO34" s="292"/>
      <c r="BP34" s="292"/>
      <c r="BQ34" s="292"/>
      <c r="BR34" s="292"/>
      <c r="BS34" s="292"/>
      <c r="BT34" s="292"/>
      <c r="BU34" s="292"/>
      <c r="BV34" s="292"/>
      <c r="BW34" s="292"/>
      <c r="BX34" s="292"/>
      <c r="BY34" s="292"/>
      <c r="BZ34" s="292"/>
      <c r="CA34" s="292"/>
      <c r="CB34" s="292"/>
      <c r="CC34" s="292"/>
      <c r="CD34" s="292"/>
      <c r="CE34" s="292"/>
      <c r="CF34" s="292"/>
      <c r="CG34" s="292"/>
      <c r="CH34" s="292"/>
      <c r="CI34" s="292"/>
      <c r="CJ34" s="292"/>
      <c r="CK34" s="292"/>
      <c r="CL34" s="292"/>
      <c r="CM34" s="292"/>
      <c r="CN34" s="292"/>
      <c r="CO34" s="292"/>
      <c r="CP34" s="292"/>
      <c r="CQ34" s="292"/>
      <c r="CR34" s="292"/>
      <c r="CS34" s="292"/>
      <c r="CT34" s="292"/>
      <c r="CU34" s="292"/>
      <c r="CV34" s="292"/>
      <c r="CW34" s="292"/>
      <c r="CX34" s="292"/>
      <c r="CY34" s="292"/>
      <c r="CZ34" s="292"/>
      <c r="DA34" s="292"/>
      <c r="DB34" s="292"/>
      <c r="DC34" s="292"/>
      <c r="DD34" s="292"/>
      <c r="DE34" s="292"/>
      <c r="DF34" s="292"/>
      <c r="DG34" s="292"/>
      <c r="DH34" s="292"/>
      <c r="DI34" s="292"/>
      <c r="DJ34" s="292"/>
      <c r="DK34" s="292"/>
      <c r="DL34" s="292"/>
      <c r="DM34" s="292"/>
      <c r="DN34" s="292"/>
      <c r="DO34" s="292"/>
      <c r="DP34" s="292"/>
      <c r="DQ34" s="292"/>
      <c r="DR34" s="292"/>
      <c r="DS34" s="292"/>
      <c r="DT34" s="292"/>
      <c r="DU34" s="292"/>
      <c r="DV34" s="292"/>
      <c r="DW34" s="292"/>
      <c r="DX34" s="292"/>
      <c r="DY34" s="292"/>
      <c r="DZ34" s="292"/>
      <c r="EA34" s="292"/>
      <c r="EB34" s="292"/>
      <c r="EC34" s="292"/>
      <c r="ED34" s="292"/>
      <c r="EE34" s="292"/>
      <c r="EF34" s="292"/>
      <c r="EG34" s="292"/>
      <c r="EH34" s="292"/>
      <c r="EI34" s="292"/>
      <c r="EJ34" s="292"/>
      <c r="EK34" s="292"/>
      <c r="EL34" s="292"/>
      <c r="EM34" s="292"/>
      <c r="EN34" s="292"/>
      <c r="EO34" s="292"/>
      <c r="EP34" s="292"/>
      <c r="EQ34" s="292"/>
      <c r="ER34" s="292"/>
      <c r="ES34" s="292"/>
      <c r="ET34" s="292"/>
      <c r="EU34" s="292"/>
      <c r="EV34" s="292"/>
      <c r="EW34" s="292"/>
      <c r="EX34" s="292"/>
      <c r="EY34" s="292"/>
      <c r="EZ34" s="292"/>
      <c r="FA34" s="292"/>
      <c r="FB34" s="292"/>
      <c r="FC34" s="292"/>
      <c r="FD34" s="292"/>
      <c r="FE34" s="292"/>
      <c r="FF34" s="292"/>
      <c r="FG34" s="292"/>
      <c r="FH34" s="292"/>
      <c r="FI34" s="292"/>
      <c r="FJ34" s="292"/>
      <c r="FK34" s="292"/>
      <c r="FL34" s="292"/>
      <c r="FM34" s="292"/>
      <c r="FN34" s="292"/>
      <c r="FO34" s="292"/>
      <c r="FP34" s="292"/>
      <c r="FQ34" s="292"/>
      <c r="FR34" s="292"/>
      <c r="FS34" s="292"/>
      <c r="FT34" s="292"/>
      <c r="FU34" s="292"/>
      <c r="FV34" s="292"/>
      <c r="FW34" s="292"/>
      <c r="FX34" s="292"/>
      <c r="FY34" s="292"/>
      <c r="FZ34" s="292"/>
      <c r="GA34" s="292"/>
      <c r="GB34" s="292"/>
      <c r="GC34" s="292"/>
      <c r="GD34" s="292"/>
      <c r="GE34" s="292"/>
      <c r="GF34" s="292"/>
      <c r="GG34" s="292"/>
      <c r="GH34" s="292"/>
      <c r="GI34" s="292"/>
      <c r="GJ34" s="292"/>
      <c r="GK34" s="292"/>
      <c r="GL34" s="292"/>
      <c r="GM34" s="292"/>
      <c r="GN34" s="292"/>
      <c r="GO34" s="292"/>
      <c r="GP34" s="292"/>
      <c r="GQ34" s="292"/>
      <c r="GR34" s="292"/>
      <c r="GS34" s="292"/>
      <c r="GT34" s="292"/>
      <c r="GU34" s="292"/>
      <c r="GV34" s="292"/>
      <c r="GW34" s="292"/>
      <c r="GX34" s="292"/>
      <c r="GY34" s="292"/>
      <c r="GZ34" s="292"/>
      <c r="HA34" s="292"/>
      <c r="HB34" s="292"/>
      <c r="HC34" s="292"/>
      <c r="HD34" s="292"/>
      <c r="HE34" s="292"/>
      <c r="HF34" s="292"/>
      <c r="HG34" s="292"/>
      <c r="HH34" s="292"/>
      <c r="HI34" s="292"/>
      <c r="HJ34" s="292"/>
      <c r="HK34" s="292"/>
      <c r="HL34" s="292"/>
      <c r="HM34" s="292"/>
      <c r="HN34" s="292"/>
      <c r="HO34" s="292"/>
      <c r="HP34" s="292"/>
      <c r="HQ34" s="292"/>
      <c r="HR34" s="292"/>
      <c r="HS34" s="292"/>
      <c r="HT34" s="292"/>
      <c r="HU34" s="292"/>
      <c r="HV34" s="292"/>
      <c r="HW34" s="292"/>
      <c r="HX34" s="292"/>
      <c r="HY34" s="292"/>
      <c r="HZ34" s="292"/>
      <c r="IA34" s="292"/>
      <c r="IB34" s="292"/>
      <c r="IC34" s="292"/>
      <c r="ID34" s="292"/>
      <c r="IE34" s="292"/>
      <c r="IF34" s="292"/>
      <c r="IG34" s="292"/>
      <c r="IH34" s="292"/>
      <c r="II34" s="292"/>
      <c r="IJ34" s="292"/>
      <c r="IK34" s="292"/>
      <c r="IL34" s="292"/>
      <c r="IM34" s="292"/>
      <c r="IN34" s="292"/>
      <c r="IO34" s="292"/>
      <c r="IP34" s="292"/>
      <c r="IQ34" s="292"/>
      <c r="IR34" s="292"/>
      <c r="IS34" s="292"/>
      <c r="IT34" s="292"/>
      <c r="IU34" s="292"/>
      <c r="IV34" s="292"/>
      <c r="IW34" s="292"/>
      <c r="IX34" s="292"/>
      <c r="IY34" s="292"/>
      <c r="IZ34" s="292"/>
      <c r="JA34" s="292"/>
      <c r="JB34" s="292"/>
      <c r="JC34" s="292"/>
      <c r="JD34" s="292"/>
      <c r="JE34" s="292"/>
      <c r="JF34" s="292"/>
      <c r="JG34" s="292"/>
      <c r="JH34" s="292"/>
      <c r="JI34" s="292"/>
      <c r="JJ34" s="292"/>
      <c r="JK34" s="292"/>
      <c r="JL34" s="292"/>
      <c r="JM34" s="292"/>
      <c r="JN34" s="292"/>
      <c r="JO34" s="292"/>
      <c r="JP34" s="292"/>
      <c r="JQ34" s="292"/>
      <c r="JR34" s="292"/>
      <c r="JS34" s="292"/>
      <c r="JT34" s="292"/>
      <c r="JU34" s="292"/>
      <c r="JV34" s="292"/>
      <c r="JW34" s="292"/>
      <c r="JX34" s="292"/>
      <c r="JY34" s="292"/>
      <c r="JZ34" s="292"/>
      <c r="KA34" s="292"/>
      <c r="KB34" s="292"/>
      <c r="KC34" s="292"/>
      <c r="KD34" s="292"/>
      <c r="KE34" s="292"/>
      <c r="KF34" s="292"/>
      <c r="KG34" s="292"/>
      <c r="KH34" s="292"/>
      <c r="KI34" s="292"/>
      <c r="KJ34" s="292"/>
      <c r="KK34" s="292"/>
      <c r="KL34" s="292"/>
      <c r="KM34" s="292"/>
      <c r="KN34" s="292"/>
      <c r="KO34" s="292"/>
      <c r="KP34" s="292"/>
      <c r="KQ34" s="292"/>
      <c r="KR34" s="292"/>
      <c r="KS34" s="292"/>
      <c r="KT34" s="292"/>
      <c r="KU34" s="292"/>
      <c r="KV34" s="292"/>
      <c r="KW34" s="292"/>
      <c r="KX34" s="292"/>
      <c r="KY34" s="292"/>
      <c r="KZ34" s="292"/>
      <c r="LA34" s="292"/>
      <c r="LB34" s="292"/>
      <c r="LC34" s="292"/>
      <c r="LD34" s="292"/>
      <c r="LE34" s="292"/>
      <c r="LF34" s="292"/>
      <c r="LG34" s="292"/>
      <c r="LH34" s="292"/>
      <c r="LI34" s="292"/>
      <c r="LJ34" s="292"/>
      <c r="LK34" s="292"/>
      <c r="LL34" s="292"/>
      <c r="LM34" s="292"/>
      <c r="LN34" s="292"/>
      <c r="LO34" s="292"/>
      <c r="LP34" s="292"/>
      <c r="LQ34" s="292"/>
      <c r="LR34" s="292"/>
      <c r="LS34" s="292"/>
      <c r="LT34" s="292"/>
      <c r="LU34" s="292"/>
      <c r="LV34" s="292"/>
      <c r="LW34" s="292"/>
      <c r="LX34" s="292"/>
      <c r="LY34" s="292"/>
      <c r="LZ34" s="292"/>
      <c r="MA34" s="292"/>
      <c r="MB34" s="292"/>
      <c r="MC34" s="292"/>
      <c r="MD34" s="292"/>
      <c r="ME34" s="292"/>
      <c r="MF34" s="292"/>
      <c r="MG34" s="292"/>
      <c r="MH34" s="292"/>
      <c r="MI34" s="292"/>
      <c r="MJ34" s="292"/>
      <c r="MK34" s="292"/>
      <c r="ML34" s="292"/>
      <c r="MM34" s="292"/>
      <c r="MN34" s="292"/>
      <c r="MO34" s="292"/>
      <c r="MP34" s="292"/>
      <c r="MQ34" s="292"/>
      <c r="MR34" s="292"/>
      <c r="MS34" s="292"/>
      <c r="MT34" s="292"/>
      <c r="MU34" s="292"/>
      <c r="MV34" s="292"/>
      <c r="MW34" s="292"/>
      <c r="MX34" s="292"/>
      <c r="MY34" s="292"/>
      <c r="MZ34" s="292"/>
      <c r="NA34" s="292"/>
      <c r="NB34" s="292"/>
      <c r="NC34" s="292"/>
      <c r="ND34" s="292"/>
      <c r="NE34" s="292"/>
      <c r="NF34" s="292"/>
      <c r="NG34" s="292"/>
      <c r="NH34" s="292"/>
      <c r="NI34" s="292"/>
      <c r="NJ34" s="292"/>
      <c r="NK34" s="292"/>
      <c r="NL34" s="292"/>
      <c r="NM34" s="292"/>
      <c r="NN34" s="292"/>
      <c r="NO34" s="292"/>
      <c r="NP34" s="292"/>
      <c r="NQ34" s="292"/>
      <c r="NR34" s="292"/>
      <c r="NS34" s="292"/>
      <c r="NT34" s="292"/>
      <c r="NU34" s="292"/>
      <c r="NV34" s="292"/>
      <c r="NW34" s="292"/>
      <c r="NX34" s="292"/>
      <c r="NY34" s="292"/>
      <c r="NZ34" s="292"/>
      <c r="OA34" s="292"/>
      <c r="OB34" s="292"/>
      <c r="OC34" s="292"/>
      <c r="OD34" s="292"/>
      <c r="OE34" s="292"/>
      <c r="OF34" s="292"/>
      <c r="OG34" s="292"/>
      <c r="OH34" s="292"/>
      <c r="OI34" s="292"/>
      <c r="OJ34" s="292"/>
      <c r="OK34" s="292"/>
      <c r="OL34" s="292"/>
      <c r="OM34" s="292"/>
      <c r="ON34" s="292"/>
      <c r="OO34" s="292"/>
      <c r="OP34" s="292"/>
      <c r="OQ34" s="292"/>
      <c r="OR34" s="292"/>
      <c r="OS34" s="292"/>
      <c r="OT34" s="292"/>
      <c r="OU34" s="292"/>
      <c r="OV34" s="292"/>
      <c r="OW34" s="292"/>
      <c r="OX34" s="292"/>
      <c r="OY34" s="292"/>
      <c r="OZ34" s="292"/>
      <c r="PA34" s="292"/>
      <c r="PB34" s="292"/>
      <c r="PC34" s="292"/>
      <c r="PD34" s="292"/>
      <c r="PE34" s="292"/>
      <c r="PF34" s="292"/>
      <c r="PG34" s="292"/>
      <c r="PH34" s="292"/>
      <c r="PI34" s="292"/>
      <c r="PJ34" s="292"/>
      <c r="PK34" s="292"/>
      <c r="PL34" s="292"/>
      <c r="PM34" s="292"/>
      <c r="PN34" s="292"/>
      <c r="PO34" s="292"/>
      <c r="PP34" s="292"/>
      <c r="PQ34" s="292"/>
      <c r="PR34" s="292"/>
      <c r="PS34" s="292"/>
      <c r="PT34" s="292"/>
      <c r="PU34" s="292"/>
      <c r="PV34" s="292"/>
      <c r="PW34" s="292"/>
      <c r="PX34" s="292"/>
      <c r="PY34" s="292"/>
      <c r="PZ34" s="292"/>
      <c r="QA34" s="292"/>
      <c r="QB34" s="292"/>
      <c r="QC34" s="292"/>
      <c r="QD34" s="292"/>
      <c r="QE34" s="292"/>
      <c r="QF34" s="292"/>
      <c r="QG34" s="292"/>
      <c r="QH34" s="292"/>
      <c r="QI34" s="292"/>
      <c r="QJ34" s="292"/>
      <c r="QK34" s="292"/>
      <c r="QL34" s="292"/>
      <c r="QM34" s="292"/>
      <c r="QN34" s="292"/>
      <c r="QO34" s="292"/>
      <c r="QP34" s="292"/>
      <c r="QQ34" s="292"/>
      <c r="QR34" s="292"/>
      <c r="QS34" s="292"/>
      <c r="QT34" s="292"/>
      <c r="QU34" s="292"/>
      <c r="QV34" s="292"/>
      <c r="QW34" s="292"/>
      <c r="QX34" s="292"/>
      <c r="QY34" s="292"/>
      <c r="QZ34" s="292"/>
      <c r="RA34" s="292"/>
      <c r="RB34" s="292"/>
      <c r="RC34" s="292"/>
      <c r="RD34" s="292"/>
      <c r="RE34" s="292"/>
      <c r="RF34" s="292"/>
      <c r="RG34" s="292"/>
      <c r="RH34" s="292"/>
      <c r="RI34" s="292"/>
      <c r="RJ34" s="292"/>
      <c r="RK34" s="292"/>
      <c r="RL34" s="292"/>
      <c r="RM34" s="292"/>
      <c r="RN34" s="292"/>
      <c r="RO34" s="292"/>
      <c r="RP34" s="292"/>
      <c r="RQ34" s="292"/>
      <c r="RR34" s="292"/>
      <c r="RS34" s="292"/>
      <c r="RT34" s="292"/>
      <c r="RU34" s="292"/>
      <c r="RV34" s="292"/>
      <c r="RW34" s="292"/>
      <c r="RX34" s="292"/>
      <c r="RY34" s="292"/>
      <c r="RZ34" s="292"/>
      <c r="SA34" s="292"/>
      <c r="SB34" s="292"/>
      <c r="SC34" s="292"/>
      <c r="SD34" s="292"/>
      <c r="SE34" s="292"/>
      <c r="SF34" s="292"/>
      <c r="SG34" s="292"/>
      <c r="SH34" s="292"/>
      <c r="SI34" s="292"/>
      <c r="SJ34" s="292"/>
      <c r="SK34" s="292"/>
      <c r="SL34" s="292"/>
      <c r="SM34" s="292"/>
      <c r="SN34" s="292"/>
      <c r="SO34" s="292"/>
      <c r="SP34" s="292"/>
      <c r="SQ34" s="292"/>
      <c r="SR34" s="292"/>
      <c r="SS34" s="292"/>
      <c r="ST34" s="292"/>
      <c r="SU34" s="292"/>
      <c r="SV34" s="292"/>
      <c r="SW34" s="292"/>
      <c r="SX34" s="292"/>
      <c r="SY34" s="292"/>
      <c r="SZ34" s="292"/>
      <c r="TA34" s="292"/>
      <c r="TB34" s="292"/>
      <c r="TC34" s="292"/>
      <c r="TD34" s="292"/>
      <c r="TE34" s="292"/>
      <c r="TF34" s="292"/>
      <c r="TG34" s="292"/>
      <c r="TH34" s="292"/>
      <c r="TI34" s="292"/>
      <c r="TJ34" s="292"/>
      <c r="TK34" s="292"/>
      <c r="TL34" s="292"/>
      <c r="TM34" s="292"/>
      <c r="TN34" s="292"/>
      <c r="TO34" s="292"/>
      <c r="TP34" s="292"/>
      <c r="TQ34" s="292"/>
      <c r="TR34" s="292"/>
      <c r="TS34" s="292"/>
      <c r="TT34" s="292"/>
      <c r="TU34" s="292"/>
      <c r="TV34" s="292"/>
      <c r="TW34" s="292"/>
      <c r="TX34" s="292"/>
      <c r="TY34" s="292"/>
    </row>
    <row r="35" spans="1:545" ht="20.149999999999999" customHeight="1" x14ac:dyDescent="0.25">
      <c r="A35" s="1344" t="s">
        <v>334</v>
      </c>
      <c r="B35" s="1345"/>
      <c r="C35" s="1345"/>
      <c r="D35" s="957"/>
      <c r="E35" s="957"/>
      <c r="F35" s="957"/>
      <c r="G35" s="1137" t="s">
        <v>335</v>
      </c>
      <c r="H35" s="957"/>
      <c r="I35" s="957"/>
      <c r="J35" s="957"/>
      <c r="K35" s="1137" t="s">
        <v>335</v>
      </c>
      <c r="L35" s="957"/>
      <c r="M35" s="957"/>
      <c r="N35" s="957"/>
      <c r="O35" s="1137" t="s">
        <v>335</v>
      </c>
      <c r="P35" s="957"/>
      <c r="Q35" s="957"/>
      <c r="R35" s="957"/>
      <c r="S35" s="1137" t="s">
        <v>335</v>
      </c>
      <c r="T35" s="957"/>
      <c r="U35" s="957"/>
      <c r="V35" s="957"/>
      <c r="W35" s="1137" t="s">
        <v>335</v>
      </c>
      <c r="X35" s="957"/>
      <c r="Y35" s="957"/>
      <c r="Z35" s="957"/>
      <c r="AA35" s="1137" t="s">
        <v>335</v>
      </c>
      <c r="AB35" s="957"/>
      <c r="AC35" s="957"/>
      <c r="AD35" s="1171" t="s">
        <v>336</v>
      </c>
      <c r="AE35" s="971"/>
    </row>
    <row r="36" spans="1:545" ht="15" customHeight="1" x14ac:dyDescent="0.25">
      <c r="A36" s="1337" t="s">
        <v>337</v>
      </c>
      <c r="B36" s="1338"/>
      <c r="C36" s="1094" t="s">
        <v>338</v>
      </c>
      <c r="D36" s="957"/>
      <c r="E36" s="957"/>
      <c r="F36" s="957"/>
      <c r="G36" s="622">
        <v>0</v>
      </c>
      <c r="H36" s="957"/>
      <c r="I36" s="957"/>
      <c r="J36" s="957"/>
      <c r="K36" s="622">
        <v>0</v>
      </c>
      <c r="L36" s="957"/>
      <c r="M36" s="957"/>
      <c r="N36" s="957"/>
      <c r="O36" s="622">
        <v>0</v>
      </c>
      <c r="P36" s="957"/>
      <c r="Q36" s="957"/>
      <c r="R36" s="957"/>
      <c r="S36" s="622">
        <v>0</v>
      </c>
      <c r="T36" s="957"/>
      <c r="U36" s="957"/>
      <c r="V36" s="957"/>
      <c r="W36" s="622">
        <v>0</v>
      </c>
      <c r="X36" s="957"/>
      <c r="Y36" s="957"/>
      <c r="Z36" s="957"/>
      <c r="AA36" s="622">
        <v>0</v>
      </c>
      <c r="AB36" s="975"/>
      <c r="AC36" s="957"/>
      <c r="AD36" s="1001">
        <f>G36+K36+O36+S36+W36+AA36</f>
        <v>0</v>
      </c>
      <c r="AE36" s="971"/>
    </row>
    <row r="37" spans="1:545" ht="15" customHeight="1" x14ac:dyDescent="0.25">
      <c r="A37" s="1337" t="s">
        <v>339</v>
      </c>
      <c r="B37" s="1338"/>
      <c r="C37" s="1094" t="s">
        <v>338</v>
      </c>
      <c r="D37" s="957"/>
      <c r="E37" s="957"/>
      <c r="F37" s="957"/>
      <c r="G37" s="622">
        <v>0</v>
      </c>
      <c r="H37" s="957"/>
      <c r="I37" s="957"/>
      <c r="J37" s="957"/>
      <c r="K37" s="622">
        <v>0</v>
      </c>
      <c r="L37" s="957"/>
      <c r="M37" s="957"/>
      <c r="N37" s="957"/>
      <c r="O37" s="622">
        <v>0</v>
      </c>
      <c r="P37" s="957"/>
      <c r="Q37" s="957"/>
      <c r="R37" s="957"/>
      <c r="S37" s="622">
        <v>0</v>
      </c>
      <c r="T37" s="957"/>
      <c r="U37" s="957"/>
      <c r="V37" s="957"/>
      <c r="W37" s="622">
        <v>0</v>
      </c>
      <c r="X37" s="957"/>
      <c r="Y37" s="957"/>
      <c r="Z37" s="957"/>
      <c r="AA37" s="622">
        <v>0</v>
      </c>
      <c r="AB37" s="975"/>
      <c r="AC37" s="957"/>
      <c r="AD37" s="1001">
        <f>G37+K37+O37+S37+W37+AA37</f>
        <v>0</v>
      </c>
      <c r="AE37" s="971"/>
    </row>
    <row r="38" spans="1:545" ht="15" customHeight="1" x14ac:dyDescent="0.25">
      <c r="A38" s="1337" t="s">
        <v>340</v>
      </c>
      <c r="B38" s="1338"/>
      <c r="C38" s="1094" t="s">
        <v>338</v>
      </c>
      <c r="D38" s="957"/>
      <c r="E38" s="957"/>
      <c r="F38" s="957"/>
      <c r="G38" s="622">
        <v>0</v>
      </c>
      <c r="H38" s="957"/>
      <c r="I38" s="957"/>
      <c r="J38" s="957"/>
      <c r="K38" s="622">
        <v>0</v>
      </c>
      <c r="L38" s="957"/>
      <c r="M38" s="957"/>
      <c r="N38" s="957"/>
      <c r="O38" s="622">
        <v>0</v>
      </c>
      <c r="P38" s="957"/>
      <c r="Q38" s="957"/>
      <c r="R38" s="957"/>
      <c r="S38" s="622">
        <v>0</v>
      </c>
      <c r="T38" s="957"/>
      <c r="U38" s="957"/>
      <c r="V38" s="957"/>
      <c r="W38" s="622">
        <v>0</v>
      </c>
      <c r="X38" s="957"/>
      <c r="Y38" s="957"/>
      <c r="Z38" s="957"/>
      <c r="AA38" s="622">
        <v>0</v>
      </c>
      <c r="AB38" s="975"/>
      <c r="AC38" s="957"/>
      <c r="AD38" s="1001">
        <f>G38+K38+O38+S38+W38+AA38</f>
        <v>0</v>
      </c>
      <c r="AE38" s="971"/>
    </row>
    <row r="39" spans="1:545" ht="15" customHeight="1" x14ac:dyDescent="0.25">
      <c r="A39" s="1329" t="s">
        <v>341</v>
      </c>
      <c r="B39" s="1330"/>
      <c r="C39" s="1094" t="s">
        <v>338</v>
      </c>
      <c r="D39" s="957"/>
      <c r="E39" s="957"/>
      <c r="F39" s="957"/>
      <c r="G39" s="622">
        <v>0</v>
      </c>
      <c r="H39" s="957"/>
      <c r="I39" s="957"/>
      <c r="J39" s="957"/>
      <c r="K39" s="622">
        <v>0</v>
      </c>
      <c r="L39" s="957"/>
      <c r="M39" s="957"/>
      <c r="N39" s="957"/>
      <c r="O39" s="622">
        <v>0</v>
      </c>
      <c r="P39" s="957"/>
      <c r="Q39" s="957"/>
      <c r="R39" s="957"/>
      <c r="S39" s="622">
        <v>0</v>
      </c>
      <c r="T39" s="957"/>
      <c r="U39" s="957"/>
      <c r="V39" s="957"/>
      <c r="W39" s="622">
        <v>0</v>
      </c>
      <c r="X39" s="957"/>
      <c r="Y39" s="957"/>
      <c r="Z39" s="957"/>
      <c r="AA39" s="622">
        <v>0</v>
      </c>
      <c r="AB39" s="975"/>
      <c r="AC39" s="957"/>
      <c r="AD39" s="1001">
        <f>G39+K39+O39+S39+W39+AA39</f>
        <v>0</v>
      </c>
      <c r="AE39" s="971"/>
    </row>
    <row r="40" spans="1:545" s="623" customFormat="1" ht="23.15" customHeight="1" x14ac:dyDescent="0.25">
      <c r="A40" s="1358" t="s">
        <v>335</v>
      </c>
      <c r="B40" s="1359"/>
      <c r="C40" s="1359"/>
      <c r="D40" s="962"/>
      <c r="E40" s="962"/>
      <c r="F40" s="962"/>
      <c r="G40" s="794">
        <f>SUM(G35:G39)</f>
        <v>0</v>
      </c>
      <c r="H40" s="979"/>
      <c r="I40" s="962"/>
      <c r="J40" s="962"/>
      <c r="K40" s="794">
        <f>SUM(K35:K39)</f>
        <v>0</v>
      </c>
      <c r="L40" s="979"/>
      <c r="M40" s="962"/>
      <c r="N40" s="962"/>
      <c r="O40" s="794">
        <f>SUM(O35:O39)</f>
        <v>0</v>
      </c>
      <c r="P40" s="979"/>
      <c r="Q40" s="957"/>
      <c r="R40" s="957"/>
      <c r="S40" s="794">
        <f>SUM(S35:S39)</f>
        <v>0</v>
      </c>
      <c r="T40" s="957"/>
      <c r="U40" s="1295"/>
      <c r="V40" s="1295"/>
      <c r="W40" s="794">
        <f>SUM(W35:W39)</f>
        <v>0</v>
      </c>
      <c r="X40" s="957"/>
      <c r="Y40" s="1295"/>
      <c r="Z40" s="1295"/>
      <c r="AA40" s="794">
        <f>SUM(AA35:AA39)</f>
        <v>0</v>
      </c>
      <c r="AB40" s="976"/>
      <c r="AC40" s="957"/>
      <c r="AD40" s="794">
        <f>G40+K40+O40+S40+W40+AA40</f>
        <v>0</v>
      </c>
      <c r="AE40" s="971"/>
      <c r="AF40" s="292"/>
      <c r="AG40" s="292"/>
      <c r="AH40" s="292"/>
      <c r="AI40" s="292"/>
      <c r="AJ40" s="292"/>
      <c r="AK40" s="292"/>
      <c r="AL40" s="292"/>
      <c r="AM40" s="292"/>
      <c r="AN40" s="292"/>
      <c r="AO40" s="292"/>
      <c r="AP40" s="292"/>
      <c r="AQ40" s="292"/>
      <c r="AR40" s="292"/>
      <c r="AS40" s="292"/>
      <c r="AT40" s="292"/>
      <c r="AU40" s="292"/>
      <c r="AV40" s="292"/>
      <c r="AW40" s="292"/>
      <c r="AX40" s="292"/>
      <c r="AY40" s="292"/>
      <c r="AZ40" s="292"/>
      <c r="BA40" s="292"/>
      <c r="BB40" s="292"/>
      <c r="BC40" s="292"/>
      <c r="BD40" s="292"/>
      <c r="BE40" s="292"/>
      <c r="BF40" s="292"/>
      <c r="BG40" s="292"/>
      <c r="BH40" s="292"/>
      <c r="BI40" s="292"/>
      <c r="BJ40" s="292"/>
      <c r="BK40" s="292"/>
      <c r="BL40" s="292"/>
      <c r="BM40" s="292"/>
      <c r="BN40" s="292"/>
      <c r="BO40" s="292"/>
      <c r="BP40" s="292"/>
      <c r="BQ40" s="292"/>
      <c r="BR40" s="292"/>
      <c r="BS40" s="292"/>
      <c r="BT40" s="292"/>
      <c r="BU40" s="292"/>
      <c r="BV40" s="292"/>
      <c r="BW40" s="292"/>
      <c r="BX40" s="292"/>
      <c r="BY40" s="292"/>
      <c r="BZ40" s="292"/>
      <c r="CA40" s="292"/>
      <c r="CB40" s="292"/>
      <c r="CC40" s="292"/>
      <c r="CD40" s="292"/>
      <c r="CE40" s="292"/>
      <c r="CF40" s="292"/>
      <c r="CG40" s="292"/>
      <c r="CH40" s="292"/>
      <c r="CI40" s="292"/>
      <c r="CJ40" s="292"/>
      <c r="CK40" s="292"/>
      <c r="CL40" s="292"/>
      <c r="CM40" s="292"/>
      <c r="CN40" s="292"/>
      <c r="CO40" s="292"/>
      <c r="CP40" s="292"/>
      <c r="CQ40" s="292"/>
      <c r="CR40" s="292"/>
      <c r="CS40" s="292"/>
      <c r="CT40" s="292"/>
      <c r="CU40" s="292"/>
      <c r="CV40" s="292"/>
      <c r="CW40" s="292"/>
      <c r="CX40" s="292"/>
      <c r="CY40" s="292"/>
      <c r="CZ40" s="292"/>
      <c r="DA40" s="292"/>
      <c r="DB40" s="292"/>
      <c r="DC40" s="292"/>
      <c r="DD40" s="292"/>
      <c r="DE40" s="292"/>
      <c r="DF40" s="292"/>
      <c r="DG40" s="292"/>
      <c r="DH40" s="292"/>
      <c r="DI40" s="292"/>
      <c r="DJ40" s="292"/>
      <c r="DK40" s="292"/>
      <c r="DL40" s="292"/>
      <c r="DM40" s="292"/>
      <c r="DN40" s="292"/>
      <c r="DO40" s="292"/>
      <c r="DP40" s="292"/>
      <c r="DQ40" s="292"/>
      <c r="DR40" s="292"/>
      <c r="DS40" s="292"/>
      <c r="DT40" s="292"/>
      <c r="DU40" s="292"/>
      <c r="DV40" s="292"/>
      <c r="DW40" s="292"/>
      <c r="DX40" s="292"/>
      <c r="DY40" s="292"/>
      <c r="DZ40" s="292"/>
      <c r="EA40" s="292"/>
      <c r="EB40" s="292"/>
      <c r="EC40" s="292"/>
      <c r="ED40" s="292"/>
      <c r="EE40" s="292"/>
      <c r="EF40" s="292"/>
      <c r="EG40" s="292"/>
      <c r="EH40" s="292"/>
      <c r="EI40" s="292"/>
      <c r="EJ40" s="292"/>
      <c r="EK40" s="292"/>
      <c r="EL40" s="292"/>
      <c r="EM40" s="292"/>
      <c r="EN40" s="292"/>
      <c r="EO40" s="292"/>
      <c r="EP40" s="292"/>
      <c r="EQ40" s="292"/>
      <c r="ER40" s="292"/>
      <c r="ES40" s="292"/>
      <c r="ET40" s="292"/>
      <c r="EU40" s="292"/>
      <c r="EV40" s="292"/>
      <c r="EW40" s="292"/>
      <c r="EX40" s="292"/>
      <c r="EY40" s="292"/>
      <c r="EZ40" s="292"/>
      <c r="FA40" s="292"/>
      <c r="FB40" s="292"/>
      <c r="FC40" s="292"/>
      <c r="FD40" s="292"/>
      <c r="FE40" s="292"/>
      <c r="FF40" s="292"/>
      <c r="FG40" s="292"/>
      <c r="FH40" s="292"/>
      <c r="FI40" s="292"/>
      <c r="FJ40" s="292"/>
      <c r="FK40" s="292"/>
      <c r="FL40" s="292"/>
      <c r="FM40" s="292"/>
      <c r="FN40" s="292"/>
      <c r="FO40" s="292"/>
      <c r="FP40" s="292"/>
      <c r="FQ40" s="292"/>
      <c r="FR40" s="292"/>
      <c r="FS40" s="292"/>
      <c r="FT40" s="292"/>
      <c r="FU40" s="292"/>
      <c r="FV40" s="292"/>
      <c r="FW40" s="292"/>
      <c r="FX40" s="292"/>
      <c r="FY40" s="292"/>
      <c r="FZ40" s="292"/>
      <c r="GA40" s="292"/>
      <c r="GB40" s="292"/>
      <c r="GC40" s="292"/>
      <c r="GD40" s="292"/>
      <c r="GE40" s="292"/>
      <c r="GF40" s="292"/>
      <c r="GG40" s="292"/>
      <c r="GH40" s="292"/>
      <c r="GI40" s="292"/>
      <c r="GJ40" s="292"/>
      <c r="GK40" s="292"/>
      <c r="GL40" s="292"/>
      <c r="GM40" s="292"/>
      <c r="GN40" s="292"/>
      <c r="GO40" s="292"/>
      <c r="GP40" s="292"/>
      <c r="GQ40" s="292"/>
      <c r="GR40" s="292"/>
      <c r="GS40" s="292"/>
      <c r="GT40" s="292"/>
      <c r="GU40" s="292"/>
      <c r="GV40" s="292"/>
      <c r="GW40" s="292"/>
      <c r="GX40" s="292"/>
      <c r="GY40" s="292"/>
      <c r="GZ40" s="292"/>
      <c r="HA40" s="292"/>
      <c r="HB40" s="292"/>
      <c r="HC40" s="292"/>
      <c r="HD40" s="292"/>
      <c r="HE40" s="292"/>
      <c r="HF40" s="292"/>
      <c r="HG40" s="292"/>
      <c r="HH40" s="292"/>
      <c r="HI40" s="292"/>
      <c r="HJ40" s="292"/>
      <c r="HK40" s="292"/>
      <c r="HL40" s="292"/>
      <c r="HM40" s="292"/>
      <c r="HN40" s="292"/>
      <c r="HO40" s="292"/>
      <c r="HP40" s="292"/>
      <c r="HQ40" s="292"/>
      <c r="HR40" s="292"/>
      <c r="HS40" s="292"/>
      <c r="HT40" s="292"/>
      <c r="HU40" s="292"/>
      <c r="HV40" s="292"/>
      <c r="HW40" s="292"/>
      <c r="HX40" s="292"/>
      <c r="HY40" s="292"/>
      <c r="HZ40" s="292"/>
      <c r="IA40" s="292"/>
      <c r="IB40" s="292"/>
      <c r="IC40" s="292"/>
      <c r="ID40" s="292"/>
      <c r="IE40" s="292"/>
      <c r="IF40" s="292"/>
      <c r="IG40" s="292"/>
      <c r="IH40" s="292"/>
      <c r="II40" s="292"/>
      <c r="IJ40" s="292"/>
      <c r="IK40" s="292"/>
      <c r="IL40" s="292"/>
      <c r="IM40" s="292"/>
      <c r="IN40" s="292"/>
      <c r="IO40" s="292"/>
      <c r="IP40" s="292"/>
      <c r="IQ40" s="292"/>
      <c r="IR40" s="292"/>
      <c r="IS40" s="292"/>
      <c r="IT40" s="292"/>
      <c r="IU40" s="292"/>
      <c r="IV40" s="292"/>
      <c r="IW40" s="292"/>
      <c r="IX40" s="292"/>
      <c r="IY40" s="292"/>
      <c r="IZ40" s="292"/>
      <c r="JA40" s="292"/>
      <c r="JB40" s="292"/>
      <c r="JC40" s="292"/>
      <c r="JD40" s="292"/>
      <c r="JE40" s="292"/>
      <c r="JF40" s="292"/>
      <c r="JG40" s="292"/>
      <c r="JH40" s="292"/>
      <c r="JI40" s="292"/>
      <c r="JJ40" s="292"/>
      <c r="JK40" s="292"/>
      <c r="JL40" s="292"/>
      <c r="JM40" s="292"/>
      <c r="JN40" s="292"/>
      <c r="JO40" s="292"/>
      <c r="JP40" s="292"/>
      <c r="JQ40" s="292"/>
      <c r="JR40" s="292"/>
      <c r="JS40" s="292"/>
      <c r="JT40" s="292"/>
      <c r="JU40" s="292"/>
      <c r="JV40" s="292"/>
      <c r="JW40" s="292"/>
      <c r="JX40" s="292"/>
      <c r="JY40" s="292"/>
      <c r="JZ40" s="292"/>
      <c r="KA40" s="292"/>
      <c r="KB40" s="292"/>
      <c r="KC40" s="292"/>
      <c r="KD40" s="292"/>
      <c r="KE40" s="292"/>
      <c r="KF40" s="292"/>
      <c r="KG40" s="292"/>
      <c r="KH40" s="292"/>
      <c r="KI40" s="292"/>
      <c r="KJ40" s="292"/>
      <c r="KK40" s="292"/>
      <c r="KL40" s="292"/>
      <c r="KM40" s="292"/>
      <c r="KN40" s="292"/>
      <c r="KO40" s="292"/>
      <c r="KP40" s="292"/>
      <c r="KQ40" s="292"/>
      <c r="KR40" s="292"/>
      <c r="KS40" s="292"/>
      <c r="KT40" s="292"/>
      <c r="KU40" s="292"/>
      <c r="KV40" s="292"/>
      <c r="KW40" s="292"/>
      <c r="KX40" s="292"/>
      <c r="KY40" s="292"/>
      <c r="KZ40" s="292"/>
      <c r="LA40" s="292"/>
      <c r="LB40" s="292"/>
      <c r="LC40" s="292"/>
      <c r="LD40" s="292"/>
      <c r="LE40" s="292"/>
      <c r="LF40" s="292"/>
      <c r="LG40" s="292"/>
      <c r="LH40" s="292"/>
      <c r="LI40" s="292"/>
      <c r="LJ40" s="292"/>
      <c r="LK40" s="292"/>
      <c r="LL40" s="292"/>
      <c r="LM40" s="292"/>
      <c r="LN40" s="292"/>
      <c r="LO40" s="292"/>
      <c r="LP40" s="292"/>
      <c r="LQ40" s="292"/>
      <c r="LR40" s="292"/>
      <c r="LS40" s="292"/>
      <c r="LT40" s="292"/>
      <c r="LU40" s="292"/>
      <c r="LV40" s="292"/>
      <c r="LW40" s="292"/>
      <c r="LX40" s="292"/>
      <c r="LY40" s="292"/>
      <c r="LZ40" s="292"/>
      <c r="MA40" s="292"/>
      <c r="MB40" s="292"/>
      <c r="MC40" s="292"/>
      <c r="MD40" s="292"/>
      <c r="ME40" s="292"/>
      <c r="MF40" s="292"/>
      <c r="MG40" s="292"/>
      <c r="MH40" s="292"/>
      <c r="MI40" s="292"/>
      <c r="MJ40" s="292"/>
      <c r="MK40" s="292"/>
      <c r="ML40" s="292"/>
      <c r="MM40" s="292"/>
      <c r="MN40" s="292"/>
      <c r="MO40" s="292"/>
      <c r="MP40" s="292"/>
      <c r="MQ40" s="292"/>
      <c r="MR40" s="292"/>
      <c r="MS40" s="292"/>
      <c r="MT40" s="292"/>
      <c r="MU40" s="292"/>
      <c r="MV40" s="292"/>
      <c r="MW40" s="292"/>
      <c r="MX40" s="292"/>
      <c r="MY40" s="292"/>
      <c r="MZ40" s="292"/>
      <c r="NA40" s="292"/>
      <c r="NB40" s="292"/>
      <c r="NC40" s="292"/>
      <c r="ND40" s="292"/>
      <c r="NE40" s="292"/>
      <c r="NF40" s="292"/>
      <c r="NG40" s="292"/>
      <c r="NH40" s="292"/>
      <c r="NI40" s="292"/>
      <c r="NJ40" s="292"/>
      <c r="NK40" s="292"/>
      <c r="NL40" s="292"/>
      <c r="NM40" s="292"/>
      <c r="NN40" s="292"/>
      <c r="NO40" s="292"/>
      <c r="NP40" s="292"/>
      <c r="NQ40" s="292"/>
      <c r="NR40" s="292"/>
      <c r="NS40" s="292"/>
      <c r="NT40" s="292"/>
      <c r="NU40" s="292"/>
      <c r="NV40" s="292"/>
      <c r="NW40" s="292"/>
      <c r="NX40" s="292"/>
      <c r="NY40" s="292"/>
      <c r="NZ40" s="292"/>
      <c r="OA40" s="292"/>
      <c r="OB40" s="292"/>
      <c r="OC40" s="292"/>
      <c r="OD40" s="292"/>
      <c r="OE40" s="292"/>
      <c r="OF40" s="292"/>
      <c r="OG40" s="292"/>
      <c r="OH40" s="292"/>
      <c r="OI40" s="292"/>
      <c r="OJ40" s="292"/>
      <c r="OK40" s="292"/>
      <c r="OL40" s="292"/>
      <c r="OM40" s="292"/>
      <c r="ON40" s="292"/>
      <c r="OO40" s="292"/>
      <c r="OP40" s="292"/>
      <c r="OQ40" s="292"/>
      <c r="OR40" s="292"/>
      <c r="OS40" s="292"/>
      <c r="OT40" s="292"/>
      <c r="OU40" s="292"/>
      <c r="OV40" s="292"/>
      <c r="OW40" s="292"/>
      <c r="OX40" s="292"/>
      <c r="OY40" s="292"/>
      <c r="OZ40" s="292"/>
      <c r="PA40" s="292"/>
      <c r="PB40" s="292"/>
      <c r="PC40" s="292"/>
      <c r="PD40" s="292"/>
      <c r="PE40" s="292"/>
      <c r="PF40" s="292"/>
      <c r="PG40" s="292"/>
      <c r="PH40" s="292"/>
      <c r="PI40" s="292"/>
      <c r="PJ40" s="292"/>
      <c r="PK40" s="292"/>
      <c r="PL40" s="292"/>
      <c r="PM40" s="292"/>
      <c r="PN40" s="292"/>
      <c r="PO40" s="292"/>
      <c r="PP40" s="292"/>
      <c r="PQ40" s="292"/>
      <c r="PR40" s="292"/>
      <c r="PS40" s="292"/>
      <c r="PT40" s="292"/>
      <c r="PU40" s="292"/>
      <c r="PV40" s="292"/>
      <c r="PW40" s="292"/>
      <c r="PX40" s="292"/>
      <c r="PY40" s="292"/>
      <c r="PZ40" s="292"/>
      <c r="QA40" s="292"/>
      <c r="QB40" s="292"/>
      <c r="QC40" s="292"/>
      <c r="QD40" s="292"/>
      <c r="QE40" s="292"/>
      <c r="QF40" s="292"/>
      <c r="QG40" s="292"/>
      <c r="QH40" s="292"/>
      <c r="QI40" s="292"/>
      <c r="QJ40" s="292"/>
      <c r="QK40" s="292"/>
      <c r="QL40" s="292"/>
      <c r="QM40" s="292"/>
      <c r="QN40" s="292"/>
      <c r="QO40" s="292"/>
      <c r="QP40" s="292"/>
      <c r="QQ40" s="292"/>
      <c r="QR40" s="292"/>
      <c r="QS40" s="292"/>
      <c r="QT40" s="292"/>
      <c r="QU40" s="292"/>
      <c r="QV40" s="292"/>
      <c r="QW40" s="292"/>
      <c r="QX40" s="292"/>
      <c r="QY40" s="292"/>
      <c r="QZ40" s="292"/>
      <c r="RA40" s="292"/>
      <c r="RB40" s="292"/>
      <c r="RC40" s="292"/>
      <c r="RD40" s="292"/>
      <c r="RE40" s="292"/>
      <c r="RF40" s="292"/>
      <c r="RG40" s="292"/>
      <c r="RH40" s="292"/>
      <c r="RI40" s="292"/>
      <c r="RJ40" s="292"/>
      <c r="RK40" s="292"/>
      <c r="RL40" s="292"/>
      <c r="RM40" s="292"/>
      <c r="RN40" s="292"/>
      <c r="RO40" s="292"/>
      <c r="RP40" s="292"/>
      <c r="RQ40" s="292"/>
      <c r="RR40" s="292"/>
      <c r="RS40" s="292"/>
      <c r="RT40" s="292"/>
      <c r="RU40" s="292"/>
      <c r="RV40" s="292"/>
      <c r="RW40" s="292"/>
      <c r="RX40" s="292"/>
      <c r="RY40" s="292"/>
      <c r="RZ40" s="292"/>
      <c r="SA40" s="292"/>
      <c r="SB40" s="292"/>
      <c r="SC40" s="292"/>
      <c r="SD40" s="292"/>
      <c r="SE40" s="292"/>
      <c r="SF40" s="292"/>
      <c r="SG40" s="292"/>
      <c r="SH40" s="292"/>
      <c r="SI40" s="292"/>
      <c r="SJ40" s="292"/>
      <c r="SK40" s="292"/>
      <c r="SL40" s="292"/>
      <c r="SM40" s="292"/>
      <c r="SN40" s="292"/>
      <c r="SO40" s="292"/>
      <c r="SP40" s="292"/>
      <c r="SQ40" s="292"/>
      <c r="SR40" s="292"/>
      <c r="SS40" s="292"/>
      <c r="ST40" s="292"/>
      <c r="SU40" s="292"/>
    </row>
    <row r="41" spans="1:545" s="620" customFormat="1" ht="15" customHeight="1" x14ac:dyDescent="0.25">
      <c r="A41" s="1007"/>
      <c r="B41" s="1006"/>
      <c r="C41" s="1006"/>
      <c r="D41" s="962"/>
      <c r="E41" s="962"/>
      <c r="F41" s="962"/>
      <c r="G41" s="981"/>
      <c r="H41" s="957"/>
      <c r="I41" s="962"/>
      <c r="J41" s="962"/>
      <c r="K41" s="981"/>
      <c r="L41" s="957"/>
      <c r="M41" s="962"/>
      <c r="N41" s="962"/>
      <c r="O41" s="981"/>
      <c r="P41" s="957"/>
      <c r="Q41" s="957"/>
      <c r="R41" s="957"/>
      <c r="S41" s="981"/>
      <c r="T41" s="957"/>
      <c r="U41" s="1180"/>
      <c r="V41" s="1180"/>
      <c r="W41" s="981"/>
      <c r="X41" s="957"/>
      <c r="Y41" s="1180"/>
      <c r="Z41" s="1180"/>
      <c r="AA41" s="981"/>
      <c r="AB41" s="976"/>
      <c r="AC41" s="957"/>
      <c r="AD41" s="981"/>
      <c r="AE41" s="971"/>
      <c r="AF41" s="292"/>
      <c r="AG41" s="292"/>
      <c r="AH41" s="292"/>
      <c r="AI41" s="292"/>
      <c r="AJ41" s="292"/>
      <c r="AK41" s="292"/>
      <c r="AL41" s="292"/>
      <c r="AM41" s="292"/>
      <c r="AN41" s="292"/>
      <c r="AO41" s="292"/>
      <c r="AP41" s="292"/>
      <c r="AQ41" s="292"/>
      <c r="AR41" s="292"/>
      <c r="AS41" s="292"/>
      <c r="AT41" s="292"/>
      <c r="AU41" s="292"/>
      <c r="AV41" s="292"/>
      <c r="AW41" s="292"/>
      <c r="AX41" s="292"/>
      <c r="AY41" s="292"/>
      <c r="AZ41" s="292"/>
      <c r="BA41" s="292"/>
      <c r="BB41" s="292"/>
      <c r="BC41" s="292"/>
      <c r="BD41" s="292"/>
      <c r="BE41" s="292"/>
      <c r="BF41" s="292"/>
      <c r="BG41" s="292"/>
      <c r="BH41" s="292"/>
      <c r="BI41" s="292"/>
      <c r="BJ41" s="292"/>
      <c r="BK41" s="292"/>
      <c r="BL41" s="292"/>
    </row>
    <row r="42" spans="1:545" ht="27.65" customHeight="1" x14ac:dyDescent="0.25">
      <c r="A42" s="1334" t="s">
        <v>342</v>
      </c>
      <c r="B42" s="1335"/>
      <c r="C42" s="1335"/>
      <c r="D42" s="957"/>
      <c r="E42" s="1179" t="s">
        <v>327</v>
      </c>
      <c r="F42" s="1179" t="s">
        <v>343</v>
      </c>
      <c r="G42" s="1141" t="s">
        <v>344</v>
      </c>
      <c r="H42" s="957"/>
      <c r="I42" s="1179" t="s">
        <v>327</v>
      </c>
      <c r="J42" s="1179" t="s">
        <v>343</v>
      </c>
      <c r="K42" s="1141" t="s">
        <v>344</v>
      </c>
      <c r="L42" s="957"/>
      <c r="M42" s="1179" t="s">
        <v>327</v>
      </c>
      <c r="N42" s="1179" t="s">
        <v>343</v>
      </c>
      <c r="O42" s="1141" t="s">
        <v>344</v>
      </c>
      <c r="P42" s="957"/>
      <c r="Q42" s="1179" t="s">
        <v>327</v>
      </c>
      <c r="R42" s="1179" t="s">
        <v>343</v>
      </c>
      <c r="S42" s="1141" t="s">
        <v>344</v>
      </c>
      <c r="T42" s="957"/>
      <c r="U42" s="1179" t="s">
        <v>327</v>
      </c>
      <c r="V42" s="1179" t="s">
        <v>343</v>
      </c>
      <c r="W42" s="1141" t="s">
        <v>344</v>
      </c>
      <c r="X42" s="957"/>
      <c r="Y42" s="1179" t="s">
        <v>345</v>
      </c>
      <c r="Z42" s="1179" t="s">
        <v>343</v>
      </c>
      <c r="AA42" s="1141" t="s">
        <v>344</v>
      </c>
      <c r="AB42" s="957"/>
      <c r="AC42" s="1179" t="s">
        <v>327</v>
      </c>
      <c r="AD42" s="1142" t="s">
        <v>346</v>
      </c>
      <c r="AE42" s="971"/>
    </row>
    <row r="43" spans="1:545" ht="15" customHeight="1" x14ac:dyDescent="0.25">
      <c r="A43" s="1337" t="s">
        <v>347</v>
      </c>
      <c r="B43" s="1338"/>
      <c r="C43" s="1095" t="s">
        <v>348</v>
      </c>
      <c r="D43" s="957"/>
      <c r="E43" s="797">
        <v>0</v>
      </c>
      <c r="F43" s="1158">
        <v>0</v>
      </c>
      <c r="G43" s="998">
        <f>E43*F43</f>
        <v>0</v>
      </c>
      <c r="H43" s="957"/>
      <c r="I43" s="797">
        <v>0</v>
      </c>
      <c r="J43" s="622">
        <v>0</v>
      </c>
      <c r="K43" s="998">
        <f>I43*J43</f>
        <v>0</v>
      </c>
      <c r="L43" s="957"/>
      <c r="M43" s="797">
        <v>0</v>
      </c>
      <c r="N43" s="622">
        <v>0</v>
      </c>
      <c r="O43" s="998">
        <f>M43*N43</f>
        <v>0</v>
      </c>
      <c r="P43" s="957"/>
      <c r="Q43" s="797">
        <v>0</v>
      </c>
      <c r="R43" s="622">
        <v>0</v>
      </c>
      <c r="S43" s="998">
        <f>Q43*R43</f>
        <v>0</v>
      </c>
      <c r="T43" s="957"/>
      <c r="U43" s="797">
        <v>0</v>
      </c>
      <c r="V43" s="622">
        <v>0</v>
      </c>
      <c r="W43" s="998">
        <f>U43*V43</f>
        <v>0</v>
      </c>
      <c r="X43" s="957"/>
      <c r="Y43" s="797">
        <v>0</v>
      </c>
      <c r="Z43" s="622">
        <v>0</v>
      </c>
      <c r="AA43" s="998">
        <f>Y43*Z43</f>
        <v>0</v>
      </c>
      <c r="AB43" s="975"/>
      <c r="AC43" s="1097">
        <f>SUM(E43,I43,M43,Q43,U43,Y43)</f>
        <v>0</v>
      </c>
      <c r="AD43" s="998">
        <f>G43+K43+O43+S43+W43+AA43</f>
        <v>0</v>
      </c>
      <c r="AE43" s="971"/>
    </row>
    <row r="44" spans="1:545" ht="15" customHeight="1" x14ac:dyDescent="0.25">
      <c r="A44" s="1337" t="s">
        <v>349</v>
      </c>
      <c r="B44" s="1338"/>
      <c r="C44" s="1095" t="s">
        <v>348</v>
      </c>
      <c r="D44" s="957"/>
      <c r="E44" s="797">
        <v>0</v>
      </c>
      <c r="F44" s="622">
        <v>0</v>
      </c>
      <c r="G44" s="998">
        <f>E45*F44</f>
        <v>0</v>
      </c>
      <c r="H44" s="957"/>
      <c r="I44" s="797">
        <v>0</v>
      </c>
      <c r="J44" s="622">
        <v>0</v>
      </c>
      <c r="K44" s="998">
        <f>I44*J44</f>
        <v>0</v>
      </c>
      <c r="L44" s="957"/>
      <c r="M44" s="797">
        <v>0</v>
      </c>
      <c r="N44" s="622">
        <v>0</v>
      </c>
      <c r="O44" s="998">
        <f>M44*N44</f>
        <v>0</v>
      </c>
      <c r="P44" s="957"/>
      <c r="Q44" s="797">
        <v>0</v>
      </c>
      <c r="R44" s="622">
        <v>0</v>
      </c>
      <c r="S44" s="998">
        <f>Q44*R44</f>
        <v>0</v>
      </c>
      <c r="T44" s="957"/>
      <c r="U44" s="797">
        <v>0</v>
      </c>
      <c r="V44" s="622">
        <v>0</v>
      </c>
      <c r="W44" s="998">
        <f>U44*V44</f>
        <v>0</v>
      </c>
      <c r="X44" s="957"/>
      <c r="Y44" s="797">
        <v>0</v>
      </c>
      <c r="Z44" s="622">
        <v>0</v>
      </c>
      <c r="AA44" s="998">
        <f>Y44*Z44</f>
        <v>0</v>
      </c>
      <c r="AB44" s="975"/>
      <c r="AC44" s="1097">
        <f>SUM(E44,I44,M44,Q44,U44,Y44)</f>
        <v>0</v>
      </c>
      <c r="AD44" s="998">
        <f>G44+K44+O44+S44+W44+AA44</f>
        <v>0</v>
      </c>
      <c r="AE44" s="971"/>
    </row>
    <row r="45" spans="1:545" ht="15" customHeight="1" x14ac:dyDescent="0.25">
      <c r="A45" s="1337" t="s">
        <v>350</v>
      </c>
      <c r="B45" s="1338"/>
      <c r="C45" s="1095" t="s">
        <v>348</v>
      </c>
      <c r="D45" s="957"/>
      <c r="E45" s="797">
        <v>0</v>
      </c>
      <c r="F45" s="622">
        <v>0</v>
      </c>
      <c r="G45" s="998">
        <f>E46*F45</f>
        <v>0</v>
      </c>
      <c r="H45" s="957"/>
      <c r="I45" s="797">
        <v>0</v>
      </c>
      <c r="J45" s="622">
        <v>0</v>
      </c>
      <c r="K45" s="998">
        <f>I45*J45</f>
        <v>0</v>
      </c>
      <c r="L45" s="957"/>
      <c r="M45" s="797">
        <v>0</v>
      </c>
      <c r="N45" s="622">
        <v>0</v>
      </c>
      <c r="O45" s="998">
        <f>M45*N45</f>
        <v>0</v>
      </c>
      <c r="P45" s="957"/>
      <c r="Q45" s="797">
        <v>0</v>
      </c>
      <c r="R45" s="622">
        <v>0</v>
      </c>
      <c r="S45" s="998">
        <f>Q45*R45</f>
        <v>0</v>
      </c>
      <c r="T45" s="957"/>
      <c r="U45" s="797">
        <v>0</v>
      </c>
      <c r="V45" s="622">
        <v>0</v>
      </c>
      <c r="W45" s="998">
        <f>U45*V45</f>
        <v>0</v>
      </c>
      <c r="X45" s="957"/>
      <c r="Y45" s="797">
        <v>0</v>
      </c>
      <c r="Z45" s="622">
        <v>0</v>
      </c>
      <c r="AA45" s="998">
        <f>Y45*Z45</f>
        <v>0</v>
      </c>
      <c r="AB45" s="975"/>
      <c r="AC45" s="1097">
        <f>SUM(E45,I45,M45,Q45,U45,Y45)</f>
        <v>0</v>
      </c>
      <c r="AD45" s="998">
        <f>G45+K45+O45+S45+W45+AA45</f>
        <v>0</v>
      </c>
      <c r="AE45" s="971"/>
    </row>
    <row r="46" spans="1:545" ht="15" customHeight="1" x14ac:dyDescent="0.25">
      <c r="A46" s="1329" t="s">
        <v>351</v>
      </c>
      <c r="B46" s="1330"/>
      <c r="C46" s="1095" t="s">
        <v>348</v>
      </c>
      <c r="D46" s="957"/>
      <c r="E46" s="797">
        <v>0</v>
      </c>
      <c r="F46" s="622">
        <v>0</v>
      </c>
      <c r="G46" s="998">
        <f>E46*F46</f>
        <v>0</v>
      </c>
      <c r="H46" s="957"/>
      <c r="I46" s="797">
        <v>0</v>
      </c>
      <c r="J46" s="622">
        <v>0</v>
      </c>
      <c r="K46" s="998">
        <f>I46*J46</f>
        <v>0</v>
      </c>
      <c r="L46" s="957"/>
      <c r="M46" s="797">
        <v>0</v>
      </c>
      <c r="N46" s="622">
        <v>0</v>
      </c>
      <c r="O46" s="998">
        <f>M46*N46</f>
        <v>0</v>
      </c>
      <c r="P46" s="957"/>
      <c r="Q46" s="797">
        <v>0</v>
      </c>
      <c r="R46" s="622">
        <v>0</v>
      </c>
      <c r="S46" s="998">
        <f>Q46*R46</f>
        <v>0</v>
      </c>
      <c r="T46" s="957"/>
      <c r="U46" s="797">
        <v>0</v>
      </c>
      <c r="V46" s="622">
        <v>0</v>
      </c>
      <c r="W46" s="998">
        <f>U46*V46</f>
        <v>0</v>
      </c>
      <c r="X46" s="957"/>
      <c r="Y46" s="797">
        <v>0</v>
      </c>
      <c r="Z46" s="622">
        <v>0</v>
      </c>
      <c r="AA46" s="998">
        <f>Y46*Z46</f>
        <v>0</v>
      </c>
      <c r="AB46" s="975"/>
      <c r="AC46" s="1097">
        <f>SUM(E46,I46,M46,Q46,U46,Y46)</f>
        <v>0</v>
      </c>
      <c r="AD46" s="998">
        <f>G46+K46+O46+S46+W46+AA46</f>
        <v>0</v>
      </c>
      <c r="AE46" s="971"/>
    </row>
    <row r="47" spans="1:545" s="615" customFormat="1" ht="23.15" customHeight="1" x14ac:dyDescent="0.25">
      <c r="A47" s="1360" t="s">
        <v>342</v>
      </c>
      <c r="B47" s="1361"/>
      <c r="C47" s="1361"/>
      <c r="D47" s="957"/>
      <c r="E47" s="798">
        <f>SUM(E43:E46)</f>
        <v>0</v>
      </c>
      <c r="F47" s="995"/>
      <c r="G47" s="1131">
        <f>SUM(G42:G46)</f>
        <v>0</v>
      </c>
      <c r="H47" s="957"/>
      <c r="I47" s="798">
        <f>SUM(I43:I46)</f>
        <v>0</v>
      </c>
      <c r="J47" s="996"/>
      <c r="K47" s="1131">
        <f>SUM(K42:K46)</f>
        <v>0</v>
      </c>
      <c r="L47" s="957"/>
      <c r="M47" s="798">
        <f>SUM(M43:M46)</f>
        <v>0</v>
      </c>
      <c r="N47" s="996"/>
      <c r="O47" s="1131">
        <f>SUM(O42:O46)</f>
        <v>0</v>
      </c>
      <c r="P47" s="957"/>
      <c r="Q47" s="798">
        <f>SUM(Q43:Q46)</f>
        <v>0</v>
      </c>
      <c r="R47" s="996"/>
      <c r="S47" s="1131">
        <f>SUM(S42:S46)</f>
        <v>0</v>
      </c>
      <c r="T47" s="957"/>
      <c r="U47" s="798">
        <f>SUM(U43:U46)</f>
        <v>0</v>
      </c>
      <c r="V47" s="987"/>
      <c r="W47" s="1131">
        <f>SUM(W42:W46)</f>
        <v>0</v>
      </c>
      <c r="X47" s="957"/>
      <c r="Y47" s="798">
        <f>SUM(Y43:Y46)</f>
        <v>0</v>
      </c>
      <c r="Z47" s="987"/>
      <c r="AA47" s="1131">
        <f>SUM(AA42:AA46)</f>
        <v>0</v>
      </c>
      <c r="AB47" s="976"/>
      <c r="AC47" s="798">
        <f>SUM(AC43:AC46)</f>
        <v>0</v>
      </c>
      <c r="AD47" s="1131">
        <f>G47+K47+O47+S47+W47+AA47</f>
        <v>0</v>
      </c>
      <c r="AE47" s="971"/>
      <c r="AF47" s="292"/>
      <c r="AG47" s="292"/>
      <c r="AH47" s="292"/>
      <c r="AI47" s="292"/>
      <c r="AJ47" s="292"/>
      <c r="AK47" s="292"/>
      <c r="AL47" s="292"/>
      <c r="AM47" s="292"/>
      <c r="AN47" s="292"/>
      <c r="AO47" s="292"/>
      <c r="AP47" s="292"/>
      <c r="AQ47" s="292"/>
      <c r="AR47" s="292"/>
      <c r="AS47" s="292"/>
      <c r="AT47" s="292"/>
      <c r="AU47" s="292"/>
      <c r="AV47" s="292"/>
      <c r="AW47" s="292"/>
      <c r="AX47" s="292"/>
      <c r="AY47" s="292"/>
      <c r="AZ47" s="292"/>
      <c r="BA47" s="292"/>
      <c r="BB47" s="292"/>
      <c r="BC47" s="292"/>
      <c r="BD47" s="292"/>
      <c r="BE47" s="292"/>
      <c r="BF47" s="292"/>
      <c r="BG47" s="292"/>
      <c r="BH47" s="292"/>
      <c r="BI47" s="292"/>
      <c r="BJ47" s="292"/>
      <c r="BK47" s="292"/>
      <c r="BL47" s="292"/>
      <c r="BM47" s="292"/>
      <c r="BN47" s="292"/>
      <c r="BO47" s="292"/>
      <c r="BP47" s="292"/>
      <c r="BQ47" s="292"/>
      <c r="BR47" s="292"/>
      <c r="BS47" s="292"/>
      <c r="BT47" s="292"/>
      <c r="BU47" s="292"/>
      <c r="BV47" s="292"/>
      <c r="BW47" s="292"/>
      <c r="BX47" s="292"/>
      <c r="BY47" s="292"/>
      <c r="BZ47" s="292"/>
      <c r="CA47" s="292"/>
      <c r="CB47" s="292"/>
      <c r="CC47" s="292"/>
      <c r="CD47" s="292"/>
      <c r="CE47" s="292"/>
      <c r="CF47" s="292"/>
      <c r="CG47" s="292"/>
      <c r="CH47" s="292"/>
      <c r="CI47" s="292"/>
      <c r="CJ47" s="292"/>
      <c r="CK47" s="292"/>
      <c r="CL47" s="292"/>
      <c r="CM47" s="292"/>
      <c r="CN47" s="292"/>
      <c r="CO47" s="292"/>
      <c r="CP47" s="292"/>
      <c r="CQ47" s="292"/>
      <c r="CR47" s="292"/>
      <c r="CS47" s="292"/>
      <c r="CT47" s="292"/>
      <c r="CU47" s="292"/>
      <c r="CV47" s="292"/>
      <c r="CW47" s="292"/>
      <c r="CX47" s="292"/>
      <c r="CY47" s="292"/>
      <c r="CZ47" s="292"/>
      <c r="DA47" s="292"/>
      <c r="DB47" s="292"/>
      <c r="DC47" s="292"/>
      <c r="DD47" s="292"/>
      <c r="DE47" s="292"/>
      <c r="DF47" s="292"/>
      <c r="DG47" s="292"/>
      <c r="DH47" s="292"/>
      <c r="DI47" s="292"/>
      <c r="DJ47" s="292"/>
      <c r="DK47" s="292"/>
      <c r="DL47" s="292"/>
      <c r="DM47" s="292"/>
      <c r="DN47" s="292"/>
      <c r="DO47" s="292"/>
      <c r="DP47" s="292"/>
      <c r="DQ47" s="292"/>
      <c r="DR47" s="292"/>
      <c r="DS47" s="292"/>
      <c r="DT47" s="292"/>
      <c r="DU47" s="292"/>
      <c r="DV47" s="292"/>
      <c r="DW47" s="292"/>
      <c r="DX47" s="292"/>
      <c r="DY47" s="292"/>
      <c r="DZ47" s="292"/>
      <c r="EA47" s="292"/>
      <c r="EB47" s="292"/>
      <c r="EC47" s="292"/>
      <c r="ED47" s="292"/>
      <c r="EE47" s="292"/>
      <c r="EF47" s="292"/>
      <c r="EG47" s="292"/>
      <c r="EH47" s="292"/>
      <c r="EI47" s="292"/>
      <c r="EJ47" s="292"/>
      <c r="EK47" s="292"/>
      <c r="EL47" s="292"/>
      <c r="EM47" s="292"/>
      <c r="EN47" s="292"/>
      <c r="EO47" s="292"/>
      <c r="EP47" s="292"/>
      <c r="EQ47" s="292"/>
      <c r="ER47" s="292"/>
      <c r="ES47" s="292"/>
      <c r="ET47" s="292"/>
      <c r="EU47" s="292"/>
      <c r="EV47" s="292"/>
      <c r="EW47" s="292"/>
      <c r="EX47" s="292"/>
      <c r="EY47" s="292"/>
      <c r="EZ47" s="292"/>
      <c r="FA47" s="292"/>
      <c r="FB47" s="292"/>
      <c r="FC47" s="292"/>
      <c r="FD47" s="292"/>
      <c r="FE47" s="292"/>
      <c r="FF47" s="292"/>
      <c r="FG47" s="292"/>
      <c r="FH47" s="292"/>
      <c r="FI47" s="292"/>
      <c r="FJ47" s="292"/>
      <c r="FK47" s="292"/>
      <c r="FL47" s="292"/>
      <c r="FM47" s="292"/>
      <c r="FN47" s="292"/>
      <c r="FO47" s="292"/>
      <c r="FP47" s="292"/>
      <c r="FQ47" s="292"/>
      <c r="FR47" s="292"/>
      <c r="FS47" s="292"/>
      <c r="FT47" s="292"/>
      <c r="FU47" s="292"/>
      <c r="FV47" s="292"/>
      <c r="FW47" s="292"/>
      <c r="FX47" s="292"/>
      <c r="FY47" s="292"/>
      <c r="FZ47" s="292"/>
      <c r="GA47" s="292"/>
      <c r="GB47" s="292"/>
      <c r="GC47" s="292"/>
      <c r="GD47" s="292"/>
      <c r="GE47" s="292"/>
      <c r="GF47" s="292"/>
      <c r="GG47" s="292"/>
      <c r="GH47" s="292"/>
      <c r="GI47" s="292"/>
      <c r="GJ47" s="292"/>
      <c r="GK47" s="292"/>
      <c r="GL47" s="292"/>
      <c r="GM47" s="292"/>
      <c r="GN47" s="292"/>
      <c r="GO47" s="292"/>
      <c r="GP47" s="292"/>
      <c r="GQ47" s="292"/>
      <c r="GR47" s="292"/>
      <c r="GS47" s="292"/>
      <c r="GT47" s="292"/>
      <c r="GU47" s="292"/>
      <c r="GV47" s="292"/>
      <c r="GW47" s="292"/>
      <c r="GX47" s="292"/>
      <c r="GY47" s="292"/>
      <c r="GZ47" s="292"/>
      <c r="HA47" s="292"/>
      <c r="HB47" s="292"/>
      <c r="HC47" s="292"/>
      <c r="HD47" s="292"/>
      <c r="HE47" s="292"/>
      <c r="HF47" s="292"/>
      <c r="HG47" s="292"/>
      <c r="HH47" s="292"/>
      <c r="HI47" s="292"/>
      <c r="HJ47" s="292"/>
      <c r="HK47" s="292"/>
      <c r="HL47" s="292"/>
      <c r="HM47" s="292"/>
      <c r="HN47" s="292"/>
      <c r="HO47" s="292"/>
      <c r="HP47" s="292"/>
      <c r="HQ47" s="292"/>
      <c r="HR47" s="292"/>
      <c r="HS47" s="292"/>
      <c r="HT47" s="292"/>
      <c r="HU47" s="292"/>
      <c r="HV47" s="292"/>
      <c r="HW47" s="292"/>
      <c r="HX47" s="292"/>
      <c r="HY47" s="292"/>
      <c r="HZ47" s="292"/>
      <c r="IA47" s="292"/>
      <c r="IB47" s="292"/>
      <c r="IC47" s="292"/>
      <c r="ID47" s="292"/>
      <c r="IE47" s="292"/>
      <c r="IF47" s="292"/>
      <c r="IG47" s="292"/>
      <c r="IH47" s="292"/>
      <c r="II47" s="292"/>
      <c r="IJ47" s="292"/>
      <c r="IK47" s="292"/>
      <c r="IL47" s="292"/>
      <c r="IM47" s="292"/>
      <c r="IN47" s="292"/>
      <c r="IO47" s="292"/>
      <c r="IP47" s="292"/>
      <c r="IQ47" s="292"/>
      <c r="IR47" s="292"/>
      <c r="IS47" s="292"/>
      <c r="IT47" s="292"/>
      <c r="IU47" s="292"/>
      <c r="IV47" s="292"/>
      <c r="IW47" s="292"/>
      <c r="IX47" s="292"/>
      <c r="IY47" s="292"/>
      <c r="IZ47" s="292"/>
      <c r="JA47" s="292"/>
      <c r="JB47" s="292"/>
      <c r="JC47" s="292"/>
      <c r="JD47" s="292"/>
      <c r="JE47" s="292"/>
      <c r="JF47" s="292"/>
      <c r="JG47" s="292"/>
      <c r="JH47" s="292"/>
      <c r="JI47" s="292"/>
      <c r="JJ47" s="292"/>
      <c r="JK47" s="292"/>
      <c r="JL47" s="292"/>
      <c r="JM47" s="292"/>
      <c r="JN47" s="292"/>
      <c r="JO47" s="292"/>
      <c r="JP47" s="292"/>
      <c r="JQ47" s="292"/>
      <c r="JR47" s="292"/>
      <c r="JS47" s="292"/>
      <c r="JT47" s="292"/>
      <c r="JU47" s="292"/>
      <c r="JV47" s="292"/>
      <c r="JW47" s="292"/>
      <c r="JX47" s="292"/>
      <c r="JY47" s="292"/>
      <c r="JZ47" s="292"/>
      <c r="KA47" s="292"/>
      <c r="KB47" s="292"/>
      <c r="KC47" s="292"/>
      <c r="KD47" s="292"/>
      <c r="KE47" s="292"/>
      <c r="KF47" s="292"/>
      <c r="KG47" s="292"/>
      <c r="KH47" s="292"/>
      <c r="KI47" s="292"/>
      <c r="KJ47" s="292"/>
      <c r="KK47" s="292"/>
      <c r="KL47" s="292"/>
      <c r="KM47" s="292"/>
      <c r="KN47" s="292"/>
      <c r="KO47" s="292"/>
      <c r="KP47" s="292"/>
      <c r="KQ47" s="292"/>
      <c r="KR47" s="292"/>
      <c r="KS47" s="292"/>
      <c r="KT47" s="292"/>
      <c r="KU47" s="292"/>
      <c r="KV47" s="292"/>
      <c r="KW47" s="292"/>
      <c r="KX47" s="292"/>
      <c r="KY47" s="292"/>
      <c r="KZ47" s="292"/>
      <c r="LA47" s="292"/>
      <c r="LB47" s="292"/>
      <c r="LC47" s="292"/>
      <c r="LD47" s="292"/>
      <c r="LE47" s="292"/>
      <c r="LF47" s="292"/>
      <c r="LG47" s="292"/>
      <c r="LH47" s="292"/>
      <c r="LI47" s="292"/>
      <c r="LJ47" s="292"/>
      <c r="LK47" s="292"/>
      <c r="LL47" s="292"/>
      <c r="LM47" s="292"/>
      <c r="LN47" s="292"/>
      <c r="LO47" s="292"/>
      <c r="LP47" s="292"/>
      <c r="LQ47" s="292"/>
      <c r="LR47" s="292"/>
      <c r="LS47" s="292"/>
      <c r="LT47" s="292"/>
      <c r="LU47" s="292"/>
      <c r="LV47" s="292"/>
      <c r="LW47" s="292"/>
      <c r="LX47" s="292"/>
      <c r="LY47" s="292"/>
      <c r="LZ47" s="292"/>
      <c r="MA47" s="292"/>
      <c r="MB47" s="292"/>
      <c r="MC47" s="292"/>
      <c r="MD47" s="292"/>
      <c r="ME47" s="292"/>
      <c r="MF47" s="292"/>
      <c r="MG47" s="292"/>
      <c r="MH47" s="292"/>
      <c r="MI47" s="292"/>
      <c r="MJ47" s="292"/>
      <c r="MK47" s="292"/>
      <c r="ML47" s="292"/>
      <c r="MM47" s="292"/>
      <c r="MN47" s="292"/>
      <c r="MO47" s="292"/>
      <c r="MP47" s="292"/>
      <c r="MQ47" s="292"/>
      <c r="MR47" s="292"/>
      <c r="MS47" s="292"/>
      <c r="MT47" s="292"/>
      <c r="MU47" s="292"/>
      <c r="MV47" s="292"/>
      <c r="MW47" s="292"/>
      <c r="MX47" s="292"/>
      <c r="MY47" s="292"/>
      <c r="MZ47" s="292"/>
      <c r="NA47" s="292"/>
      <c r="NB47" s="292"/>
      <c r="NC47" s="292"/>
      <c r="ND47" s="292"/>
      <c r="NE47" s="292"/>
      <c r="NF47" s="292"/>
      <c r="NG47" s="292"/>
      <c r="NH47" s="292"/>
      <c r="NI47" s="292"/>
      <c r="NJ47" s="292"/>
      <c r="NK47" s="292"/>
      <c r="NL47" s="292"/>
      <c r="NM47" s="292"/>
      <c r="NN47" s="292"/>
      <c r="NO47" s="292"/>
      <c r="NP47" s="292"/>
      <c r="NQ47" s="292"/>
      <c r="NR47" s="292"/>
      <c r="NS47" s="292"/>
      <c r="NT47" s="292"/>
      <c r="NU47" s="292"/>
      <c r="NV47" s="292"/>
      <c r="NW47" s="292"/>
      <c r="NX47" s="292"/>
      <c r="NY47" s="292"/>
      <c r="NZ47" s="292"/>
      <c r="OA47" s="292"/>
      <c r="OB47" s="292"/>
      <c r="OC47" s="292"/>
      <c r="OD47" s="292"/>
      <c r="OE47" s="292"/>
      <c r="OF47" s="292"/>
      <c r="OG47" s="292"/>
      <c r="OH47" s="292"/>
      <c r="OI47" s="292"/>
      <c r="OJ47" s="292"/>
      <c r="OK47" s="292"/>
      <c r="OL47" s="292"/>
      <c r="OM47" s="292"/>
      <c r="ON47" s="292"/>
      <c r="OO47" s="292"/>
      <c r="OP47" s="292"/>
      <c r="OQ47" s="292"/>
      <c r="OR47" s="292"/>
      <c r="OS47" s="292"/>
      <c r="OT47" s="292"/>
      <c r="OU47" s="292"/>
      <c r="OV47" s="292"/>
      <c r="OW47" s="292"/>
      <c r="OX47" s="292"/>
      <c r="OY47" s="292"/>
      <c r="OZ47" s="292"/>
      <c r="PA47" s="292"/>
      <c r="PB47" s="292"/>
      <c r="PC47" s="292"/>
      <c r="PD47" s="292"/>
      <c r="PE47" s="292"/>
      <c r="PF47" s="292"/>
      <c r="PG47" s="292"/>
      <c r="PH47" s="292"/>
      <c r="PI47" s="292"/>
      <c r="PJ47" s="292"/>
      <c r="PK47" s="292"/>
      <c r="PL47" s="292"/>
      <c r="PM47" s="292"/>
      <c r="PN47" s="292"/>
      <c r="PO47" s="292"/>
      <c r="PP47" s="292"/>
      <c r="PQ47" s="292"/>
      <c r="PR47" s="292"/>
      <c r="PS47" s="292"/>
      <c r="PT47" s="292"/>
      <c r="PU47" s="292"/>
      <c r="PV47" s="292"/>
      <c r="PW47" s="292"/>
      <c r="PX47" s="292"/>
      <c r="PY47" s="292"/>
      <c r="PZ47" s="292"/>
      <c r="QA47" s="292"/>
      <c r="QB47" s="292"/>
      <c r="QC47" s="292"/>
      <c r="QD47" s="292"/>
      <c r="QE47" s="292"/>
      <c r="QF47" s="292"/>
      <c r="QG47" s="292"/>
      <c r="QH47" s="292"/>
      <c r="QI47" s="292"/>
      <c r="QJ47" s="292"/>
      <c r="QK47" s="292"/>
      <c r="QL47" s="292"/>
      <c r="QM47" s="292"/>
      <c r="QN47" s="292"/>
      <c r="QO47" s="292"/>
      <c r="QP47" s="292"/>
      <c r="QQ47" s="292"/>
      <c r="QR47" s="292"/>
      <c r="QS47" s="292"/>
      <c r="QT47" s="292"/>
      <c r="QU47" s="292"/>
      <c r="QV47" s="292"/>
      <c r="QW47" s="292"/>
      <c r="QX47" s="292"/>
      <c r="QY47" s="292"/>
      <c r="QZ47" s="292"/>
      <c r="RA47" s="292"/>
      <c r="RB47" s="292"/>
      <c r="RC47" s="292"/>
      <c r="RD47" s="292"/>
      <c r="RE47" s="292"/>
      <c r="RF47" s="292"/>
      <c r="RG47" s="292"/>
      <c r="RH47" s="292"/>
      <c r="RI47" s="292"/>
      <c r="RJ47" s="292"/>
      <c r="RK47" s="292"/>
      <c r="RL47" s="292"/>
      <c r="RM47" s="292"/>
      <c r="RN47" s="292"/>
      <c r="RO47" s="292"/>
      <c r="RP47" s="292"/>
      <c r="RQ47" s="292"/>
      <c r="RR47" s="292"/>
      <c r="RS47" s="292"/>
      <c r="RT47" s="292"/>
      <c r="RU47" s="292"/>
      <c r="RV47" s="292"/>
      <c r="RW47" s="292"/>
      <c r="RX47" s="292"/>
      <c r="RY47" s="292"/>
      <c r="RZ47" s="292"/>
      <c r="SA47" s="292"/>
      <c r="SB47" s="292"/>
      <c r="SC47" s="292"/>
      <c r="SD47" s="292"/>
      <c r="SE47" s="292"/>
      <c r="SF47" s="292"/>
      <c r="SG47" s="292"/>
      <c r="SH47" s="292"/>
      <c r="SI47" s="292"/>
      <c r="SJ47" s="292"/>
      <c r="SK47" s="292"/>
      <c r="SL47" s="292"/>
      <c r="SM47" s="292"/>
      <c r="SN47" s="292"/>
      <c r="SO47" s="292"/>
      <c r="SP47" s="292"/>
      <c r="SQ47" s="292"/>
      <c r="SR47" s="292"/>
      <c r="SS47" s="292"/>
      <c r="ST47" s="292"/>
      <c r="SU47" s="292"/>
    </row>
    <row r="48" spans="1:545" s="620" customFormat="1" ht="15" customHeight="1" x14ac:dyDescent="0.25">
      <c r="A48" s="986"/>
      <c r="B48" s="984"/>
      <c r="C48" s="984"/>
      <c r="D48" s="957"/>
      <c r="E48" s="983"/>
      <c r="F48" s="957"/>
      <c r="G48" s="981"/>
      <c r="H48" s="957"/>
      <c r="I48" s="983"/>
      <c r="J48" s="981"/>
      <c r="K48" s="981"/>
      <c r="L48" s="957"/>
      <c r="M48" s="983"/>
      <c r="N48" s="981"/>
      <c r="O48" s="981"/>
      <c r="P48" s="957"/>
      <c r="Q48" s="983"/>
      <c r="R48" s="981"/>
      <c r="S48" s="981"/>
      <c r="T48" s="957"/>
      <c r="U48" s="983"/>
      <c r="V48" s="957"/>
      <c r="W48" s="981"/>
      <c r="X48" s="957"/>
      <c r="Y48" s="983"/>
      <c r="Z48" s="957"/>
      <c r="AA48" s="981"/>
      <c r="AB48" s="976"/>
      <c r="AC48" s="983"/>
      <c r="AD48" s="981"/>
      <c r="AE48" s="971"/>
      <c r="AF48" s="292"/>
      <c r="AG48" s="292"/>
      <c r="AH48" s="292"/>
      <c r="AI48" s="292"/>
      <c r="AJ48" s="292"/>
      <c r="AK48" s="292"/>
      <c r="AL48" s="292"/>
      <c r="AM48" s="292"/>
      <c r="AN48" s="292"/>
      <c r="AO48" s="292"/>
      <c r="AP48" s="292"/>
      <c r="AQ48" s="292"/>
      <c r="AR48" s="292"/>
      <c r="AS48" s="292"/>
      <c r="AT48" s="292"/>
      <c r="AU48" s="292"/>
      <c r="AV48" s="292"/>
      <c r="AW48" s="292"/>
      <c r="AX48" s="292"/>
      <c r="AY48" s="292"/>
      <c r="AZ48" s="292"/>
      <c r="BA48" s="292"/>
      <c r="BB48" s="292"/>
      <c r="BC48" s="292"/>
      <c r="BD48" s="292"/>
      <c r="BE48" s="292"/>
      <c r="BF48" s="292"/>
      <c r="BG48" s="292"/>
      <c r="BH48" s="292"/>
      <c r="BI48" s="292"/>
      <c r="BJ48" s="292"/>
      <c r="BK48" s="292"/>
      <c r="BL48" s="292"/>
    </row>
    <row r="49" spans="1:515" s="624" customFormat="1" ht="23.15" customHeight="1" x14ac:dyDescent="0.25">
      <c r="A49" s="1364" t="s">
        <v>352</v>
      </c>
      <c r="B49" s="1365"/>
      <c r="C49" s="1365"/>
      <c r="D49" s="962"/>
      <c r="E49" s="962"/>
      <c r="F49" s="962"/>
      <c r="G49" s="1175" t="s">
        <v>353</v>
      </c>
      <c r="H49" s="962"/>
      <c r="I49" s="962"/>
      <c r="J49" s="962"/>
      <c r="K49" s="1175" t="s">
        <v>353</v>
      </c>
      <c r="L49" s="962"/>
      <c r="M49" s="962"/>
      <c r="N49" s="962"/>
      <c r="O49" s="1175" t="s">
        <v>353</v>
      </c>
      <c r="P49" s="962"/>
      <c r="Q49" s="962"/>
      <c r="R49" s="962"/>
      <c r="S49" s="1175" t="s">
        <v>353</v>
      </c>
      <c r="T49" s="962"/>
      <c r="U49" s="962"/>
      <c r="V49" s="962"/>
      <c r="W49" s="1175" t="s">
        <v>345</v>
      </c>
      <c r="X49" s="962"/>
      <c r="Y49" s="962"/>
      <c r="Z49" s="962"/>
      <c r="AA49" s="1175" t="s">
        <v>353</v>
      </c>
      <c r="AB49" s="962"/>
      <c r="AC49" s="962"/>
      <c r="AD49" s="1175" t="s">
        <v>353</v>
      </c>
      <c r="AE49" s="971"/>
      <c r="AF49" s="292"/>
      <c r="AG49" s="292"/>
      <c r="AH49" s="292"/>
      <c r="AI49" s="292"/>
      <c r="AJ49" s="292"/>
      <c r="AK49" s="292"/>
      <c r="AL49" s="292"/>
      <c r="AM49" s="292"/>
      <c r="AN49" s="292"/>
      <c r="AO49" s="292"/>
      <c r="AP49" s="292"/>
      <c r="AQ49" s="292"/>
      <c r="AR49" s="292"/>
      <c r="AS49" s="292"/>
      <c r="AT49" s="292"/>
      <c r="AU49" s="292"/>
      <c r="AV49" s="292"/>
      <c r="AW49" s="292"/>
      <c r="AX49" s="292"/>
      <c r="AY49" s="292"/>
      <c r="AZ49" s="292"/>
      <c r="BA49" s="292"/>
      <c r="BB49" s="292"/>
      <c r="BC49" s="292"/>
      <c r="BD49" s="292"/>
      <c r="BE49" s="292"/>
      <c r="BF49" s="292"/>
      <c r="BG49" s="292"/>
      <c r="BH49" s="292"/>
      <c r="BI49" s="292"/>
      <c r="BJ49" s="292"/>
      <c r="BK49" s="292"/>
      <c r="BL49" s="292"/>
      <c r="BM49" s="292"/>
      <c r="BN49" s="292"/>
      <c r="BO49" s="292"/>
      <c r="BP49" s="292"/>
      <c r="BQ49" s="292"/>
      <c r="BR49" s="292"/>
      <c r="BS49" s="292"/>
      <c r="BT49" s="292"/>
      <c r="BU49" s="292"/>
      <c r="BV49" s="292"/>
      <c r="BW49" s="292"/>
      <c r="BX49" s="292"/>
      <c r="BY49" s="292"/>
      <c r="BZ49" s="292"/>
      <c r="CA49" s="292"/>
      <c r="CB49" s="292"/>
      <c r="CC49" s="292"/>
      <c r="CD49" s="292"/>
      <c r="CE49" s="292"/>
      <c r="CF49" s="292"/>
      <c r="CG49" s="292"/>
      <c r="CH49" s="292"/>
      <c r="CI49" s="292"/>
      <c r="CJ49" s="292"/>
      <c r="CK49" s="292"/>
      <c r="CL49" s="292"/>
      <c r="CM49" s="292"/>
      <c r="CN49" s="292"/>
      <c r="CO49" s="292"/>
      <c r="CP49" s="292"/>
      <c r="CQ49" s="292"/>
      <c r="CR49" s="292"/>
      <c r="CS49" s="292"/>
      <c r="CT49" s="292"/>
      <c r="CU49" s="292"/>
      <c r="CV49" s="292"/>
      <c r="CW49" s="292"/>
      <c r="CX49" s="292"/>
      <c r="CY49" s="292"/>
      <c r="CZ49" s="292"/>
      <c r="DA49" s="292"/>
      <c r="DB49" s="292"/>
      <c r="DC49" s="292"/>
      <c r="DD49" s="292"/>
      <c r="DE49" s="292"/>
      <c r="DF49" s="292"/>
      <c r="DG49" s="292"/>
      <c r="DH49" s="292"/>
      <c r="DI49" s="292"/>
      <c r="DJ49" s="292"/>
      <c r="DK49" s="292"/>
      <c r="DL49" s="292"/>
      <c r="DM49" s="292"/>
      <c r="DN49" s="292"/>
      <c r="DO49" s="292"/>
      <c r="DP49" s="292"/>
      <c r="DQ49" s="292"/>
      <c r="DR49" s="292"/>
      <c r="DS49" s="292"/>
      <c r="DT49" s="292"/>
      <c r="DU49" s="292"/>
      <c r="DV49" s="292"/>
      <c r="DW49" s="292"/>
      <c r="DX49" s="292"/>
      <c r="DY49" s="292"/>
      <c r="DZ49" s="292"/>
      <c r="EA49" s="292"/>
      <c r="EB49" s="292"/>
      <c r="EC49" s="292"/>
      <c r="ED49" s="292"/>
      <c r="EE49" s="292"/>
      <c r="EF49" s="292"/>
      <c r="EG49" s="292"/>
      <c r="EH49" s="292"/>
      <c r="EI49" s="292"/>
      <c r="EJ49" s="292"/>
      <c r="EK49" s="292"/>
      <c r="EL49" s="292"/>
      <c r="EM49" s="292"/>
      <c r="EN49" s="292"/>
      <c r="EO49" s="292"/>
      <c r="EP49" s="292"/>
      <c r="EQ49" s="292"/>
      <c r="ER49" s="292"/>
      <c r="ES49" s="292"/>
      <c r="ET49" s="292"/>
      <c r="EU49" s="292"/>
      <c r="EV49" s="292"/>
      <c r="EW49" s="292"/>
      <c r="EX49" s="292"/>
      <c r="EY49" s="292"/>
      <c r="EZ49" s="292"/>
      <c r="FA49" s="292"/>
      <c r="FB49" s="292"/>
      <c r="FC49" s="292"/>
      <c r="FD49" s="292"/>
      <c r="FE49" s="292"/>
      <c r="FF49" s="292"/>
      <c r="FG49" s="292"/>
      <c r="FH49" s="292"/>
      <c r="FI49" s="292"/>
      <c r="FJ49" s="292"/>
      <c r="FK49" s="292"/>
      <c r="FL49" s="292"/>
      <c r="FM49" s="292"/>
      <c r="FN49" s="292"/>
      <c r="FO49" s="292"/>
      <c r="FP49" s="292"/>
      <c r="FQ49" s="292"/>
      <c r="FR49" s="292"/>
      <c r="FS49" s="292"/>
      <c r="FT49" s="292"/>
      <c r="FU49" s="292"/>
      <c r="FV49" s="292"/>
      <c r="FW49" s="292"/>
      <c r="FX49" s="292"/>
      <c r="FY49" s="292"/>
      <c r="FZ49" s="292"/>
      <c r="GA49" s="292"/>
      <c r="GB49" s="292"/>
      <c r="GC49" s="292"/>
      <c r="GD49" s="292"/>
      <c r="GE49" s="292"/>
      <c r="GF49" s="292"/>
      <c r="GG49" s="292"/>
      <c r="GH49" s="292"/>
      <c r="GI49" s="292"/>
      <c r="GJ49" s="292"/>
      <c r="GK49" s="292"/>
      <c r="GL49" s="292"/>
      <c r="GM49" s="292"/>
      <c r="GN49" s="292"/>
      <c r="GO49" s="292"/>
      <c r="GP49" s="292"/>
      <c r="GQ49" s="292"/>
      <c r="GR49" s="292"/>
      <c r="GS49" s="292"/>
      <c r="GT49" s="292"/>
      <c r="GU49" s="292"/>
      <c r="GV49" s="292"/>
      <c r="GW49" s="292"/>
      <c r="GX49" s="292"/>
      <c r="GY49" s="292"/>
      <c r="GZ49" s="292"/>
      <c r="HA49" s="292"/>
      <c r="HB49" s="292"/>
      <c r="HC49" s="292"/>
      <c r="HD49" s="292"/>
      <c r="HE49" s="292"/>
      <c r="HF49" s="292"/>
      <c r="HG49" s="292"/>
      <c r="HH49" s="292"/>
      <c r="HI49" s="292"/>
      <c r="HJ49" s="292"/>
      <c r="HK49" s="292"/>
      <c r="HL49" s="292"/>
      <c r="HM49" s="292"/>
      <c r="HN49" s="292"/>
      <c r="HO49" s="292"/>
      <c r="HP49" s="292"/>
      <c r="HQ49" s="292"/>
      <c r="HR49" s="292"/>
      <c r="HS49" s="292"/>
      <c r="HT49" s="292"/>
      <c r="HU49" s="292"/>
      <c r="HV49" s="292"/>
      <c r="HW49" s="292"/>
      <c r="HX49" s="292"/>
      <c r="HY49" s="292"/>
      <c r="HZ49" s="292"/>
      <c r="IA49" s="292"/>
      <c r="IB49" s="292"/>
      <c r="IC49" s="292"/>
      <c r="ID49" s="292"/>
      <c r="IE49" s="292"/>
      <c r="IF49" s="292"/>
      <c r="IG49" s="292"/>
      <c r="IH49" s="292"/>
      <c r="II49" s="292"/>
      <c r="IJ49" s="292"/>
      <c r="IK49" s="292"/>
      <c r="IL49" s="292"/>
      <c r="IM49" s="292"/>
      <c r="IN49" s="292"/>
      <c r="IO49" s="292"/>
      <c r="IP49" s="292"/>
      <c r="IQ49" s="292"/>
      <c r="IR49" s="292"/>
      <c r="IS49" s="292"/>
      <c r="IT49" s="292"/>
      <c r="IU49" s="292"/>
      <c r="IV49" s="292"/>
      <c r="IW49" s="292"/>
      <c r="IX49" s="292"/>
      <c r="IY49" s="292"/>
      <c r="IZ49" s="292"/>
      <c r="JA49" s="292"/>
      <c r="JB49" s="292"/>
      <c r="JC49" s="292"/>
      <c r="JD49" s="292"/>
      <c r="JE49" s="292"/>
      <c r="JF49" s="292"/>
      <c r="JG49" s="292"/>
      <c r="JH49" s="292"/>
      <c r="JI49" s="292"/>
      <c r="JJ49" s="292"/>
      <c r="JK49" s="292"/>
      <c r="JL49" s="292"/>
      <c r="JM49" s="292"/>
      <c r="JN49" s="292"/>
      <c r="JO49" s="292"/>
      <c r="JP49" s="292"/>
      <c r="JQ49" s="292"/>
      <c r="JR49" s="292"/>
      <c r="JS49" s="292"/>
      <c r="JT49" s="292"/>
      <c r="JU49" s="292"/>
      <c r="JV49" s="292"/>
      <c r="JW49" s="292"/>
      <c r="JX49" s="292"/>
      <c r="JY49" s="292"/>
      <c r="JZ49" s="292"/>
      <c r="KA49" s="292"/>
      <c r="KB49" s="292"/>
      <c r="KC49" s="292"/>
      <c r="KD49" s="292"/>
      <c r="KE49" s="292"/>
      <c r="KF49" s="292"/>
      <c r="KG49" s="292"/>
      <c r="KH49" s="292"/>
      <c r="KI49" s="292"/>
      <c r="KJ49" s="292"/>
      <c r="KK49" s="292"/>
      <c r="KL49" s="292"/>
      <c r="KM49" s="292"/>
      <c r="KN49" s="292"/>
      <c r="KO49" s="292"/>
      <c r="KP49" s="292"/>
      <c r="KQ49" s="292"/>
      <c r="KR49" s="292"/>
      <c r="KS49" s="292"/>
      <c r="KT49" s="292"/>
      <c r="KU49" s="292"/>
      <c r="KV49" s="292"/>
      <c r="KW49" s="292"/>
      <c r="KX49" s="292"/>
      <c r="KY49" s="292"/>
      <c r="KZ49" s="292"/>
      <c r="LA49" s="292"/>
      <c r="LB49" s="292"/>
      <c r="LC49" s="292"/>
      <c r="LD49" s="292"/>
      <c r="LE49" s="292"/>
      <c r="LF49" s="292"/>
      <c r="LG49" s="292"/>
      <c r="LH49" s="292"/>
      <c r="LI49" s="292"/>
      <c r="LJ49" s="292"/>
      <c r="LK49" s="292"/>
      <c r="LL49" s="292"/>
      <c r="LM49" s="292"/>
      <c r="LN49" s="292"/>
      <c r="LO49" s="292"/>
      <c r="LP49" s="292"/>
      <c r="LQ49" s="292"/>
      <c r="LR49" s="292"/>
      <c r="LS49" s="292"/>
      <c r="LT49" s="292"/>
      <c r="LU49" s="292"/>
      <c r="LV49" s="292"/>
      <c r="LW49" s="292"/>
      <c r="LX49" s="292"/>
      <c r="LY49" s="292"/>
      <c r="LZ49" s="292"/>
      <c r="MA49" s="292"/>
      <c r="MB49" s="292"/>
      <c r="MC49" s="292"/>
      <c r="MD49" s="292"/>
      <c r="ME49" s="292"/>
      <c r="MF49" s="292"/>
      <c r="MG49" s="292"/>
      <c r="MH49" s="292"/>
      <c r="MI49" s="292"/>
      <c r="MJ49" s="292"/>
      <c r="MK49" s="292"/>
      <c r="ML49" s="292"/>
      <c r="MM49" s="292"/>
      <c r="MN49" s="292"/>
      <c r="MO49" s="292"/>
      <c r="MP49" s="292"/>
      <c r="MQ49" s="292"/>
      <c r="MR49" s="292"/>
      <c r="MS49" s="292"/>
      <c r="MT49" s="292"/>
      <c r="MU49" s="292"/>
      <c r="MV49" s="292"/>
      <c r="MW49" s="292"/>
      <c r="MX49" s="292"/>
      <c r="MY49" s="292"/>
      <c r="MZ49" s="292"/>
      <c r="NA49" s="292"/>
      <c r="NB49" s="292"/>
      <c r="NC49" s="292"/>
      <c r="ND49" s="292"/>
      <c r="NE49" s="292"/>
      <c r="NF49" s="292"/>
      <c r="NG49" s="292"/>
      <c r="NH49" s="292"/>
      <c r="NI49" s="292"/>
      <c r="NJ49" s="292"/>
      <c r="NK49" s="292"/>
      <c r="NL49" s="292"/>
      <c r="NM49" s="292"/>
      <c r="NN49" s="292"/>
      <c r="NO49" s="292"/>
      <c r="NP49" s="292"/>
      <c r="NQ49" s="292"/>
      <c r="NR49" s="292"/>
      <c r="NS49" s="292"/>
      <c r="NT49" s="292"/>
      <c r="NU49" s="292"/>
      <c r="NV49" s="292"/>
      <c r="NW49" s="292"/>
      <c r="NX49" s="292"/>
      <c r="NY49" s="292"/>
      <c r="NZ49" s="292"/>
      <c r="OA49" s="292"/>
      <c r="OB49" s="292"/>
      <c r="OC49" s="292"/>
      <c r="OD49" s="292"/>
      <c r="OE49" s="292"/>
      <c r="OF49" s="292"/>
      <c r="OG49" s="292"/>
      <c r="OH49" s="292"/>
      <c r="OI49" s="292"/>
      <c r="OJ49" s="292"/>
      <c r="OK49" s="292"/>
      <c r="OL49" s="292"/>
      <c r="OM49" s="292"/>
      <c r="ON49" s="292"/>
      <c r="OO49" s="292"/>
      <c r="OP49" s="292"/>
      <c r="OQ49" s="292"/>
      <c r="OR49" s="292"/>
      <c r="OS49" s="292"/>
      <c r="OT49" s="292"/>
      <c r="OU49" s="292"/>
      <c r="OV49" s="292"/>
      <c r="OW49" s="292"/>
      <c r="OX49" s="292"/>
      <c r="OY49" s="292"/>
      <c r="OZ49" s="292"/>
      <c r="PA49" s="292"/>
      <c r="PB49" s="292"/>
      <c r="PC49" s="292"/>
      <c r="PD49" s="292"/>
      <c r="PE49" s="292"/>
      <c r="PF49" s="292"/>
      <c r="PG49" s="292"/>
      <c r="PH49" s="292"/>
      <c r="PI49" s="292"/>
      <c r="PJ49" s="292"/>
      <c r="PK49" s="292"/>
      <c r="PL49" s="292"/>
      <c r="PM49" s="292"/>
      <c r="PN49" s="292"/>
      <c r="PO49" s="292"/>
      <c r="PP49" s="292"/>
      <c r="PQ49" s="292"/>
      <c r="PR49" s="292"/>
      <c r="PS49" s="292"/>
      <c r="PT49" s="292"/>
      <c r="PU49" s="292"/>
      <c r="PV49" s="292"/>
      <c r="PW49" s="292"/>
      <c r="PX49" s="292"/>
      <c r="PY49" s="292"/>
      <c r="PZ49" s="292"/>
      <c r="QA49" s="292"/>
      <c r="QB49" s="292"/>
      <c r="QC49" s="292"/>
      <c r="QD49" s="292"/>
      <c r="QE49" s="292"/>
      <c r="QF49" s="292"/>
      <c r="QG49" s="292"/>
      <c r="QH49" s="292"/>
      <c r="QI49" s="292"/>
      <c r="QJ49" s="292"/>
      <c r="QK49" s="292"/>
      <c r="QL49" s="292"/>
      <c r="QM49" s="292"/>
      <c r="QN49" s="292"/>
      <c r="QO49" s="292"/>
      <c r="QP49" s="292"/>
      <c r="QQ49" s="292"/>
      <c r="QR49" s="292"/>
      <c r="QS49" s="292"/>
      <c r="QT49" s="292"/>
      <c r="QU49" s="292"/>
      <c r="QV49" s="292"/>
      <c r="QW49" s="292"/>
      <c r="QX49" s="292"/>
      <c r="QY49" s="292"/>
      <c r="QZ49" s="292"/>
      <c r="RA49" s="292"/>
      <c r="RB49" s="292"/>
      <c r="RC49" s="292"/>
      <c r="RD49" s="292"/>
      <c r="RE49" s="292"/>
      <c r="RF49" s="292"/>
      <c r="RG49" s="292"/>
      <c r="RH49" s="292"/>
      <c r="RI49" s="292"/>
      <c r="RJ49" s="292"/>
      <c r="RK49" s="292"/>
      <c r="RL49" s="292"/>
      <c r="RM49" s="292"/>
      <c r="RN49" s="292"/>
      <c r="RO49" s="292"/>
      <c r="RP49" s="292"/>
      <c r="RQ49" s="292"/>
      <c r="RR49" s="292"/>
      <c r="RS49" s="292"/>
      <c r="RT49" s="292"/>
      <c r="RU49" s="292"/>
      <c r="RV49" s="292"/>
      <c r="RW49" s="292"/>
      <c r="RX49" s="292"/>
      <c r="RY49" s="292"/>
      <c r="RZ49" s="292"/>
      <c r="SA49" s="292"/>
      <c r="SB49" s="292"/>
      <c r="SC49" s="292"/>
      <c r="SD49" s="292"/>
      <c r="SE49" s="292"/>
      <c r="SF49" s="292"/>
      <c r="SG49" s="292"/>
      <c r="SH49" s="292"/>
      <c r="SI49" s="292"/>
      <c r="SJ49" s="292"/>
      <c r="SK49" s="292"/>
      <c r="SL49" s="292"/>
      <c r="SM49" s="292"/>
      <c r="SN49" s="292"/>
      <c r="SO49" s="292"/>
      <c r="SP49" s="292"/>
      <c r="SQ49" s="292"/>
      <c r="SR49" s="292"/>
      <c r="SS49" s="292"/>
      <c r="ST49" s="292"/>
      <c r="SU49" s="292"/>
    </row>
    <row r="50" spans="1:515" ht="15" customHeight="1" x14ac:dyDescent="0.25">
      <c r="A50" s="1337" t="s">
        <v>354</v>
      </c>
      <c r="B50" s="1338"/>
      <c r="C50" s="1096" t="s">
        <v>355</v>
      </c>
      <c r="D50" s="962"/>
      <c r="E50" s="962"/>
      <c r="F50" s="962"/>
      <c r="G50" s="622">
        <v>0</v>
      </c>
      <c r="H50" s="962"/>
      <c r="I50" s="962"/>
      <c r="J50" s="962"/>
      <c r="K50" s="622">
        <v>0</v>
      </c>
      <c r="L50" s="962"/>
      <c r="M50" s="962"/>
      <c r="N50" s="962"/>
      <c r="O50" s="622">
        <v>0</v>
      </c>
      <c r="P50" s="962"/>
      <c r="Q50" s="962"/>
      <c r="R50" s="962"/>
      <c r="S50" s="622">
        <v>0</v>
      </c>
      <c r="T50" s="962"/>
      <c r="U50" s="962"/>
      <c r="V50" s="962"/>
      <c r="W50" s="622">
        <v>0</v>
      </c>
      <c r="X50" s="962"/>
      <c r="Y50" s="962"/>
      <c r="Z50" s="962"/>
      <c r="AA50" s="622">
        <v>0</v>
      </c>
      <c r="AB50" s="975"/>
      <c r="AC50" s="962"/>
      <c r="AD50" s="999">
        <f>G50+K50+O50+S50+W50+AA50</f>
        <v>0</v>
      </c>
      <c r="AE50" s="971"/>
    </row>
    <row r="51" spans="1:515" ht="15" customHeight="1" x14ac:dyDescent="0.25">
      <c r="A51" s="1337" t="s">
        <v>356</v>
      </c>
      <c r="B51" s="1338"/>
      <c r="C51" s="1096" t="s">
        <v>357</v>
      </c>
      <c r="D51" s="962"/>
      <c r="E51" s="962"/>
      <c r="F51" s="962"/>
      <c r="G51" s="622">
        <v>0</v>
      </c>
      <c r="H51" s="962"/>
      <c r="I51" s="962"/>
      <c r="J51" s="962" t="s">
        <v>358</v>
      </c>
      <c r="K51" s="622">
        <v>0</v>
      </c>
      <c r="L51" s="962"/>
      <c r="M51" s="962"/>
      <c r="N51" s="962"/>
      <c r="O51" s="622">
        <v>0</v>
      </c>
      <c r="P51" s="962"/>
      <c r="Q51" s="962"/>
      <c r="R51" s="962"/>
      <c r="S51" s="622">
        <v>0</v>
      </c>
      <c r="T51" s="962"/>
      <c r="U51" s="962"/>
      <c r="V51" s="962"/>
      <c r="W51" s="622">
        <v>0</v>
      </c>
      <c r="X51" s="962"/>
      <c r="Y51" s="962"/>
      <c r="Z51" s="962"/>
      <c r="AA51" s="622">
        <v>0</v>
      </c>
      <c r="AB51" s="975"/>
      <c r="AC51" s="962"/>
      <c r="AD51" s="999">
        <f>G51+K51+O51+S51+W51+AA51</f>
        <v>0</v>
      </c>
      <c r="AE51" s="971"/>
    </row>
    <row r="52" spans="1:515" ht="15" customHeight="1" x14ac:dyDescent="0.25">
      <c r="A52" s="1337" t="s">
        <v>48</v>
      </c>
      <c r="B52" s="1338"/>
      <c r="C52" s="1096" t="s">
        <v>359</v>
      </c>
      <c r="D52" s="962"/>
      <c r="E52" s="962"/>
      <c r="F52" s="962"/>
      <c r="G52" s="622">
        <v>0</v>
      </c>
      <c r="H52" s="962"/>
      <c r="I52" s="962"/>
      <c r="J52" s="962"/>
      <c r="K52" s="622">
        <v>0</v>
      </c>
      <c r="L52" s="962"/>
      <c r="M52" s="962"/>
      <c r="N52" s="962"/>
      <c r="O52" s="622">
        <v>0</v>
      </c>
      <c r="P52" s="962"/>
      <c r="Q52" s="962"/>
      <c r="R52" s="962"/>
      <c r="S52" s="622">
        <v>0</v>
      </c>
      <c r="T52" s="962"/>
      <c r="U52" s="962"/>
      <c r="V52" s="962"/>
      <c r="W52" s="622">
        <v>0</v>
      </c>
      <c r="X52" s="962"/>
      <c r="Y52" s="962"/>
      <c r="Z52" s="962"/>
      <c r="AA52" s="622">
        <v>0</v>
      </c>
      <c r="AB52" s="975"/>
      <c r="AC52" s="962"/>
      <c r="AD52" s="999">
        <f>G52+K52+O52+S52+W52+AA52</f>
        <v>0</v>
      </c>
      <c r="AE52" s="971"/>
    </row>
    <row r="53" spans="1:515" ht="21" customHeight="1" x14ac:dyDescent="0.25">
      <c r="A53" s="1329" t="s">
        <v>360</v>
      </c>
      <c r="B53" s="1330"/>
      <c r="C53" s="1096" t="s">
        <v>361</v>
      </c>
      <c r="D53" s="962"/>
      <c r="E53" s="962"/>
      <c r="F53" s="962"/>
      <c r="G53" s="622">
        <v>0</v>
      </c>
      <c r="H53" s="988"/>
      <c r="I53" s="962"/>
      <c r="J53" s="962"/>
      <c r="K53" s="622">
        <v>0</v>
      </c>
      <c r="L53" s="962"/>
      <c r="M53" s="962"/>
      <c r="N53" s="962"/>
      <c r="O53" s="622">
        <v>0</v>
      </c>
      <c r="P53" s="962"/>
      <c r="Q53" s="962"/>
      <c r="R53" s="962"/>
      <c r="S53" s="622">
        <v>0</v>
      </c>
      <c r="T53" s="962"/>
      <c r="U53" s="962"/>
      <c r="V53" s="962"/>
      <c r="W53" s="622">
        <v>0</v>
      </c>
      <c r="X53" s="962"/>
      <c r="Y53" s="962"/>
      <c r="Z53" s="962"/>
      <c r="AA53" s="622">
        <v>0</v>
      </c>
      <c r="AB53" s="975"/>
      <c r="AC53" s="962"/>
      <c r="AD53" s="999">
        <f>G53+K53+O53+S53+W53+AA53</f>
        <v>0</v>
      </c>
      <c r="AE53" s="971"/>
    </row>
    <row r="54" spans="1:515" s="624" customFormat="1" ht="23.15" customHeight="1" x14ac:dyDescent="0.25">
      <c r="A54" s="1362" t="s">
        <v>352</v>
      </c>
      <c r="B54" s="1363"/>
      <c r="C54" s="1363"/>
      <c r="D54" s="962"/>
      <c r="E54" s="960"/>
      <c r="F54" s="976"/>
      <c r="G54" s="789">
        <f>SUM(G49:G53)</f>
        <v>0</v>
      </c>
      <c r="H54" s="962"/>
      <c r="I54" s="960"/>
      <c r="J54" s="981"/>
      <c r="K54" s="789">
        <f>SUM(K49:K53)</f>
        <v>0</v>
      </c>
      <c r="L54" s="962"/>
      <c r="M54" s="984"/>
      <c r="N54" s="984"/>
      <c r="O54" s="789">
        <f>SUM(O49:O53)</f>
        <v>0</v>
      </c>
      <c r="P54" s="962"/>
      <c r="Q54" s="962"/>
      <c r="R54" s="962"/>
      <c r="S54" s="789">
        <f>SUM(S49:S53)</f>
        <v>0</v>
      </c>
      <c r="T54" s="962"/>
      <c r="U54" s="1309"/>
      <c r="V54" s="1309"/>
      <c r="W54" s="625">
        <f>SUM(W49:W53)</f>
        <v>0</v>
      </c>
      <c r="X54" s="962"/>
      <c r="Y54" s="1309"/>
      <c r="Z54" s="1309"/>
      <c r="AA54" s="789">
        <f>SUM(AA49:AA53)</f>
        <v>0</v>
      </c>
      <c r="AB54" s="976"/>
      <c r="AC54" s="962"/>
      <c r="AD54" s="789">
        <f>G54+K54+O54+S54+W54+AA54</f>
        <v>0</v>
      </c>
      <c r="AE54" s="971"/>
      <c r="AF54" s="292"/>
      <c r="AG54" s="292"/>
      <c r="AH54" s="292"/>
      <c r="AI54" s="292"/>
      <c r="AJ54" s="292"/>
      <c r="AK54" s="292"/>
      <c r="AL54" s="292"/>
      <c r="AM54" s="292"/>
      <c r="AN54" s="292"/>
      <c r="AO54" s="292"/>
      <c r="AP54" s="292"/>
      <c r="AQ54" s="292"/>
      <c r="AR54" s="292"/>
      <c r="AS54" s="292"/>
      <c r="AT54" s="292"/>
      <c r="AU54" s="292"/>
      <c r="AV54" s="292"/>
      <c r="AW54" s="292"/>
      <c r="AX54" s="292"/>
      <c r="AY54" s="292"/>
      <c r="AZ54" s="292"/>
      <c r="BA54" s="292"/>
      <c r="BB54" s="292"/>
      <c r="BC54" s="292"/>
      <c r="BD54" s="292"/>
      <c r="BE54" s="292"/>
      <c r="BF54" s="292"/>
      <c r="BG54" s="292"/>
      <c r="BH54" s="292"/>
      <c r="BI54" s="292"/>
      <c r="BJ54" s="292"/>
      <c r="BK54" s="292"/>
      <c r="BL54" s="292"/>
      <c r="BM54" s="292"/>
      <c r="BN54" s="292"/>
      <c r="BO54" s="292"/>
      <c r="BP54" s="292"/>
      <c r="BQ54" s="292"/>
      <c r="BR54" s="292"/>
      <c r="BS54" s="292"/>
      <c r="BT54" s="292"/>
      <c r="BU54" s="292"/>
      <c r="BV54" s="292"/>
      <c r="BW54" s="292"/>
      <c r="BX54" s="292"/>
      <c r="BY54" s="292"/>
      <c r="BZ54" s="292"/>
      <c r="CA54" s="292"/>
      <c r="CB54" s="292"/>
      <c r="CC54" s="292"/>
      <c r="CD54" s="292"/>
      <c r="CE54" s="292"/>
      <c r="CF54" s="292"/>
      <c r="CG54" s="292"/>
      <c r="CH54" s="292"/>
      <c r="CI54" s="292"/>
      <c r="CJ54" s="292"/>
      <c r="CK54" s="292"/>
      <c r="CL54" s="292"/>
      <c r="CM54" s="292"/>
      <c r="CN54" s="292"/>
      <c r="CO54" s="292"/>
      <c r="CP54" s="292"/>
      <c r="CQ54" s="292"/>
      <c r="CR54" s="292"/>
      <c r="CS54" s="292"/>
      <c r="CT54" s="292"/>
      <c r="CU54" s="292"/>
      <c r="CV54" s="292"/>
      <c r="CW54" s="292"/>
      <c r="CX54" s="292"/>
      <c r="CY54" s="292"/>
      <c r="CZ54" s="292"/>
      <c r="DA54" s="292"/>
      <c r="DB54" s="292"/>
      <c r="DC54" s="292"/>
      <c r="DD54" s="292"/>
      <c r="DE54" s="292"/>
      <c r="DF54" s="292"/>
      <c r="DG54" s="292"/>
      <c r="DH54" s="292"/>
      <c r="DI54" s="292"/>
      <c r="DJ54" s="292"/>
      <c r="DK54" s="292"/>
      <c r="DL54" s="292"/>
      <c r="DM54" s="292"/>
      <c r="DN54" s="292"/>
      <c r="DO54" s="292"/>
      <c r="DP54" s="292"/>
      <c r="DQ54" s="292"/>
      <c r="DR54" s="292"/>
      <c r="DS54" s="292"/>
      <c r="DT54" s="292"/>
      <c r="DU54" s="292"/>
      <c r="DV54" s="292"/>
      <c r="DW54" s="292"/>
      <c r="DX54" s="292"/>
      <c r="DY54" s="292"/>
      <c r="DZ54" s="292"/>
      <c r="EA54" s="292"/>
      <c r="EB54" s="292"/>
      <c r="EC54" s="292"/>
      <c r="ED54" s="292"/>
      <c r="EE54" s="292"/>
      <c r="EF54" s="292"/>
      <c r="EG54" s="292"/>
      <c r="EH54" s="292"/>
      <c r="EI54" s="292"/>
      <c r="EJ54" s="292"/>
      <c r="EK54" s="292"/>
      <c r="EL54" s="292"/>
      <c r="EM54" s="292"/>
      <c r="EN54" s="292"/>
      <c r="EO54" s="292"/>
      <c r="EP54" s="292"/>
      <c r="EQ54" s="292"/>
      <c r="ER54" s="292"/>
      <c r="ES54" s="292"/>
      <c r="ET54" s="292"/>
      <c r="EU54" s="292"/>
      <c r="EV54" s="292"/>
      <c r="EW54" s="292"/>
      <c r="EX54" s="292"/>
      <c r="EY54" s="292"/>
      <c r="EZ54" s="292"/>
      <c r="FA54" s="292"/>
      <c r="FB54" s="292"/>
      <c r="FC54" s="292"/>
      <c r="FD54" s="292"/>
      <c r="FE54" s="292"/>
      <c r="FF54" s="292"/>
      <c r="FG54" s="292"/>
      <c r="FH54" s="292"/>
      <c r="FI54" s="292"/>
      <c r="FJ54" s="292"/>
      <c r="FK54" s="292"/>
      <c r="FL54" s="292"/>
      <c r="FM54" s="292"/>
      <c r="FN54" s="292"/>
      <c r="FO54" s="292"/>
      <c r="FP54" s="292"/>
      <c r="FQ54" s="292"/>
      <c r="FR54" s="292"/>
      <c r="FS54" s="292"/>
      <c r="FT54" s="292"/>
      <c r="FU54" s="292"/>
      <c r="FV54" s="292"/>
      <c r="FW54" s="292"/>
      <c r="FX54" s="292"/>
      <c r="FY54" s="292"/>
      <c r="FZ54" s="292"/>
      <c r="GA54" s="292"/>
      <c r="GB54" s="292"/>
      <c r="GC54" s="292"/>
      <c r="GD54" s="292"/>
      <c r="GE54" s="292"/>
      <c r="GF54" s="292"/>
      <c r="GG54" s="292"/>
      <c r="GH54" s="292"/>
      <c r="GI54" s="292"/>
      <c r="GJ54" s="292"/>
      <c r="GK54" s="292"/>
      <c r="GL54" s="292"/>
      <c r="GM54" s="292"/>
      <c r="GN54" s="292"/>
      <c r="GO54" s="292"/>
      <c r="GP54" s="292"/>
      <c r="GQ54" s="292"/>
      <c r="GR54" s="292"/>
      <c r="GS54" s="292"/>
      <c r="GT54" s="292"/>
      <c r="GU54" s="292"/>
      <c r="GV54" s="292"/>
      <c r="GW54" s="292"/>
      <c r="GX54" s="292"/>
      <c r="GY54" s="292"/>
      <c r="GZ54" s="292"/>
      <c r="HA54" s="292"/>
      <c r="HB54" s="292"/>
      <c r="HC54" s="292"/>
      <c r="HD54" s="292"/>
      <c r="HE54" s="292"/>
      <c r="HF54" s="292"/>
      <c r="HG54" s="292"/>
      <c r="HH54" s="292"/>
      <c r="HI54" s="292"/>
      <c r="HJ54" s="292"/>
      <c r="HK54" s="292"/>
      <c r="HL54" s="292"/>
      <c r="HM54" s="292"/>
      <c r="HN54" s="292"/>
      <c r="HO54" s="292"/>
      <c r="HP54" s="292"/>
      <c r="HQ54" s="292"/>
      <c r="HR54" s="292"/>
      <c r="HS54" s="292"/>
      <c r="HT54" s="292"/>
      <c r="HU54" s="292"/>
      <c r="HV54" s="292"/>
      <c r="HW54" s="292"/>
      <c r="HX54" s="292"/>
      <c r="HY54" s="292"/>
      <c r="HZ54" s="292"/>
      <c r="IA54" s="292"/>
      <c r="IB54" s="292"/>
      <c r="IC54" s="292"/>
      <c r="ID54" s="292"/>
      <c r="IE54" s="292"/>
      <c r="IF54" s="292"/>
      <c r="IG54" s="292"/>
      <c r="IH54" s="292"/>
      <c r="II54" s="292"/>
      <c r="IJ54" s="292"/>
      <c r="IK54" s="292"/>
      <c r="IL54" s="292"/>
      <c r="IM54" s="292"/>
      <c r="IN54" s="292"/>
      <c r="IO54" s="292"/>
      <c r="IP54" s="292"/>
      <c r="IQ54" s="292"/>
      <c r="IR54" s="292"/>
      <c r="IS54" s="292"/>
      <c r="IT54" s="292"/>
      <c r="IU54" s="292"/>
      <c r="IV54" s="292"/>
      <c r="IW54" s="292"/>
      <c r="IX54" s="292"/>
      <c r="IY54" s="292"/>
      <c r="IZ54" s="292"/>
      <c r="JA54" s="292"/>
      <c r="JB54" s="292"/>
      <c r="JC54" s="292"/>
      <c r="JD54" s="292"/>
      <c r="JE54" s="292"/>
      <c r="JF54" s="292"/>
      <c r="JG54" s="292"/>
      <c r="JH54" s="292"/>
      <c r="JI54" s="292"/>
      <c r="JJ54" s="292"/>
      <c r="JK54" s="292"/>
      <c r="JL54" s="292"/>
      <c r="JM54" s="292"/>
      <c r="JN54" s="292"/>
      <c r="JO54" s="292"/>
      <c r="JP54" s="292"/>
      <c r="JQ54" s="292"/>
      <c r="JR54" s="292"/>
      <c r="JS54" s="292"/>
      <c r="JT54" s="292"/>
      <c r="JU54" s="292"/>
      <c r="JV54" s="292"/>
      <c r="JW54" s="292"/>
      <c r="JX54" s="292"/>
      <c r="JY54" s="292"/>
      <c r="JZ54" s="292"/>
      <c r="KA54" s="292"/>
      <c r="KB54" s="292"/>
      <c r="KC54" s="292"/>
      <c r="KD54" s="292"/>
      <c r="KE54" s="292"/>
      <c r="KF54" s="292"/>
      <c r="KG54" s="292"/>
      <c r="KH54" s="292"/>
      <c r="KI54" s="292"/>
      <c r="KJ54" s="292"/>
      <c r="KK54" s="292"/>
      <c r="KL54" s="292"/>
      <c r="KM54" s="292"/>
      <c r="KN54" s="292"/>
      <c r="KO54" s="292"/>
      <c r="KP54" s="292"/>
      <c r="KQ54" s="292"/>
      <c r="KR54" s="292"/>
      <c r="KS54" s="292"/>
      <c r="KT54" s="292"/>
      <c r="KU54" s="292"/>
      <c r="KV54" s="292"/>
      <c r="KW54" s="292"/>
      <c r="KX54" s="292"/>
      <c r="KY54" s="292"/>
      <c r="KZ54" s="292"/>
      <c r="LA54" s="292"/>
      <c r="LB54" s="292"/>
      <c r="LC54" s="292"/>
      <c r="LD54" s="292"/>
      <c r="LE54" s="292"/>
      <c r="LF54" s="292"/>
      <c r="LG54" s="292"/>
      <c r="LH54" s="292"/>
      <c r="LI54" s="292"/>
      <c r="LJ54" s="292"/>
      <c r="LK54" s="292"/>
      <c r="LL54" s="292"/>
      <c r="LM54" s="292"/>
      <c r="LN54" s="292"/>
      <c r="LO54" s="292"/>
      <c r="LP54" s="292"/>
      <c r="LQ54" s="292"/>
      <c r="LR54" s="292"/>
      <c r="LS54" s="292"/>
      <c r="LT54" s="292"/>
      <c r="LU54" s="292"/>
      <c r="LV54" s="292"/>
      <c r="LW54" s="292"/>
      <c r="LX54" s="292"/>
      <c r="LY54" s="292"/>
      <c r="LZ54" s="292"/>
      <c r="MA54" s="292"/>
      <c r="MB54" s="292"/>
      <c r="MC54" s="292"/>
      <c r="MD54" s="292"/>
      <c r="ME54" s="292"/>
      <c r="MF54" s="292"/>
      <c r="MG54" s="292"/>
      <c r="MH54" s="292"/>
      <c r="MI54" s="292"/>
      <c r="MJ54" s="292"/>
      <c r="MK54" s="292"/>
      <c r="ML54" s="292"/>
      <c r="MM54" s="292"/>
      <c r="MN54" s="292"/>
      <c r="MO54" s="292"/>
      <c r="MP54" s="292"/>
      <c r="MQ54" s="292"/>
      <c r="MR54" s="292"/>
      <c r="MS54" s="292"/>
      <c r="MT54" s="292"/>
      <c r="MU54" s="292"/>
      <c r="MV54" s="292"/>
      <c r="MW54" s="292"/>
      <c r="MX54" s="292"/>
      <c r="MY54" s="292"/>
      <c r="MZ54" s="292"/>
      <c r="NA54" s="292"/>
      <c r="NB54" s="292"/>
      <c r="NC54" s="292"/>
      <c r="ND54" s="292"/>
      <c r="NE54" s="292"/>
      <c r="NF54" s="292"/>
      <c r="NG54" s="292"/>
      <c r="NH54" s="292"/>
      <c r="NI54" s="292"/>
      <c r="NJ54" s="292"/>
      <c r="NK54" s="292"/>
      <c r="NL54" s="292"/>
      <c r="NM54" s="292"/>
      <c r="NN54" s="292"/>
      <c r="NO54" s="292"/>
      <c r="NP54" s="292"/>
      <c r="NQ54" s="292"/>
      <c r="NR54" s="292"/>
      <c r="NS54" s="292"/>
      <c r="NT54" s="292"/>
      <c r="NU54" s="292"/>
      <c r="NV54" s="292"/>
      <c r="NW54" s="292"/>
      <c r="NX54" s="292"/>
      <c r="NY54" s="292"/>
      <c r="NZ54" s="292"/>
      <c r="OA54" s="292"/>
      <c r="OB54" s="292"/>
      <c r="OC54" s="292"/>
      <c r="OD54" s="292"/>
      <c r="OE54" s="292"/>
      <c r="OF54" s="292"/>
      <c r="OG54" s="292"/>
      <c r="OH54" s="292"/>
      <c r="OI54" s="292"/>
      <c r="OJ54" s="292"/>
      <c r="OK54" s="292"/>
      <c r="OL54" s="292"/>
      <c r="OM54" s="292"/>
      <c r="ON54" s="292"/>
      <c r="OO54" s="292"/>
      <c r="OP54" s="292"/>
      <c r="OQ54" s="292"/>
      <c r="OR54" s="292"/>
      <c r="OS54" s="292"/>
      <c r="OT54" s="292"/>
      <c r="OU54" s="292"/>
      <c r="OV54" s="292"/>
      <c r="OW54" s="292"/>
      <c r="OX54" s="292"/>
      <c r="OY54" s="292"/>
      <c r="OZ54" s="292"/>
      <c r="PA54" s="292"/>
      <c r="PB54" s="292"/>
      <c r="PC54" s="292"/>
      <c r="PD54" s="292"/>
      <c r="PE54" s="292"/>
      <c r="PF54" s="292"/>
      <c r="PG54" s="292"/>
      <c r="PH54" s="292"/>
      <c r="PI54" s="292"/>
      <c r="PJ54" s="292"/>
      <c r="PK54" s="292"/>
      <c r="PL54" s="292"/>
      <c r="PM54" s="292"/>
      <c r="PN54" s="292"/>
      <c r="PO54" s="292"/>
      <c r="PP54" s="292"/>
      <c r="PQ54" s="292"/>
      <c r="PR54" s="292"/>
      <c r="PS54" s="292"/>
      <c r="PT54" s="292"/>
      <c r="PU54" s="292"/>
      <c r="PV54" s="292"/>
      <c r="PW54" s="292"/>
      <c r="PX54" s="292"/>
      <c r="PY54" s="292"/>
      <c r="PZ54" s="292"/>
      <c r="QA54" s="292"/>
      <c r="QB54" s="292"/>
      <c r="QC54" s="292"/>
      <c r="QD54" s="292"/>
      <c r="QE54" s="292"/>
      <c r="QF54" s="292"/>
      <c r="QG54" s="292"/>
      <c r="QH54" s="292"/>
      <c r="QI54" s="292"/>
      <c r="QJ54" s="292"/>
      <c r="QK54" s="292"/>
      <c r="QL54" s="292"/>
      <c r="QM54" s="292"/>
      <c r="QN54" s="292"/>
      <c r="QO54" s="292"/>
      <c r="QP54" s="292"/>
      <c r="QQ54" s="292"/>
      <c r="QR54" s="292"/>
      <c r="QS54" s="292"/>
      <c r="QT54" s="292"/>
      <c r="QU54" s="292"/>
      <c r="QV54" s="292"/>
      <c r="QW54" s="292"/>
      <c r="QX54" s="292"/>
      <c r="QY54" s="292"/>
      <c r="QZ54" s="292"/>
      <c r="RA54" s="292"/>
      <c r="RB54" s="292"/>
      <c r="RC54" s="292"/>
      <c r="RD54" s="292"/>
      <c r="RE54" s="292"/>
      <c r="RF54" s="292"/>
      <c r="RG54" s="292"/>
      <c r="RH54" s="292"/>
      <c r="RI54" s="292"/>
      <c r="RJ54" s="292"/>
      <c r="RK54" s="292"/>
      <c r="RL54" s="292"/>
      <c r="RM54" s="292"/>
      <c r="RN54" s="292"/>
      <c r="RO54" s="292"/>
      <c r="RP54" s="292"/>
      <c r="RQ54" s="292"/>
      <c r="RR54" s="292"/>
      <c r="RS54" s="292"/>
      <c r="RT54" s="292"/>
      <c r="RU54" s="292"/>
      <c r="RV54" s="292"/>
      <c r="RW54" s="292"/>
      <c r="RX54" s="292"/>
      <c r="RY54" s="292"/>
      <c r="RZ54" s="292"/>
      <c r="SA54" s="292"/>
      <c r="SB54" s="292"/>
      <c r="SC54" s="292"/>
      <c r="SD54" s="292"/>
      <c r="SE54" s="292"/>
      <c r="SF54" s="292"/>
      <c r="SG54" s="292"/>
      <c r="SH54" s="292"/>
      <c r="SI54" s="292"/>
      <c r="SJ54" s="292"/>
      <c r="SK54" s="292"/>
      <c r="SL54" s="292"/>
      <c r="SM54" s="292"/>
      <c r="SN54" s="292"/>
      <c r="SO54" s="292"/>
      <c r="SP54" s="292"/>
      <c r="SQ54" s="292"/>
      <c r="SR54" s="292"/>
      <c r="SS54" s="292"/>
      <c r="ST54" s="292"/>
      <c r="SU54" s="292"/>
    </row>
    <row r="55" spans="1:515" s="620" customFormat="1" ht="15" customHeight="1" x14ac:dyDescent="0.25">
      <c r="A55" s="986"/>
      <c r="B55" s="984"/>
      <c r="C55" s="984"/>
      <c r="D55" s="962"/>
      <c r="E55" s="960"/>
      <c r="F55" s="976"/>
      <c r="G55" s="981"/>
      <c r="H55" s="962"/>
      <c r="I55" s="960"/>
      <c r="J55" s="981"/>
      <c r="K55" s="981"/>
      <c r="L55" s="962"/>
      <c r="M55" s="984"/>
      <c r="N55" s="984"/>
      <c r="O55" s="981"/>
      <c r="P55" s="962"/>
      <c r="Q55" s="962"/>
      <c r="R55" s="962"/>
      <c r="S55" s="976"/>
      <c r="T55" s="962"/>
      <c r="U55" s="1177"/>
      <c r="V55" s="1177"/>
      <c r="W55" s="976"/>
      <c r="X55" s="962"/>
      <c r="Y55" s="1177"/>
      <c r="Z55" s="1177"/>
      <c r="AA55" s="981"/>
      <c r="AB55" s="976"/>
      <c r="AC55" s="962"/>
      <c r="AD55" s="981"/>
      <c r="AE55" s="971"/>
      <c r="AF55" s="292"/>
      <c r="AG55" s="292"/>
      <c r="AH55" s="292"/>
      <c r="AI55" s="292"/>
      <c r="AJ55" s="292"/>
      <c r="AK55" s="292"/>
      <c r="AL55" s="292"/>
      <c r="AM55" s="292"/>
      <c r="AN55" s="292"/>
      <c r="AO55" s="292"/>
      <c r="AP55" s="292"/>
      <c r="AQ55" s="292"/>
      <c r="AR55" s="292"/>
      <c r="AS55" s="292"/>
      <c r="AT55" s="292"/>
      <c r="AU55" s="292"/>
      <c r="AV55" s="292"/>
      <c r="AW55" s="292"/>
      <c r="AX55" s="292"/>
      <c r="AY55" s="292"/>
      <c r="AZ55" s="292"/>
      <c r="BA55" s="292"/>
      <c r="BB55" s="292"/>
      <c r="BC55" s="292"/>
      <c r="BD55" s="292"/>
      <c r="BE55" s="292"/>
      <c r="BF55" s="292"/>
      <c r="BG55" s="292"/>
      <c r="BH55" s="292"/>
      <c r="BI55" s="292"/>
      <c r="BJ55" s="292"/>
      <c r="BK55" s="292"/>
      <c r="BL55" s="292"/>
    </row>
    <row r="56" spans="1:515" s="478" customFormat="1" ht="23.15" customHeight="1" x14ac:dyDescent="0.25">
      <c r="A56" s="1346" t="s">
        <v>362</v>
      </c>
      <c r="B56" s="1308"/>
      <c r="C56" s="1308"/>
      <c r="D56" s="957"/>
      <c r="E56" s="1172">
        <v>0</v>
      </c>
      <c r="F56" s="1172" t="s">
        <v>363</v>
      </c>
      <c r="G56" s="1172" t="s">
        <v>364</v>
      </c>
      <c r="H56" s="957"/>
      <c r="I56" s="1172" t="s">
        <v>15</v>
      </c>
      <c r="J56" s="1172" t="s">
        <v>363</v>
      </c>
      <c r="K56" s="1172" t="s">
        <v>364</v>
      </c>
      <c r="L56" s="957"/>
      <c r="M56" s="1172" t="s">
        <v>15</v>
      </c>
      <c r="N56" s="1172" t="s">
        <v>363</v>
      </c>
      <c r="O56" s="1172" t="s">
        <v>364</v>
      </c>
      <c r="P56" s="957"/>
      <c r="Q56" s="1172" t="s">
        <v>15</v>
      </c>
      <c r="R56" s="1172" t="s">
        <v>363</v>
      </c>
      <c r="S56" s="1172" t="s">
        <v>364</v>
      </c>
      <c r="T56" s="957"/>
      <c r="U56" s="1172" t="s">
        <v>15</v>
      </c>
      <c r="V56" s="1172" t="s">
        <v>363</v>
      </c>
      <c r="W56" s="1172" t="s">
        <v>364</v>
      </c>
      <c r="X56" s="957"/>
      <c r="Y56" s="1172" t="s">
        <v>15</v>
      </c>
      <c r="Z56" s="1172" t="s">
        <v>363</v>
      </c>
      <c r="AA56" s="1172" t="s">
        <v>364</v>
      </c>
      <c r="AB56" s="957"/>
      <c r="AC56" s="957"/>
      <c r="AD56" s="1172" t="s">
        <v>138</v>
      </c>
      <c r="AE56" s="971"/>
      <c r="AF56" s="292"/>
      <c r="AG56" s="292"/>
      <c r="AH56" s="292"/>
      <c r="AI56" s="292"/>
      <c r="AJ56" s="292"/>
      <c r="AK56" s="292"/>
      <c r="AL56" s="292"/>
      <c r="AM56" s="292"/>
      <c r="AN56" s="292"/>
      <c r="AO56" s="292"/>
      <c r="AP56" s="292"/>
      <c r="AQ56" s="292"/>
      <c r="AR56" s="292"/>
      <c r="AS56" s="292"/>
      <c r="AT56" s="292"/>
      <c r="AU56" s="292"/>
      <c r="AV56" s="292"/>
      <c r="AW56" s="292"/>
      <c r="AX56" s="292"/>
      <c r="AY56" s="292"/>
      <c r="AZ56" s="292"/>
      <c r="BA56" s="292"/>
      <c r="BB56" s="292"/>
      <c r="BC56" s="292"/>
      <c r="BD56" s="292"/>
      <c r="BE56" s="292"/>
      <c r="BF56" s="292"/>
      <c r="BG56" s="292"/>
      <c r="BH56" s="292"/>
      <c r="BI56" s="292"/>
      <c r="BJ56" s="292"/>
      <c r="BK56" s="292"/>
      <c r="BL56" s="292"/>
      <c r="BM56" s="292"/>
      <c r="BN56" s="292"/>
      <c r="BO56" s="292"/>
      <c r="BP56" s="292"/>
      <c r="BQ56" s="292"/>
      <c r="BR56" s="292"/>
      <c r="BS56" s="292"/>
      <c r="BT56" s="292"/>
      <c r="BU56" s="292"/>
      <c r="BV56" s="292"/>
      <c r="BW56" s="292"/>
      <c r="BX56" s="292"/>
      <c r="BY56" s="292"/>
      <c r="BZ56" s="292"/>
      <c r="CA56" s="292"/>
      <c r="CB56" s="292"/>
      <c r="CC56" s="292"/>
      <c r="CD56" s="292"/>
      <c r="CE56" s="292"/>
      <c r="CF56" s="292"/>
      <c r="CG56" s="292"/>
      <c r="CH56" s="292"/>
      <c r="CI56" s="292"/>
      <c r="CJ56" s="292"/>
      <c r="CK56" s="292"/>
      <c r="CL56" s="292"/>
      <c r="CM56" s="292"/>
      <c r="CN56" s="292"/>
      <c r="CO56" s="292"/>
      <c r="CP56" s="292"/>
      <c r="CQ56" s="292"/>
      <c r="CR56" s="292"/>
      <c r="CS56" s="292"/>
      <c r="CT56" s="292"/>
      <c r="CU56" s="292"/>
      <c r="CV56" s="292"/>
      <c r="CW56" s="292"/>
      <c r="CX56" s="292"/>
      <c r="CY56" s="292"/>
      <c r="CZ56" s="292"/>
      <c r="DA56" s="292"/>
      <c r="DB56" s="292"/>
      <c r="DC56" s="292"/>
      <c r="DD56" s="292"/>
      <c r="DE56" s="292"/>
      <c r="DF56" s="292"/>
      <c r="DG56" s="292"/>
      <c r="DH56" s="292"/>
      <c r="DI56" s="292"/>
      <c r="DJ56" s="292"/>
      <c r="DK56" s="292"/>
      <c r="DL56" s="292"/>
      <c r="DM56" s="292"/>
      <c r="DN56" s="292"/>
      <c r="DO56" s="292"/>
      <c r="DP56" s="292"/>
      <c r="DQ56" s="292"/>
      <c r="DR56" s="292"/>
      <c r="DS56" s="292"/>
      <c r="DT56" s="292"/>
      <c r="DU56" s="292"/>
      <c r="DV56" s="292"/>
      <c r="DW56" s="292"/>
      <c r="DX56" s="292"/>
      <c r="DY56" s="292"/>
      <c r="DZ56" s="292"/>
      <c r="EA56" s="292"/>
      <c r="EB56" s="292"/>
      <c r="EC56" s="292"/>
      <c r="ED56" s="292"/>
      <c r="EE56" s="292"/>
      <c r="EF56" s="292"/>
      <c r="EG56" s="292"/>
      <c r="EH56" s="292"/>
      <c r="EI56" s="292"/>
      <c r="EJ56" s="292"/>
      <c r="EK56" s="292"/>
      <c r="EL56" s="292"/>
      <c r="EM56" s="292"/>
      <c r="EN56" s="292"/>
      <c r="EO56" s="292"/>
      <c r="EP56" s="292"/>
      <c r="EQ56" s="292"/>
      <c r="ER56" s="292"/>
      <c r="ES56" s="292"/>
      <c r="ET56" s="292"/>
      <c r="EU56" s="292"/>
      <c r="EV56" s="292"/>
      <c r="EW56" s="292"/>
      <c r="EX56" s="292"/>
      <c r="EY56" s="292"/>
      <c r="EZ56" s="292"/>
      <c r="FA56" s="292"/>
      <c r="FB56" s="292"/>
      <c r="FC56" s="292"/>
      <c r="FD56" s="292"/>
      <c r="FE56" s="292"/>
      <c r="FF56" s="292"/>
      <c r="FG56" s="292"/>
      <c r="FH56" s="292"/>
      <c r="FI56" s="292"/>
      <c r="FJ56" s="292"/>
      <c r="FK56" s="292"/>
      <c r="FL56" s="292"/>
      <c r="FM56" s="292"/>
      <c r="FN56" s="292"/>
      <c r="FO56" s="292"/>
      <c r="FP56" s="292"/>
      <c r="FQ56" s="292"/>
      <c r="FR56" s="292"/>
      <c r="FS56" s="292"/>
      <c r="FT56" s="292"/>
      <c r="FU56" s="292"/>
      <c r="FV56" s="292"/>
      <c r="FW56" s="292"/>
      <c r="FX56" s="292"/>
      <c r="FY56" s="292"/>
      <c r="FZ56" s="292"/>
      <c r="GA56" s="292"/>
      <c r="GB56" s="292"/>
      <c r="GC56" s="292"/>
      <c r="GD56" s="292"/>
      <c r="GE56" s="292"/>
      <c r="GF56" s="292"/>
      <c r="GG56" s="292"/>
      <c r="GH56" s="292"/>
      <c r="GI56" s="292"/>
      <c r="GJ56" s="292"/>
      <c r="GK56" s="292"/>
      <c r="GL56" s="292"/>
      <c r="GM56" s="292"/>
      <c r="GN56" s="292"/>
      <c r="GO56" s="292"/>
      <c r="GP56" s="292"/>
      <c r="GQ56" s="292"/>
      <c r="GR56" s="292"/>
      <c r="GS56" s="292"/>
      <c r="GT56" s="292"/>
      <c r="GU56" s="292"/>
      <c r="GV56" s="292"/>
      <c r="GW56" s="292"/>
      <c r="GX56" s="292"/>
      <c r="GY56" s="292"/>
      <c r="GZ56" s="292"/>
      <c r="HA56" s="292"/>
      <c r="HB56" s="292"/>
      <c r="HC56" s="292"/>
      <c r="HD56" s="292"/>
      <c r="HE56" s="292"/>
      <c r="HF56" s="292"/>
      <c r="HG56" s="292"/>
      <c r="HH56" s="292"/>
      <c r="HI56" s="292"/>
      <c r="HJ56" s="292"/>
      <c r="HK56" s="292"/>
      <c r="HL56" s="292"/>
      <c r="HM56" s="292"/>
      <c r="HN56" s="292"/>
      <c r="HO56" s="292"/>
      <c r="HP56" s="292"/>
      <c r="HQ56" s="292"/>
      <c r="HR56" s="292"/>
      <c r="HS56" s="292"/>
      <c r="HT56" s="292"/>
      <c r="HU56" s="292"/>
      <c r="HV56" s="292"/>
      <c r="HW56" s="292"/>
      <c r="HX56" s="292"/>
      <c r="HY56" s="292"/>
      <c r="HZ56" s="292"/>
      <c r="IA56" s="292"/>
      <c r="IB56" s="292"/>
      <c r="IC56" s="292"/>
      <c r="ID56" s="292"/>
      <c r="IE56" s="292"/>
      <c r="IF56" s="292"/>
      <c r="IG56" s="292"/>
      <c r="IH56" s="292"/>
      <c r="II56" s="292"/>
      <c r="IJ56" s="292"/>
      <c r="IK56" s="292"/>
      <c r="IL56" s="292"/>
      <c r="IM56" s="292"/>
      <c r="IN56" s="292"/>
      <c r="IO56" s="292"/>
      <c r="IP56" s="292"/>
      <c r="IQ56" s="292"/>
      <c r="IR56" s="292"/>
      <c r="IS56" s="292"/>
      <c r="IT56" s="292"/>
      <c r="IU56" s="292"/>
      <c r="IV56" s="292"/>
      <c r="IW56" s="292"/>
      <c r="IX56" s="292"/>
      <c r="IY56" s="292"/>
      <c r="IZ56" s="292"/>
      <c r="JA56" s="292"/>
      <c r="JB56" s="292"/>
      <c r="JC56" s="292"/>
      <c r="JD56" s="292"/>
      <c r="JE56" s="292"/>
      <c r="JF56" s="292"/>
      <c r="JG56" s="292"/>
      <c r="JH56" s="292"/>
      <c r="JI56" s="292"/>
      <c r="JJ56" s="292"/>
      <c r="JK56" s="292"/>
      <c r="JL56" s="292"/>
      <c r="JM56" s="292"/>
      <c r="JN56" s="292"/>
      <c r="JO56" s="292"/>
      <c r="JP56" s="292"/>
      <c r="JQ56" s="292"/>
      <c r="JR56" s="292"/>
      <c r="JS56" s="292"/>
      <c r="JT56" s="292"/>
      <c r="JU56" s="292"/>
      <c r="JV56" s="292"/>
      <c r="JW56" s="292"/>
      <c r="JX56" s="292"/>
      <c r="JY56" s="292"/>
      <c r="JZ56" s="292"/>
      <c r="KA56" s="292"/>
      <c r="KB56" s="292"/>
      <c r="KC56" s="292"/>
      <c r="KD56" s="292"/>
      <c r="KE56" s="292"/>
      <c r="KF56" s="292"/>
      <c r="KG56" s="292"/>
      <c r="KH56" s="292"/>
      <c r="KI56" s="292"/>
      <c r="KJ56" s="292"/>
      <c r="KK56" s="292"/>
      <c r="KL56" s="292"/>
      <c r="KM56" s="292"/>
      <c r="KN56" s="292"/>
      <c r="KO56" s="292"/>
      <c r="KP56" s="292"/>
      <c r="KQ56" s="292"/>
      <c r="KR56" s="292"/>
      <c r="KS56" s="292"/>
      <c r="KT56" s="292"/>
      <c r="KU56" s="292"/>
      <c r="KV56" s="292"/>
      <c r="KW56" s="292"/>
      <c r="KX56" s="292"/>
      <c r="KY56" s="292"/>
      <c r="KZ56" s="292"/>
      <c r="LA56" s="292"/>
      <c r="LB56" s="292"/>
      <c r="LC56" s="292"/>
      <c r="LD56" s="292"/>
      <c r="LE56" s="292"/>
      <c r="LF56" s="292"/>
      <c r="LG56" s="292"/>
      <c r="LH56" s="292"/>
      <c r="LI56" s="292"/>
      <c r="LJ56" s="292"/>
      <c r="LK56" s="292"/>
      <c r="LL56" s="292"/>
      <c r="LM56" s="292"/>
      <c r="LN56" s="292"/>
      <c r="LO56" s="292"/>
      <c r="LP56" s="292"/>
      <c r="LQ56" s="292"/>
      <c r="LR56" s="292"/>
      <c r="LS56" s="292"/>
      <c r="LT56" s="292"/>
      <c r="LU56" s="292"/>
      <c r="LV56" s="292"/>
      <c r="LW56" s="292"/>
      <c r="LX56" s="292"/>
      <c r="LY56" s="292"/>
      <c r="LZ56" s="292"/>
      <c r="MA56" s="292"/>
      <c r="MB56" s="292"/>
      <c r="MC56" s="292"/>
      <c r="MD56" s="292"/>
      <c r="ME56" s="292"/>
      <c r="MF56" s="292"/>
      <c r="MG56" s="292"/>
      <c r="MH56" s="292"/>
      <c r="MI56" s="292"/>
      <c r="MJ56" s="292"/>
      <c r="MK56" s="292"/>
      <c r="ML56" s="292"/>
      <c r="MM56" s="292"/>
      <c r="MN56" s="292"/>
      <c r="MO56" s="292"/>
      <c r="MP56" s="292"/>
      <c r="MQ56" s="292"/>
      <c r="MR56" s="292"/>
      <c r="MS56" s="292"/>
      <c r="MT56" s="292"/>
      <c r="MU56" s="292"/>
      <c r="MV56" s="292"/>
      <c r="MW56" s="292"/>
      <c r="MX56" s="292"/>
      <c r="MY56" s="292"/>
      <c r="MZ56" s="292"/>
      <c r="NA56" s="292"/>
      <c r="NB56" s="292"/>
      <c r="NC56" s="292"/>
      <c r="ND56" s="292"/>
      <c r="NE56" s="292"/>
      <c r="NF56" s="292"/>
      <c r="NG56" s="292"/>
      <c r="NH56" s="292"/>
      <c r="NI56" s="292"/>
      <c r="NJ56" s="292"/>
      <c r="NK56" s="292"/>
      <c r="NL56" s="292"/>
      <c r="NM56" s="292"/>
      <c r="NN56" s="292"/>
      <c r="NO56" s="292"/>
      <c r="NP56" s="292"/>
      <c r="NQ56" s="292"/>
      <c r="NR56" s="292"/>
      <c r="NS56" s="292"/>
      <c r="NT56" s="292"/>
      <c r="NU56" s="292"/>
      <c r="NV56" s="292"/>
      <c r="NW56" s="292"/>
      <c r="NX56" s="292"/>
      <c r="NY56" s="292"/>
      <c r="NZ56" s="292"/>
      <c r="OA56" s="292"/>
      <c r="OB56" s="292"/>
      <c r="OC56" s="292"/>
      <c r="OD56" s="292"/>
      <c r="OE56" s="292"/>
      <c r="OF56" s="292"/>
      <c r="OG56" s="292"/>
      <c r="OH56" s="292"/>
      <c r="OI56" s="292"/>
      <c r="OJ56" s="292"/>
      <c r="OK56" s="292"/>
      <c r="OL56" s="292"/>
      <c r="OM56" s="292"/>
      <c r="ON56" s="292"/>
      <c r="OO56" s="292"/>
      <c r="OP56" s="292"/>
      <c r="OQ56" s="292"/>
      <c r="OR56" s="292"/>
      <c r="OS56" s="292"/>
      <c r="OT56" s="292"/>
      <c r="OU56" s="292"/>
      <c r="OV56" s="292"/>
      <c r="OW56" s="292"/>
      <c r="OX56" s="292"/>
      <c r="OY56" s="292"/>
      <c r="OZ56" s="292"/>
      <c r="PA56" s="292"/>
      <c r="PB56" s="292"/>
      <c r="PC56" s="292"/>
      <c r="PD56" s="292"/>
      <c r="PE56" s="292"/>
      <c r="PF56" s="292"/>
      <c r="PG56" s="292"/>
      <c r="PH56" s="292"/>
      <c r="PI56" s="292"/>
      <c r="PJ56" s="292"/>
      <c r="PK56" s="292"/>
      <c r="PL56" s="292"/>
      <c r="PM56" s="292"/>
      <c r="PN56" s="292"/>
      <c r="PO56" s="292"/>
      <c r="PP56" s="292"/>
      <c r="PQ56" s="292"/>
      <c r="PR56" s="292"/>
      <c r="PS56" s="292"/>
      <c r="PT56" s="292"/>
      <c r="PU56" s="292"/>
      <c r="PV56" s="292"/>
      <c r="PW56" s="292"/>
      <c r="PX56" s="292"/>
      <c r="PY56" s="292"/>
      <c r="PZ56" s="292"/>
      <c r="QA56" s="292"/>
      <c r="QB56" s="292"/>
      <c r="QC56" s="292"/>
      <c r="QD56" s="292"/>
      <c r="QE56" s="292"/>
      <c r="QF56" s="292"/>
      <c r="QG56" s="292"/>
      <c r="QH56" s="292"/>
      <c r="QI56" s="292"/>
      <c r="QJ56" s="292"/>
      <c r="QK56" s="292"/>
      <c r="QL56" s="292"/>
      <c r="QM56" s="292"/>
      <c r="QN56" s="292"/>
      <c r="QO56" s="292"/>
      <c r="QP56" s="292"/>
      <c r="QQ56" s="292"/>
      <c r="QR56" s="292"/>
      <c r="QS56" s="292"/>
      <c r="QT56" s="292"/>
      <c r="QU56" s="292"/>
      <c r="QV56" s="292"/>
      <c r="QW56" s="292"/>
      <c r="QX56" s="292"/>
      <c r="QY56" s="292"/>
      <c r="QZ56" s="292"/>
      <c r="RA56" s="292"/>
      <c r="RB56" s="292"/>
      <c r="RC56" s="292"/>
      <c r="RD56" s="292"/>
      <c r="RE56" s="292"/>
      <c r="RF56" s="292"/>
      <c r="RG56" s="292"/>
      <c r="RH56" s="292"/>
      <c r="RI56" s="292"/>
      <c r="RJ56" s="292"/>
      <c r="RK56" s="292"/>
      <c r="RL56" s="292"/>
      <c r="RM56" s="292"/>
      <c r="RN56" s="292"/>
      <c r="RO56" s="292"/>
      <c r="RP56" s="292"/>
      <c r="RQ56" s="292"/>
      <c r="RR56" s="292"/>
      <c r="RS56" s="292"/>
      <c r="RT56" s="292"/>
      <c r="RU56" s="292"/>
      <c r="RV56" s="292"/>
      <c r="RW56" s="292"/>
      <c r="RX56" s="292"/>
      <c r="RY56" s="292"/>
      <c r="RZ56" s="292"/>
      <c r="SA56" s="292"/>
      <c r="SB56" s="292"/>
      <c r="SC56" s="292"/>
      <c r="SD56" s="292"/>
      <c r="SE56" s="292"/>
      <c r="SF56" s="292"/>
      <c r="SG56" s="292"/>
      <c r="SH56" s="292"/>
      <c r="SI56" s="292"/>
      <c r="SJ56" s="292"/>
      <c r="SK56" s="292"/>
      <c r="SL56" s="292"/>
      <c r="SM56" s="292"/>
      <c r="SN56" s="292"/>
      <c r="SO56" s="292"/>
      <c r="SP56" s="292"/>
      <c r="SQ56" s="292"/>
      <c r="SR56" s="292"/>
      <c r="SS56" s="292"/>
      <c r="ST56" s="292"/>
      <c r="SU56" s="292"/>
    </row>
    <row r="57" spans="1:515" ht="15" customHeight="1" x14ac:dyDescent="0.25">
      <c r="A57" s="1349" t="s">
        <v>365</v>
      </c>
      <c r="B57" s="1350"/>
      <c r="C57" s="1350"/>
      <c r="D57" s="957"/>
      <c r="E57" s="622">
        <v>0</v>
      </c>
      <c r="F57" s="626">
        <v>0</v>
      </c>
      <c r="G57" s="1000">
        <f>E57*F57</f>
        <v>0</v>
      </c>
      <c r="H57" s="957"/>
      <c r="I57" s="622">
        <v>0</v>
      </c>
      <c r="J57" s="626">
        <v>0</v>
      </c>
      <c r="K57" s="1000">
        <f>I57*J57</f>
        <v>0</v>
      </c>
      <c r="L57" s="957"/>
      <c r="M57" s="622">
        <v>0</v>
      </c>
      <c r="N57" s="626">
        <v>0</v>
      </c>
      <c r="O57" s="1000">
        <f>M57*N57</f>
        <v>0</v>
      </c>
      <c r="P57" s="957"/>
      <c r="Q57" s="622">
        <v>0</v>
      </c>
      <c r="R57" s="626">
        <v>0</v>
      </c>
      <c r="S57" s="1000">
        <f>Q57*R57</f>
        <v>0</v>
      </c>
      <c r="T57" s="957"/>
      <c r="U57" s="622">
        <v>0</v>
      </c>
      <c r="V57" s="626">
        <v>0</v>
      </c>
      <c r="W57" s="1000">
        <f>U57*V57</f>
        <v>0</v>
      </c>
      <c r="X57" s="957"/>
      <c r="Y57" s="622">
        <v>0</v>
      </c>
      <c r="Z57" s="626">
        <v>0</v>
      </c>
      <c r="AA57" s="1000">
        <f>Y57*Z57</f>
        <v>0</v>
      </c>
      <c r="AB57" s="975"/>
      <c r="AC57" s="957"/>
      <c r="AD57" s="1000">
        <f>G57+K57+O57+S57+W57+AA57</f>
        <v>0</v>
      </c>
      <c r="AE57" s="971"/>
    </row>
    <row r="58" spans="1:515" ht="15" customHeight="1" x14ac:dyDescent="0.25">
      <c r="A58" s="1349" t="s">
        <v>366</v>
      </c>
      <c r="B58" s="1350"/>
      <c r="C58" s="1350"/>
      <c r="D58" s="957"/>
      <c r="E58" s="622">
        <v>0</v>
      </c>
      <c r="F58" s="626">
        <v>0</v>
      </c>
      <c r="G58" s="1000">
        <f>E58*F58</f>
        <v>0</v>
      </c>
      <c r="H58" s="957"/>
      <c r="I58" s="622">
        <v>0</v>
      </c>
      <c r="J58" s="626">
        <v>0</v>
      </c>
      <c r="K58" s="1000">
        <f>I58*J58</f>
        <v>0</v>
      </c>
      <c r="L58" s="957"/>
      <c r="M58" s="622">
        <v>0</v>
      </c>
      <c r="N58" s="626">
        <v>0</v>
      </c>
      <c r="O58" s="1000">
        <f>M58*N58</f>
        <v>0</v>
      </c>
      <c r="P58" s="957"/>
      <c r="Q58" s="622">
        <v>0</v>
      </c>
      <c r="R58" s="626">
        <v>0</v>
      </c>
      <c r="S58" s="1000">
        <f>Q58*R58</f>
        <v>0</v>
      </c>
      <c r="T58" s="957"/>
      <c r="U58" s="622">
        <v>0</v>
      </c>
      <c r="V58" s="626">
        <v>0</v>
      </c>
      <c r="W58" s="1000">
        <f>U58*V58</f>
        <v>0</v>
      </c>
      <c r="X58" s="957"/>
      <c r="Y58" s="622">
        <v>0</v>
      </c>
      <c r="Z58" s="626">
        <v>0</v>
      </c>
      <c r="AA58" s="1000">
        <f>Y58*Z58</f>
        <v>0</v>
      </c>
      <c r="AB58" s="975"/>
      <c r="AC58" s="957"/>
      <c r="AD58" s="1000">
        <f>G58+K58+O58+S58+W58+AA58</f>
        <v>0</v>
      </c>
      <c r="AE58" s="971"/>
    </row>
    <row r="59" spans="1:515" s="478" customFormat="1" ht="23.15" customHeight="1" x14ac:dyDescent="0.25">
      <c r="A59" s="1366" t="s">
        <v>138</v>
      </c>
      <c r="B59" s="1367"/>
      <c r="C59" s="1367"/>
      <c r="D59" s="962"/>
      <c r="E59" s="960"/>
      <c r="F59" s="994"/>
      <c r="G59" s="788">
        <f>SUM(G56:G58)</f>
        <v>0</v>
      </c>
      <c r="H59" s="957"/>
      <c r="I59" s="960"/>
      <c r="J59" s="993"/>
      <c r="K59" s="788">
        <f>SUM(K56:K58)</f>
        <v>0</v>
      </c>
      <c r="L59" s="957"/>
      <c r="M59" s="960"/>
      <c r="N59" s="997"/>
      <c r="O59" s="788">
        <f>SUM(O56:O58)</f>
        <v>0</v>
      </c>
      <c r="P59" s="957"/>
      <c r="Q59" s="960"/>
      <c r="R59" s="993"/>
      <c r="S59" s="788">
        <f>SUM(S56:S58)</f>
        <v>0</v>
      </c>
      <c r="T59" s="957"/>
      <c r="U59" s="957"/>
      <c r="V59" s="957"/>
      <c r="W59" s="788">
        <f>SUM(W56:W58)</f>
        <v>0</v>
      </c>
      <c r="X59" s="957"/>
      <c r="Y59" s="957"/>
      <c r="Z59" s="957"/>
      <c r="AA59" s="788">
        <f>SUM(AA56:AA58)</f>
        <v>0</v>
      </c>
      <c r="AB59" s="976"/>
      <c r="AC59" s="957"/>
      <c r="AD59" s="786">
        <f>G59+K59+O59+S59+W59+AA59</f>
        <v>0</v>
      </c>
      <c r="AE59" s="971"/>
      <c r="AF59" s="292"/>
      <c r="AG59" s="292"/>
      <c r="AH59" s="292"/>
      <c r="AI59" s="292"/>
      <c r="AJ59" s="292"/>
      <c r="AK59" s="292"/>
      <c r="AL59" s="292"/>
      <c r="AM59" s="292"/>
      <c r="AN59" s="292"/>
      <c r="AO59" s="292"/>
      <c r="AP59" s="292"/>
      <c r="AQ59" s="292"/>
      <c r="AR59" s="292"/>
      <c r="AS59" s="292"/>
      <c r="AT59" s="292"/>
      <c r="AU59" s="292"/>
      <c r="AV59" s="292"/>
      <c r="AW59" s="292"/>
      <c r="AX59" s="292"/>
      <c r="AY59" s="292"/>
      <c r="AZ59" s="292"/>
      <c r="BA59" s="292"/>
      <c r="BB59" s="292"/>
      <c r="BC59" s="292"/>
      <c r="BD59" s="292"/>
      <c r="BE59" s="292"/>
      <c r="BF59" s="292"/>
      <c r="BG59" s="292"/>
      <c r="BH59" s="292"/>
      <c r="BI59" s="292"/>
      <c r="BJ59" s="292"/>
      <c r="BK59" s="292"/>
      <c r="BL59" s="292"/>
      <c r="BM59" s="292"/>
      <c r="BN59" s="292"/>
      <c r="BO59" s="292"/>
      <c r="BP59" s="292"/>
      <c r="BQ59" s="292"/>
      <c r="BR59" s="292"/>
      <c r="BS59" s="292"/>
      <c r="BT59" s="292"/>
      <c r="BU59" s="292"/>
      <c r="BV59" s="292"/>
      <c r="BW59" s="292"/>
      <c r="BX59" s="292"/>
      <c r="BY59" s="292"/>
      <c r="BZ59" s="292"/>
      <c r="CA59" s="292"/>
      <c r="CB59" s="292"/>
      <c r="CC59" s="292"/>
      <c r="CD59" s="292"/>
      <c r="CE59" s="292"/>
      <c r="CF59" s="292"/>
      <c r="CG59" s="292"/>
      <c r="CH59" s="292"/>
      <c r="CI59" s="292"/>
      <c r="CJ59" s="292"/>
      <c r="CK59" s="292"/>
      <c r="CL59" s="292"/>
      <c r="CM59" s="292"/>
      <c r="CN59" s="292"/>
      <c r="CO59" s="292"/>
      <c r="CP59" s="292"/>
      <c r="CQ59" s="292"/>
      <c r="CR59" s="292"/>
      <c r="CS59" s="292"/>
      <c r="CT59" s="292"/>
      <c r="CU59" s="292"/>
      <c r="CV59" s="292"/>
      <c r="CW59" s="292"/>
      <c r="CX59" s="292"/>
      <c r="CY59" s="292"/>
      <c r="CZ59" s="292"/>
      <c r="DA59" s="292"/>
      <c r="DB59" s="292"/>
      <c r="DC59" s="292"/>
      <c r="DD59" s="292"/>
      <c r="DE59" s="292"/>
      <c r="DF59" s="292"/>
      <c r="DG59" s="292"/>
      <c r="DH59" s="292"/>
      <c r="DI59" s="292"/>
      <c r="DJ59" s="292"/>
      <c r="DK59" s="292"/>
      <c r="DL59" s="292"/>
      <c r="DM59" s="292"/>
      <c r="DN59" s="292"/>
      <c r="DO59" s="292"/>
      <c r="DP59" s="292"/>
      <c r="DQ59" s="292"/>
      <c r="DR59" s="292"/>
      <c r="DS59" s="292"/>
      <c r="DT59" s="292"/>
      <c r="DU59" s="292"/>
      <c r="DV59" s="292"/>
      <c r="DW59" s="292"/>
      <c r="DX59" s="292"/>
      <c r="DY59" s="292"/>
      <c r="DZ59" s="292"/>
      <c r="EA59" s="292"/>
      <c r="EB59" s="292"/>
      <c r="EC59" s="292"/>
      <c r="ED59" s="292"/>
      <c r="EE59" s="292"/>
      <c r="EF59" s="292"/>
      <c r="EG59" s="292"/>
      <c r="EH59" s="292"/>
      <c r="EI59" s="292"/>
      <c r="EJ59" s="292"/>
      <c r="EK59" s="292"/>
      <c r="EL59" s="292"/>
      <c r="EM59" s="292"/>
      <c r="EN59" s="292"/>
      <c r="EO59" s="292"/>
      <c r="EP59" s="292"/>
      <c r="EQ59" s="292"/>
      <c r="ER59" s="292"/>
      <c r="ES59" s="292"/>
      <c r="ET59" s="292"/>
      <c r="EU59" s="292"/>
      <c r="EV59" s="292"/>
      <c r="EW59" s="292"/>
      <c r="EX59" s="292"/>
      <c r="EY59" s="292"/>
      <c r="EZ59" s="292"/>
      <c r="FA59" s="292"/>
      <c r="FB59" s="292"/>
      <c r="FC59" s="292"/>
      <c r="FD59" s="292"/>
      <c r="FE59" s="292"/>
      <c r="FF59" s="292"/>
      <c r="FG59" s="292"/>
      <c r="FH59" s="292"/>
      <c r="FI59" s="292"/>
      <c r="FJ59" s="292"/>
      <c r="FK59" s="292"/>
      <c r="FL59" s="292"/>
      <c r="FM59" s="292"/>
      <c r="FN59" s="292"/>
      <c r="FO59" s="292"/>
      <c r="FP59" s="292"/>
      <c r="FQ59" s="292"/>
      <c r="FR59" s="292"/>
      <c r="FS59" s="292"/>
      <c r="FT59" s="292"/>
      <c r="FU59" s="292"/>
      <c r="FV59" s="292"/>
      <c r="FW59" s="292"/>
      <c r="FX59" s="292"/>
      <c r="FY59" s="292"/>
      <c r="FZ59" s="292"/>
      <c r="GA59" s="292"/>
      <c r="GB59" s="292"/>
      <c r="GC59" s="292"/>
      <c r="GD59" s="292"/>
      <c r="GE59" s="292"/>
      <c r="GF59" s="292"/>
      <c r="GG59" s="292"/>
      <c r="GH59" s="292"/>
      <c r="GI59" s="292"/>
      <c r="GJ59" s="292"/>
      <c r="GK59" s="292"/>
      <c r="GL59" s="292"/>
      <c r="GM59" s="292"/>
      <c r="GN59" s="292"/>
      <c r="GO59" s="292"/>
      <c r="GP59" s="292"/>
      <c r="GQ59" s="292"/>
      <c r="GR59" s="292"/>
      <c r="GS59" s="292"/>
      <c r="GT59" s="292"/>
      <c r="GU59" s="292"/>
      <c r="GV59" s="292"/>
      <c r="GW59" s="292"/>
      <c r="GX59" s="292"/>
      <c r="GY59" s="292"/>
      <c r="GZ59" s="292"/>
      <c r="HA59" s="292"/>
      <c r="HB59" s="292"/>
      <c r="HC59" s="292"/>
      <c r="HD59" s="292"/>
      <c r="HE59" s="292"/>
      <c r="HF59" s="292"/>
      <c r="HG59" s="292"/>
      <c r="HH59" s="292"/>
      <c r="HI59" s="292"/>
      <c r="HJ59" s="292"/>
      <c r="HK59" s="292"/>
      <c r="HL59" s="292"/>
      <c r="HM59" s="292"/>
      <c r="HN59" s="292"/>
      <c r="HO59" s="292"/>
      <c r="HP59" s="292"/>
      <c r="HQ59" s="292"/>
      <c r="HR59" s="292"/>
      <c r="HS59" s="292"/>
      <c r="HT59" s="292"/>
      <c r="HU59" s="292"/>
      <c r="HV59" s="292"/>
      <c r="HW59" s="292"/>
      <c r="HX59" s="292"/>
      <c r="HY59" s="292"/>
      <c r="HZ59" s="292"/>
      <c r="IA59" s="292"/>
      <c r="IB59" s="292"/>
      <c r="IC59" s="292"/>
      <c r="ID59" s="292"/>
      <c r="IE59" s="292"/>
      <c r="IF59" s="292"/>
      <c r="IG59" s="292"/>
      <c r="IH59" s="292"/>
      <c r="II59" s="292"/>
      <c r="IJ59" s="292"/>
      <c r="IK59" s="292"/>
      <c r="IL59" s="292"/>
      <c r="IM59" s="292"/>
      <c r="IN59" s="292"/>
      <c r="IO59" s="292"/>
      <c r="IP59" s="292"/>
      <c r="IQ59" s="292"/>
      <c r="IR59" s="292"/>
      <c r="IS59" s="292"/>
      <c r="IT59" s="292"/>
      <c r="IU59" s="292"/>
      <c r="IV59" s="292"/>
      <c r="IW59" s="292"/>
      <c r="IX59" s="292"/>
      <c r="IY59" s="292"/>
      <c r="IZ59" s="292"/>
      <c r="JA59" s="292"/>
      <c r="JB59" s="292"/>
      <c r="JC59" s="292"/>
      <c r="JD59" s="292"/>
      <c r="JE59" s="292"/>
      <c r="JF59" s="292"/>
      <c r="JG59" s="292"/>
      <c r="JH59" s="292"/>
      <c r="JI59" s="292"/>
      <c r="JJ59" s="292"/>
      <c r="JK59" s="292"/>
      <c r="JL59" s="292"/>
      <c r="JM59" s="292"/>
      <c r="JN59" s="292"/>
      <c r="JO59" s="292"/>
      <c r="JP59" s="292"/>
      <c r="JQ59" s="292"/>
      <c r="JR59" s="292"/>
      <c r="JS59" s="292"/>
      <c r="JT59" s="292"/>
      <c r="JU59" s="292"/>
      <c r="JV59" s="292"/>
      <c r="JW59" s="292"/>
      <c r="JX59" s="292"/>
      <c r="JY59" s="292"/>
      <c r="JZ59" s="292"/>
      <c r="KA59" s="292"/>
      <c r="KB59" s="292"/>
      <c r="KC59" s="292"/>
      <c r="KD59" s="292"/>
      <c r="KE59" s="292"/>
      <c r="KF59" s="292"/>
      <c r="KG59" s="292"/>
      <c r="KH59" s="292"/>
      <c r="KI59" s="292"/>
      <c r="KJ59" s="292"/>
      <c r="KK59" s="292"/>
      <c r="KL59" s="292"/>
      <c r="KM59" s="292"/>
      <c r="KN59" s="292"/>
      <c r="KO59" s="292"/>
      <c r="KP59" s="292"/>
      <c r="KQ59" s="292"/>
      <c r="KR59" s="292"/>
      <c r="KS59" s="292"/>
      <c r="KT59" s="292"/>
      <c r="KU59" s="292"/>
      <c r="KV59" s="292"/>
      <c r="KW59" s="292"/>
      <c r="KX59" s="292"/>
      <c r="KY59" s="292"/>
      <c r="KZ59" s="292"/>
      <c r="LA59" s="292"/>
      <c r="LB59" s="292"/>
      <c r="LC59" s="292"/>
      <c r="LD59" s="292"/>
      <c r="LE59" s="292"/>
      <c r="LF59" s="292"/>
      <c r="LG59" s="292"/>
      <c r="LH59" s="292"/>
      <c r="LI59" s="292"/>
      <c r="LJ59" s="292"/>
      <c r="LK59" s="292"/>
      <c r="LL59" s="292"/>
      <c r="LM59" s="292"/>
      <c r="LN59" s="292"/>
      <c r="LO59" s="292"/>
      <c r="LP59" s="292"/>
      <c r="LQ59" s="292"/>
      <c r="LR59" s="292"/>
      <c r="LS59" s="292"/>
      <c r="LT59" s="292"/>
      <c r="LU59" s="292"/>
      <c r="LV59" s="292"/>
      <c r="LW59" s="292"/>
      <c r="LX59" s="292"/>
      <c r="LY59" s="292"/>
      <c r="LZ59" s="292"/>
      <c r="MA59" s="292"/>
      <c r="MB59" s="292"/>
      <c r="MC59" s="292"/>
      <c r="MD59" s="292"/>
      <c r="ME59" s="292"/>
      <c r="MF59" s="292"/>
      <c r="MG59" s="292"/>
      <c r="MH59" s="292"/>
      <c r="MI59" s="292"/>
      <c r="MJ59" s="292"/>
      <c r="MK59" s="292"/>
      <c r="ML59" s="292"/>
      <c r="MM59" s="292"/>
      <c r="MN59" s="292"/>
      <c r="MO59" s="292"/>
      <c r="MP59" s="292"/>
      <c r="MQ59" s="292"/>
      <c r="MR59" s="292"/>
      <c r="MS59" s="292"/>
      <c r="MT59" s="292"/>
      <c r="MU59" s="292"/>
      <c r="MV59" s="292"/>
      <c r="MW59" s="292"/>
      <c r="MX59" s="292"/>
      <c r="MY59" s="292"/>
      <c r="MZ59" s="292"/>
      <c r="NA59" s="292"/>
      <c r="NB59" s="292"/>
      <c r="NC59" s="292"/>
      <c r="ND59" s="292"/>
      <c r="NE59" s="292"/>
      <c r="NF59" s="292"/>
      <c r="NG59" s="292"/>
      <c r="NH59" s="292"/>
      <c r="NI59" s="292"/>
      <c r="NJ59" s="292"/>
      <c r="NK59" s="292"/>
      <c r="NL59" s="292"/>
      <c r="NM59" s="292"/>
      <c r="NN59" s="292"/>
      <c r="NO59" s="292"/>
      <c r="NP59" s="292"/>
      <c r="NQ59" s="292"/>
      <c r="NR59" s="292"/>
      <c r="NS59" s="292"/>
      <c r="NT59" s="292"/>
      <c r="NU59" s="292"/>
      <c r="NV59" s="292"/>
      <c r="NW59" s="292"/>
      <c r="NX59" s="292"/>
      <c r="NY59" s="292"/>
      <c r="NZ59" s="292"/>
      <c r="OA59" s="292"/>
      <c r="OB59" s="292"/>
      <c r="OC59" s="292"/>
      <c r="OD59" s="292"/>
      <c r="OE59" s="292"/>
      <c r="OF59" s="292"/>
      <c r="OG59" s="292"/>
      <c r="OH59" s="292"/>
      <c r="OI59" s="292"/>
      <c r="OJ59" s="292"/>
      <c r="OK59" s="292"/>
      <c r="OL59" s="292"/>
      <c r="OM59" s="292"/>
      <c r="ON59" s="292"/>
      <c r="OO59" s="292"/>
      <c r="OP59" s="292"/>
      <c r="OQ59" s="292"/>
      <c r="OR59" s="292"/>
      <c r="OS59" s="292"/>
      <c r="OT59" s="292"/>
      <c r="OU59" s="292"/>
      <c r="OV59" s="292"/>
      <c r="OW59" s="292"/>
      <c r="OX59" s="292"/>
      <c r="OY59" s="292"/>
      <c r="OZ59" s="292"/>
      <c r="PA59" s="292"/>
      <c r="PB59" s="292"/>
      <c r="PC59" s="292"/>
      <c r="PD59" s="292"/>
      <c r="PE59" s="292"/>
      <c r="PF59" s="292"/>
      <c r="PG59" s="292"/>
      <c r="PH59" s="292"/>
      <c r="PI59" s="292"/>
      <c r="PJ59" s="292"/>
      <c r="PK59" s="292"/>
      <c r="PL59" s="292"/>
      <c r="PM59" s="292"/>
      <c r="PN59" s="292"/>
      <c r="PO59" s="292"/>
      <c r="PP59" s="292"/>
      <c r="PQ59" s="292"/>
      <c r="PR59" s="292"/>
      <c r="PS59" s="292"/>
      <c r="PT59" s="292"/>
      <c r="PU59" s="292"/>
      <c r="PV59" s="292"/>
      <c r="PW59" s="292"/>
      <c r="PX59" s="292"/>
      <c r="PY59" s="292"/>
      <c r="PZ59" s="292"/>
      <c r="QA59" s="292"/>
      <c r="QB59" s="292"/>
      <c r="QC59" s="292"/>
      <c r="QD59" s="292"/>
      <c r="QE59" s="292"/>
      <c r="QF59" s="292"/>
      <c r="QG59" s="292"/>
      <c r="QH59" s="292"/>
      <c r="QI59" s="292"/>
      <c r="QJ59" s="292"/>
      <c r="QK59" s="292"/>
      <c r="QL59" s="292"/>
      <c r="QM59" s="292"/>
      <c r="QN59" s="292"/>
      <c r="QO59" s="292"/>
      <c r="QP59" s="292"/>
      <c r="QQ59" s="292"/>
      <c r="QR59" s="292"/>
      <c r="QS59" s="292"/>
      <c r="QT59" s="292"/>
      <c r="QU59" s="292"/>
      <c r="QV59" s="292"/>
      <c r="QW59" s="292"/>
      <c r="QX59" s="292"/>
      <c r="QY59" s="292"/>
      <c r="QZ59" s="292"/>
      <c r="RA59" s="292"/>
      <c r="RB59" s="292"/>
      <c r="RC59" s="292"/>
      <c r="RD59" s="292"/>
      <c r="RE59" s="292"/>
      <c r="RF59" s="292"/>
      <c r="RG59" s="292"/>
      <c r="RH59" s="292"/>
      <c r="RI59" s="292"/>
      <c r="RJ59" s="292"/>
      <c r="RK59" s="292"/>
      <c r="RL59" s="292"/>
      <c r="RM59" s="292"/>
      <c r="RN59" s="292"/>
      <c r="RO59" s="292"/>
      <c r="RP59" s="292"/>
      <c r="RQ59" s="292"/>
      <c r="RR59" s="292"/>
      <c r="RS59" s="292"/>
      <c r="RT59" s="292"/>
      <c r="RU59" s="292"/>
      <c r="RV59" s="292"/>
      <c r="RW59" s="292"/>
      <c r="RX59" s="292"/>
      <c r="RY59" s="292"/>
      <c r="RZ59" s="292"/>
      <c r="SA59" s="292"/>
      <c r="SB59" s="292"/>
      <c r="SC59" s="292"/>
      <c r="SD59" s="292"/>
      <c r="SE59" s="292"/>
      <c r="SF59" s="292"/>
      <c r="SG59" s="292"/>
      <c r="SH59" s="292"/>
      <c r="SI59" s="292"/>
      <c r="SJ59" s="292"/>
      <c r="SK59" s="292"/>
      <c r="SL59" s="292"/>
      <c r="SM59" s="292"/>
      <c r="SN59" s="292"/>
      <c r="SO59" s="292"/>
      <c r="SP59" s="292"/>
      <c r="SQ59" s="292"/>
      <c r="SR59" s="292"/>
      <c r="SS59" s="292"/>
      <c r="ST59" s="292"/>
      <c r="SU59" s="292"/>
    </row>
    <row r="60" spans="1:515" s="478" customFormat="1" ht="13" customHeight="1" x14ac:dyDescent="0.25">
      <c r="A60" s="986"/>
      <c r="B60" s="984"/>
      <c r="C60" s="984"/>
      <c r="D60" s="962"/>
      <c r="E60" s="960"/>
      <c r="F60" s="976"/>
      <c r="G60" s="981"/>
      <c r="H60" s="957"/>
      <c r="I60" s="960"/>
      <c r="J60" s="981"/>
      <c r="K60" s="981"/>
      <c r="L60" s="957"/>
      <c r="M60" s="960"/>
      <c r="N60" s="985"/>
      <c r="O60" s="981"/>
      <c r="P60" s="957"/>
      <c r="Q60" s="960"/>
      <c r="R60" s="981"/>
      <c r="S60" s="981"/>
      <c r="T60" s="957"/>
      <c r="U60" s="957"/>
      <c r="V60" s="957"/>
      <c r="W60" s="981"/>
      <c r="X60" s="957"/>
      <c r="Y60" s="957"/>
      <c r="Z60" s="957"/>
      <c r="AA60" s="981"/>
      <c r="AB60" s="976"/>
      <c r="AC60" s="957"/>
      <c r="AD60" s="976"/>
      <c r="AE60" s="971"/>
      <c r="AF60" s="292"/>
      <c r="AG60" s="292"/>
      <c r="AH60" s="292"/>
      <c r="AI60" s="292"/>
      <c r="AJ60" s="292"/>
      <c r="AK60" s="292"/>
      <c r="AL60" s="292"/>
      <c r="AM60" s="292"/>
      <c r="AN60" s="292"/>
      <c r="AO60" s="292"/>
      <c r="AP60" s="292"/>
      <c r="AQ60" s="292"/>
      <c r="AR60" s="292"/>
      <c r="AS60" s="292"/>
      <c r="AT60" s="292"/>
      <c r="AU60" s="292"/>
      <c r="AV60" s="292"/>
      <c r="AW60" s="292"/>
      <c r="AX60" s="292"/>
      <c r="AY60" s="292"/>
      <c r="AZ60" s="292"/>
      <c r="BA60" s="292"/>
      <c r="BB60" s="292"/>
      <c r="BC60" s="292"/>
      <c r="BD60" s="292"/>
      <c r="BE60" s="292"/>
      <c r="BF60" s="292"/>
      <c r="BG60" s="292"/>
      <c r="BH60" s="292"/>
      <c r="BI60" s="292"/>
      <c r="BJ60" s="292"/>
      <c r="BK60" s="292"/>
      <c r="BL60" s="292"/>
      <c r="BM60" s="292"/>
      <c r="BN60" s="292"/>
      <c r="BO60" s="292"/>
      <c r="BP60" s="292"/>
      <c r="BQ60" s="292"/>
      <c r="BR60" s="292"/>
      <c r="BS60" s="292"/>
      <c r="BT60" s="292"/>
      <c r="BU60" s="292"/>
      <c r="BV60" s="292"/>
      <c r="BW60" s="292"/>
      <c r="BX60" s="292"/>
      <c r="BY60" s="292"/>
      <c r="BZ60" s="292"/>
      <c r="CA60" s="292"/>
      <c r="CB60" s="292"/>
      <c r="CC60" s="292"/>
      <c r="CD60" s="292"/>
      <c r="CE60" s="292"/>
      <c r="CF60" s="292"/>
      <c r="CG60" s="292"/>
      <c r="CH60" s="292"/>
      <c r="CI60" s="292"/>
      <c r="CJ60" s="292"/>
      <c r="CK60" s="292"/>
      <c r="CL60" s="292"/>
      <c r="CM60" s="292"/>
      <c r="CN60" s="292"/>
      <c r="CO60" s="292"/>
      <c r="CP60" s="292"/>
      <c r="CQ60" s="292"/>
      <c r="CR60" s="292"/>
      <c r="CS60" s="292"/>
      <c r="CT60" s="292"/>
      <c r="CU60" s="292"/>
      <c r="CV60" s="292"/>
      <c r="CW60" s="292"/>
      <c r="CX60" s="292"/>
      <c r="CY60" s="292"/>
      <c r="CZ60" s="292"/>
      <c r="DA60" s="292"/>
      <c r="DB60" s="292"/>
      <c r="DC60" s="292"/>
      <c r="DD60" s="292"/>
      <c r="DE60" s="292"/>
      <c r="DF60" s="292"/>
      <c r="DG60" s="292"/>
      <c r="DH60" s="292"/>
      <c r="DI60" s="292"/>
      <c r="DJ60" s="292"/>
      <c r="DK60" s="292"/>
      <c r="DL60" s="292"/>
      <c r="DM60" s="292"/>
      <c r="DN60" s="292"/>
      <c r="DO60" s="292"/>
      <c r="DP60" s="292"/>
      <c r="DQ60" s="292"/>
      <c r="DR60" s="292"/>
      <c r="DS60" s="292"/>
      <c r="DT60" s="292"/>
      <c r="DU60" s="292"/>
      <c r="DV60" s="292"/>
      <c r="DW60" s="292"/>
      <c r="DX60" s="292"/>
      <c r="DY60" s="292"/>
      <c r="DZ60" s="292"/>
      <c r="EA60" s="292"/>
      <c r="EB60" s="292"/>
      <c r="EC60" s="292"/>
      <c r="ED60" s="292"/>
      <c r="EE60" s="292"/>
      <c r="EF60" s="292"/>
      <c r="EG60" s="292"/>
      <c r="EH60" s="292"/>
      <c r="EI60" s="292"/>
      <c r="EJ60" s="292"/>
      <c r="EK60" s="292"/>
      <c r="EL60" s="292"/>
      <c r="EM60" s="292"/>
      <c r="EN60" s="292"/>
      <c r="EO60" s="292"/>
      <c r="EP60" s="292"/>
      <c r="EQ60" s="292"/>
      <c r="ER60" s="292"/>
      <c r="ES60" s="292"/>
      <c r="ET60" s="292"/>
      <c r="EU60" s="292"/>
      <c r="EV60" s="292"/>
      <c r="EW60" s="292"/>
      <c r="EX60" s="292"/>
      <c r="EY60" s="292"/>
      <c r="EZ60" s="292"/>
      <c r="FA60" s="292"/>
      <c r="FB60" s="292"/>
      <c r="FC60" s="292"/>
      <c r="FD60" s="292"/>
      <c r="FE60" s="292"/>
      <c r="FF60" s="292"/>
      <c r="FG60" s="292"/>
      <c r="FH60" s="292"/>
      <c r="FI60" s="292"/>
      <c r="FJ60" s="292"/>
      <c r="FK60" s="292"/>
      <c r="FL60" s="292"/>
      <c r="FM60" s="292"/>
      <c r="FN60" s="292"/>
      <c r="FO60" s="292"/>
      <c r="FP60" s="292"/>
      <c r="FQ60" s="292"/>
      <c r="FR60" s="292"/>
      <c r="FS60" s="292"/>
      <c r="FT60" s="292"/>
      <c r="FU60" s="292"/>
      <c r="FV60" s="292"/>
      <c r="FW60" s="292"/>
      <c r="FX60" s="292"/>
      <c r="FY60" s="292"/>
      <c r="FZ60" s="292"/>
      <c r="GA60" s="292"/>
      <c r="GB60" s="292"/>
      <c r="GC60" s="292"/>
      <c r="GD60" s="292"/>
      <c r="GE60" s="292"/>
      <c r="GF60" s="292"/>
      <c r="GG60" s="292"/>
      <c r="GH60" s="292"/>
      <c r="GI60" s="292"/>
      <c r="GJ60" s="292"/>
      <c r="GK60" s="292"/>
      <c r="GL60" s="292"/>
      <c r="GM60" s="292"/>
      <c r="GN60" s="292"/>
      <c r="GO60" s="292"/>
      <c r="GP60" s="292"/>
      <c r="GQ60" s="292"/>
      <c r="GR60" s="292"/>
      <c r="GS60" s="292"/>
      <c r="GT60" s="292"/>
      <c r="GU60" s="292"/>
      <c r="GV60" s="292"/>
      <c r="GW60" s="292"/>
      <c r="GX60" s="292"/>
      <c r="GY60" s="292"/>
      <c r="GZ60" s="292"/>
      <c r="HA60" s="292"/>
      <c r="HB60" s="292"/>
      <c r="HC60" s="292"/>
      <c r="HD60" s="292"/>
      <c r="HE60" s="292"/>
      <c r="HF60" s="292"/>
      <c r="HG60" s="292"/>
      <c r="HH60" s="292"/>
      <c r="HI60" s="292"/>
      <c r="HJ60" s="292"/>
      <c r="HK60" s="292"/>
      <c r="HL60" s="292"/>
      <c r="HM60" s="292"/>
      <c r="HN60" s="292"/>
      <c r="HO60" s="292"/>
      <c r="HP60" s="292"/>
      <c r="HQ60" s="292"/>
      <c r="HR60" s="292"/>
      <c r="HS60" s="292"/>
      <c r="HT60" s="292"/>
      <c r="HU60" s="292"/>
      <c r="HV60" s="292"/>
      <c r="HW60" s="292"/>
      <c r="HX60" s="292"/>
      <c r="HY60" s="292"/>
      <c r="HZ60" s="292"/>
      <c r="IA60" s="292"/>
      <c r="IB60" s="292"/>
      <c r="IC60" s="292"/>
      <c r="ID60" s="292"/>
      <c r="IE60" s="292"/>
      <c r="IF60" s="292"/>
      <c r="IG60" s="292"/>
      <c r="IH60" s="292"/>
      <c r="II60" s="292"/>
      <c r="IJ60" s="292"/>
      <c r="IK60" s="292"/>
      <c r="IL60" s="292"/>
      <c r="IM60" s="292"/>
      <c r="IN60" s="292"/>
      <c r="IO60" s="292"/>
      <c r="IP60" s="292"/>
      <c r="IQ60" s="292"/>
      <c r="IR60" s="292"/>
      <c r="IS60" s="292"/>
      <c r="IT60" s="292"/>
      <c r="IU60" s="292"/>
      <c r="IV60" s="292"/>
      <c r="IW60" s="292"/>
      <c r="IX60" s="292"/>
      <c r="IY60" s="292"/>
      <c r="IZ60" s="292"/>
      <c r="JA60" s="292"/>
      <c r="JB60" s="292"/>
      <c r="JC60" s="292"/>
      <c r="JD60" s="292"/>
      <c r="JE60" s="292"/>
      <c r="JF60" s="292"/>
      <c r="JG60" s="292"/>
      <c r="JH60" s="292"/>
      <c r="JI60" s="292"/>
      <c r="JJ60" s="292"/>
      <c r="JK60" s="292"/>
      <c r="JL60" s="292"/>
      <c r="JM60" s="292"/>
      <c r="JN60" s="292"/>
      <c r="JO60" s="292"/>
      <c r="JP60" s="292"/>
      <c r="JQ60" s="292"/>
      <c r="JR60" s="292"/>
      <c r="JS60" s="292"/>
      <c r="JT60" s="292"/>
      <c r="JU60" s="292"/>
      <c r="JV60" s="292"/>
      <c r="JW60" s="292"/>
      <c r="JX60" s="292"/>
      <c r="JY60" s="292"/>
      <c r="JZ60" s="292"/>
      <c r="KA60" s="292"/>
      <c r="KB60" s="292"/>
      <c r="KC60" s="292"/>
      <c r="KD60" s="292"/>
      <c r="KE60" s="292"/>
      <c r="KF60" s="292"/>
      <c r="KG60" s="292"/>
      <c r="KH60" s="292"/>
      <c r="KI60" s="292"/>
      <c r="KJ60" s="292"/>
      <c r="KK60" s="292"/>
      <c r="KL60" s="292"/>
      <c r="KM60" s="292"/>
      <c r="KN60" s="292"/>
      <c r="KO60" s="292"/>
      <c r="KP60" s="292"/>
      <c r="KQ60" s="292"/>
      <c r="KR60" s="292"/>
      <c r="KS60" s="292"/>
      <c r="KT60" s="292"/>
      <c r="KU60" s="292"/>
      <c r="KV60" s="292"/>
      <c r="KW60" s="292"/>
      <c r="KX60" s="292"/>
      <c r="KY60" s="292"/>
      <c r="KZ60" s="292"/>
      <c r="LA60" s="292"/>
      <c r="LB60" s="292"/>
      <c r="LC60" s="292"/>
      <c r="LD60" s="292"/>
      <c r="LE60" s="292"/>
      <c r="LF60" s="292"/>
      <c r="LG60" s="292"/>
      <c r="LH60" s="292"/>
      <c r="LI60" s="292"/>
      <c r="LJ60" s="292"/>
      <c r="LK60" s="292"/>
      <c r="LL60" s="292"/>
      <c r="LM60" s="292"/>
      <c r="LN60" s="292"/>
      <c r="LO60" s="292"/>
      <c r="LP60" s="292"/>
      <c r="LQ60" s="292"/>
      <c r="LR60" s="292"/>
      <c r="LS60" s="292"/>
      <c r="LT60" s="292"/>
      <c r="LU60" s="292"/>
      <c r="LV60" s="292"/>
      <c r="LW60" s="292"/>
      <c r="LX60" s="292"/>
      <c r="LY60" s="292"/>
      <c r="LZ60" s="292"/>
      <c r="MA60" s="292"/>
      <c r="MB60" s="292"/>
      <c r="MC60" s="292"/>
      <c r="MD60" s="292"/>
      <c r="ME60" s="292"/>
      <c r="MF60" s="292"/>
      <c r="MG60" s="292"/>
      <c r="MH60" s="292"/>
      <c r="MI60" s="292"/>
      <c r="MJ60" s="292"/>
      <c r="MK60" s="292"/>
      <c r="ML60" s="292"/>
      <c r="MM60" s="292"/>
      <c r="MN60" s="292"/>
      <c r="MO60" s="292"/>
      <c r="MP60" s="292"/>
      <c r="MQ60" s="292"/>
      <c r="MR60" s="292"/>
      <c r="MS60" s="292"/>
      <c r="MT60" s="292"/>
      <c r="MU60" s="292"/>
      <c r="MV60" s="292"/>
      <c r="MW60" s="292"/>
      <c r="MX60" s="292"/>
      <c r="MY60" s="292"/>
      <c r="MZ60" s="292"/>
      <c r="NA60" s="292"/>
      <c r="NB60" s="292"/>
      <c r="NC60" s="292"/>
      <c r="ND60" s="292"/>
      <c r="NE60" s="292"/>
      <c r="NF60" s="292"/>
      <c r="NG60" s="292"/>
      <c r="NH60" s="292"/>
      <c r="NI60" s="292"/>
      <c r="NJ60" s="292"/>
      <c r="NK60" s="292"/>
      <c r="NL60" s="292"/>
      <c r="NM60" s="292"/>
      <c r="NN60" s="292"/>
      <c r="NO60" s="292"/>
      <c r="NP60" s="292"/>
      <c r="NQ60" s="292"/>
      <c r="NR60" s="292"/>
      <c r="NS60" s="292"/>
      <c r="NT60" s="292"/>
      <c r="NU60" s="292"/>
      <c r="NV60" s="292"/>
      <c r="NW60" s="292"/>
      <c r="NX60" s="292"/>
      <c r="NY60" s="292"/>
      <c r="NZ60" s="292"/>
      <c r="OA60" s="292"/>
      <c r="OB60" s="292"/>
      <c r="OC60" s="292"/>
      <c r="OD60" s="292"/>
      <c r="OE60" s="292"/>
      <c r="OF60" s="292"/>
      <c r="OG60" s="292"/>
      <c r="OH60" s="292"/>
      <c r="OI60" s="292"/>
      <c r="OJ60" s="292"/>
      <c r="OK60" s="292"/>
      <c r="OL60" s="292"/>
      <c r="OM60" s="292"/>
      <c r="ON60" s="292"/>
      <c r="OO60" s="292"/>
      <c r="OP60" s="292"/>
      <c r="OQ60" s="292"/>
      <c r="OR60" s="292"/>
      <c r="OS60" s="292"/>
      <c r="OT60" s="292"/>
      <c r="OU60" s="292"/>
      <c r="OV60" s="292"/>
      <c r="OW60" s="292"/>
      <c r="OX60" s="292"/>
      <c r="OY60" s="292"/>
      <c r="OZ60" s="292"/>
      <c r="PA60" s="292"/>
      <c r="PB60" s="292"/>
      <c r="PC60" s="292"/>
      <c r="PD60" s="292"/>
      <c r="PE60" s="292"/>
      <c r="PF60" s="292"/>
      <c r="PG60" s="292"/>
      <c r="PH60" s="292"/>
      <c r="PI60" s="292"/>
      <c r="PJ60" s="292"/>
      <c r="PK60" s="292"/>
      <c r="PL60" s="292"/>
      <c r="PM60" s="292"/>
      <c r="PN60" s="292"/>
      <c r="PO60" s="292"/>
      <c r="PP60" s="292"/>
      <c r="PQ60" s="292"/>
      <c r="PR60" s="292"/>
      <c r="PS60" s="292"/>
      <c r="PT60" s="292"/>
      <c r="PU60" s="292"/>
      <c r="PV60" s="292"/>
      <c r="PW60" s="292"/>
      <c r="PX60" s="292"/>
      <c r="PY60" s="292"/>
      <c r="PZ60" s="292"/>
      <c r="QA60" s="292"/>
      <c r="QB60" s="292"/>
      <c r="QC60" s="292"/>
      <c r="QD60" s="292"/>
      <c r="QE60" s="292"/>
      <c r="QF60" s="292"/>
      <c r="QG60" s="292"/>
      <c r="QH60" s="292"/>
      <c r="QI60" s="292"/>
      <c r="QJ60" s="292"/>
      <c r="QK60" s="292"/>
      <c r="QL60" s="292"/>
      <c r="QM60" s="292"/>
      <c r="QN60" s="292"/>
      <c r="QO60" s="292"/>
      <c r="QP60" s="292"/>
      <c r="QQ60" s="292"/>
      <c r="QR60" s="292"/>
      <c r="QS60" s="292"/>
      <c r="QT60" s="292"/>
      <c r="QU60" s="292"/>
      <c r="QV60" s="292"/>
      <c r="QW60" s="292"/>
      <c r="QX60" s="292"/>
      <c r="QY60" s="292"/>
      <c r="QZ60" s="292"/>
      <c r="RA60" s="292"/>
      <c r="RB60" s="292"/>
      <c r="RC60" s="292"/>
      <c r="RD60" s="292"/>
      <c r="RE60" s="292"/>
      <c r="RF60" s="292"/>
      <c r="RG60" s="292"/>
      <c r="RH60" s="292"/>
      <c r="RI60" s="292"/>
      <c r="RJ60" s="292"/>
      <c r="RK60" s="292"/>
      <c r="RL60" s="292"/>
      <c r="RM60" s="292"/>
      <c r="RN60" s="292"/>
      <c r="RO60" s="292"/>
      <c r="RP60" s="292"/>
      <c r="RQ60" s="292"/>
      <c r="RR60" s="292"/>
      <c r="RS60" s="292"/>
      <c r="RT60" s="292"/>
      <c r="RU60" s="292"/>
      <c r="RV60" s="292"/>
      <c r="RW60" s="292"/>
      <c r="RX60" s="292"/>
      <c r="RY60" s="292"/>
      <c r="RZ60" s="292"/>
      <c r="SA60" s="292"/>
      <c r="SB60" s="292"/>
      <c r="SC60" s="292"/>
      <c r="SD60" s="292"/>
      <c r="SE60" s="292"/>
      <c r="SF60" s="292"/>
      <c r="SG60" s="292"/>
      <c r="SH60" s="292"/>
      <c r="SI60" s="292"/>
      <c r="SJ60" s="292"/>
      <c r="SK60" s="292"/>
      <c r="SL60" s="292"/>
      <c r="SM60" s="292"/>
      <c r="SN60" s="292"/>
      <c r="SO60" s="292"/>
      <c r="SP60" s="292"/>
      <c r="SQ60" s="292"/>
      <c r="SR60" s="292"/>
      <c r="SS60" s="292"/>
      <c r="ST60" s="292"/>
      <c r="SU60" s="292"/>
    </row>
    <row r="61" spans="1:515" s="478" customFormat="1" ht="13" customHeight="1" x14ac:dyDescent="0.25">
      <c r="A61" s="986"/>
      <c r="B61" s="984"/>
      <c r="C61" s="984"/>
      <c r="D61" s="962"/>
      <c r="E61" s="960"/>
      <c r="F61" s="976"/>
      <c r="G61" s="981"/>
      <c r="H61" s="957"/>
      <c r="I61" s="960"/>
      <c r="J61" s="981"/>
      <c r="K61" s="981"/>
      <c r="L61" s="957"/>
      <c r="M61" s="960"/>
      <c r="N61" s="985"/>
      <c r="O61" s="981"/>
      <c r="P61" s="957"/>
      <c r="Q61" s="960"/>
      <c r="R61" s="981"/>
      <c r="S61" s="981"/>
      <c r="T61" s="957"/>
      <c r="U61" s="957"/>
      <c r="V61" s="957"/>
      <c r="W61" s="981"/>
      <c r="X61" s="957"/>
      <c r="Y61" s="957"/>
      <c r="Z61" s="957"/>
      <c r="AA61" s="981"/>
      <c r="AB61" s="976"/>
      <c r="AC61" s="957"/>
      <c r="AD61" s="976"/>
      <c r="AE61" s="971"/>
      <c r="AF61" s="292"/>
      <c r="AG61" s="292"/>
      <c r="AH61" s="292"/>
      <c r="AI61" s="292"/>
      <c r="AJ61" s="292"/>
      <c r="AK61" s="292"/>
      <c r="AL61" s="292"/>
      <c r="AM61" s="292"/>
      <c r="AN61" s="292"/>
      <c r="AO61" s="292"/>
      <c r="AP61" s="292"/>
      <c r="AQ61" s="292"/>
      <c r="AR61" s="292"/>
      <c r="AS61" s="292"/>
      <c r="AT61" s="292"/>
      <c r="AU61" s="292"/>
      <c r="AV61" s="292"/>
      <c r="AW61" s="292"/>
      <c r="AX61" s="292"/>
      <c r="AY61" s="292"/>
      <c r="AZ61" s="292"/>
      <c r="BA61" s="292"/>
      <c r="BB61" s="292"/>
      <c r="BC61" s="292"/>
      <c r="BD61" s="292"/>
      <c r="BE61" s="292"/>
      <c r="BF61" s="292"/>
      <c r="BG61" s="292"/>
      <c r="BH61" s="292"/>
      <c r="BI61" s="292"/>
      <c r="BJ61" s="292"/>
      <c r="BK61" s="292"/>
      <c r="BL61" s="292"/>
      <c r="BM61" s="292"/>
      <c r="BN61" s="292"/>
      <c r="BO61" s="292"/>
      <c r="BP61" s="292"/>
      <c r="BQ61" s="292"/>
      <c r="BR61" s="292"/>
      <c r="BS61" s="292"/>
      <c r="BT61" s="292"/>
      <c r="BU61" s="292"/>
      <c r="BV61" s="292"/>
      <c r="BW61" s="292"/>
      <c r="BX61" s="292"/>
      <c r="BY61" s="292"/>
      <c r="BZ61" s="292"/>
      <c r="CA61" s="292"/>
      <c r="CB61" s="292"/>
      <c r="CC61" s="292"/>
      <c r="CD61" s="292"/>
      <c r="CE61" s="292"/>
      <c r="CF61" s="292"/>
      <c r="CG61" s="292"/>
      <c r="CH61" s="292"/>
      <c r="CI61" s="292"/>
      <c r="CJ61" s="292"/>
      <c r="CK61" s="292"/>
      <c r="CL61" s="292"/>
      <c r="CM61" s="292"/>
      <c r="CN61" s="292"/>
      <c r="CO61" s="292"/>
      <c r="CP61" s="292"/>
      <c r="CQ61" s="292"/>
      <c r="CR61" s="292"/>
      <c r="CS61" s="292"/>
      <c r="CT61" s="292"/>
      <c r="CU61" s="292"/>
      <c r="CV61" s="292"/>
      <c r="CW61" s="292"/>
      <c r="CX61" s="292"/>
      <c r="CY61" s="292"/>
      <c r="CZ61" s="292"/>
      <c r="DA61" s="292"/>
      <c r="DB61" s="292"/>
      <c r="DC61" s="292"/>
      <c r="DD61" s="292"/>
      <c r="DE61" s="292"/>
      <c r="DF61" s="292"/>
      <c r="DG61" s="292"/>
      <c r="DH61" s="292"/>
      <c r="DI61" s="292"/>
      <c r="DJ61" s="292"/>
      <c r="DK61" s="292"/>
      <c r="DL61" s="292"/>
      <c r="DM61" s="292"/>
      <c r="DN61" s="292"/>
      <c r="DO61" s="292"/>
      <c r="DP61" s="292"/>
      <c r="DQ61" s="292"/>
      <c r="DR61" s="292"/>
      <c r="DS61" s="292"/>
      <c r="DT61" s="292"/>
      <c r="DU61" s="292"/>
      <c r="DV61" s="292"/>
      <c r="DW61" s="292"/>
      <c r="DX61" s="292"/>
      <c r="DY61" s="292"/>
      <c r="DZ61" s="292"/>
      <c r="EA61" s="292"/>
      <c r="EB61" s="292"/>
      <c r="EC61" s="292"/>
      <c r="ED61" s="292"/>
      <c r="EE61" s="292"/>
      <c r="EF61" s="292"/>
      <c r="EG61" s="292"/>
      <c r="EH61" s="292"/>
      <c r="EI61" s="292"/>
      <c r="EJ61" s="292"/>
      <c r="EK61" s="292"/>
      <c r="EL61" s="292"/>
      <c r="EM61" s="292"/>
      <c r="EN61" s="292"/>
      <c r="EO61" s="292"/>
      <c r="EP61" s="292"/>
      <c r="EQ61" s="292"/>
      <c r="ER61" s="292"/>
      <c r="ES61" s="292"/>
      <c r="ET61" s="292"/>
      <c r="EU61" s="292"/>
      <c r="EV61" s="292"/>
      <c r="EW61" s="292"/>
      <c r="EX61" s="292"/>
      <c r="EY61" s="292"/>
      <c r="EZ61" s="292"/>
      <c r="FA61" s="292"/>
      <c r="FB61" s="292"/>
      <c r="FC61" s="292"/>
      <c r="FD61" s="292"/>
      <c r="FE61" s="292"/>
      <c r="FF61" s="292"/>
      <c r="FG61" s="292"/>
      <c r="FH61" s="292"/>
      <c r="FI61" s="292"/>
      <c r="FJ61" s="292"/>
      <c r="FK61" s="292"/>
      <c r="FL61" s="292"/>
      <c r="FM61" s="292"/>
      <c r="FN61" s="292"/>
      <c r="FO61" s="292"/>
      <c r="FP61" s="292"/>
      <c r="FQ61" s="292"/>
      <c r="FR61" s="292"/>
      <c r="FS61" s="292"/>
      <c r="FT61" s="292"/>
      <c r="FU61" s="292"/>
      <c r="FV61" s="292"/>
      <c r="FW61" s="292"/>
      <c r="FX61" s="292"/>
      <c r="FY61" s="292"/>
      <c r="FZ61" s="292"/>
      <c r="GA61" s="292"/>
      <c r="GB61" s="292"/>
      <c r="GC61" s="292"/>
      <c r="GD61" s="292"/>
      <c r="GE61" s="292"/>
      <c r="GF61" s="292"/>
      <c r="GG61" s="292"/>
      <c r="GH61" s="292"/>
      <c r="GI61" s="292"/>
      <c r="GJ61" s="292"/>
      <c r="GK61" s="292"/>
      <c r="GL61" s="292"/>
      <c r="GM61" s="292"/>
      <c r="GN61" s="292"/>
      <c r="GO61" s="292"/>
      <c r="GP61" s="292"/>
      <c r="GQ61" s="292"/>
      <c r="GR61" s="292"/>
      <c r="GS61" s="292"/>
      <c r="GT61" s="292"/>
      <c r="GU61" s="292"/>
      <c r="GV61" s="292"/>
      <c r="GW61" s="292"/>
      <c r="GX61" s="292"/>
      <c r="GY61" s="292"/>
      <c r="GZ61" s="292"/>
      <c r="HA61" s="292"/>
      <c r="HB61" s="292"/>
      <c r="HC61" s="292"/>
      <c r="HD61" s="292"/>
      <c r="HE61" s="292"/>
      <c r="HF61" s="292"/>
      <c r="HG61" s="292"/>
      <c r="HH61" s="292"/>
      <c r="HI61" s="292"/>
      <c r="HJ61" s="292"/>
      <c r="HK61" s="292"/>
      <c r="HL61" s="292"/>
      <c r="HM61" s="292"/>
      <c r="HN61" s="292"/>
      <c r="HO61" s="292"/>
      <c r="HP61" s="292"/>
      <c r="HQ61" s="292"/>
      <c r="HR61" s="292"/>
      <c r="HS61" s="292"/>
      <c r="HT61" s="292"/>
      <c r="HU61" s="292"/>
      <c r="HV61" s="292"/>
      <c r="HW61" s="292"/>
      <c r="HX61" s="292"/>
      <c r="HY61" s="292"/>
      <c r="HZ61" s="292"/>
      <c r="IA61" s="292"/>
      <c r="IB61" s="292"/>
      <c r="IC61" s="292"/>
      <c r="ID61" s="292"/>
      <c r="IE61" s="292"/>
      <c r="IF61" s="292"/>
      <c r="IG61" s="292"/>
      <c r="IH61" s="292"/>
      <c r="II61" s="292"/>
      <c r="IJ61" s="292"/>
      <c r="IK61" s="292"/>
      <c r="IL61" s="292"/>
      <c r="IM61" s="292"/>
      <c r="IN61" s="292"/>
      <c r="IO61" s="292"/>
      <c r="IP61" s="292"/>
      <c r="IQ61" s="292"/>
      <c r="IR61" s="292"/>
      <c r="IS61" s="292"/>
      <c r="IT61" s="292"/>
      <c r="IU61" s="292"/>
      <c r="IV61" s="292"/>
      <c r="IW61" s="292"/>
      <c r="IX61" s="292"/>
      <c r="IY61" s="292"/>
      <c r="IZ61" s="292"/>
      <c r="JA61" s="292"/>
      <c r="JB61" s="292"/>
      <c r="JC61" s="292"/>
      <c r="JD61" s="292"/>
      <c r="JE61" s="292"/>
      <c r="JF61" s="292"/>
      <c r="JG61" s="292"/>
      <c r="JH61" s="292"/>
      <c r="JI61" s="292"/>
      <c r="JJ61" s="292"/>
      <c r="JK61" s="292"/>
      <c r="JL61" s="292"/>
      <c r="JM61" s="292"/>
      <c r="JN61" s="292"/>
      <c r="JO61" s="292"/>
      <c r="JP61" s="292"/>
      <c r="JQ61" s="292"/>
      <c r="JR61" s="292"/>
      <c r="JS61" s="292"/>
      <c r="JT61" s="292"/>
      <c r="JU61" s="292"/>
      <c r="JV61" s="292"/>
      <c r="JW61" s="292"/>
      <c r="JX61" s="292"/>
      <c r="JY61" s="292"/>
      <c r="JZ61" s="292"/>
      <c r="KA61" s="292"/>
      <c r="KB61" s="292"/>
      <c r="KC61" s="292"/>
      <c r="KD61" s="292"/>
      <c r="KE61" s="292"/>
      <c r="KF61" s="292"/>
      <c r="KG61" s="292"/>
      <c r="KH61" s="292"/>
      <c r="KI61" s="292"/>
      <c r="KJ61" s="292"/>
      <c r="KK61" s="292"/>
      <c r="KL61" s="292"/>
      <c r="KM61" s="292"/>
      <c r="KN61" s="292"/>
      <c r="KO61" s="292"/>
      <c r="KP61" s="292"/>
      <c r="KQ61" s="292"/>
      <c r="KR61" s="292"/>
      <c r="KS61" s="292"/>
      <c r="KT61" s="292"/>
      <c r="KU61" s="292"/>
      <c r="KV61" s="292"/>
      <c r="KW61" s="292"/>
      <c r="KX61" s="292"/>
      <c r="KY61" s="292"/>
      <c r="KZ61" s="292"/>
      <c r="LA61" s="292"/>
      <c r="LB61" s="292"/>
      <c r="LC61" s="292"/>
      <c r="LD61" s="292"/>
      <c r="LE61" s="292"/>
      <c r="LF61" s="292"/>
      <c r="LG61" s="292"/>
      <c r="LH61" s="292"/>
      <c r="LI61" s="292"/>
      <c r="LJ61" s="292"/>
      <c r="LK61" s="292"/>
      <c r="LL61" s="292"/>
      <c r="LM61" s="292"/>
      <c r="LN61" s="292"/>
      <c r="LO61" s="292"/>
      <c r="LP61" s="292"/>
      <c r="LQ61" s="292"/>
      <c r="LR61" s="292"/>
      <c r="LS61" s="292"/>
      <c r="LT61" s="292"/>
      <c r="LU61" s="292"/>
      <c r="LV61" s="292"/>
      <c r="LW61" s="292"/>
      <c r="LX61" s="292"/>
      <c r="LY61" s="292"/>
      <c r="LZ61" s="292"/>
      <c r="MA61" s="292"/>
      <c r="MB61" s="292"/>
      <c r="MC61" s="292"/>
      <c r="MD61" s="292"/>
      <c r="ME61" s="292"/>
      <c r="MF61" s="292"/>
      <c r="MG61" s="292"/>
      <c r="MH61" s="292"/>
      <c r="MI61" s="292"/>
      <c r="MJ61" s="292"/>
      <c r="MK61" s="292"/>
      <c r="ML61" s="292"/>
      <c r="MM61" s="292"/>
      <c r="MN61" s="292"/>
      <c r="MO61" s="292"/>
      <c r="MP61" s="292"/>
      <c r="MQ61" s="292"/>
      <c r="MR61" s="292"/>
      <c r="MS61" s="292"/>
      <c r="MT61" s="292"/>
      <c r="MU61" s="292"/>
      <c r="MV61" s="292"/>
      <c r="MW61" s="292"/>
      <c r="MX61" s="292"/>
      <c r="MY61" s="292"/>
      <c r="MZ61" s="292"/>
      <c r="NA61" s="292"/>
      <c r="NB61" s="292"/>
      <c r="NC61" s="292"/>
      <c r="ND61" s="292"/>
      <c r="NE61" s="292"/>
      <c r="NF61" s="292"/>
      <c r="NG61" s="292"/>
      <c r="NH61" s="292"/>
      <c r="NI61" s="292"/>
      <c r="NJ61" s="292"/>
      <c r="NK61" s="292"/>
      <c r="NL61" s="292"/>
      <c r="NM61" s="292"/>
      <c r="NN61" s="292"/>
      <c r="NO61" s="292"/>
      <c r="NP61" s="292"/>
      <c r="NQ61" s="292"/>
      <c r="NR61" s="292"/>
      <c r="NS61" s="292"/>
      <c r="NT61" s="292"/>
      <c r="NU61" s="292"/>
      <c r="NV61" s="292"/>
      <c r="NW61" s="292"/>
      <c r="NX61" s="292"/>
      <c r="NY61" s="292"/>
      <c r="NZ61" s="292"/>
      <c r="OA61" s="292"/>
      <c r="OB61" s="292"/>
      <c r="OC61" s="292"/>
      <c r="OD61" s="292"/>
      <c r="OE61" s="292"/>
      <c r="OF61" s="292"/>
      <c r="OG61" s="292"/>
      <c r="OH61" s="292"/>
      <c r="OI61" s="292"/>
      <c r="OJ61" s="292"/>
      <c r="OK61" s="292"/>
      <c r="OL61" s="292"/>
      <c r="OM61" s="292"/>
      <c r="ON61" s="292"/>
      <c r="OO61" s="292"/>
      <c r="OP61" s="292"/>
      <c r="OQ61" s="292"/>
      <c r="OR61" s="292"/>
      <c r="OS61" s="292"/>
      <c r="OT61" s="292"/>
      <c r="OU61" s="292"/>
      <c r="OV61" s="292"/>
      <c r="OW61" s="292"/>
      <c r="OX61" s="292"/>
      <c r="OY61" s="292"/>
      <c r="OZ61" s="292"/>
      <c r="PA61" s="292"/>
      <c r="PB61" s="292"/>
      <c r="PC61" s="292"/>
      <c r="PD61" s="292"/>
      <c r="PE61" s="292"/>
      <c r="PF61" s="292"/>
      <c r="PG61" s="292"/>
      <c r="PH61" s="292"/>
      <c r="PI61" s="292"/>
      <c r="PJ61" s="292"/>
      <c r="PK61" s="292"/>
      <c r="PL61" s="292"/>
      <c r="PM61" s="292"/>
      <c r="PN61" s="292"/>
      <c r="PO61" s="292"/>
      <c r="PP61" s="292"/>
      <c r="PQ61" s="292"/>
      <c r="PR61" s="292"/>
      <c r="PS61" s="292"/>
      <c r="PT61" s="292"/>
      <c r="PU61" s="292"/>
      <c r="PV61" s="292"/>
      <c r="PW61" s="292"/>
      <c r="PX61" s="292"/>
      <c r="PY61" s="292"/>
      <c r="PZ61" s="292"/>
      <c r="QA61" s="292"/>
      <c r="QB61" s="292"/>
      <c r="QC61" s="292"/>
      <c r="QD61" s="292"/>
      <c r="QE61" s="292"/>
      <c r="QF61" s="292"/>
      <c r="QG61" s="292"/>
      <c r="QH61" s="292"/>
      <c r="QI61" s="292"/>
      <c r="QJ61" s="292"/>
      <c r="QK61" s="292"/>
      <c r="QL61" s="292"/>
      <c r="QM61" s="292"/>
      <c r="QN61" s="292"/>
      <c r="QO61" s="292"/>
      <c r="QP61" s="292"/>
      <c r="QQ61" s="292"/>
      <c r="QR61" s="292"/>
      <c r="QS61" s="292"/>
      <c r="QT61" s="292"/>
      <c r="QU61" s="292"/>
      <c r="QV61" s="292"/>
      <c r="QW61" s="292"/>
      <c r="QX61" s="292"/>
      <c r="QY61" s="292"/>
      <c r="QZ61" s="292"/>
      <c r="RA61" s="292"/>
      <c r="RB61" s="292"/>
      <c r="RC61" s="292"/>
      <c r="RD61" s="292"/>
      <c r="RE61" s="292"/>
      <c r="RF61" s="292"/>
      <c r="RG61" s="292"/>
      <c r="RH61" s="292"/>
      <c r="RI61" s="292"/>
      <c r="RJ61" s="292"/>
      <c r="RK61" s="292"/>
      <c r="RL61" s="292"/>
      <c r="RM61" s="292"/>
      <c r="RN61" s="292"/>
      <c r="RO61" s="292"/>
      <c r="RP61" s="292"/>
      <c r="RQ61" s="292"/>
      <c r="RR61" s="292"/>
      <c r="RS61" s="292"/>
      <c r="RT61" s="292"/>
      <c r="RU61" s="292"/>
      <c r="RV61" s="292"/>
      <c r="RW61" s="292"/>
      <c r="RX61" s="292"/>
      <c r="RY61" s="292"/>
      <c r="RZ61" s="292"/>
      <c r="SA61" s="292"/>
      <c r="SB61" s="292"/>
      <c r="SC61" s="292"/>
      <c r="SD61" s="292"/>
      <c r="SE61" s="292"/>
      <c r="SF61" s="292"/>
      <c r="SG61" s="292"/>
      <c r="SH61" s="292"/>
      <c r="SI61" s="292"/>
      <c r="SJ61" s="292"/>
      <c r="SK61" s="292"/>
      <c r="SL61" s="292"/>
      <c r="SM61" s="292"/>
      <c r="SN61" s="292"/>
      <c r="SO61" s="292"/>
      <c r="SP61" s="292"/>
      <c r="SQ61" s="292"/>
      <c r="SR61" s="292"/>
      <c r="SS61" s="292"/>
      <c r="ST61" s="292"/>
      <c r="SU61" s="292"/>
    </row>
    <row r="62" spans="1:515" s="478" customFormat="1" ht="28.5" customHeight="1" x14ac:dyDescent="0.25">
      <c r="A62" s="986"/>
      <c r="B62" s="984"/>
      <c r="C62" s="984"/>
      <c r="D62" s="962"/>
      <c r="E62" s="1294" t="s">
        <v>367</v>
      </c>
      <c r="F62" s="1294"/>
      <c r="G62" s="1294"/>
      <c r="H62" s="957"/>
      <c r="I62" s="1294" t="s">
        <v>367</v>
      </c>
      <c r="J62" s="1294"/>
      <c r="K62" s="1294"/>
      <c r="L62" s="957"/>
      <c r="M62" s="1294" t="s">
        <v>367</v>
      </c>
      <c r="N62" s="1294"/>
      <c r="O62" s="1294"/>
      <c r="P62" s="957"/>
      <c r="Q62" s="1294" t="s">
        <v>367</v>
      </c>
      <c r="R62" s="1294"/>
      <c r="S62" s="1294"/>
      <c r="T62" s="957"/>
      <c r="U62" s="1294" t="s">
        <v>367</v>
      </c>
      <c r="V62" s="1294"/>
      <c r="W62" s="1294"/>
      <c r="X62" s="957"/>
      <c r="Y62" s="1294" t="s">
        <v>367</v>
      </c>
      <c r="Z62" s="1294"/>
      <c r="AA62" s="1294"/>
      <c r="AB62" s="976"/>
      <c r="AC62" s="957"/>
      <c r="AD62" s="1181" t="s">
        <v>367</v>
      </c>
      <c r="AE62" s="971"/>
      <c r="AF62" s="292"/>
      <c r="AG62" s="292"/>
      <c r="AH62" s="292"/>
      <c r="AI62" s="292"/>
      <c r="AJ62" s="292"/>
      <c r="AK62" s="292"/>
      <c r="AL62" s="292"/>
      <c r="AM62" s="292"/>
      <c r="AN62" s="292"/>
      <c r="AO62" s="292"/>
      <c r="AP62" s="292"/>
      <c r="AQ62" s="292"/>
      <c r="AR62" s="292"/>
      <c r="AS62" s="292"/>
      <c r="AT62" s="292"/>
      <c r="AU62" s="292"/>
      <c r="AV62" s="292"/>
      <c r="AW62" s="292"/>
      <c r="AX62" s="292"/>
      <c r="AY62" s="292"/>
      <c r="AZ62" s="292"/>
      <c r="BA62" s="292"/>
      <c r="BB62" s="292"/>
      <c r="BC62" s="292"/>
      <c r="BD62" s="292"/>
      <c r="BE62" s="292"/>
      <c r="BF62" s="292"/>
      <c r="BG62" s="292"/>
      <c r="BH62" s="292"/>
      <c r="BI62" s="292"/>
      <c r="BJ62" s="292"/>
      <c r="BK62" s="292"/>
      <c r="BL62" s="292"/>
      <c r="BM62" s="292"/>
      <c r="BN62" s="292"/>
      <c r="BO62" s="292"/>
      <c r="BP62" s="292"/>
      <c r="BQ62" s="292"/>
      <c r="BR62" s="292"/>
      <c r="BS62" s="292"/>
      <c r="BT62" s="292"/>
      <c r="BU62" s="292"/>
      <c r="BV62" s="292"/>
      <c r="BW62" s="292"/>
      <c r="BX62" s="292"/>
      <c r="BY62" s="292"/>
      <c r="BZ62" s="292"/>
      <c r="CA62" s="292"/>
      <c r="CB62" s="292"/>
      <c r="CC62" s="292"/>
      <c r="CD62" s="292"/>
      <c r="CE62" s="292"/>
      <c r="CF62" s="292"/>
      <c r="CG62" s="292"/>
      <c r="CH62" s="292"/>
      <c r="CI62" s="292"/>
      <c r="CJ62" s="292"/>
      <c r="CK62" s="292"/>
      <c r="CL62" s="292"/>
      <c r="CM62" s="292"/>
      <c r="CN62" s="292"/>
      <c r="CO62" s="292"/>
      <c r="CP62" s="292"/>
      <c r="CQ62" s="292"/>
      <c r="CR62" s="292"/>
      <c r="CS62" s="292"/>
      <c r="CT62" s="292"/>
      <c r="CU62" s="292"/>
      <c r="CV62" s="292"/>
      <c r="CW62" s="292"/>
      <c r="CX62" s="292"/>
      <c r="CY62" s="292"/>
      <c r="CZ62" s="292"/>
      <c r="DA62" s="292"/>
      <c r="DB62" s="292"/>
      <c r="DC62" s="292"/>
      <c r="DD62" s="292"/>
      <c r="DE62" s="292"/>
      <c r="DF62" s="292"/>
      <c r="DG62" s="292"/>
      <c r="DH62" s="292"/>
      <c r="DI62" s="292"/>
      <c r="DJ62" s="292"/>
      <c r="DK62" s="292"/>
      <c r="DL62" s="292"/>
      <c r="DM62" s="292"/>
      <c r="DN62" s="292"/>
      <c r="DO62" s="292"/>
      <c r="DP62" s="292"/>
      <c r="DQ62" s="292"/>
      <c r="DR62" s="292"/>
      <c r="DS62" s="292"/>
      <c r="DT62" s="292"/>
      <c r="DU62" s="292"/>
      <c r="DV62" s="292"/>
      <c r="DW62" s="292"/>
      <c r="DX62" s="292"/>
      <c r="DY62" s="292"/>
      <c r="DZ62" s="292"/>
      <c r="EA62" s="292"/>
      <c r="EB62" s="292"/>
      <c r="EC62" s="292"/>
      <c r="ED62" s="292"/>
      <c r="EE62" s="292"/>
      <c r="EF62" s="292"/>
      <c r="EG62" s="292"/>
      <c r="EH62" s="292"/>
      <c r="EI62" s="292"/>
      <c r="EJ62" s="292"/>
      <c r="EK62" s="292"/>
      <c r="EL62" s="292"/>
      <c r="EM62" s="292"/>
      <c r="EN62" s="292"/>
      <c r="EO62" s="292"/>
      <c r="EP62" s="292"/>
      <c r="EQ62" s="292"/>
      <c r="ER62" s="292"/>
      <c r="ES62" s="292"/>
      <c r="ET62" s="292"/>
      <c r="EU62" s="292"/>
      <c r="EV62" s="292"/>
      <c r="EW62" s="292"/>
      <c r="EX62" s="292"/>
      <c r="EY62" s="292"/>
      <c r="EZ62" s="292"/>
      <c r="FA62" s="292"/>
      <c r="FB62" s="292"/>
      <c r="FC62" s="292"/>
      <c r="FD62" s="292"/>
      <c r="FE62" s="292"/>
      <c r="FF62" s="292"/>
      <c r="FG62" s="292"/>
      <c r="FH62" s="292"/>
      <c r="FI62" s="292"/>
      <c r="FJ62" s="292"/>
      <c r="FK62" s="292"/>
      <c r="FL62" s="292"/>
      <c r="FM62" s="292"/>
      <c r="FN62" s="292"/>
      <c r="FO62" s="292"/>
      <c r="FP62" s="292"/>
      <c r="FQ62" s="292"/>
      <c r="FR62" s="292"/>
      <c r="FS62" s="292"/>
      <c r="FT62" s="292"/>
      <c r="FU62" s="292"/>
      <c r="FV62" s="292"/>
      <c r="FW62" s="292"/>
      <c r="FX62" s="292"/>
      <c r="FY62" s="292"/>
      <c r="FZ62" s="292"/>
      <c r="GA62" s="292"/>
      <c r="GB62" s="292"/>
      <c r="GC62" s="292"/>
      <c r="GD62" s="292"/>
      <c r="GE62" s="292"/>
      <c r="GF62" s="292"/>
      <c r="GG62" s="292"/>
      <c r="GH62" s="292"/>
      <c r="GI62" s="292"/>
      <c r="GJ62" s="292"/>
      <c r="GK62" s="292"/>
      <c r="GL62" s="292"/>
      <c r="GM62" s="292"/>
      <c r="GN62" s="292"/>
      <c r="GO62" s="292"/>
      <c r="GP62" s="292"/>
      <c r="GQ62" s="292"/>
      <c r="GR62" s="292"/>
      <c r="GS62" s="292"/>
      <c r="GT62" s="292"/>
      <c r="GU62" s="292"/>
      <c r="GV62" s="292"/>
      <c r="GW62" s="292"/>
      <c r="GX62" s="292"/>
      <c r="GY62" s="292"/>
      <c r="GZ62" s="292"/>
      <c r="HA62" s="292"/>
      <c r="HB62" s="292"/>
      <c r="HC62" s="292"/>
      <c r="HD62" s="292"/>
      <c r="HE62" s="292"/>
      <c r="HF62" s="292"/>
      <c r="HG62" s="292"/>
      <c r="HH62" s="292"/>
      <c r="HI62" s="292"/>
      <c r="HJ62" s="292"/>
      <c r="HK62" s="292"/>
      <c r="HL62" s="292"/>
      <c r="HM62" s="292"/>
      <c r="HN62" s="292"/>
      <c r="HO62" s="292"/>
      <c r="HP62" s="292"/>
      <c r="HQ62" s="292"/>
      <c r="HR62" s="292"/>
      <c r="HS62" s="292"/>
      <c r="HT62" s="292"/>
      <c r="HU62" s="292"/>
      <c r="HV62" s="292"/>
      <c r="HW62" s="292"/>
      <c r="HX62" s="292"/>
      <c r="HY62" s="292"/>
      <c r="HZ62" s="292"/>
      <c r="IA62" s="292"/>
      <c r="IB62" s="292"/>
      <c r="IC62" s="292"/>
      <c r="ID62" s="292"/>
      <c r="IE62" s="292"/>
      <c r="IF62" s="292"/>
      <c r="IG62" s="292"/>
      <c r="IH62" s="292"/>
      <c r="II62" s="292"/>
      <c r="IJ62" s="292"/>
      <c r="IK62" s="292"/>
      <c r="IL62" s="292"/>
      <c r="IM62" s="292"/>
      <c r="IN62" s="292"/>
      <c r="IO62" s="292"/>
      <c r="IP62" s="292"/>
      <c r="IQ62" s="292"/>
      <c r="IR62" s="292"/>
      <c r="IS62" s="292"/>
      <c r="IT62" s="292"/>
      <c r="IU62" s="292"/>
      <c r="IV62" s="292"/>
      <c r="IW62" s="292"/>
      <c r="IX62" s="292"/>
      <c r="IY62" s="292"/>
      <c r="IZ62" s="292"/>
      <c r="JA62" s="292"/>
      <c r="JB62" s="292"/>
      <c r="JC62" s="292"/>
      <c r="JD62" s="292"/>
      <c r="JE62" s="292"/>
      <c r="JF62" s="292"/>
      <c r="JG62" s="292"/>
      <c r="JH62" s="292"/>
      <c r="JI62" s="292"/>
      <c r="JJ62" s="292"/>
      <c r="JK62" s="292"/>
      <c r="JL62" s="292"/>
      <c r="JM62" s="292"/>
      <c r="JN62" s="292"/>
      <c r="JO62" s="292"/>
      <c r="JP62" s="292"/>
      <c r="JQ62" s="292"/>
      <c r="JR62" s="292"/>
      <c r="JS62" s="292"/>
      <c r="JT62" s="292"/>
      <c r="JU62" s="292"/>
      <c r="JV62" s="292"/>
      <c r="JW62" s="292"/>
      <c r="JX62" s="292"/>
      <c r="JY62" s="292"/>
      <c r="JZ62" s="292"/>
      <c r="KA62" s="292"/>
      <c r="KB62" s="292"/>
      <c r="KC62" s="292"/>
      <c r="KD62" s="292"/>
      <c r="KE62" s="292"/>
      <c r="KF62" s="292"/>
      <c r="KG62" s="292"/>
      <c r="KH62" s="292"/>
      <c r="KI62" s="292"/>
      <c r="KJ62" s="292"/>
      <c r="KK62" s="292"/>
      <c r="KL62" s="292"/>
      <c r="KM62" s="292"/>
      <c r="KN62" s="292"/>
      <c r="KO62" s="292"/>
      <c r="KP62" s="292"/>
      <c r="KQ62" s="292"/>
      <c r="KR62" s="292"/>
      <c r="KS62" s="292"/>
      <c r="KT62" s="292"/>
      <c r="KU62" s="292"/>
      <c r="KV62" s="292"/>
      <c r="KW62" s="292"/>
      <c r="KX62" s="292"/>
      <c r="KY62" s="292"/>
      <c r="KZ62" s="292"/>
      <c r="LA62" s="292"/>
      <c r="LB62" s="292"/>
      <c r="LC62" s="292"/>
      <c r="LD62" s="292"/>
      <c r="LE62" s="292"/>
      <c r="LF62" s="292"/>
      <c r="LG62" s="292"/>
      <c r="LH62" s="292"/>
      <c r="LI62" s="292"/>
      <c r="LJ62" s="292"/>
      <c r="LK62" s="292"/>
      <c r="LL62" s="292"/>
      <c r="LM62" s="292"/>
      <c r="LN62" s="292"/>
      <c r="LO62" s="292"/>
      <c r="LP62" s="292"/>
      <c r="LQ62" s="292"/>
      <c r="LR62" s="292"/>
      <c r="LS62" s="292"/>
      <c r="LT62" s="292"/>
      <c r="LU62" s="292"/>
      <c r="LV62" s="292"/>
      <c r="LW62" s="292"/>
      <c r="LX62" s="292"/>
      <c r="LY62" s="292"/>
      <c r="LZ62" s="292"/>
      <c r="MA62" s="292"/>
      <c r="MB62" s="292"/>
      <c r="MC62" s="292"/>
      <c r="MD62" s="292"/>
      <c r="ME62" s="292"/>
      <c r="MF62" s="292"/>
      <c r="MG62" s="292"/>
      <c r="MH62" s="292"/>
      <c r="MI62" s="292"/>
      <c r="MJ62" s="292"/>
      <c r="MK62" s="292"/>
      <c r="ML62" s="292"/>
      <c r="MM62" s="292"/>
      <c r="MN62" s="292"/>
      <c r="MO62" s="292"/>
      <c r="MP62" s="292"/>
      <c r="MQ62" s="292"/>
      <c r="MR62" s="292"/>
      <c r="MS62" s="292"/>
      <c r="MT62" s="292"/>
      <c r="MU62" s="292"/>
      <c r="MV62" s="292"/>
      <c r="MW62" s="292"/>
      <c r="MX62" s="292"/>
      <c r="MY62" s="292"/>
      <c r="MZ62" s="292"/>
      <c r="NA62" s="292"/>
      <c r="NB62" s="292"/>
      <c r="NC62" s="292"/>
      <c r="ND62" s="292"/>
      <c r="NE62" s="292"/>
      <c r="NF62" s="292"/>
      <c r="NG62" s="292"/>
      <c r="NH62" s="292"/>
      <c r="NI62" s="292"/>
      <c r="NJ62" s="292"/>
      <c r="NK62" s="292"/>
      <c r="NL62" s="292"/>
      <c r="NM62" s="292"/>
      <c r="NN62" s="292"/>
      <c r="NO62" s="292"/>
      <c r="NP62" s="292"/>
      <c r="NQ62" s="292"/>
      <c r="NR62" s="292"/>
      <c r="NS62" s="292"/>
      <c r="NT62" s="292"/>
      <c r="NU62" s="292"/>
      <c r="NV62" s="292"/>
      <c r="NW62" s="292"/>
      <c r="NX62" s="292"/>
      <c r="NY62" s="292"/>
      <c r="NZ62" s="292"/>
      <c r="OA62" s="292"/>
      <c r="OB62" s="292"/>
      <c r="OC62" s="292"/>
      <c r="OD62" s="292"/>
      <c r="OE62" s="292"/>
      <c r="OF62" s="292"/>
      <c r="OG62" s="292"/>
      <c r="OH62" s="292"/>
      <c r="OI62" s="292"/>
      <c r="OJ62" s="292"/>
      <c r="OK62" s="292"/>
      <c r="OL62" s="292"/>
      <c r="OM62" s="292"/>
      <c r="ON62" s="292"/>
      <c r="OO62" s="292"/>
      <c r="OP62" s="292"/>
      <c r="OQ62" s="292"/>
      <c r="OR62" s="292"/>
      <c r="OS62" s="292"/>
      <c r="OT62" s="292"/>
      <c r="OU62" s="292"/>
      <c r="OV62" s="292"/>
      <c r="OW62" s="292"/>
      <c r="OX62" s="292"/>
      <c r="OY62" s="292"/>
      <c r="OZ62" s="292"/>
      <c r="PA62" s="292"/>
      <c r="PB62" s="292"/>
      <c r="PC62" s="292"/>
      <c r="PD62" s="292"/>
      <c r="PE62" s="292"/>
      <c r="PF62" s="292"/>
      <c r="PG62" s="292"/>
      <c r="PH62" s="292"/>
      <c r="PI62" s="292"/>
      <c r="PJ62" s="292"/>
      <c r="PK62" s="292"/>
      <c r="PL62" s="292"/>
      <c r="PM62" s="292"/>
      <c r="PN62" s="292"/>
      <c r="PO62" s="292"/>
      <c r="PP62" s="292"/>
      <c r="PQ62" s="292"/>
      <c r="PR62" s="292"/>
      <c r="PS62" s="292"/>
      <c r="PT62" s="292"/>
      <c r="PU62" s="292"/>
      <c r="PV62" s="292"/>
      <c r="PW62" s="292"/>
      <c r="PX62" s="292"/>
      <c r="PY62" s="292"/>
      <c r="PZ62" s="292"/>
      <c r="QA62" s="292"/>
      <c r="QB62" s="292"/>
      <c r="QC62" s="292"/>
      <c r="QD62" s="292"/>
      <c r="QE62" s="292"/>
      <c r="QF62" s="292"/>
      <c r="QG62" s="292"/>
      <c r="QH62" s="292"/>
      <c r="QI62" s="292"/>
      <c r="QJ62" s="292"/>
      <c r="QK62" s="292"/>
      <c r="QL62" s="292"/>
      <c r="QM62" s="292"/>
      <c r="QN62" s="292"/>
      <c r="QO62" s="292"/>
      <c r="QP62" s="292"/>
      <c r="QQ62" s="292"/>
      <c r="QR62" s="292"/>
      <c r="QS62" s="292"/>
      <c r="QT62" s="292"/>
      <c r="QU62" s="292"/>
      <c r="QV62" s="292"/>
      <c r="QW62" s="292"/>
      <c r="QX62" s="292"/>
      <c r="QY62" s="292"/>
      <c r="QZ62" s="292"/>
      <c r="RA62" s="292"/>
      <c r="RB62" s="292"/>
      <c r="RC62" s="292"/>
      <c r="RD62" s="292"/>
      <c r="RE62" s="292"/>
      <c r="RF62" s="292"/>
      <c r="RG62" s="292"/>
      <c r="RH62" s="292"/>
      <c r="RI62" s="292"/>
      <c r="RJ62" s="292"/>
      <c r="RK62" s="292"/>
      <c r="RL62" s="292"/>
      <c r="RM62" s="292"/>
      <c r="RN62" s="292"/>
      <c r="RO62" s="292"/>
      <c r="RP62" s="292"/>
      <c r="RQ62" s="292"/>
      <c r="RR62" s="292"/>
      <c r="RS62" s="292"/>
      <c r="RT62" s="292"/>
      <c r="RU62" s="292"/>
      <c r="RV62" s="292"/>
      <c r="RW62" s="292"/>
      <c r="RX62" s="292"/>
      <c r="RY62" s="292"/>
      <c r="RZ62" s="292"/>
      <c r="SA62" s="292"/>
      <c r="SB62" s="292"/>
      <c r="SC62" s="292"/>
      <c r="SD62" s="292"/>
      <c r="SE62" s="292"/>
      <c r="SF62" s="292"/>
      <c r="SG62" s="292"/>
      <c r="SH62" s="292"/>
      <c r="SI62" s="292"/>
      <c r="SJ62" s="292"/>
      <c r="SK62" s="292"/>
      <c r="SL62" s="292"/>
      <c r="SM62" s="292"/>
      <c r="SN62" s="292"/>
      <c r="SO62" s="292"/>
      <c r="SP62" s="292"/>
      <c r="SQ62" s="292"/>
      <c r="SR62" s="292"/>
      <c r="SS62" s="292"/>
      <c r="ST62" s="292"/>
      <c r="SU62" s="292"/>
    </row>
    <row r="63" spans="1:515" s="603" customFormat="1" ht="23.15" customHeight="1" x14ac:dyDescent="0.25">
      <c r="A63" s="1323" t="s">
        <v>368</v>
      </c>
      <c r="B63" s="1324"/>
      <c r="C63" s="1324"/>
      <c r="D63" s="962"/>
      <c r="E63" s="1296">
        <f>G33+G40+G47+G54+G59</f>
        <v>0</v>
      </c>
      <c r="F63" s="1296"/>
      <c r="G63" s="1296"/>
      <c r="H63" s="962"/>
      <c r="I63" s="1296">
        <f>K33+K40+K47+K54+K59</f>
        <v>0</v>
      </c>
      <c r="J63" s="1296"/>
      <c r="K63" s="1296"/>
      <c r="L63" s="962"/>
      <c r="M63" s="1296">
        <f>O33+O40+O47+O54+O59</f>
        <v>0</v>
      </c>
      <c r="N63" s="1296"/>
      <c r="O63" s="1296"/>
      <c r="P63" s="962"/>
      <c r="Q63" s="1296">
        <f>S33+S40+S47+S54+S59</f>
        <v>0</v>
      </c>
      <c r="R63" s="1296"/>
      <c r="S63" s="1296"/>
      <c r="T63" s="962"/>
      <c r="U63" s="1296">
        <f>W33+W40+W47+W54+W59</f>
        <v>0</v>
      </c>
      <c r="V63" s="1296"/>
      <c r="W63" s="1296"/>
      <c r="X63" s="962"/>
      <c r="Y63" s="1296">
        <f>AA33+AA40+AA47+AA54+AA59</f>
        <v>0</v>
      </c>
      <c r="Z63" s="1296"/>
      <c r="AA63" s="1296"/>
      <c r="AB63" s="976"/>
      <c r="AC63" s="1144"/>
      <c r="AD63" s="1176">
        <f>E63+I63+M63+Q63+U63+Y63</f>
        <v>0</v>
      </c>
      <c r="AE63" s="971"/>
      <c r="AF63" s="613"/>
      <c r="AG63" s="613"/>
      <c r="AH63" s="613"/>
      <c r="AI63" s="613"/>
      <c r="AJ63" s="613"/>
      <c r="AK63" s="613"/>
      <c r="AL63" s="613"/>
      <c r="AM63" s="613"/>
      <c r="AN63" s="613"/>
      <c r="AO63" s="613"/>
      <c r="AP63" s="613"/>
      <c r="AQ63" s="613"/>
      <c r="AR63" s="613"/>
      <c r="AS63" s="613"/>
      <c r="AT63" s="613"/>
      <c r="AU63" s="613"/>
      <c r="AV63" s="613"/>
      <c r="AW63" s="613"/>
      <c r="AX63" s="613"/>
      <c r="AY63" s="613"/>
      <c r="AZ63" s="613"/>
      <c r="BA63" s="613"/>
      <c r="BB63" s="613"/>
      <c r="BC63" s="613"/>
      <c r="BD63" s="613"/>
      <c r="BE63" s="613"/>
      <c r="BF63" s="613"/>
      <c r="BG63" s="613"/>
      <c r="BH63" s="613"/>
      <c r="BI63" s="613"/>
      <c r="BJ63" s="613"/>
      <c r="BK63" s="613"/>
      <c r="BL63" s="613"/>
      <c r="BM63" s="613"/>
      <c r="BN63" s="613"/>
      <c r="BO63" s="613"/>
      <c r="BP63" s="613"/>
      <c r="BQ63" s="613"/>
      <c r="BR63" s="613"/>
      <c r="BS63" s="613"/>
      <c r="BT63" s="613"/>
      <c r="BU63" s="613"/>
      <c r="BV63" s="613"/>
      <c r="BW63" s="613"/>
      <c r="BX63" s="613"/>
      <c r="BY63" s="613"/>
      <c r="BZ63" s="613"/>
      <c r="CA63" s="613"/>
      <c r="CB63" s="613"/>
      <c r="CC63" s="613"/>
      <c r="CD63" s="613"/>
      <c r="CE63" s="613"/>
      <c r="CF63" s="613"/>
      <c r="CG63" s="613"/>
      <c r="CH63" s="613"/>
      <c r="CI63" s="613"/>
      <c r="CJ63" s="613"/>
      <c r="CK63" s="613"/>
      <c r="CL63" s="613"/>
      <c r="CM63" s="613"/>
      <c r="CN63" s="613"/>
      <c r="CO63" s="613"/>
      <c r="CP63" s="613"/>
      <c r="CQ63" s="613"/>
      <c r="CR63" s="613"/>
      <c r="CS63" s="613"/>
      <c r="CT63" s="613"/>
      <c r="CU63" s="613"/>
      <c r="CV63" s="613"/>
      <c r="CW63" s="613"/>
      <c r="CX63" s="613"/>
      <c r="CY63" s="613"/>
      <c r="CZ63" s="613"/>
      <c r="DA63" s="613"/>
      <c r="DB63" s="613"/>
      <c r="DC63" s="613"/>
      <c r="DD63" s="613"/>
      <c r="DE63" s="613"/>
      <c r="DF63" s="613"/>
      <c r="DG63" s="613"/>
      <c r="DH63" s="613"/>
      <c r="DI63" s="613"/>
      <c r="DJ63" s="613"/>
      <c r="DK63" s="613"/>
      <c r="DL63" s="613"/>
      <c r="DM63" s="613"/>
      <c r="DN63" s="613"/>
      <c r="DO63" s="613"/>
      <c r="DP63" s="613"/>
      <c r="DQ63" s="613"/>
      <c r="DR63" s="613"/>
      <c r="DS63" s="613"/>
      <c r="DT63" s="613"/>
      <c r="DU63" s="613"/>
      <c r="DV63" s="613"/>
      <c r="DW63" s="613"/>
      <c r="DX63" s="613"/>
      <c r="DY63" s="613"/>
      <c r="DZ63" s="613"/>
      <c r="EA63" s="613"/>
      <c r="EB63" s="613"/>
      <c r="EC63" s="613"/>
      <c r="ED63" s="613"/>
      <c r="EE63" s="613"/>
      <c r="EF63" s="613"/>
      <c r="EG63" s="613"/>
      <c r="EH63" s="613"/>
      <c r="EI63" s="613"/>
      <c r="EJ63" s="613"/>
      <c r="EK63" s="613"/>
      <c r="EL63" s="613"/>
      <c r="EM63" s="613"/>
      <c r="EN63" s="613"/>
      <c r="EO63" s="613"/>
      <c r="EP63" s="613"/>
      <c r="EQ63" s="613"/>
      <c r="ER63" s="613"/>
      <c r="ES63" s="613"/>
      <c r="ET63" s="613"/>
      <c r="EU63" s="613"/>
      <c r="EV63" s="613"/>
      <c r="EW63" s="613"/>
      <c r="EX63" s="613"/>
      <c r="EY63" s="613"/>
      <c r="EZ63" s="613"/>
      <c r="FA63" s="613"/>
      <c r="FB63" s="613"/>
      <c r="FC63" s="613"/>
      <c r="FD63" s="613"/>
      <c r="FE63" s="613"/>
      <c r="FF63" s="613"/>
      <c r="FG63" s="613"/>
      <c r="FH63" s="613"/>
      <c r="FI63" s="613"/>
      <c r="FJ63" s="613"/>
      <c r="FK63" s="613"/>
      <c r="FL63" s="613"/>
      <c r="FM63" s="613"/>
      <c r="FN63" s="613"/>
      <c r="FO63" s="613"/>
      <c r="FP63" s="613"/>
      <c r="FQ63" s="613"/>
      <c r="FR63" s="613"/>
      <c r="FS63" s="613"/>
      <c r="FT63" s="613"/>
      <c r="FU63" s="613"/>
      <c r="FV63" s="613"/>
      <c r="FW63" s="613"/>
      <c r="FX63" s="613"/>
      <c r="FY63" s="613"/>
      <c r="FZ63" s="613"/>
      <c r="GA63" s="613"/>
      <c r="GB63" s="613"/>
      <c r="GC63" s="613"/>
      <c r="GD63" s="613"/>
      <c r="GE63" s="613"/>
      <c r="GF63" s="613"/>
      <c r="GG63" s="613"/>
      <c r="GH63" s="613"/>
      <c r="GI63" s="613"/>
      <c r="GJ63" s="613"/>
      <c r="GK63" s="613"/>
      <c r="GL63" s="613"/>
      <c r="GM63" s="613"/>
      <c r="GN63" s="613"/>
      <c r="GO63" s="613"/>
      <c r="GP63" s="613"/>
      <c r="GQ63" s="613"/>
      <c r="GR63" s="613"/>
      <c r="GS63" s="613"/>
      <c r="GT63" s="613"/>
      <c r="GU63" s="613"/>
      <c r="GV63" s="613"/>
      <c r="GW63" s="613"/>
      <c r="GX63" s="613"/>
      <c r="GY63" s="613"/>
      <c r="GZ63" s="613"/>
      <c r="HA63" s="613"/>
      <c r="HB63" s="613"/>
      <c r="HC63" s="613"/>
      <c r="HD63" s="613"/>
      <c r="HE63" s="613"/>
      <c r="HF63" s="613"/>
      <c r="HG63" s="613"/>
      <c r="HH63" s="613"/>
      <c r="HI63" s="613"/>
      <c r="HJ63" s="613"/>
      <c r="HK63" s="613"/>
      <c r="HL63" s="613"/>
      <c r="HM63" s="613"/>
      <c r="HN63" s="613"/>
      <c r="HO63" s="613"/>
      <c r="HP63" s="613"/>
      <c r="HQ63" s="613"/>
      <c r="HR63" s="613"/>
      <c r="HS63" s="613"/>
      <c r="HT63" s="613"/>
      <c r="HU63" s="613"/>
      <c r="HV63" s="613"/>
      <c r="HW63" s="613"/>
      <c r="HX63" s="613"/>
      <c r="HY63" s="613"/>
      <c r="HZ63" s="613"/>
      <c r="IA63" s="613"/>
      <c r="IB63" s="613"/>
      <c r="IC63" s="613"/>
      <c r="ID63" s="613"/>
      <c r="IE63" s="613"/>
      <c r="IF63" s="613"/>
      <c r="IG63" s="613"/>
      <c r="IH63" s="613"/>
      <c r="II63" s="613"/>
      <c r="IJ63" s="613"/>
      <c r="IK63" s="613"/>
      <c r="IL63" s="613"/>
      <c r="IM63" s="613"/>
      <c r="IN63" s="613"/>
      <c r="IO63" s="613"/>
      <c r="IP63" s="613"/>
      <c r="IQ63" s="613"/>
      <c r="IR63" s="613"/>
      <c r="IS63" s="613"/>
      <c r="IT63" s="613"/>
      <c r="IU63" s="613"/>
      <c r="IV63" s="613"/>
      <c r="IW63" s="613"/>
      <c r="IX63" s="613"/>
      <c r="IY63" s="613"/>
      <c r="IZ63" s="613"/>
      <c r="JA63" s="613"/>
      <c r="JB63" s="613"/>
      <c r="JC63" s="613"/>
      <c r="JD63" s="613"/>
      <c r="JE63" s="613"/>
      <c r="JF63" s="613"/>
      <c r="JG63" s="613"/>
      <c r="JH63" s="613"/>
      <c r="JI63" s="613"/>
      <c r="JJ63" s="613"/>
      <c r="JK63" s="613"/>
      <c r="JL63" s="613"/>
      <c r="JM63" s="613"/>
      <c r="JN63" s="613"/>
      <c r="JO63" s="613"/>
      <c r="JP63" s="613"/>
      <c r="JQ63" s="613"/>
      <c r="JR63" s="613"/>
      <c r="JS63" s="613"/>
      <c r="JT63" s="613"/>
      <c r="JU63" s="613"/>
      <c r="JV63" s="613"/>
      <c r="JW63" s="613"/>
      <c r="JX63" s="613"/>
      <c r="JY63" s="613"/>
      <c r="JZ63" s="613"/>
      <c r="KA63" s="613"/>
      <c r="KB63" s="613"/>
      <c r="KC63" s="613"/>
      <c r="KD63" s="613"/>
      <c r="KE63" s="613"/>
      <c r="KF63" s="613"/>
      <c r="KG63" s="613"/>
      <c r="KH63" s="613"/>
      <c r="KI63" s="613"/>
      <c r="KJ63" s="613"/>
      <c r="KK63" s="613"/>
      <c r="KL63" s="613"/>
      <c r="KM63" s="613"/>
      <c r="KN63" s="613"/>
      <c r="KO63" s="613"/>
      <c r="KP63" s="613"/>
      <c r="KQ63" s="613"/>
      <c r="KR63" s="613"/>
      <c r="KS63" s="613"/>
      <c r="KT63" s="613"/>
      <c r="KU63" s="613"/>
      <c r="KV63" s="613"/>
      <c r="KW63" s="613"/>
      <c r="KX63" s="613"/>
      <c r="KY63" s="613"/>
      <c r="KZ63" s="613"/>
      <c r="LA63" s="613"/>
      <c r="LB63" s="613"/>
      <c r="LC63" s="613"/>
      <c r="LD63" s="613"/>
      <c r="LE63" s="613"/>
      <c r="LF63" s="613"/>
      <c r="LG63" s="613"/>
      <c r="LH63" s="613"/>
      <c r="LI63" s="613"/>
      <c r="LJ63" s="613"/>
      <c r="LK63" s="613"/>
      <c r="LL63" s="613"/>
      <c r="LM63" s="613"/>
      <c r="LN63" s="613"/>
      <c r="LO63" s="613"/>
      <c r="LP63" s="613"/>
      <c r="LQ63" s="613"/>
      <c r="LR63" s="613"/>
      <c r="LS63" s="613"/>
      <c r="LT63" s="613"/>
      <c r="LU63" s="613"/>
      <c r="LV63" s="613"/>
      <c r="LW63" s="613"/>
      <c r="LX63" s="613"/>
      <c r="LY63" s="613"/>
      <c r="LZ63" s="613"/>
      <c r="MA63" s="613"/>
      <c r="MB63" s="613"/>
      <c r="MC63" s="613"/>
      <c r="MD63" s="613"/>
      <c r="ME63" s="613"/>
      <c r="MF63" s="613"/>
      <c r="MG63" s="613"/>
      <c r="MH63" s="613"/>
      <c r="MI63" s="613"/>
      <c r="MJ63" s="613"/>
      <c r="MK63" s="613"/>
      <c r="ML63" s="613"/>
      <c r="MM63" s="613"/>
      <c r="MN63" s="613"/>
      <c r="MO63" s="613"/>
      <c r="MP63" s="613"/>
      <c r="MQ63" s="613"/>
      <c r="MR63" s="613"/>
      <c r="MS63" s="613"/>
      <c r="MT63" s="613"/>
      <c r="MU63" s="613"/>
      <c r="MV63" s="613"/>
      <c r="MW63" s="613"/>
      <c r="MX63" s="613"/>
      <c r="MY63" s="613"/>
      <c r="MZ63" s="613"/>
      <c r="NA63" s="613"/>
      <c r="NB63" s="613"/>
      <c r="NC63" s="613"/>
      <c r="ND63" s="613"/>
      <c r="NE63" s="613"/>
      <c r="NF63" s="613"/>
      <c r="NG63" s="613"/>
      <c r="NH63" s="613"/>
      <c r="NI63" s="613"/>
      <c r="NJ63" s="613"/>
      <c r="NK63" s="613"/>
      <c r="NL63" s="613"/>
      <c r="NM63" s="613"/>
      <c r="NN63" s="613"/>
      <c r="NO63" s="613"/>
      <c r="NP63" s="613"/>
      <c r="NQ63" s="613"/>
      <c r="NR63" s="613"/>
      <c r="NS63" s="613"/>
      <c r="NT63" s="613"/>
      <c r="NU63" s="613"/>
      <c r="NV63" s="613"/>
      <c r="NW63" s="613"/>
      <c r="NX63" s="613"/>
      <c r="NY63" s="613"/>
      <c r="NZ63" s="613"/>
      <c r="OA63" s="613"/>
      <c r="OB63" s="613"/>
      <c r="OC63" s="613"/>
      <c r="OD63" s="613"/>
      <c r="OE63" s="613"/>
      <c r="OF63" s="613"/>
      <c r="OG63" s="613"/>
      <c r="OH63" s="613"/>
      <c r="OI63" s="613"/>
      <c r="OJ63" s="613"/>
      <c r="OK63" s="613"/>
      <c r="OL63" s="613"/>
      <c r="OM63" s="613"/>
      <c r="ON63" s="613"/>
      <c r="OO63" s="613"/>
      <c r="OP63" s="613"/>
      <c r="OQ63" s="613"/>
      <c r="OR63" s="613"/>
      <c r="OS63" s="613"/>
      <c r="OT63" s="613"/>
      <c r="OU63" s="613"/>
      <c r="OV63" s="613"/>
      <c r="OW63" s="613"/>
      <c r="OX63" s="613"/>
      <c r="OY63" s="613"/>
      <c r="OZ63" s="613"/>
      <c r="PA63" s="613"/>
      <c r="PB63" s="613"/>
      <c r="PC63" s="613"/>
      <c r="PD63" s="613"/>
      <c r="PE63" s="613"/>
      <c r="PF63" s="613"/>
      <c r="PG63" s="613"/>
      <c r="PH63" s="613"/>
      <c r="PI63" s="613"/>
      <c r="PJ63" s="613"/>
      <c r="PK63" s="613"/>
      <c r="PL63" s="613"/>
      <c r="PM63" s="613"/>
      <c r="PN63" s="613"/>
      <c r="PO63" s="613"/>
      <c r="PP63" s="613"/>
      <c r="PQ63" s="613"/>
      <c r="PR63" s="613"/>
      <c r="PS63" s="613"/>
      <c r="PT63" s="613"/>
      <c r="PU63" s="613"/>
      <c r="PV63" s="613"/>
      <c r="PW63" s="613"/>
      <c r="PX63" s="613"/>
      <c r="PY63" s="613"/>
      <c r="PZ63" s="613"/>
      <c r="QA63" s="613"/>
      <c r="QB63" s="613"/>
      <c r="QC63" s="613"/>
      <c r="QD63" s="613"/>
      <c r="QE63" s="613"/>
      <c r="QF63" s="613"/>
      <c r="QG63" s="613"/>
      <c r="QH63" s="613"/>
      <c r="QI63" s="613"/>
      <c r="QJ63" s="613"/>
      <c r="QK63" s="613"/>
      <c r="QL63" s="613"/>
      <c r="QM63" s="613"/>
      <c r="QN63" s="613"/>
      <c r="QO63" s="613"/>
      <c r="QP63" s="613"/>
      <c r="QQ63" s="613"/>
      <c r="QR63" s="613"/>
      <c r="QS63" s="613"/>
      <c r="QT63" s="613"/>
      <c r="QU63" s="613"/>
      <c r="QV63" s="613"/>
      <c r="QW63" s="613"/>
      <c r="QX63" s="613"/>
      <c r="QY63" s="613"/>
      <c r="QZ63" s="613"/>
      <c r="RA63" s="613"/>
      <c r="RB63" s="613"/>
      <c r="RC63" s="613"/>
      <c r="RD63" s="613"/>
      <c r="RE63" s="613"/>
      <c r="RF63" s="613"/>
      <c r="RG63" s="613"/>
      <c r="RH63" s="613"/>
      <c r="RI63" s="613"/>
      <c r="RJ63" s="613"/>
      <c r="RK63" s="613"/>
      <c r="RL63" s="613"/>
      <c r="RM63" s="613"/>
      <c r="RN63" s="613"/>
      <c r="RO63" s="613"/>
      <c r="RP63" s="613"/>
      <c r="RQ63" s="613"/>
      <c r="RR63" s="613"/>
      <c r="RS63" s="613"/>
      <c r="RT63" s="613"/>
      <c r="RU63" s="613"/>
      <c r="RV63" s="613"/>
      <c r="RW63" s="613"/>
      <c r="RX63" s="613"/>
      <c r="RY63" s="613"/>
      <c r="RZ63" s="613"/>
      <c r="SA63" s="613"/>
      <c r="SB63" s="613"/>
      <c r="SC63" s="613"/>
      <c r="SD63" s="613"/>
      <c r="SE63" s="613"/>
      <c r="SF63" s="613"/>
      <c r="SG63" s="613"/>
      <c r="SH63" s="613"/>
      <c r="SI63" s="613"/>
      <c r="SJ63" s="613"/>
      <c r="SK63" s="613"/>
      <c r="SL63" s="613"/>
      <c r="SM63" s="613"/>
      <c r="SN63" s="613"/>
      <c r="SO63" s="613"/>
      <c r="SP63" s="613"/>
      <c r="SQ63" s="613"/>
      <c r="SR63" s="613"/>
      <c r="SS63" s="613"/>
      <c r="ST63" s="613"/>
      <c r="SU63" s="613"/>
    </row>
    <row r="64" spans="1:515" s="801" customFormat="1" ht="15" customHeight="1" x14ac:dyDescent="0.25">
      <c r="A64" s="986"/>
      <c r="B64" s="984"/>
      <c r="C64" s="984"/>
      <c r="D64" s="962"/>
      <c r="E64" s="981"/>
      <c r="F64" s="981"/>
      <c r="G64" s="981"/>
      <c r="H64" s="962"/>
      <c r="I64" s="981"/>
      <c r="J64" s="981"/>
      <c r="K64" s="981"/>
      <c r="L64" s="962"/>
      <c r="M64" s="981"/>
      <c r="N64" s="981"/>
      <c r="O64" s="981"/>
      <c r="P64" s="962"/>
      <c r="Q64" s="981"/>
      <c r="R64" s="981"/>
      <c r="S64" s="981"/>
      <c r="T64" s="962"/>
      <c r="U64" s="981"/>
      <c r="V64" s="981"/>
      <c r="W64" s="981"/>
      <c r="X64" s="962"/>
      <c r="Y64" s="981"/>
      <c r="Z64" s="981"/>
      <c r="AA64" s="981"/>
      <c r="AB64" s="976"/>
      <c r="AC64" s="1144"/>
      <c r="AD64" s="981"/>
      <c r="AE64" s="971"/>
      <c r="AF64" s="613"/>
      <c r="AG64" s="613"/>
      <c r="AH64" s="613"/>
      <c r="AI64" s="613"/>
      <c r="AJ64" s="613"/>
      <c r="AK64" s="613"/>
      <c r="AL64" s="613"/>
      <c r="AM64" s="613"/>
      <c r="AN64" s="613"/>
      <c r="AO64" s="613"/>
      <c r="AP64" s="613"/>
      <c r="AQ64" s="613"/>
      <c r="AR64" s="613"/>
      <c r="AS64" s="613"/>
      <c r="AT64" s="613"/>
      <c r="AU64" s="613"/>
      <c r="AV64" s="613"/>
      <c r="AW64" s="613"/>
      <c r="AX64" s="613"/>
      <c r="AY64" s="613"/>
      <c r="AZ64" s="613"/>
      <c r="BA64" s="613"/>
      <c r="BB64" s="613"/>
      <c r="BC64" s="613"/>
      <c r="BD64" s="613"/>
      <c r="BE64" s="613"/>
      <c r="BF64" s="613"/>
      <c r="BG64" s="613"/>
      <c r="BH64" s="613"/>
      <c r="BI64" s="613"/>
      <c r="BJ64" s="613"/>
      <c r="BK64" s="613"/>
      <c r="BL64" s="613"/>
    </row>
    <row r="65" spans="1:515" s="624" customFormat="1" ht="23.15" customHeight="1" x14ac:dyDescent="0.25">
      <c r="A65" s="1347" t="s">
        <v>369</v>
      </c>
      <c r="B65" s="1348"/>
      <c r="C65" s="1348"/>
      <c r="D65" s="957"/>
      <c r="E65" s="1173" t="s">
        <v>15</v>
      </c>
      <c r="F65" s="1173" t="s">
        <v>363</v>
      </c>
      <c r="G65" s="1136" t="s">
        <v>370</v>
      </c>
      <c r="H65" s="957"/>
      <c r="I65" s="1173" t="s">
        <v>15</v>
      </c>
      <c r="J65" s="1173" t="s">
        <v>363</v>
      </c>
      <c r="K65" s="1136" t="s">
        <v>370</v>
      </c>
      <c r="L65" s="957"/>
      <c r="M65" s="1173" t="s">
        <v>15</v>
      </c>
      <c r="N65" s="1173" t="s">
        <v>363</v>
      </c>
      <c r="O65" s="1136" t="s">
        <v>370</v>
      </c>
      <c r="P65" s="957"/>
      <c r="Q65" s="1173" t="s">
        <v>15</v>
      </c>
      <c r="R65" s="1173" t="s">
        <v>363</v>
      </c>
      <c r="S65" s="1136" t="s">
        <v>370</v>
      </c>
      <c r="T65" s="957"/>
      <c r="U65" s="1173" t="s">
        <v>15</v>
      </c>
      <c r="V65" s="1173" t="s">
        <v>363</v>
      </c>
      <c r="W65" s="1136" t="s">
        <v>370</v>
      </c>
      <c r="X65" s="957"/>
      <c r="Y65" s="1173" t="s">
        <v>15</v>
      </c>
      <c r="Z65" s="1173" t="s">
        <v>363</v>
      </c>
      <c r="AA65" s="1136" t="s">
        <v>370</v>
      </c>
      <c r="AB65" s="957"/>
      <c r="AC65" s="957"/>
      <c r="AD65" s="1136" t="s">
        <v>370</v>
      </c>
      <c r="AE65" s="971"/>
      <c r="AF65" s="292"/>
      <c r="AG65" s="292"/>
      <c r="AH65" s="292"/>
      <c r="AI65" s="292"/>
      <c r="AJ65" s="292"/>
      <c r="AK65" s="292"/>
      <c r="AL65" s="292"/>
      <c r="AM65" s="292"/>
      <c r="AN65" s="292"/>
      <c r="AO65" s="292"/>
      <c r="AP65" s="292"/>
      <c r="AQ65" s="292"/>
      <c r="AR65" s="292"/>
      <c r="AS65" s="292"/>
      <c r="AT65" s="292"/>
      <c r="AU65" s="292"/>
      <c r="AV65" s="292"/>
      <c r="AW65" s="292"/>
      <c r="AX65" s="292"/>
      <c r="AY65" s="292"/>
      <c r="AZ65" s="292"/>
      <c r="BA65" s="292"/>
      <c r="BB65" s="292"/>
      <c r="BC65" s="292"/>
      <c r="BD65" s="292"/>
      <c r="BE65" s="292"/>
      <c r="BF65" s="292"/>
      <c r="BG65" s="292"/>
      <c r="BH65" s="292"/>
      <c r="BI65" s="292"/>
      <c r="BJ65" s="292"/>
      <c r="BK65" s="292"/>
      <c r="BL65" s="292"/>
      <c r="BM65" s="292"/>
      <c r="BN65" s="292"/>
      <c r="BO65" s="292"/>
      <c r="BP65" s="292"/>
      <c r="BQ65" s="292"/>
      <c r="BR65" s="292"/>
      <c r="BS65" s="292"/>
      <c r="BT65" s="292"/>
      <c r="BU65" s="292"/>
      <c r="BV65" s="292"/>
      <c r="BW65" s="292"/>
      <c r="BX65" s="292"/>
      <c r="BY65" s="292"/>
      <c r="BZ65" s="292"/>
      <c r="CA65" s="292"/>
      <c r="CB65" s="292"/>
      <c r="CC65" s="292"/>
      <c r="CD65" s="292"/>
      <c r="CE65" s="292"/>
      <c r="CF65" s="292"/>
      <c r="CG65" s="292"/>
      <c r="CH65" s="292"/>
      <c r="CI65" s="292"/>
      <c r="CJ65" s="292"/>
      <c r="CK65" s="292"/>
      <c r="CL65" s="292"/>
      <c r="CM65" s="292"/>
      <c r="CN65" s="292"/>
      <c r="CO65" s="292"/>
      <c r="CP65" s="292"/>
      <c r="CQ65" s="292"/>
      <c r="CR65" s="292"/>
      <c r="CS65" s="292"/>
      <c r="CT65" s="292"/>
      <c r="CU65" s="292"/>
      <c r="CV65" s="292"/>
      <c r="CW65" s="292"/>
      <c r="CX65" s="292"/>
      <c r="CY65" s="292"/>
      <c r="CZ65" s="292"/>
      <c r="DA65" s="292"/>
      <c r="DB65" s="292"/>
      <c r="DC65" s="292"/>
      <c r="DD65" s="292"/>
      <c r="DE65" s="292"/>
      <c r="DF65" s="292"/>
      <c r="DG65" s="292"/>
      <c r="DH65" s="292"/>
      <c r="DI65" s="292"/>
      <c r="DJ65" s="292"/>
      <c r="DK65" s="292"/>
      <c r="DL65" s="292"/>
      <c r="DM65" s="292"/>
      <c r="DN65" s="292"/>
      <c r="DO65" s="292"/>
      <c r="DP65" s="292"/>
      <c r="DQ65" s="292"/>
      <c r="DR65" s="292"/>
      <c r="DS65" s="292"/>
      <c r="DT65" s="292"/>
      <c r="DU65" s="292"/>
      <c r="DV65" s="292"/>
      <c r="DW65" s="292"/>
      <c r="DX65" s="292"/>
      <c r="DY65" s="292"/>
      <c r="DZ65" s="292"/>
      <c r="EA65" s="292"/>
      <c r="EB65" s="292"/>
      <c r="EC65" s="292"/>
      <c r="ED65" s="292"/>
      <c r="EE65" s="292"/>
      <c r="EF65" s="292"/>
      <c r="EG65" s="292"/>
      <c r="EH65" s="292"/>
      <c r="EI65" s="292"/>
      <c r="EJ65" s="292"/>
      <c r="EK65" s="292"/>
      <c r="EL65" s="292"/>
      <c r="EM65" s="292"/>
      <c r="EN65" s="292"/>
      <c r="EO65" s="292"/>
      <c r="EP65" s="292"/>
      <c r="EQ65" s="292"/>
      <c r="ER65" s="292"/>
      <c r="ES65" s="292"/>
      <c r="ET65" s="292"/>
      <c r="EU65" s="292"/>
      <c r="EV65" s="292"/>
      <c r="EW65" s="292"/>
      <c r="EX65" s="292"/>
      <c r="EY65" s="292"/>
      <c r="EZ65" s="292"/>
      <c r="FA65" s="292"/>
      <c r="FB65" s="292"/>
      <c r="FC65" s="292"/>
      <c r="FD65" s="292"/>
      <c r="FE65" s="292"/>
      <c r="FF65" s="292"/>
      <c r="FG65" s="292"/>
      <c r="FH65" s="292"/>
      <c r="FI65" s="292"/>
      <c r="FJ65" s="292"/>
      <c r="FK65" s="292"/>
      <c r="FL65" s="292"/>
      <c r="FM65" s="292"/>
      <c r="FN65" s="292"/>
      <c r="FO65" s="292"/>
      <c r="FP65" s="292"/>
      <c r="FQ65" s="292"/>
      <c r="FR65" s="292"/>
      <c r="FS65" s="292"/>
      <c r="FT65" s="292"/>
      <c r="FU65" s="292"/>
      <c r="FV65" s="292"/>
      <c r="FW65" s="292"/>
      <c r="FX65" s="292"/>
      <c r="FY65" s="292"/>
      <c r="FZ65" s="292"/>
      <c r="GA65" s="292"/>
      <c r="GB65" s="292"/>
      <c r="GC65" s="292"/>
      <c r="GD65" s="292"/>
      <c r="GE65" s="292"/>
      <c r="GF65" s="292"/>
      <c r="GG65" s="292"/>
      <c r="GH65" s="292"/>
      <c r="GI65" s="292"/>
      <c r="GJ65" s="292"/>
      <c r="GK65" s="292"/>
      <c r="GL65" s="292"/>
      <c r="GM65" s="292"/>
      <c r="GN65" s="292"/>
      <c r="GO65" s="292"/>
      <c r="GP65" s="292"/>
      <c r="GQ65" s="292"/>
      <c r="GR65" s="292"/>
      <c r="GS65" s="292"/>
      <c r="GT65" s="292"/>
      <c r="GU65" s="292"/>
      <c r="GV65" s="292"/>
      <c r="GW65" s="292"/>
      <c r="GX65" s="292"/>
      <c r="GY65" s="292"/>
      <c r="GZ65" s="292"/>
      <c r="HA65" s="292"/>
      <c r="HB65" s="292"/>
      <c r="HC65" s="292"/>
      <c r="HD65" s="292"/>
      <c r="HE65" s="292"/>
      <c r="HF65" s="292"/>
      <c r="HG65" s="292"/>
      <c r="HH65" s="292"/>
      <c r="HI65" s="292"/>
      <c r="HJ65" s="292"/>
      <c r="HK65" s="292"/>
      <c r="HL65" s="292"/>
      <c r="HM65" s="292"/>
      <c r="HN65" s="292"/>
      <c r="HO65" s="292"/>
      <c r="HP65" s="292"/>
      <c r="HQ65" s="292"/>
      <c r="HR65" s="292"/>
      <c r="HS65" s="292"/>
      <c r="HT65" s="292"/>
      <c r="HU65" s="292"/>
      <c r="HV65" s="292"/>
      <c r="HW65" s="292"/>
      <c r="HX65" s="292"/>
      <c r="HY65" s="292"/>
      <c r="HZ65" s="292"/>
      <c r="IA65" s="292"/>
      <c r="IB65" s="292"/>
      <c r="IC65" s="292"/>
      <c r="ID65" s="292"/>
      <c r="IE65" s="292"/>
      <c r="IF65" s="292"/>
      <c r="IG65" s="292"/>
      <c r="IH65" s="292"/>
      <c r="II65" s="292"/>
      <c r="IJ65" s="292"/>
      <c r="IK65" s="292"/>
      <c r="IL65" s="292"/>
      <c r="IM65" s="292"/>
      <c r="IN65" s="292"/>
      <c r="IO65" s="292"/>
      <c r="IP65" s="292"/>
      <c r="IQ65" s="292"/>
      <c r="IR65" s="292"/>
      <c r="IS65" s="292"/>
      <c r="IT65" s="292"/>
      <c r="IU65" s="292"/>
      <c r="IV65" s="292"/>
      <c r="IW65" s="292"/>
      <c r="IX65" s="292"/>
      <c r="IY65" s="292"/>
      <c r="IZ65" s="292"/>
      <c r="JA65" s="292"/>
      <c r="JB65" s="292"/>
      <c r="JC65" s="292"/>
      <c r="JD65" s="292"/>
      <c r="JE65" s="292"/>
      <c r="JF65" s="292"/>
      <c r="JG65" s="292"/>
      <c r="JH65" s="292"/>
      <c r="JI65" s="292"/>
      <c r="JJ65" s="292"/>
      <c r="JK65" s="292"/>
      <c r="JL65" s="292"/>
      <c r="JM65" s="292"/>
      <c r="JN65" s="292"/>
      <c r="JO65" s="292"/>
      <c r="JP65" s="292"/>
      <c r="JQ65" s="292"/>
      <c r="JR65" s="292"/>
      <c r="JS65" s="292"/>
      <c r="JT65" s="292"/>
      <c r="JU65" s="292"/>
      <c r="JV65" s="292"/>
      <c r="JW65" s="292"/>
      <c r="JX65" s="292"/>
      <c r="JY65" s="292"/>
      <c r="JZ65" s="292"/>
      <c r="KA65" s="292"/>
      <c r="KB65" s="292"/>
      <c r="KC65" s="292"/>
      <c r="KD65" s="292"/>
      <c r="KE65" s="292"/>
      <c r="KF65" s="292"/>
      <c r="KG65" s="292"/>
      <c r="KH65" s="292"/>
      <c r="KI65" s="292"/>
      <c r="KJ65" s="292"/>
      <c r="KK65" s="292"/>
      <c r="KL65" s="292"/>
      <c r="KM65" s="292"/>
      <c r="KN65" s="292"/>
      <c r="KO65" s="292"/>
      <c r="KP65" s="292"/>
      <c r="KQ65" s="292"/>
      <c r="KR65" s="292"/>
      <c r="KS65" s="292"/>
      <c r="KT65" s="292"/>
      <c r="KU65" s="292"/>
      <c r="KV65" s="292"/>
      <c r="KW65" s="292"/>
      <c r="KX65" s="292"/>
      <c r="KY65" s="292"/>
      <c r="KZ65" s="292"/>
      <c r="LA65" s="292"/>
      <c r="LB65" s="292"/>
      <c r="LC65" s="292"/>
      <c r="LD65" s="292"/>
      <c r="LE65" s="292"/>
      <c r="LF65" s="292"/>
      <c r="LG65" s="292"/>
      <c r="LH65" s="292"/>
      <c r="LI65" s="292"/>
      <c r="LJ65" s="292"/>
      <c r="LK65" s="292"/>
      <c r="LL65" s="292"/>
      <c r="LM65" s="292"/>
      <c r="LN65" s="292"/>
      <c r="LO65" s="292"/>
      <c r="LP65" s="292"/>
      <c r="LQ65" s="292"/>
      <c r="LR65" s="292"/>
      <c r="LS65" s="292"/>
      <c r="LT65" s="292"/>
      <c r="LU65" s="292"/>
      <c r="LV65" s="292"/>
      <c r="LW65" s="292"/>
      <c r="LX65" s="292"/>
      <c r="LY65" s="292"/>
      <c r="LZ65" s="292"/>
      <c r="MA65" s="292"/>
      <c r="MB65" s="292"/>
      <c r="MC65" s="292"/>
      <c r="MD65" s="292"/>
      <c r="ME65" s="292"/>
      <c r="MF65" s="292"/>
      <c r="MG65" s="292"/>
      <c r="MH65" s="292"/>
      <c r="MI65" s="292"/>
      <c r="MJ65" s="292"/>
      <c r="MK65" s="292"/>
      <c r="ML65" s="292"/>
      <c r="MM65" s="292"/>
      <c r="MN65" s="292"/>
      <c r="MO65" s="292"/>
      <c r="MP65" s="292"/>
      <c r="MQ65" s="292"/>
      <c r="MR65" s="292"/>
      <c r="MS65" s="292"/>
      <c r="MT65" s="292"/>
      <c r="MU65" s="292"/>
      <c r="MV65" s="292"/>
      <c r="MW65" s="292"/>
      <c r="MX65" s="292"/>
      <c r="MY65" s="292"/>
      <c r="MZ65" s="292"/>
      <c r="NA65" s="292"/>
      <c r="NB65" s="292"/>
      <c r="NC65" s="292"/>
      <c r="ND65" s="292"/>
      <c r="NE65" s="292"/>
      <c r="NF65" s="292"/>
      <c r="NG65" s="292"/>
      <c r="NH65" s="292"/>
      <c r="NI65" s="292"/>
      <c r="NJ65" s="292"/>
      <c r="NK65" s="292"/>
      <c r="NL65" s="292"/>
      <c r="NM65" s="292"/>
      <c r="NN65" s="292"/>
      <c r="NO65" s="292"/>
      <c r="NP65" s="292"/>
      <c r="NQ65" s="292"/>
      <c r="NR65" s="292"/>
      <c r="NS65" s="292"/>
      <c r="NT65" s="292"/>
      <c r="NU65" s="292"/>
      <c r="NV65" s="292"/>
      <c r="NW65" s="292"/>
      <c r="NX65" s="292"/>
      <c r="NY65" s="292"/>
      <c r="NZ65" s="292"/>
      <c r="OA65" s="292"/>
      <c r="OB65" s="292"/>
      <c r="OC65" s="292"/>
      <c r="OD65" s="292"/>
      <c r="OE65" s="292"/>
      <c r="OF65" s="292"/>
      <c r="OG65" s="292"/>
      <c r="OH65" s="292"/>
      <c r="OI65" s="292"/>
      <c r="OJ65" s="292"/>
      <c r="OK65" s="292"/>
      <c r="OL65" s="292"/>
      <c r="OM65" s="292"/>
      <c r="ON65" s="292"/>
      <c r="OO65" s="292"/>
      <c r="OP65" s="292"/>
      <c r="OQ65" s="292"/>
      <c r="OR65" s="292"/>
      <c r="OS65" s="292"/>
      <c r="OT65" s="292"/>
      <c r="OU65" s="292"/>
      <c r="OV65" s="292"/>
      <c r="OW65" s="292"/>
      <c r="OX65" s="292"/>
      <c r="OY65" s="292"/>
      <c r="OZ65" s="292"/>
      <c r="PA65" s="292"/>
      <c r="PB65" s="292"/>
      <c r="PC65" s="292"/>
      <c r="PD65" s="292"/>
      <c r="PE65" s="292"/>
      <c r="PF65" s="292"/>
      <c r="PG65" s="292"/>
      <c r="PH65" s="292"/>
      <c r="PI65" s="292"/>
      <c r="PJ65" s="292"/>
      <c r="PK65" s="292"/>
      <c r="PL65" s="292"/>
      <c r="PM65" s="292"/>
      <c r="PN65" s="292"/>
      <c r="PO65" s="292"/>
      <c r="PP65" s="292"/>
      <c r="PQ65" s="292"/>
      <c r="PR65" s="292"/>
      <c r="PS65" s="292"/>
      <c r="PT65" s="292"/>
      <c r="PU65" s="292"/>
      <c r="PV65" s="292"/>
      <c r="PW65" s="292"/>
      <c r="PX65" s="292"/>
      <c r="PY65" s="292"/>
      <c r="PZ65" s="292"/>
      <c r="QA65" s="292"/>
      <c r="QB65" s="292"/>
      <c r="QC65" s="292"/>
      <c r="QD65" s="292"/>
      <c r="QE65" s="292"/>
      <c r="QF65" s="292"/>
      <c r="QG65" s="292"/>
      <c r="QH65" s="292"/>
      <c r="QI65" s="292"/>
      <c r="QJ65" s="292"/>
      <c r="QK65" s="292"/>
      <c r="QL65" s="292"/>
      <c r="QM65" s="292"/>
      <c r="QN65" s="292"/>
      <c r="QO65" s="292"/>
      <c r="QP65" s="292"/>
      <c r="QQ65" s="292"/>
      <c r="QR65" s="292"/>
      <c r="QS65" s="292"/>
      <c r="QT65" s="292"/>
      <c r="QU65" s="292"/>
      <c r="QV65" s="292"/>
      <c r="QW65" s="292"/>
      <c r="QX65" s="292"/>
      <c r="QY65" s="292"/>
      <c r="QZ65" s="292"/>
      <c r="RA65" s="292"/>
      <c r="RB65" s="292"/>
      <c r="RC65" s="292"/>
      <c r="RD65" s="292"/>
      <c r="RE65" s="292"/>
      <c r="RF65" s="292"/>
      <c r="RG65" s="292"/>
      <c r="RH65" s="292"/>
      <c r="RI65" s="292"/>
      <c r="RJ65" s="292"/>
      <c r="RK65" s="292"/>
      <c r="RL65" s="292"/>
      <c r="RM65" s="292"/>
      <c r="RN65" s="292"/>
      <c r="RO65" s="292"/>
      <c r="RP65" s="292"/>
      <c r="RQ65" s="292"/>
      <c r="RR65" s="292"/>
      <c r="RS65" s="292"/>
      <c r="RT65" s="292"/>
      <c r="RU65" s="292"/>
      <c r="RV65" s="292"/>
      <c r="RW65" s="292"/>
      <c r="RX65" s="292"/>
      <c r="RY65" s="292"/>
      <c r="RZ65" s="292"/>
      <c r="SA65" s="292"/>
      <c r="SB65" s="292"/>
      <c r="SC65" s="292"/>
      <c r="SD65" s="292"/>
      <c r="SE65" s="292"/>
      <c r="SF65" s="292"/>
      <c r="SG65" s="292"/>
      <c r="SH65" s="292"/>
      <c r="SI65" s="292"/>
      <c r="SJ65" s="292"/>
      <c r="SK65" s="292"/>
      <c r="SL65" s="292"/>
      <c r="SM65" s="292"/>
      <c r="SN65" s="292"/>
      <c r="SO65" s="292"/>
      <c r="SP65" s="292"/>
      <c r="SQ65" s="292"/>
      <c r="SR65" s="292"/>
      <c r="SS65" s="292"/>
      <c r="ST65" s="292"/>
      <c r="SU65" s="292"/>
    </row>
    <row r="66" spans="1:515" ht="15" customHeight="1" x14ac:dyDescent="0.25">
      <c r="A66" s="1327" t="str">
        <f>IF(LaborCollection="Academia","F&amp;A","G&amp;A")</f>
        <v>G&amp;A</v>
      </c>
      <c r="B66" s="1328"/>
      <c r="C66" s="1368" t="s">
        <v>371</v>
      </c>
      <c r="D66" s="957" t="s">
        <v>358</v>
      </c>
      <c r="E66" s="622">
        <f>G33</f>
        <v>0</v>
      </c>
      <c r="F66" s="626">
        <v>0</v>
      </c>
      <c r="G66" s="999">
        <f>E66*F66</f>
        <v>0</v>
      </c>
      <c r="H66" s="957"/>
      <c r="I66" s="622">
        <f>K33</f>
        <v>0</v>
      </c>
      <c r="J66" s="626">
        <v>0</v>
      </c>
      <c r="K66" s="999">
        <f>I66*J66</f>
        <v>0</v>
      </c>
      <c r="L66" s="957"/>
      <c r="M66" s="622">
        <f>O33</f>
        <v>0</v>
      </c>
      <c r="N66" s="626">
        <v>0</v>
      </c>
      <c r="O66" s="999">
        <f>M66*N66</f>
        <v>0</v>
      </c>
      <c r="P66" s="957"/>
      <c r="Q66" s="622">
        <f>S33</f>
        <v>0</v>
      </c>
      <c r="R66" s="626">
        <v>0</v>
      </c>
      <c r="S66" s="999">
        <f>Q66*R66</f>
        <v>0</v>
      </c>
      <c r="T66" s="957"/>
      <c r="U66" s="622">
        <f>W33</f>
        <v>0</v>
      </c>
      <c r="V66" s="626">
        <v>0</v>
      </c>
      <c r="W66" s="999">
        <f>U66*V66</f>
        <v>0</v>
      </c>
      <c r="X66" s="957"/>
      <c r="Y66" s="622">
        <f>AA33</f>
        <v>0</v>
      </c>
      <c r="Z66" s="626">
        <v>0</v>
      </c>
      <c r="AA66" s="999">
        <f>Y66*Z66</f>
        <v>0</v>
      </c>
      <c r="AB66" s="975"/>
      <c r="AC66" s="957"/>
      <c r="AD66" s="999">
        <f>G66+K66+O66+S66+W66+AA66</f>
        <v>0</v>
      </c>
      <c r="AE66" s="971"/>
    </row>
    <row r="67" spans="1:515" ht="15" customHeight="1" x14ac:dyDescent="0.25">
      <c r="A67" s="1329" t="s">
        <v>372</v>
      </c>
      <c r="B67" s="1330"/>
      <c r="C67" s="1370"/>
      <c r="D67" s="957"/>
      <c r="E67" s="622">
        <v>0</v>
      </c>
      <c r="F67" s="626">
        <v>0</v>
      </c>
      <c r="G67" s="999">
        <f>E67*F67</f>
        <v>0</v>
      </c>
      <c r="H67" s="957"/>
      <c r="I67" s="622">
        <v>0</v>
      </c>
      <c r="J67" s="626">
        <v>0</v>
      </c>
      <c r="K67" s="999">
        <f>I67*J67</f>
        <v>0</v>
      </c>
      <c r="L67" s="957"/>
      <c r="M67" s="622">
        <v>0</v>
      </c>
      <c r="N67" s="626">
        <v>0</v>
      </c>
      <c r="O67" s="999">
        <f>M67*N67</f>
        <v>0</v>
      </c>
      <c r="P67" s="957"/>
      <c r="Q67" s="622">
        <v>0</v>
      </c>
      <c r="R67" s="626">
        <v>0</v>
      </c>
      <c r="S67" s="999">
        <f>Q67*R67</f>
        <v>0</v>
      </c>
      <c r="T67" s="957"/>
      <c r="U67" s="622">
        <v>0</v>
      </c>
      <c r="V67" s="626">
        <v>0</v>
      </c>
      <c r="W67" s="999">
        <f>U67*V67</f>
        <v>0</v>
      </c>
      <c r="X67" s="957"/>
      <c r="Y67" s="622">
        <v>0</v>
      </c>
      <c r="Z67" s="626">
        <v>0</v>
      </c>
      <c r="AA67" s="999">
        <f>Y67*Z67</f>
        <v>0</v>
      </c>
      <c r="AB67" s="975"/>
      <c r="AC67" s="957"/>
      <c r="AD67" s="999">
        <f>G67+K67+O67+S67+W67+AA67</f>
        <v>0</v>
      </c>
      <c r="AE67" s="971"/>
    </row>
    <row r="68" spans="1:515" s="624" customFormat="1" ht="23.15" customHeight="1" x14ac:dyDescent="0.25">
      <c r="A68" s="1319" t="s">
        <v>373</v>
      </c>
      <c r="B68" s="1320"/>
      <c r="C68" s="1320"/>
      <c r="D68" s="957"/>
      <c r="E68" s="960"/>
      <c r="F68" s="989"/>
      <c r="G68" s="792">
        <f>SUM(G65:G67)</f>
        <v>0</v>
      </c>
      <c r="H68" s="957"/>
      <c r="I68" s="990"/>
      <c r="J68" s="991"/>
      <c r="K68" s="792">
        <f>SUM(K66:K67)</f>
        <v>0</v>
      </c>
      <c r="L68" s="957"/>
      <c r="M68" s="990"/>
      <c r="N68" s="991"/>
      <c r="O68" s="792">
        <f>SUM(O66:O67)</f>
        <v>0</v>
      </c>
      <c r="P68" s="957"/>
      <c r="Q68" s="957"/>
      <c r="R68" s="957"/>
      <c r="S68" s="792">
        <f>SUM(S66:S67)</f>
        <v>0</v>
      </c>
      <c r="T68" s="957"/>
      <c r="U68" s="1295"/>
      <c r="V68" s="1295"/>
      <c r="W68" s="792">
        <f>SUM(W66:W67)</f>
        <v>0</v>
      </c>
      <c r="X68" s="957"/>
      <c r="Y68" s="1297"/>
      <c r="Z68" s="1298"/>
      <c r="AA68" s="792">
        <f>SUM(AA66:AA67)</f>
        <v>0</v>
      </c>
      <c r="AB68" s="976"/>
      <c r="AC68" s="957"/>
      <c r="AD68" s="787">
        <f>G68+K68+O68+S68+W68+AA68</f>
        <v>0</v>
      </c>
      <c r="AE68" s="971"/>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292"/>
      <c r="BH68" s="292"/>
      <c r="BI68" s="292"/>
      <c r="BJ68" s="292"/>
      <c r="BK68" s="292"/>
      <c r="BL68" s="292"/>
      <c r="BM68" s="292"/>
      <c r="BN68" s="292"/>
      <c r="BO68" s="292"/>
      <c r="BP68" s="292"/>
      <c r="BQ68" s="292"/>
      <c r="BR68" s="292"/>
      <c r="BS68" s="292"/>
      <c r="BT68" s="292"/>
      <c r="BU68" s="292"/>
      <c r="BV68" s="292"/>
      <c r="BW68" s="292"/>
      <c r="BX68" s="292"/>
      <c r="BY68" s="292"/>
      <c r="BZ68" s="292"/>
      <c r="CA68" s="292"/>
      <c r="CB68" s="292"/>
      <c r="CC68" s="292"/>
      <c r="CD68" s="292"/>
      <c r="CE68" s="292"/>
      <c r="CF68" s="292"/>
      <c r="CG68" s="292"/>
      <c r="CH68" s="292"/>
      <c r="CI68" s="292"/>
      <c r="CJ68" s="292"/>
      <c r="CK68" s="292"/>
      <c r="CL68" s="292"/>
      <c r="CM68" s="292"/>
      <c r="CN68" s="292"/>
      <c r="CO68" s="292"/>
      <c r="CP68" s="292"/>
      <c r="CQ68" s="292"/>
      <c r="CR68" s="292"/>
      <c r="CS68" s="292"/>
      <c r="CT68" s="292"/>
      <c r="CU68" s="292"/>
      <c r="CV68" s="292"/>
      <c r="CW68" s="292"/>
      <c r="CX68" s="292"/>
      <c r="CY68" s="292"/>
      <c r="CZ68" s="292"/>
      <c r="DA68" s="292"/>
      <c r="DB68" s="292"/>
      <c r="DC68" s="292"/>
      <c r="DD68" s="292"/>
      <c r="DE68" s="292"/>
      <c r="DF68" s="292"/>
      <c r="DG68" s="292"/>
      <c r="DH68" s="292"/>
      <c r="DI68" s="292"/>
      <c r="DJ68" s="292"/>
      <c r="DK68" s="292"/>
      <c r="DL68" s="292"/>
      <c r="DM68" s="292"/>
      <c r="DN68" s="292"/>
      <c r="DO68" s="292"/>
      <c r="DP68" s="292"/>
      <c r="DQ68" s="292"/>
      <c r="DR68" s="292"/>
      <c r="DS68" s="292"/>
      <c r="DT68" s="292"/>
      <c r="DU68" s="292"/>
      <c r="DV68" s="292"/>
      <c r="DW68" s="292"/>
      <c r="DX68" s="292"/>
      <c r="DY68" s="292"/>
      <c r="DZ68" s="292"/>
      <c r="EA68" s="292"/>
      <c r="EB68" s="292"/>
      <c r="EC68" s="292"/>
      <c r="ED68" s="292"/>
      <c r="EE68" s="292"/>
      <c r="EF68" s="292"/>
      <c r="EG68" s="292"/>
      <c r="EH68" s="292"/>
      <c r="EI68" s="292"/>
      <c r="EJ68" s="292"/>
      <c r="EK68" s="292"/>
      <c r="EL68" s="292"/>
      <c r="EM68" s="292"/>
      <c r="EN68" s="292"/>
      <c r="EO68" s="292"/>
      <c r="EP68" s="292"/>
      <c r="EQ68" s="292"/>
      <c r="ER68" s="292"/>
      <c r="ES68" s="292"/>
      <c r="ET68" s="292"/>
      <c r="EU68" s="292"/>
      <c r="EV68" s="292"/>
      <c r="EW68" s="292"/>
      <c r="EX68" s="292"/>
      <c r="EY68" s="292"/>
      <c r="EZ68" s="292"/>
      <c r="FA68" s="292"/>
      <c r="FB68" s="292"/>
      <c r="FC68" s="292"/>
      <c r="FD68" s="292"/>
      <c r="FE68" s="292"/>
      <c r="FF68" s="292"/>
      <c r="FG68" s="292"/>
      <c r="FH68" s="292"/>
      <c r="FI68" s="292"/>
      <c r="FJ68" s="292"/>
      <c r="FK68" s="292"/>
      <c r="FL68" s="292"/>
      <c r="FM68" s="292"/>
      <c r="FN68" s="292"/>
      <c r="FO68" s="292"/>
      <c r="FP68" s="292"/>
      <c r="FQ68" s="292"/>
      <c r="FR68" s="292"/>
      <c r="FS68" s="292"/>
      <c r="FT68" s="292"/>
      <c r="FU68" s="292"/>
      <c r="FV68" s="292"/>
      <c r="FW68" s="292"/>
      <c r="FX68" s="292"/>
      <c r="FY68" s="292"/>
      <c r="FZ68" s="292"/>
      <c r="GA68" s="292"/>
      <c r="GB68" s="292"/>
      <c r="GC68" s="292"/>
      <c r="GD68" s="292"/>
      <c r="GE68" s="292"/>
      <c r="GF68" s="292"/>
      <c r="GG68" s="292"/>
      <c r="GH68" s="292"/>
      <c r="GI68" s="292"/>
      <c r="GJ68" s="292"/>
      <c r="GK68" s="292"/>
      <c r="GL68" s="292"/>
      <c r="GM68" s="292"/>
      <c r="GN68" s="292"/>
      <c r="GO68" s="292"/>
      <c r="GP68" s="292"/>
      <c r="GQ68" s="292"/>
      <c r="GR68" s="292"/>
      <c r="GS68" s="292"/>
      <c r="GT68" s="292"/>
      <c r="GU68" s="292"/>
      <c r="GV68" s="292"/>
      <c r="GW68" s="292"/>
      <c r="GX68" s="292"/>
      <c r="GY68" s="292"/>
      <c r="GZ68" s="292"/>
      <c r="HA68" s="292"/>
      <c r="HB68" s="292"/>
      <c r="HC68" s="292"/>
      <c r="HD68" s="292"/>
      <c r="HE68" s="292"/>
      <c r="HF68" s="292"/>
      <c r="HG68" s="292"/>
      <c r="HH68" s="292"/>
      <c r="HI68" s="292"/>
      <c r="HJ68" s="292"/>
      <c r="HK68" s="292"/>
      <c r="HL68" s="292"/>
      <c r="HM68" s="292"/>
      <c r="HN68" s="292"/>
      <c r="HO68" s="292"/>
      <c r="HP68" s="292"/>
      <c r="HQ68" s="292"/>
      <c r="HR68" s="292"/>
      <c r="HS68" s="292"/>
      <c r="HT68" s="292"/>
      <c r="HU68" s="292"/>
      <c r="HV68" s="292"/>
      <c r="HW68" s="292"/>
      <c r="HX68" s="292"/>
      <c r="HY68" s="292"/>
      <c r="HZ68" s="292"/>
      <c r="IA68" s="292"/>
      <c r="IB68" s="292"/>
      <c r="IC68" s="292"/>
      <c r="ID68" s="292"/>
      <c r="IE68" s="292"/>
      <c r="IF68" s="292"/>
      <c r="IG68" s="292"/>
      <c r="IH68" s="292"/>
      <c r="II68" s="292"/>
      <c r="IJ68" s="292"/>
      <c r="IK68" s="292"/>
      <c r="IL68" s="292"/>
      <c r="IM68" s="292"/>
      <c r="IN68" s="292"/>
      <c r="IO68" s="292"/>
      <c r="IP68" s="292"/>
      <c r="IQ68" s="292"/>
      <c r="IR68" s="292"/>
      <c r="IS68" s="292"/>
      <c r="IT68" s="292"/>
      <c r="IU68" s="292"/>
      <c r="IV68" s="292"/>
      <c r="IW68" s="292"/>
      <c r="IX68" s="292"/>
      <c r="IY68" s="292"/>
      <c r="IZ68" s="292"/>
      <c r="JA68" s="292"/>
      <c r="JB68" s="292"/>
      <c r="JC68" s="292"/>
      <c r="JD68" s="292"/>
      <c r="JE68" s="292"/>
      <c r="JF68" s="292"/>
      <c r="JG68" s="292"/>
      <c r="JH68" s="292"/>
      <c r="JI68" s="292"/>
      <c r="JJ68" s="292"/>
      <c r="JK68" s="292"/>
      <c r="JL68" s="292"/>
      <c r="JM68" s="292"/>
      <c r="JN68" s="292"/>
      <c r="JO68" s="292"/>
      <c r="JP68" s="292"/>
      <c r="JQ68" s="292"/>
      <c r="JR68" s="292"/>
      <c r="JS68" s="292"/>
      <c r="JT68" s="292"/>
      <c r="JU68" s="292"/>
      <c r="JV68" s="292"/>
      <c r="JW68" s="292"/>
      <c r="JX68" s="292"/>
      <c r="JY68" s="292"/>
      <c r="JZ68" s="292"/>
      <c r="KA68" s="292"/>
      <c r="KB68" s="292"/>
      <c r="KC68" s="292"/>
      <c r="KD68" s="292"/>
      <c r="KE68" s="292"/>
      <c r="KF68" s="292"/>
      <c r="KG68" s="292"/>
      <c r="KH68" s="292"/>
      <c r="KI68" s="292"/>
      <c r="KJ68" s="292"/>
      <c r="KK68" s="292"/>
      <c r="KL68" s="292"/>
      <c r="KM68" s="292"/>
      <c r="KN68" s="292"/>
      <c r="KO68" s="292"/>
      <c r="KP68" s="292"/>
      <c r="KQ68" s="292"/>
      <c r="KR68" s="292"/>
      <c r="KS68" s="292"/>
      <c r="KT68" s="292"/>
      <c r="KU68" s="292"/>
      <c r="KV68" s="292"/>
      <c r="KW68" s="292"/>
      <c r="KX68" s="292"/>
      <c r="KY68" s="292"/>
      <c r="KZ68" s="292"/>
      <c r="LA68" s="292"/>
      <c r="LB68" s="292"/>
      <c r="LC68" s="292"/>
      <c r="LD68" s="292"/>
      <c r="LE68" s="292"/>
      <c r="LF68" s="292"/>
      <c r="LG68" s="292"/>
      <c r="LH68" s="292"/>
      <c r="LI68" s="292"/>
      <c r="LJ68" s="292"/>
      <c r="LK68" s="292"/>
      <c r="LL68" s="292"/>
      <c r="LM68" s="292"/>
      <c r="LN68" s="292"/>
      <c r="LO68" s="292"/>
      <c r="LP68" s="292"/>
      <c r="LQ68" s="292"/>
      <c r="LR68" s="292"/>
      <c r="LS68" s="292"/>
      <c r="LT68" s="292"/>
      <c r="LU68" s="292"/>
      <c r="LV68" s="292"/>
      <c r="LW68" s="292"/>
      <c r="LX68" s="292"/>
      <c r="LY68" s="292"/>
      <c r="LZ68" s="292"/>
      <c r="MA68" s="292"/>
      <c r="MB68" s="292"/>
      <c r="MC68" s="292"/>
      <c r="MD68" s="292"/>
      <c r="ME68" s="292"/>
      <c r="MF68" s="292"/>
      <c r="MG68" s="292"/>
      <c r="MH68" s="292"/>
      <c r="MI68" s="292"/>
      <c r="MJ68" s="292"/>
      <c r="MK68" s="292"/>
      <c r="ML68" s="292"/>
      <c r="MM68" s="292"/>
      <c r="MN68" s="292"/>
      <c r="MO68" s="292"/>
      <c r="MP68" s="292"/>
      <c r="MQ68" s="292"/>
      <c r="MR68" s="292"/>
      <c r="MS68" s="292"/>
      <c r="MT68" s="292"/>
      <c r="MU68" s="292"/>
      <c r="MV68" s="292"/>
      <c r="MW68" s="292"/>
      <c r="MX68" s="292"/>
      <c r="MY68" s="292"/>
      <c r="MZ68" s="292"/>
      <c r="NA68" s="292"/>
      <c r="NB68" s="292"/>
      <c r="NC68" s="292"/>
      <c r="ND68" s="292"/>
      <c r="NE68" s="292"/>
      <c r="NF68" s="292"/>
      <c r="NG68" s="292"/>
      <c r="NH68" s="292"/>
      <c r="NI68" s="292"/>
      <c r="NJ68" s="292"/>
      <c r="NK68" s="292"/>
      <c r="NL68" s="292"/>
      <c r="NM68" s="292"/>
      <c r="NN68" s="292"/>
      <c r="NO68" s="292"/>
      <c r="NP68" s="292"/>
      <c r="NQ68" s="292"/>
      <c r="NR68" s="292"/>
      <c r="NS68" s="292"/>
      <c r="NT68" s="292"/>
      <c r="NU68" s="292"/>
      <c r="NV68" s="292"/>
      <c r="NW68" s="292"/>
      <c r="NX68" s="292"/>
      <c r="NY68" s="292"/>
      <c r="NZ68" s="292"/>
      <c r="OA68" s="292"/>
      <c r="OB68" s="292"/>
      <c r="OC68" s="292"/>
      <c r="OD68" s="292"/>
      <c r="OE68" s="292"/>
      <c r="OF68" s="292"/>
      <c r="OG68" s="292"/>
      <c r="OH68" s="292"/>
      <c r="OI68" s="292"/>
      <c r="OJ68" s="292"/>
      <c r="OK68" s="292"/>
      <c r="OL68" s="292"/>
      <c r="OM68" s="292"/>
      <c r="ON68" s="292"/>
      <c r="OO68" s="292"/>
      <c r="OP68" s="292"/>
      <c r="OQ68" s="292"/>
      <c r="OR68" s="292"/>
      <c r="OS68" s="292"/>
      <c r="OT68" s="292"/>
      <c r="OU68" s="292"/>
      <c r="OV68" s="292"/>
      <c r="OW68" s="292"/>
      <c r="OX68" s="292"/>
      <c r="OY68" s="292"/>
      <c r="OZ68" s="292"/>
      <c r="PA68" s="292"/>
      <c r="PB68" s="292"/>
      <c r="PC68" s="292"/>
      <c r="PD68" s="292"/>
      <c r="PE68" s="292"/>
      <c r="PF68" s="292"/>
      <c r="PG68" s="292"/>
      <c r="PH68" s="292"/>
      <c r="PI68" s="292"/>
      <c r="PJ68" s="292"/>
      <c r="PK68" s="292"/>
      <c r="PL68" s="292"/>
      <c r="PM68" s="292"/>
      <c r="PN68" s="292"/>
      <c r="PO68" s="292"/>
      <c r="PP68" s="292"/>
      <c r="PQ68" s="292"/>
      <c r="PR68" s="292"/>
      <c r="PS68" s="292"/>
      <c r="PT68" s="292"/>
      <c r="PU68" s="292"/>
      <c r="PV68" s="292"/>
      <c r="PW68" s="292"/>
      <c r="PX68" s="292"/>
      <c r="PY68" s="292"/>
      <c r="PZ68" s="292"/>
      <c r="QA68" s="292"/>
      <c r="QB68" s="292"/>
      <c r="QC68" s="292"/>
      <c r="QD68" s="292"/>
      <c r="QE68" s="292"/>
      <c r="QF68" s="292"/>
      <c r="QG68" s="292"/>
      <c r="QH68" s="292"/>
      <c r="QI68" s="292"/>
      <c r="QJ68" s="292"/>
      <c r="QK68" s="292"/>
      <c r="QL68" s="292"/>
      <c r="QM68" s="292"/>
      <c r="QN68" s="292"/>
      <c r="QO68" s="292"/>
      <c r="QP68" s="292"/>
      <c r="QQ68" s="292"/>
      <c r="QR68" s="292"/>
      <c r="QS68" s="292"/>
      <c r="QT68" s="292"/>
      <c r="QU68" s="292"/>
      <c r="QV68" s="292"/>
      <c r="QW68" s="292"/>
      <c r="QX68" s="292"/>
      <c r="QY68" s="292"/>
      <c r="QZ68" s="292"/>
      <c r="RA68" s="292"/>
      <c r="RB68" s="292"/>
      <c r="RC68" s="292"/>
      <c r="RD68" s="292"/>
      <c r="RE68" s="292"/>
      <c r="RF68" s="292"/>
      <c r="RG68" s="292"/>
      <c r="RH68" s="292"/>
      <c r="RI68" s="292"/>
      <c r="RJ68" s="292"/>
      <c r="RK68" s="292"/>
      <c r="RL68" s="292"/>
      <c r="RM68" s="292"/>
      <c r="RN68" s="292"/>
      <c r="RO68" s="292"/>
      <c r="RP68" s="292"/>
      <c r="RQ68" s="292"/>
      <c r="RR68" s="292"/>
      <c r="RS68" s="292"/>
      <c r="RT68" s="292"/>
      <c r="RU68" s="292"/>
      <c r="RV68" s="292"/>
      <c r="RW68" s="292"/>
      <c r="RX68" s="292"/>
      <c r="RY68" s="292"/>
      <c r="RZ68" s="292"/>
      <c r="SA68" s="292"/>
      <c r="SB68" s="292"/>
      <c r="SC68" s="292"/>
      <c r="SD68" s="292"/>
      <c r="SE68" s="292"/>
      <c r="SF68" s="292"/>
      <c r="SG68" s="292"/>
      <c r="SH68" s="292"/>
      <c r="SI68" s="292"/>
      <c r="SJ68" s="292"/>
      <c r="SK68" s="292"/>
      <c r="SL68" s="292"/>
      <c r="SM68" s="292"/>
      <c r="SN68" s="292"/>
      <c r="SO68" s="292"/>
      <c r="SP68" s="292"/>
      <c r="SQ68" s="292"/>
      <c r="SR68" s="292"/>
      <c r="SS68" s="292"/>
      <c r="ST68" s="292"/>
      <c r="SU68" s="292"/>
    </row>
    <row r="69" spans="1:515" s="624" customFormat="1" ht="11.5" customHeight="1" x14ac:dyDescent="0.25">
      <c r="A69" s="986"/>
      <c r="B69" s="984"/>
      <c r="C69" s="984"/>
      <c r="D69" s="957"/>
      <c r="E69" s="960"/>
      <c r="F69" s="960"/>
      <c r="G69" s="981"/>
      <c r="H69" s="957"/>
      <c r="I69" s="957"/>
      <c r="J69" s="957"/>
      <c r="K69" s="981"/>
      <c r="L69" s="957"/>
      <c r="M69" s="957"/>
      <c r="N69" s="957"/>
      <c r="O69" s="981"/>
      <c r="P69" s="957"/>
      <c r="Q69" s="957"/>
      <c r="R69" s="957"/>
      <c r="S69" s="981"/>
      <c r="T69" s="957"/>
      <c r="U69" s="1180"/>
      <c r="V69" s="1180"/>
      <c r="W69" s="981"/>
      <c r="X69" s="957"/>
      <c r="Y69" s="1180"/>
      <c r="Z69" s="1180"/>
      <c r="AA69" s="981"/>
      <c r="AB69" s="976"/>
      <c r="AC69" s="957"/>
      <c r="AD69" s="976"/>
      <c r="AE69" s="971"/>
      <c r="AF69" s="292"/>
      <c r="AG69" s="292"/>
      <c r="AH69" s="292"/>
      <c r="AI69" s="292"/>
      <c r="AJ69" s="292"/>
      <c r="AK69" s="292"/>
      <c r="AL69" s="292"/>
      <c r="AM69" s="292"/>
      <c r="AN69" s="292"/>
      <c r="AO69" s="292"/>
      <c r="AP69" s="292"/>
      <c r="AQ69" s="292"/>
      <c r="AR69" s="292"/>
      <c r="AS69" s="292"/>
      <c r="AT69" s="292"/>
      <c r="AU69" s="292"/>
      <c r="AV69" s="292"/>
      <c r="AW69" s="292"/>
      <c r="AX69" s="292"/>
      <c r="AY69" s="292"/>
      <c r="AZ69" s="292"/>
      <c r="BA69" s="292"/>
      <c r="BB69" s="292"/>
      <c r="BC69" s="292"/>
      <c r="BD69" s="292"/>
      <c r="BE69" s="292"/>
      <c r="BF69" s="292"/>
      <c r="BG69" s="292"/>
      <c r="BH69" s="292"/>
      <c r="BI69" s="292"/>
      <c r="BJ69" s="292"/>
      <c r="BK69" s="292"/>
      <c r="BL69" s="292"/>
      <c r="BM69" s="292"/>
      <c r="BN69" s="292"/>
      <c r="BO69" s="292"/>
      <c r="BP69" s="292"/>
      <c r="BQ69" s="292"/>
      <c r="BR69" s="292"/>
      <c r="BS69" s="292"/>
      <c r="BT69" s="292"/>
      <c r="BU69" s="292"/>
      <c r="BV69" s="292"/>
      <c r="BW69" s="292"/>
      <c r="BX69" s="292"/>
      <c r="BY69" s="292"/>
      <c r="BZ69" s="292"/>
      <c r="CA69" s="292"/>
      <c r="CB69" s="292"/>
      <c r="CC69" s="292"/>
      <c r="CD69" s="292"/>
      <c r="CE69" s="292"/>
      <c r="CF69" s="292"/>
      <c r="CG69" s="292"/>
      <c r="CH69" s="292"/>
      <c r="CI69" s="292"/>
      <c r="CJ69" s="292"/>
      <c r="CK69" s="292"/>
      <c r="CL69" s="292"/>
      <c r="CM69" s="292"/>
      <c r="CN69" s="292"/>
      <c r="CO69" s="292"/>
      <c r="CP69" s="292"/>
      <c r="CQ69" s="292"/>
      <c r="CR69" s="292"/>
      <c r="CS69" s="292"/>
      <c r="CT69" s="292"/>
      <c r="CU69" s="292"/>
      <c r="CV69" s="292"/>
      <c r="CW69" s="292"/>
      <c r="CX69" s="292"/>
      <c r="CY69" s="292"/>
      <c r="CZ69" s="292"/>
      <c r="DA69" s="292"/>
      <c r="DB69" s="292"/>
      <c r="DC69" s="292"/>
      <c r="DD69" s="292"/>
      <c r="DE69" s="292"/>
      <c r="DF69" s="292"/>
      <c r="DG69" s="292"/>
      <c r="DH69" s="292"/>
      <c r="DI69" s="292"/>
      <c r="DJ69" s="292"/>
      <c r="DK69" s="292"/>
      <c r="DL69" s="292"/>
      <c r="DM69" s="292"/>
      <c r="DN69" s="292"/>
      <c r="DO69" s="292"/>
      <c r="DP69" s="292"/>
      <c r="DQ69" s="292"/>
      <c r="DR69" s="292"/>
      <c r="DS69" s="292"/>
      <c r="DT69" s="292"/>
      <c r="DU69" s="292"/>
      <c r="DV69" s="292"/>
      <c r="DW69" s="292"/>
      <c r="DX69" s="292"/>
      <c r="DY69" s="292"/>
      <c r="DZ69" s="292"/>
      <c r="EA69" s="292"/>
      <c r="EB69" s="292"/>
      <c r="EC69" s="292"/>
      <c r="ED69" s="292"/>
      <c r="EE69" s="292"/>
      <c r="EF69" s="292"/>
      <c r="EG69" s="292"/>
      <c r="EH69" s="292"/>
      <c r="EI69" s="292"/>
      <c r="EJ69" s="292"/>
      <c r="EK69" s="292"/>
      <c r="EL69" s="292"/>
      <c r="EM69" s="292"/>
      <c r="EN69" s="292"/>
      <c r="EO69" s="292"/>
      <c r="EP69" s="292"/>
      <c r="EQ69" s="292"/>
      <c r="ER69" s="292"/>
      <c r="ES69" s="292"/>
      <c r="ET69" s="292"/>
      <c r="EU69" s="292"/>
      <c r="EV69" s="292"/>
      <c r="EW69" s="292"/>
      <c r="EX69" s="292"/>
      <c r="EY69" s="292"/>
      <c r="EZ69" s="292"/>
      <c r="FA69" s="292"/>
      <c r="FB69" s="292"/>
      <c r="FC69" s="292"/>
      <c r="FD69" s="292"/>
      <c r="FE69" s="292"/>
      <c r="FF69" s="292"/>
      <c r="FG69" s="292"/>
      <c r="FH69" s="292"/>
      <c r="FI69" s="292"/>
      <c r="FJ69" s="292"/>
      <c r="FK69" s="292"/>
      <c r="FL69" s="292"/>
      <c r="FM69" s="292"/>
      <c r="FN69" s="292"/>
      <c r="FO69" s="292"/>
      <c r="FP69" s="292"/>
      <c r="FQ69" s="292"/>
      <c r="FR69" s="292"/>
      <c r="FS69" s="292"/>
      <c r="FT69" s="292"/>
      <c r="FU69" s="292"/>
      <c r="FV69" s="292"/>
      <c r="FW69" s="292"/>
      <c r="FX69" s="292"/>
      <c r="FY69" s="292"/>
      <c r="FZ69" s="292"/>
      <c r="GA69" s="292"/>
      <c r="GB69" s="292"/>
      <c r="GC69" s="292"/>
      <c r="GD69" s="292"/>
      <c r="GE69" s="292"/>
      <c r="GF69" s="292"/>
      <c r="GG69" s="292"/>
      <c r="GH69" s="292"/>
      <c r="GI69" s="292"/>
      <c r="GJ69" s="292"/>
      <c r="GK69" s="292"/>
      <c r="GL69" s="292"/>
      <c r="GM69" s="292"/>
      <c r="GN69" s="292"/>
      <c r="GO69" s="292"/>
      <c r="GP69" s="292"/>
      <c r="GQ69" s="292"/>
      <c r="GR69" s="292"/>
      <c r="GS69" s="292"/>
      <c r="GT69" s="292"/>
      <c r="GU69" s="292"/>
      <c r="GV69" s="292"/>
      <c r="GW69" s="292"/>
      <c r="GX69" s="292"/>
      <c r="GY69" s="292"/>
      <c r="GZ69" s="292"/>
      <c r="HA69" s="292"/>
      <c r="HB69" s="292"/>
      <c r="HC69" s="292"/>
      <c r="HD69" s="292"/>
      <c r="HE69" s="292"/>
      <c r="HF69" s="292"/>
      <c r="HG69" s="292"/>
      <c r="HH69" s="292"/>
      <c r="HI69" s="292"/>
      <c r="HJ69" s="292"/>
      <c r="HK69" s="292"/>
      <c r="HL69" s="292"/>
      <c r="HM69" s="292"/>
      <c r="HN69" s="292"/>
      <c r="HO69" s="292"/>
      <c r="HP69" s="292"/>
      <c r="HQ69" s="292"/>
      <c r="HR69" s="292"/>
      <c r="HS69" s="292"/>
      <c r="HT69" s="292"/>
      <c r="HU69" s="292"/>
      <c r="HV69" s="292"/>
      <c r="HW69" s="292"/>
      <c r="HX69" s="292"/>
      <c r="HY69" s="292"/>
      <c r="HZ69" s="292"/>
      <c r="IA69" s="292"/>
      <c r="IB69" s="292"/>
      <c r="IC69" s="292"/>
      <c r="ID69" s="292"/>
      <c r="IE69" s="292"/>
      <c r="IF69" s="292"/>
      <c r="IG69" s="292"/>
      <c r="IH69" s="292"/>
      <c r="II69" s="292"/>
      <c r="IJ69" s="292"/>
      <c r="IK69" s="292"/>
      <c r="IL69" s="292"/>
      <c r="IM69" s="292"/>
      <c r="IN69" s="292"/>
      <c r="IO69" s="292"/>
      <c r="IP69" s="292"/>
      <c r="IQ69" s="292"/>
      <c r="IR69" s="292"/>
      <c r="IS69" s="292"/>
      <c r="IT69" s="292"/>
      <c r="IU69" s="292"/>
      <c r="IV69" s="292"/>
      <c r="IW69" s="292"/>
      <c r="IX69" s="292"/>
      <c r="IY69" s="292"/>
      <c r="IZ69" s="292"/>
      <c r="JA69" s="292"/>
      <c r="JB69" s="292"/>
      <c r="JC69" s="292"/>
      <c r="JD69" s="292"/>
      <c r="JE69" s="292"/>
      <c r="JF69" s="292"/>
      <c r="JG69" s="292"/>
      <c r="JH69" s="292"/>
      <c r="JI69" s="292"/>
      <c r="JJ69" s="292"/>
      <c r="JK69" s="292"/>
      <c r="JL69" s="292"/>
      <c r="JM69" s="292"/>
      <c r="JN69" s="292"/>
      <c r="JO69" s="292"/>
      <c r="JP69" s="292"/>
      <c r="JQ69" s="292"/>
      <c r="JR69" s="292"/>
      <c r="JS69" s="292"/>
      <c r="JT69" s="292"/>
      <c r="JU69" s="292"/>
      <c r="JV69" s="292"/>
      <c r="JW69" s="292"/>
      <c r="JX69" s="292"/>
      <c r="JY69" s="292"/>
      <c r="JZ69" s="292"/>
      <c r="KA69" s="292"/>
      <c r="KB69" s="292"/>
      <c r="KC69" s="292"/>
      <c r="KD69" s="292"/>
      <c r="KE69" s="292"/>
      <c r="KF69" s="292"/>
      <c r="KG69" s="292"/>
      <c r="KH69" s="292"/>
      <c r="KI69" s="292"/>
      <c r="KJ69" s="292"/>
      <c r="KK69" s="292"/>
      <c r="KL69" s="292"/>
      <c r="KM69" s="292"/>
      <c r="KN69" s="292"/>
      <c r="KO69" s="292"/>
      <c r="KP69" s="292"/>
      <c r="KQ69" s="292"/>
      <c r="KR69" s="292"/>
      <c r="KS69" s="292"/>
      <c r="KT69" s="292"/>
      <c r="KU69" s="292"/>
      <c r="KV69" s="292"/>
      <c r="KW69" s="292"/>
      <c r="KX69" s="292"/>
      <c r="KY69" s="292"/>
      <c r="KZ69" s="292"/>
      <c r="LA69" s="292"/>
      <c r="LB69" s="292"/>
      <c r="LC69" s="292"/>
      <c r="LD69" s="292"/>
      <c r="LE69" s="292"/>
      <c r="LF69" s="292"/>
      <c r="LG69" s="292"/>
      <c r="LH69" s="292"/>
      <c r="LI69" s="292"/>
      <c r="LJ69" s="292"/>
      <c r="LK69" s="292"/>
      <c r="LL69" s="292"/>
      <c r="LM69" s="292"/>
      <c r="LN69" s="292"/>
      <c r="LO69" s="292"/>
      <c r="LP69" s="292"/>
      <c r="LQ69" s="292"/>
      <c r="LR69" s="292"/>
      <c r="LS69" s="292"/>
      <c r="LT69" s="292"/>
      <c r="LU69" s="292"/>
      <c r="LV69" s="292"/>
      <c r="LW69" s="292"/>
      <c r="LX69" s="292"/>
      <c r="LY69" s="292"/>
      <c r="LZ69" s="292"/>
      <c r="MA69" s="292"/>
      <c r="MB69" s="292"/>
      <c r="MC69" s="292"/>
      <c r="MD69" s="292"/>
      <c r="ME69" s="292"/>
      <c r="MF69" s="292"/>
      <c r="MG69" s="292"/>
      <c r="MH69" s="292"/>
      <c r="MI69" s="292"/>
      <c r="MJ69" s="292"/>
      <c r="MK69" s="292"/>
      <c r="ML69" s="292"/>
      <c r="MM69" s="292"/>
      <c r="MN69" s="292"/>
      <c r="MO69" s="292"/>
      <c r="MP69" s="292"/>
      <c r="MQ69" s="292"/>
      <c r="MR69" s="292"/>
      <c r="MS69" s="292"/>
      <c r="MT69" s="292"/>
      <c r="MU69" s="292"/>
      <c r="MV69" s="292"/>
      <c r="MW69" s="292"/>
      <c r="MX69" s="292"/>
      <c r="MY69" s="292"/>
      <c r="MZ69" s="292"/>
      <c r="NA69" s="292"/>
      <c r="NB69" s="292"/>
      <c r="NC69" s="292"/>
      <c r="ND69" s="292"/>
      <c r="NE69" s="292"/>
      <c r="NF69" s="292"/>
      <c r="NG69" s="292"/>
      <c r="NH69" s="292"/>
      <c r="NI69" s="292"/>
      <c r="NJ69" s="292"/>
      <c r="NK69" s="292"/>
      <c r="NL69" s="292"/>
      <c r="NM69" s="292"/>
      <c r="NN69" s="292"/>
      <c r="NO69" s="292"/>
      <c r="NP69" s="292"/>
      <c r="NQ69" s="292"/>
      <c r="NR69" s="292"/>
      <c r="NS69" s="292"/>
      <c r="NT69" s="292"/>
      <c r="NU69" s="292"/>
      <c r="NV69" s="292"/>
      <c r="NW69" s="292"/>
      <c r="NX69" s="292"/>
      <c r="NY69" s="292"/>
      <c r="NZ69" s="292"/>
      <c r="OA69" s="292"/>
      <c r="OB69" s="292"/>
      <c r="OC69" s="292"/>
      <c r="OD69" s="292"/>
      <c r="OE69" s="292"/>
      <c r="OF69" s="292"/>
      <c r="OG69" s="292"/>
      <c r="OH69" s="292"/>
      <c r="OI69" s="292"/>
      <c r="OJ69" s="292"/>
      <c r="OK69" s="292"/>
      <c r="OL69" s="292"/>
      <c r="OM69" s="292"/>
      <c r="ON69" s="292"/>
      <c r="OO69" s="292"/>
      <c r="OP69" s="292"/>
      <c r="OQ69" s="292"/>
      <c r="OR69" s="292"/>
      <c r="OS69" s="292"/>
      <c r="OT69" s="292"/>
      <c r="OU69" s="292"/>
      <c r="OV69" s="292"/>
      <c r="OW69" s="292"/>
      <c r="OX69" s="292"/>
      <c r="OY69" s="292"/>
      <c r="OZ69" s="292"/>
      <c r="PA69" s="292"/>
      <c r="PB69" s="292"/>
      <c r="PC69" s="292"/>
      <c r="PD69" s="292"/>
      <c r="PE69" s="292"/>
      <c r="PF69" s="292"/>
      <c r="PG69" s="292"/>
      <c r="PH69" s="292"/>
      <c r="PI69" s="292"/>
      <c r="PJ69" s="292"/>
      <c r="PK69" s="292"/>
      <c r="PL69" s="292"/>
      <c r="PM69" s="292"/>
      <c r="PN69" s="292"/>
      <c r="PO69" s="292"/>
      <c r="PP69" s="292"/>
      <c r="PQ69" s="292"/>
      <c r="PR69" s="292"/>
      <c r="PS69" s="292"/>
      <c r="PT69" s="292"/>
      <c r="PU69" s="292"/>
      <c r="PV69" s="292"/>
      <c r="PW69" s="292"/>
      <c r="PX69" s="292"/>
      <c r="PY69" s="292"/>
      <c r="PZ69" s="292"/>
      <c r="QA69" s="292"/>
      <c r="QB69" s="292"/>
      <c r="QC69" s="292"/>
      <c r="QD69" s="292"/>
      <c r="QE69" s="292"/>
      <c r="QF69" s="292"/>
      <c r="QG69" s="292"/>
      <c r="QH69" s="292"/>
      <c r="QI69" s="292"/>
      <c r="QJ69" s="292"/>
      <c r="QK69" s="292"/>
      <c r="QL69" s="292"/>
      <c r="QM69" s="292"/>
      <c r="QN69" s="292"/>
      <c r="QO69" s="292"/>
      <c r="QP69" s="292"/>
      <c r="QQ69" s="292"/>
      <c r="QR69" s="292"/>
      <c r="QS69" s="292"/>
      <c r="QT69" s="292"/>
      <c r="QU69" s="292"/>
      <c r="QV69" s="292"/>
      <c r="QW69" s="292"/>
      <c r="QX69" s="292"/>
      <c r="QY69" s="292"/>
      <c r="QZ69" s="292"/>
      <c r="RA69" s="292"/>
      <c r="RB69" s="292"/>
      <c r="RC69" s="292"/>
      <c r="RD69" s="292"/>
      <c r="RE69" s="292"/>
      <c r="RF69" s="292"/>
      <c r="RG69" s="292"/>
      <c r="RH69" s="292"/>
      <c r="RI69" s="292"/>
      <c r="RJ69" s="292"/>
      <c r="RK69" s="292"/>
      <c r="RL69" s="292"/>
      <c r="RM69" s="292"/>
      <c r="RN69" s="292"/>
      <c r="RO69" s="292"/>
      <c r="RP69" s="292"/>
      <c r="RQ69" s="292"/>
      <c r="RR69" s="292"/>
      <c r="RS69" s="292"/>
      <c r="RT69" s="292"/>
      <c r="RU69" s="292"/>
      <c r="RV69" s="292"/>
      <c r="RW69" s="292"/>
      <c r="RX69" s="292"/>
      <c r="RY69" s="292"/>
      <c r="RZ69" s="292"/>
      <c r="SA69" s="292"/>
      <c r="SB69" s="292"/>
      <c r="SC69" s="292"/>
      <c r="SD69" s="292"/>
      <c r="SE69" s="292"/>
      <c r="SF69" s="292"/>
      <c r="SG69" s="292"/>
      <c r="SH69" s="292"/>
      <c r="SI69" s="292"/>
      <c r="SJ69" s="292"/>
      <c r="SK69" s="292"/>
      <c r="SL69" s="292"/>
      <c r="SM69" s="292"/>
      <c r="SN69" s="292"/>
      <c r="SO69" s="292"/>
      <c r="SP69" s="292"/>
      <c r="SQ69" s="292"/>
      <c r="SR69" s="292"/>
      <c r="SS69" s="292"/>
      <c r="ST69" s="292"/>
      <c r="SU69" s="292"/>
    </row>
    <row r="70" spans="1:515" s="624" customFormat="1" ht="11.5" customHeight="1" x14ac:dyDescent="0.25">
      <c r="A70" s="986"/>
      <c r="B70" s="984"/>
      <c r="C70" s="984"/>
      <c r="D70" s="957"/>
      <c r="E70" s="960"/>
      <c r="F70" s="960"/>
      <c r="G70" s="981"/>
      <c r="H70" s="957"/>
      <c r="I70" s="957"/>
      <c r="J70" s="957"/>
      <c r="K70" s="981"/>
      <c r="L70" s="957"/>
      <c r="M70" s="957"/>
      <c r="N70" s="957"/>
      <c r="O70" s="981"/>
      <c r="P70" s="957"/>
      <c r="Q70" s="957"/>
      <c r="R70" s="957"/>
      <c r="S70" s="981"/>
      <c r="T70" s="957"/>
      <c r="U70" s="1180"/>
      <c r="V70" s="1180"/>
      <c r="W70" s="981"/>
      <c r="X70" s="957"/>
      <c r="Y70" s="1180"/>
      <c r="Z70" s="1180"/>
      <c r="AA70" s="981"/>
      <c r="AB70" s="976"/>
      <c r="AC70" s="957"/>
      <c r="AD70" s="976"/>
      <c r="AE70" s="971"/>
      <c r="AF70" s="292"/>
      <c r="AG70" s="292"/>
      <c r="AH70" s="292"/>
      <c r="AI70" s="292"/>
      <c r="AJ70" s="292"/>
      <c r="AK70" s="292"/>
      <c r="AL70" s="292"/>
      <c r="AM70" s="292"/>
      <c r="AN70" s="292"/>
      <c r="AO70" s="292"/>
      <c r="AP70" s="292"/>
      <c r="AQ70" s="292"/>
      <c r="AR70" s="292"/>
      <c r="AS70" s="292"/>
      <c r="AT70" s="292"/>
      <c r="AU70" s="292"/>
      <c r="AV70" s="292"/>
      <c r="AW70" s="292"/>
      <c r="AX70" s="292"/>
      <c r="AY70" s="292"/>
      <c r="AZ70" s="292"/>
      <c r="BA70" s="292"/>
      <c r="BB70" s="292"/>
      <c r="BC70" s="292"/>
      <c r="BD70" s="292"/>
      <c r="BE70" s="292"/>
      <c r="BF70" s="292"/>
      <c r="BG70" s="292"/>
      <c r="BH70" s="292"/>
      <c r="BI70" s="292"/>
      <c r="BJ70" s="292"/>
      <c r="BK70" s="292"/>
      <c r="BL70" s="292"/>
      <c r="BM70" s="292"/>
      <c r="BN70" s="292"/>
      <c r="BO70" s="292"/>
      <c r="BP70" s="292"/>
      <c r="BQ70" s="292"/>
      <c r="BR70" s="292"/>
      <c r="BS70" s="292"/>
      <c r="BT70" s="292"/>
      <c r="BU70" s="292"/>
      <c r="BV70" s="292"/>
      <c r="BW70" s="292"/>
      <c r="BX70" s="292"/>
      <c r="BY70" s="292"/>
      <c r="BZ70" s="292"/>
      <c r="CA70" s="292"/>
      <c r="CB70" s="292"/>
      <c r="CC70" s="292"/>
      <c r="CD70" s="292"/>
      <c r="CE70" s="292"/>
      <c r="CF70" s="292"/>
      <c r="CG70" s="292"/>
      <c r="CH70" s="292"/>
      <c r="CI70" s="292"/>
      <c r="CJ70" s="292"/>
      <c r="CK70" s="292"/>
      <c r="CL70" s="292"/>
      <c r="CM70" s="292"/>
      <c r="CN70" s="292"/>
      <c r="CO70" s="292"/>
      <c r="CP70" s="292"/>
      <c r="CQ70" s="292"/>
      <c r="CR70" s="292"/>
      <c r="CS70" s="292"/>
      <c r="CT70" s="292"/>
      <c r="CU70" s="292"/>
      <c r="CV70" s="292"/>
      <c r="CW70" s="292"/>
      <c r="CX70" s="292"/>
      <c r="CY70" s="292"/>
      <c r="CZ70" s="292"/>
      <c r="DA70" s="292"/>
      <c r="DB70" s="292"/>
      <c r="DC70" s="292"/>
      <c r="DD70" s="292"/>
      <c r="DE70" s="292"/>
      <c r="DF70" s="292"/>
      <c r="DG70" s="292"/>
      <c r="DH70" s="292"/>
      <c r="DI70" s="292"/>
      <c r="DJ70" s="292"/>
      <c r="DK70" s="292"/>
      <c r="DL70" s="292"/>
      <c r="DM70" s="292"/>
      <c r="DN70" s="292"/>
      <c r="DO70" s="292"/>
      <c r="DP70" s="292"/>
      <c r="DQ70" s="292"/>
      <c r="DR70" s="292"/>
      <c r="DS70" s="292"/>
      <c r="DT70" s="292"/>
      <c r="DU70" s="292"/>
      <c r="DV70" s="292"/>
      <c r="DW70" s="292"/>
      <c r="DX70" s="292"/>
      <c r="DY70" s="292"/>
      <c r="DZ70" s="292"/>
      <c r="EA70" s="292"/>
      <c r="EB70" s="292"/>
      <c r="EC70" s="292"/>
      <c r="ED70" s="292"/>
      <c r="EE70" s="292"/>
      <c r="EF70" s="292"/>
      <c r="EG70" s="292"/>
      <c r="EH70" s="292"/>
      <c r="EI70" s="292"/>
      <c r="EJ70" s="292"/>
      <c r="EK70" s="292"/>
      <c r="EL70" s="292"/>
      <c r="EM70" s="292"/>
      <c r="EN70" s="292"/>
      <c r="EO70" s="292"/>
      <c r="EP70" s="292"/>
      <c r="EQ70" s="292"/>
      <c r="ER70" s="292"/>
      <c r="ES70" s="292"/>
      <c r="ET70" s="292"/>
      <c r="EU70" s="292"/>
      <c r="EV70" s="292"/>
      <c r="EW70" s="292"/>
      <c r="EX70" s="292"/>
      <c r="EY70" s="292"/>
      <c r="EZ70" s="292"/>
      <c r="FA70" s="292"/>
      <c r="FB70" s="292"/>
      <c r="FC70" s="292"/>
      <c r="FD70" s="292"/>
      <c r="FE70" s="292"/>
      <c r="FF70" s="292"/>
      <c r="FG70" s="292"/>
      <c r="FH70" s="292"/>
      <c r="FI70" s="292"/>
      <c r="FJ70" s="292"/>
      <c r="FK70" s="292"/>
      <c r="FL70" s="292"/>
      <c r="FM70" s="292"/>
      <c r="FN70" s="292"/>
      <c r="FO70" s="292"/>
      <c r="FP70" s="292"/>
      <c r="FQ70" s="292"/>
      <c r="FR70" s="292"/>
      <c r="FS70" s="292"/>
      <c r="FT70" s="292"/>
      <c r="FU70" s="292"/>
      <c r="FV70" s="292"/>
      <c r="FW70" s="292"/>
      <c r="FX70" s="292"/>
      <c r="FY70" s="292"/>
      <c r="FZ70" s="292"/>
      <c r="GA70" s="292"/>
      <c r="GB70" s="292"/>
      <c r="GC70" s="292"/>
      <c r="GD70" s="292"/>
      <c r="GE70" s="292"/>
      <c r="GF70" s="292"/>
      <c r="GG70" s="292"/>
      <c r="GH70" s="292"/>
      <c r="GI70" s="292"/>
      <c r="GJ70" s="292"/>
      <c r="GK70" s="292"/>
      <c r="GL70" s="292"/>
      <c r="GM70" s="292"/>
      <c r="GN70" s="292"/>
      <c r="GO70" s="292"/>
      <c r="GP70" s="292"/>
      <c r="GQ70" s="292"/>
      <c r="GR70" s="292"/>
      <c r="GS70" s="292"/>
      <c r="GT70" s="292"/>
      <c r="GU70" s="292"/>
      <c r="GV70" s="292"/>
      <c r="GW70" s="292"/>
      <c r="GX70" s="292"/>
      <c r="GY70" s="292"/>
      <c r="GZ70" s="292"/>
      <c r="HA70" s="292"/>
      <c r="HB70" s="292"/>
      <c r="HC70" s="292"/>
      <c r="HD70" s="292"/>
      <c r="HE70" s="292"/>
      <c r="HF70" s="292"/>
      <c r="HG70" s="292"/>
      <c r="HH70" s="292"/>
      <c r="HI70" s="292"/>
      <c r="HJ70" s="292"/>
      <c r="HK70" s="292"/>
      <c r="HL70" s="292"/>
      <c r="HM70" s="292"/>
      <c r="HN70" s="292"/>
      <c r="HO70" s="292"/>
      <c r="HP70" s="292"/>
      <c r="HQ70" s="292"/>
      <c r="HR70" s="292"/>
      <c r="HS70" s="292"/>
      <c r="HT70" s="292"/>
      <c r="HU70" s="292"/>
      <c r="HV70" s="292"/>
      <c r="HW70" s="292"/>
      <c r="HX70" s="292"/>
      <c r="HY70" s="292"/>
      <c r="HZ70" s="292"/>
      <c r="IA70" s="292"/>
      <c r="IB70" s="292"/>
      <c r="IC70" s="292"/>
      <c r="ID70" s="292"/>
      <c r="IE70" s="292"/>
      <c r="IF70" s="292"/>
      <c r="IG70" s="292"/>
      <c r="IH70" s="292"/>
      <c r="II70" s="292"/>
      <c r="IJ70" s="292"/>
      <c r="IK70" s="292"/>
      <c r="IL70" s="292"/>
      <c r="IM70" s="292"/>
      <c r="IN70" s="292"/>
      <c r="IO70" s="292"/>
      <c r="IP70" s="292"/>
      <c r="IQ70" s="292"/>
      <c r="IR70" s="292"/>
      <c r="IS70" s="292"/>
      <c r="IT70" s="292"/>
      <c r="IU70" s="292"/>
      <c r="IV70" s="292"/>
      <c r="IW70" s="292"/>
      <c r="IX70" s="292"/>
      <c r="IY70" s="292"/>
      <c r="IZ70" s="292"/>
      <c r="JA70" s="292"/>
      <c r="JB70" s="292"/>
      <c r="JC70" s="292"/>
      <c r="JD70" s="292"/>
      <c r="JE70" s="292"/>
      <c r="JF70" s="292"/>
      <c r="JG70" s="292"/>
      <c r="JH70" s="292"/>
      <c r="JI70" s="292"/>
      <c r="JJ70" s="292"/>
      <c r="JK70" s="292"/>
      <c r="JL70" s="292"/>
      <c r="JM70" s="292"/>
      <c r="JN70" s="292"/>
      <c r="JO70" s="292"/>
      <c r="JP70" s="292"/>
      <c r="JQ70" s="292"/>
      <c r="JR70" s="292"/>
      <c r="JS70" s="292"/>
      <c r="JT70" s="292"/>
      <c r="JU70" s="292"/>
      <c r="JV70" s="292"/>
      <c r="JW70" s="292"/>
      <c r="JX70" s="292"/>
      <c r="JY70" s="292"/>
      <c r="JZ70" s="292"/>
      <c r="KA70" s="292"/>
      <c r="KB70" s="292"/>
      <c r="KC70" s="292"/>
      <c r="KD70" s="292"/>
      <c r="KE70" s="292"/>
      <c r="KF70" s="292"/>
      <c r="KG70" s="292"/>
      <c r="KH70" s="292"/>
      <c r="KI70" s="292"/>
      <c r="KJ70" s="292"/>
      <c r="KK70" s="292"/>
      <c r="KL70" s="292"/>
      <c r="KM70" s="292"/>
      <c r="KN70" s="292"/>
      <c r="KO70" s="292"/>
      <c r="KP70" s="292"/>
      <c r="KQ70" s="292"/>
      <c r="KR70" s="292"/>
      <c r="KS70" s="292"/>
      <c r="KT70" s="292"/>
      <c r="KU70" s="292"/>
      <c r="KV70" s="292"/>
      <c r="KW70" s="292"/>
      <c r="KX70" s="292"/>
      <c r="KY70" s="292"/>
      <c r="KZ70" s="292"/>
      <c r="LA70" s="292"/>
      <c r="LB70" s="292"/>
      <c r="LC70" s="292"/>
      <c r="LD70" s="292"/>
      <c r="LE70" s="292"/>
      <c r="LF70" s="292"/>
      <c r="LG70" s="292"/>
      <c r="LH70" s="292"/>
      <c r="LI70" s="292"/>
      <c r="LJ70" s="292"/>
      <c r="LK70" s="292"/>
      <c r="LL70" s="292"/>
      <c r="LM70" s="292"/>
      <c r="LN70" s="292"/>
      <c r="LO70" s="292"/>
      <c r="LP70" s="292"/>
      <c r="LQ70" s="292"/>
      <c r="LR70" s="292"/>
      <c r="LS70" s="292"/>
      <c r="LT70" s="292"/>
      <c r="LU70" s="292"/>
      <c r="LV70" s="292"/>
      <c r="LW70" s="292"/>
      <c r="LX70" s="292"/>
      <c r="LY70" s="292"/>
      <c r="LZ70" s="292"/>
      <c r="MA70" s="292"/>
      <c r="MB70" s="292"/>
      <c r="MC70" s="292"/>
      <c r="MD70" s="292"/>
      <c r="ME70" s="292"/>
      <c r="MF70" s="292"/>
      <c r="MG70" s="292"/>
      <c r="MH70" s="292"/>
      <c r="MI70" s="292"/>
      <c r="MJ70" s="292"/>
      <c r="MK70" s="292"/>
      <c r="ML70" s="292"/>
      <c r="MM70" s="292"/>
      <c r="MN70" s="292"/>
      <c r="MO70" s="292"/>
      <c r="MP70" s="292"/>
      <c r="MQ70" s="292"/>
      <c r="MR70" s="292"/>
      <c r="MS70" s="292"/>
      <c r="MT70" s="292"/>
      <c r="MU70" s="292"/>
      <c r="MV70" s="292"/>
      <c r="MW70" s="292"/>
      <c r="MX70" s="292"/>
      <c r="MY70" s="292"/>
      <c r="MZ70" s="292"/>
      <c r="NA70" s="292"/>
      <c r="NB70" s="292"/>
      <c r="NC70" s="292"/>
      <c r="ND70" s="292"/>
      <c r="NE70" s="292"/>
      <c r="NF70" s="292"/>
      <c r="NG70" s="292"/>
      <c r="NH70" s="292"/>
      <c r="NI70" s="292"/>
      <c r="NJ70" s="292"/>
      <c r="NK70" s="292"/>
      <c r="NL70" s="292"/>
      <c r="NM70" s="292"/>
      <c r="NN70" s="292"/>
      <c r="NO70" s="292"/>
      <c r="NP70" s="292"/>
      <c r="NQ70" s="292"/>
      <c r="NR70" s="292"/>
      <c r="NS70" s="292"/>
      <c r="NT70" s="292"/>
      <c r="NU70" s="292"/>
      <c r="NV70" s="292"/>
      <c r="NW70" s="292"/>
      <c r="NX70" s="292"/>
      <c r="NY70" s="292"/>
      <c r="NZ70" s="292"/>
      <c r="OA70" s="292"/>
      <c r="OB70" s="292"/>
      <c r="OC70" s="292"/>
      <c r="OD70" s="292"/>
      <c r="OE70" s="292"/>
      <c r="OF70" s="292"/>
      <c r="OG70" s="292"/>
      <c r="OH70" s="292"/>
      <c r="OI70" s="292"/>
      <c r="OJ70" s="292"/>
      <c r="OK70" s="292"/>
      <c r="OL70" s="292"/>
      <c r="OM70" s="292"/>
      <c r="ON70" s="292"/>
      <c r="OO70" s="292"/>
      <c r="OP70" s="292"/>
      <c r="OQ70" s="292"/>
      <c r="OR70" s="292"/>
      <c r="OS70" s="292"/>
      <c r="OT70" s="292"/>
      <c r="OU70" s="292"/>
      <c r="OV70" s="292"/>
      <c r="OW70" s="292"/>
      <c r="OX70" s="292"/>
      <c r="OY70" s="292"/>
      <c r="OZ70" s="292"/>
      <c r="PA70" s="292"/>
      <c r="PB70" s="292"/>
      <c r="PC70" s="292"/>
      <c r="PD70" s="292"/>
      <c r="PE70" s="292"/>
      <c r="PF70" s="292"/>
      <c r="PG70" s="292"/>
      <c r="PH70" s="292"/>
      <c r="PI70" s="292"/>
      <c r="PJ70" s="292"/>
      <c r="PK70" s="292"/>
      <c r="PL70" s="292"/>
      <c r="PM70" s="292"/>
      <c r="PN70" s="292"/>
      <c r="PO70" s="292"/>
      <c r="PP70" s="292"/>
      <c r="PQ70" s="292"/>
      <c r="PR70" s="292"/>
      <c r="PS70" s="292"/>
      <c r="PT70" s="292"/>
      <c r="PU70" s="292"/>
      <c r="PV70" s="292"/>
      <c r="PW70" s="292"/>
      <c r="PX70" s="292"/>
      <c r="PY70" s="292"/>
      <c r="PZ70" s="292"/>
      <c r="QA70" s="292"/>
      <c r="QB70" s="292"/>
      <c r="QC70" s="292"/>
      <c r="QD70" s="292"/>
      <c r="QE70" s="292"/>
      <c r="QF70" s="292"/>
      <c r="QG70" s="292"/>
      <c r="QH70" s="292"/>
      <c r="QI70" s="292"/>
      <c r="QJ70" s="292"/>
      <c r="QK70" s="292"/>
      <c r="QL70" s="292"/>
      <c r="QM70" s="292"/>
      <c r="QN70" s="292"/>
      <c r="QO70" s="292"/>
      <c r="QP70" s="292"/>
      <c r="QQ70" s="292"/>
      <c r="QR70" s="292"/>
      <c r="QS70" s="292"/>
      <c r="QT70" s="292"/>
      <c r="QU70" s="292"/>
      <c r="QV70" s="292"/>
      <c r="QW70" s="292"/>
      <c r="QX70" s="292"/>
      <c r="QY70" s="292"/>
      <c r="QZ70" s="292"/>
      <c r="RA70" s="292"/>
      <c r="RB70" s="292"/>
      <c r="RC70" s="292"/>
      <c r="RD70" s="292"/>
      <c r="RE70" s="292"/>
      <c r="RF70" s="292"/>
      <c r="RG70" s="292"/>
      <c r="RH70" s="292"/>
      <c r="RI70" s="292"/>
      <c r="RJ70" s="292"/>
      <c r="RK70" s="292"/>
      <c r="RL70" s="292"/>
      <c r="RM70" s="292"/>
      <c r="RN70" s="292"/>
      <c r="RO70" s="292"/>
      <c r="RP70" s="292"/>
      <c r="RQ70" s="292"/>
      <c r="RR70" s="292"/>
      <c r="RS70" s="292"/>
      <c r="RT70" s="292"/>
      <c r="RU70" s="292"/>
      <c r="RV70" s="292"/>
      <c r="RW70" s="292"/>
      <c r="RX70" s="292"/>
      <c r="RY70" s="292"/>
      <c r="RZ70" s="292"/>
      <c r="SA70" s="292"/>
      <c r="SB70" s="292"/>
      <c r="SC70" s="292"/>
      <c r="SD70" s="292"/>
      <c r="SE70" s="292"/>
      <c r="SF70" s="292"/>
      <c r="SG70" s="292"/>
      <c r="SH70" s="292"/>
      <c r="SI70" s="292"/>
      <c r="SJ70" s="292"/>
      <c r="SK70" s="292"/>
      <c r="SL70" s="292"/>
      <c r="SM70" s="292"/>
      <c r="SN70" s="292"/>
      <c r="SO70" s="292"/>
      <c r="SP70" s="292"/>
      <c r="SQ70" s="292"/>
      <c r="SR70" s="292"/>
      <c r="SS70" s="292"/>
      <c r="ST70" s="292"/>
      <c r="SU70" s="292"/>
    </row>
    <row r="71" spans="1:515" s="624" customFormat="1" ht="20.5" customHeight="1" x14ac:dyDescent="0.25">
      <c r="A71" s="986"/>
      <c r="B71" s="984"/>
      <c r="C71" s="984"/>
      <c r="D71" s="957"/>
      <c r="E71" s="1294" t="s">
        <v>374</v>
      </c>
      <c r="F71" s="1294"/>
      <c r="G71" s="1294"/>
      <c r="H71" s="957"/>
      <c r="I71" s="1294" t="s">
        <v>374</v>
      </c>
      <c r="J71" s="1294"/>
      <c r="K71" s="1294"/>
      <c r="L71" s="957"/>
      <c r="M71" s="1294" t="s">
        <v>374</v>
      </c>
      <c r="N71" s="1294"/>
      <c r="O71" s="1294"/>
      <c r="P71" s="957"/>
      <c r="Q71" s="1294" t="s">
        <v>374</v>
      </c>
      <c r="R71" s="1294"/>
      <c r="S71" s="1294"/>
      <c r="T71" s="957"/>
      <c r="U71" s="1294" t="s">
        <v>374</v>
      </c>
      <c r="V71" s="1294"/>
      <c r="W71" s="1294"/>
      <c r="X71" s="957"/>
      <c r="Y71" s="1294" t="s">
        <v>374</v>
      </c>
      <c r="Z71" s="1294"/>
      <c r="AA71" s="1294"/>
      <c r="AB71" s="976"/>
      <c r="AC71" s="957"/>
      <c r="AD71" s="1145" t="s">
        <v>374</v>
      </c>
      <c r="AE71" s="971"/>
      <c r="AF71" s="292"/>
      <c r="AG71" s="292"/>
      <c r="AH71" s="292"/>
      <c r="AI71" s="292"/>
      <c r="AJ71" s="292"/>
      <c r="AK71" s="292"/>
      <c r="AL71" s="292"/>
      <c r="AM71" s="292"/>
      <c r="AN71" s="292"/>
      <c r="AO71" s="292"/>
      <c r="AP71" s="292"/>
      <c r="AQ71" s="292"/>
      <c r="AR71" s="292"/>
      <c r="AS71" s="292"/>
      <c r="AT71" s="292"/>
      <c r="AU71" s="292"/>
      <c r="AV71" s="292"/>
      <c r="AW71" s="292"/>
      <c r="AX71" s="292"/>
      <c r="AY71" s="292"/>
      <c r="AZ71" s="292"/>
      <c r="BA71" s="292"/>
      <c r="BB71" s="292"/>
      <c r="BC71" s="292"/>
      <c r="BD71" s="292"/>
      <c r="BE71" s="292"/>
      <c r="BF71" s="292"/>
      <c r="BG71" s="292"/>
      <c r="BH71" s="292"/>
      <c r="BI71" s="292"/>
      <c r="BJ71" s="292"/>
      <c r="BK71" s="292"/>
      <c r="BL71" s="292"/>
      <c r="BM71" s="292"/>
      <c r="BN71" s="292"/>
      <c r="BO71" s="292"/>
      <c r="BP71" s="292"/>
      <c r="BQ71" s="292"/>
      <c r="BR71" s="292"/>
      <c r="BS71" s="292"/>
      <c r="BT71" s="292"/>
      <c r="BU71" s="292"/>
      <c r="BV71" s="292"/>
      <c r="BW71" s="292"/>
      <c r="BX71" s="292"/>
      <c r="BY71" s="292"/>
      <c r="BZ71" s="292"/>
      <c r="CA71" s="292"/>
      <c r="CB71" s="292"/>
      <c r="CC71" s="292"/>
      <c r="CD71" s="292"/>
      <c r="CE71" s="292"/>
      <c r="CF71" s="292"/>
      <c r="CG71" s="292"/>
      <c r="CH71" s="292"/>
      <c r="CI71" s="292"/>
      <c r="CJ71" s="292"/>
      <c r="CK71" s="292"/>
      <c r="CL71" s="292"/>
      <c r="CM71" s="292"/>
      <c r="CN71" s="292"/>
      <c r="CO71" s="292"/>
      <c r="CP71" s="292"/>
      <c r="CQ71" s="292"/>
      <c r="CR71" s="292"/>
      <c r="CS71" s="292"/>
      <c r="CT71" s="292"/>
      <c r="CU71" s="292"/>
      <c r="CV71" s="292"/>
      <c r="CW71" s="292"/>
      <c r="CX71" s="292"/>
      <c r="CY71" s="292"/>
      <c r="CZ71" s="292"/>
      <c r="DA71" s="292"/>
      <c r="DB71" s="292"/>
      <c r="DC71" s="292"/>
      <c r="DD71" s="292"/>
      <c r="DE71" s="292"/>
      <c r="DF71" s="292"/>
      <c r="DG71" s="292"/>
      <c r="DH71" s="292"/>
      <c r="DI71" s="292"/>
      <c r="DJ71" s="292"/>
      <c r="DK71" s="292"/>
      <c r="DL71" s="292"/>
      <c r="DM71" s="292"/>
      <c r="DN71" s="292"/>
      <c r="DO71" s="292"/>
      <c r="DP71" s="292"/>
      <c r="DQ71" s="292"/>
      <c r="DR71" s="292"/>
      <c r="DS71" s="292"/>
      <c r="DT71" s="292"/>
      <c r="DU71" s="292"/>
      <c r="DV71" s="292"/>
      <c r="DW71" s="292"/>
      <c r="DX71" s="292"/>
      <c r="DY71" s="292"/>
      <c r="DZ71" s="292"/>
      <c r="EA71" s="292"/>
      <c r="EB71" s="292"/>
      <c r="EC71" s="292"/>
      <c r="ED71" s="292"/>
      <c r="EE71" s="292"/>
      <c r="EF71" s="292"/>
      <c r="EG71" s="292"/>
      <c r="EH71" s="292"/>
      <c r="EI71" s="292"/>
      <c r="EJ71" s="292"/>
      <c r="EK71" s="292"/>
      <c r="EL71" s="292"/>
      <c r="EM71" s="292"/>
      <c r="EN71" s="292"/>
      <c r="EO71" s="292"/>
      <c r="EP71" s="292"/>
      <c r="EQ71" s="292"/>
      <c r="ER71" s="292"/>
      <c r="ES71" s="292"/>
      <c r="ET71" s="292"/>
      <c r="EU71" s="292"/>
      <c r="EV71" s="292"/>
      <c r="EW71" s="292"/>
      <c r="EX71" s="292"/>
      <c r="EY71" s="292"/>
      <c r="EZ71" s="292"/>
      <c r="FA71" s="292"/>
      <c r="FB71" s="292"/>
      <c r="FC71" s="292"/>
      <c r="FD71" s="292"/>
      <c r="FE71" s="292"/>
      <c r="FF71" s="292"/>
      <c r="FG71" s="292"/>
      <c r="FH71" s="292"/>
      <c r="FI71" s="292"/>
      <c r="FJ71" s="292"/>
      <c r="FK71" s="292"/>
      <c r="FL71" s="292"/>
      <c r="FM71" s="292"/>
      <c r="FN71" s="292"/>
      <c r="FO71" s="292"/>
      <c r="FP71" s="292"/>
      <c r="FQ71" s="292"/>
      <c r="FR71" s="292"/>
      <c r="FS71" s="292"/>
      <c r="FT71" s="292"/>
      <c r="FU71" s="292"/>
      <c r="FV71" s="292"/>
      <c r="FW71" s="292"/>
      <c r="FX71" s="292"/>
      <c r="FY71" s="292"/>
      <c r="FZ71" s="292"/>
      <c r="GA71" s="292"/>
      <c r="GB71" s="292"/>
      <c r="GC71" s="292"/>
      <c r="GD71" s="292"/>
      <c r="GE71" s="292"/>
      <c r="GF71" s="292"/>
      <c r="GG71" s="292"/>
      <c r="GH71" s="292"/>
      <c r="GI71" s="292"/>
      <c r="GJ71" s="292"/>
      <c r="GK71" s="292"/>
      <c r="GL71" s="292"/>
      <c r="GM71" s="292"/>
      <c r="GN71" s="292"/>
      <c r="GO71" s="292"/>
      <c r="GP71" s="292"/>
      <c r="GQ71" s="292"/>
      <c r="GR71" s="292"/>
      <c r="GS71" s="292"/>
      <c r="GT71" s="292"/>
      <c r="GU71" s="292"/>
      <c r="GV71" s="292"/>
      <c r="GW71" s="292"/>
      <c r="GX71" s="292"/>
      <c r="GY71" s="292"/>
      <c r="GZ71" s="292"/>
      <c r="HA71" s="292"/>
      <c r="HB71" s="292"/>
      <c r="HC71" s="292"/>
      <c r="HD71" s="292"/>
      <c r="HE71" s="292"/>
      <c r="HF71" s="292"/>
      <c r="HG71" s="292"/>
      <c r="HH71" s="292"/>
      <c r="HI71" s="292"/>
      <c r="HJ71" s="292"/>
      <c r="HK71" s="292"/>
      <c r="HL71" s="292"/>
      <c r="HM71" s="292"/>
      <c r="HN71" s="292"/>
      <c r="HO71" s="292"/>
      <c r="HP71" s="292"/>
      <c r="HQ71" s="292"/>
      <c r="HR71" s="292"/>
      <c r="HS71" s="292"/>
      <c r="HT71" s="292"/>
      <c r="HU71" s="292"/>
      <c r="HV71" s="292"/>
      <c r="HW71" s="292"/>
      <c r="HX71" s="292"/>
      <c r="HY71" s="292"/>
      <c r="HZ71" s="292"/>
      <c r="IA71" s="292"/>
      <c r="IB71" s="292"/>
      <c r="IC71" s="292"/>
      <c r="ID71" s="292"/>
      <c r="IE71" s="292"/>
      <c r="IF71" s="292"/>
      <c r="IG71" s="292"/>
      <c r="IH71" s="292"/>
      <c r="II71" s="292"/>
      <c r="IJ71" s="292"/>
      <c r="IK71" s="292"/>
      <c r="IL71" s="292"/>
      <c r="IM71" s="292"/>
      <c r="IN71" s="292"/>
      <c r="IO71" s="292"/>
      <c r="IP71" s="292"/>
      <c r="IQ71" s="292"/>
      <c r="IR71" s="292"/>
      <c r="IS71" s="292"/>
      <c r="IT71" s="292"/>
      <c r="IU71" s="292"/>
      <c r="IV71" s="292"/>
      <c r="IW71" s="292"/>
      <c r="IX71" s="292"/>
      <c r="IY71" s="292"/>
      <c r="IZ71" s="292"/>
      <c r="JA71" s="292"/>
      <c r="JB71" s="292"/>
      <c r="JC71" s="292"/>
      <c r="JD71" s="292"/>
      <c r="JE71" s="292"/>
      <c r="JF71" s="292"/>
      <c r="JG71" s="292"/>
      <c r="JH71" s="292"/>
      <c r="JI71" s="292"/>
      <c r="JJ71" s="292"/>
      <c r="JK71" s="292"/>
      <c r="JL71" s="292"/>
      <c r="JM71" s="292"/>
      <c r="JN71" s="292"/>
      <c r="JO71" s="292"/>
      <c r="JP71" s="292"/>
      <c r="JQ71" s="292"/>
      <c r="JR71" s="292"/>
      <c r="JS71" s="292"/>
      <c r="JT71" s="292"/>
      <c r="JU71" s="292"/>
      <c r="JV71" s="292"/>
      <c r="JW71" s="292"/>
      <c r="JX71" s="292"/>
      <c r="JY71" s="292"/>
      <c r="JZ71" s="292"/>
      <c r="KA71" s="292"/>
      <c r="KB71" s="292"/>
      <c r="KC71" s="292"/>
      <c r="KD71" s="292"/>
      <c r="KE71" s="292"/>
      <c r="KF71" s="292"/>
      <c r="KG71" s="292"/>
      <c r="KH71" s="292"/>
      <c r="KI71" s="292"/>
      <c r="KJ71" s="292"/>
      <c r="KK71" s="292"/>
      <c r="KL71" s="292"/>
      <c r="KM71" s="292"/>
      <c r="KN71" s="292"/>
      <c r="KO71" s="292"/>
      <c r="KP71" s="292"/>
      <c r="KQ71" s="292"/>
      <c r="KR71" s="292"/>
      <c r="KS71" s="292"/>
      <c r="KT71" s="292"/>
      <c r="KU71" s="292"/>
      <c r="KV71" s="292"/>
      <c r="KW71" s="292"/>
      <c r="KX71" s="292"/>
      <c r="KY71" s="292"/>
      <c r="KZ71" s="292"/>
      <c r="LA71" s="292"/>
      <c r="LB71" s="292"/>
      <c r="LC71" s="292"/>
      <c r="LD71" s="292"/>
      <c r="LE71" s="292"/>
      <c r="LF71" s="292"/>
      <c r="LG71" s="292"/>
      <c r="LH71" s="292"/>
      <c r="LI71" s="292"/>
      <c r="LJ71" s="292"/>
      <c r="LK71" s="292"/>
      <c r="LL71" s="292"/>
      <c r="LM71" s="292"/>
      <c r="LN71" s="292"/>
      <c r="LO71" s="292"/>
      <c r="LP71" s="292"/>
      <c r="LQ71" s="292"/>
      <c r="LR71" s="292"/>
      <c r="LS71" s="292"/>
      <c r="LT71" s="292"/>
      <c r="LU71" s="292"/>
      <c r="LV71" s="292"/>
      <c r="LW71" s="292"/>
      <c r="LX71" s="292"/>
      <c r="LY71" s="292"/>
      <c r="LZ71" s="292"/>
      <c r="MA71" s="292"/>
      <c r="MB71" s="292"/>
      <c r="MC71" s="292"/>
      <c r="MD71" s="292"/>
      <c r="ME71" s="292"/>
      <c r="MF71" s="292"/>
      <c r="MG71" s="292"/>
      <c r="MH71" s="292"/>
      <c r="MI71" s="292"/>
      <c r="MJ71" s="292"/>
      <c r="MK71" s="292"/>
      <c r="ML71" s="292"/>
      <c r="MM71" s="292"/>
      <c r="MN71" s="292"/>
      <c r="MO71" s="292"/>
      <c r="MP71" s="292"/>
      <c r="MQ71" s="292"/>
      <c r="MR71" s="292"/>
      <c r="MS71" s="292"/>
      <c r="MT71" s="292"/>
      <c r="MU71" s="292"/>
      <c r="MV71" s="292"/>
      <c r="MW71" s="292"/>
      <c r="MX71" s="292"/>
      <c r="MY71" s="292"/>
      <c r="MZ71" s="292"/>
      <c r="NA71" s="292"/>
      <c r="NB71" s="292"/>
      <c r="NC71" s="292"/>
      <c r="ND71" s="292"/>
      <c r="NE71" s="292"/>
      <c r="NF71" s="292"/>
      <c r="NG71" s="292"/>
      <c r="NH71" s="292"/>
      <c r="NI71" s="292"/>
      <c r="NJ71" s="292"/>
      <c r="NK71" s="292"/>
      <c r="NL71" s="292"/>
      <c r="NM71" s="292"/>
      <c r="NN71" s="292"/>
      <c r="NO71" s="292"/>
      <c r="NP71" s="292"/>
      <c r="NQ71" s="292"/>
      <c r="NR71" s="292"/>
      <c r="NS71" s="292"/>
      <c r="NT71" s="292"/>
      <c r="NU71" s="292"/>
      <c r="NV71" s="292"/>
      <c r="NW71" s="292"/>
      <c r="NX71" s="292"/>
      <c r="NY71" s="292"/>
      <c r="NZ71" s="292"/>
      <c r="OA71" s="292"/>
      <c r="OB71" s="292"/>
      <c r="OC71" s="292"/>
      <c r="OD71" s="292"/>
      <c r="OE71" s="292"/>
      <c r="OF71" s="292"/>
      <c r="OG71" s="292"/>
      <c r="OH71" s="292"/>
      <c r="OI71" s="292"/>
      <c r="OJ71" s="292"/>
      <c r="OK71" s="292"/>
      <c r="OL71" s="292"/>
      <c r="OM71" s="292"/>
      <c r="ON71" s="292"/>
      <c r="OO71" s="292"/>
      <c r="OP71" s="292"/>
      <c r="OQ71" s="292"/>
      <c r="OR71" s="292"/>
      <c r="OS71" s="292"/>
      <c r="OT71" s="292"/>
      <c r="OU71" s="292"/>
      <c r="OV71" s="292"/>
      <c r="OW71" s="292"/>
      <c r="OX71" s="292"/>
      <c r="OY71" s="292"/>
      <c r="OZ71" s="292"/>
      <c r="PA71" s="292"/>
      <c r="PB71" s="292"/>
      <c r="PC71" s="292"/>
      <c r="PD71" s="292"/>
      <c r="PE71" s="292"/>
      <c r="PF71" s="292"/>
      <c r="PG71" s="292"/>
      <c r="PH71" s="292"/>
      <c r="PI71" s="292"/>
      <c r="PJ71" s="292"/>
      <c r="PK71" s="292"/>
      <c r="PL71" s="292"/>
      <c r="PM71" s="292"/>
      <c r="PN71" s="292"/>
      <c r="PO71" s="292"/>
      <c r="PP71" s="292"/>
      <c r="PQ71" s="292"/>
      <c r="PR71" s="292"/>
      <c r="PS71" s="292"/>
      <c r="PT71" s="292"/>
      <c r="PU71" s="292"/>
      <c r="PV71" s="292"/>
      <c r="PW71" s="292"/>
      <c r="PX71" s="292"/>
      <c r="PY71" s="292"/>
      <c r="PZ71" s="292"/>
      <c r="QA71" s="292"/>
      <c r="QB71" s="292"/>
      <c r="QC71" s="292"/>
      <c r="QD71" s="292"/>
      <c r="QE71" s="292"/>
      <c r="QF71" s="292"/>
      <c r="QG71" s="292"/>
      <c r="QH71" s="292"/>
      <c r="QI71" s="292"/>
      <c r="QJ71" s="292"/>
      <c r="QK71" s="292"/>
      <c r="QL71" s="292"/>
      <c r="QM71" s="292"/>
      <c r="QN71" s="292"/>
      <c r="QO71" s="292"/>
      <c r="QP71" s="292"/>
      <c r="QQ71" s="292"/>
      <c r="QR71" s="292"/>
      <c r="QS71" s="292"/>
      <c r="QT71" s="292"/>
      <c r="QU71" s="292"/>
      <c r="QV71" s="292"/>
      <c r="QW71" s="292"/>
      <c r="QX71" s="292"/>
      <c r="QY71" s="292"/>
      <c r="QZ71" s="292"/>
      <c r="RA71" s="292"/>
      <c r="RB71" s="292"/>
      <c r="RC71" s="292"/>
      <c r="RD71" s="292"/>
      <c r="RE71" s="292"/>
      <c r="RF71" s="292"/>
      <c r="RG71" s="292"/>
      <c r="RH71" s="292"/>
      <c r="RI71" s="292"/>
      <c r="RJ71" s="292"/>
      <c r="RK71" s="292"/>
      <c r="RL71" s="292"/>
      <c r="RM71" s="292"/>
      <c r="RN71" s="292"/>
      <c r="RO71" s="292"/>
      <c r="RP71" s="292"/>
      <c r="RQ71" s="292"/>
      <c r="RR71" s="292"/>
      <c r="RS71" s="292"/>
      <c r="RT71" s="292"/>
      <c r="RU71" s="292"/>
      <c r="RV71" s="292"/>
      <c r="RW71" s="292"/>
      <c r="RX71" s="292"/>
      <c r="RY71" s="292"/>
      <c r="RZ71" s="292"/>
      <c r="SA71" s="292"/>
      <c r="SB71" s="292"/>
      <c r="SC71" s="292"/>
      <c r="SD71" s="292"/>
      <c r="SE71" s="292"/>
      <c r="SF71" s="292"/>
      <c r="SG71" s="292"/>
      <c r="SH71" s="292"/>
      <c r="SI71" s="292"/>
      <c r="SJ71" s="292"/>
      <c r="SK71" s="292"/>
      <c r="SL71" s="292"/>
      <c r="SM71" s="292"/>
      <c r="SN71" s="292"/>
      <c r="SO71" s="292"/>
      <c r="SP71" s="292"/>
      <c r="SQ71" s="292"/>
      <c r="SR71" s="292"/>
      <c r="SS71" s="292"/>
      <c r="ST71" s="292"/>
      <c r="SU71" s="292"/>
    </row>
    <row r="72" spans="1:515" s="538" customFormat="1" ht="23.15" customHeight="1" x14ac:dyDescent="0.25">
      <c r="A72" s="1323" t="s">
        <v>375</v>
      </c>
      <c r="B72" s="1324"/>
      <c r="C72" s="1324"/>
      <c r="D72" s="957"/>
      <c r="E72" s="1296">
        <f>E63+G68</f>
        <v>0</v>
      </c>
      <c r="F72" s="1296"/>
      <c r="G72" s="1296"/>
      <c r="H72" s="957"/>
      <c r="I72" s="1296">
        <f>I63+K68</f>
        <v>0</v>
      </c>
      <c r="J72" s="1296"/>
      <c r="K72" s="1296"/>
      <c r="L72" s="957"/>
      <c r="M72" s="1296">
        <f>M63+O68</f>
        <v>0</v>
      </c>
      <c r="N72" s="1296"/>
      <c r="O72" s="1296"/>
      <c r="P72" s="957"/>
      <c r="Q72" s="1296">
        <f>Q63+S68</f>
        <v>0</v>
      </c>
      <c r="R72" s="1296"/>
      <c r="S72" s="1296"/>
      <c r="T72" s="957"/>
      <c r="U72" s="1296">
        <f>U63+W68</f>
        <v>0</v>
      </c>
      <c r="V72" s="1296"/>
      <c r="W72" s="1296"/>
      <c r="X72" s="957"/>
      <c r="Y72" s="1296">
        <f>Y63+AA68</f>
        <v>0</v>
      </c>
      <c r="Z72" s="1296"/>
      <c r="AA72" s="1296"/>
      <c r="AB72" s="976"/>
      <c r="AC72" s="1144"/>
      <c r="AD72" s="1176">
        <f>E72+I72+M72+Q72+U72+Y72</f>
        <v>0</v>
      </c>
      <c r="AE72" s="971"/>
      <c r="AF72" s="292"/>
      <c r="AG72" s="292"/>
      <c r="AH72" s="292"/>
      <c r="AI72" s="292"/>
      <c r="AJ72" s="292"/>
      <c r="AK72" s="292"/>
      <c r="AL72" s="292"/>
      <c r="AM72" s="292"/>
      <c r="AN72" s="292"/>
      <c r="AO72" s="292"/>
      <c r="AP72" s="292"/>
      <c r="AQ72" s="292"/>
      <c r="AR72" s="292"/>
      <c r="AS72" s="292"/>
      <c r="AT72" s="292"/>
      <c r="AU72" s="292"/>
      <c r="AV72" s="292"/>
      <c r="AW72" s="292"/>
      <c r="AX72" s="292"/>
      <c r="AY72" s="292"/>
      <c r="AZ72" s="292"/>
      <c r="BA72" s="292"/>
      <c r="BB72" s="292"/>
      <c r="BC72" s="292"/>
      <c r="BD72" s="292"/>
      <c r="BE72" s="292"/>
      <c r="BF72" s="292"/>
      <c r="BG72" s="292"/>
      <c r="BH72" s="292"/>
      <c r="BI72" s="292"/>
      <c r="BJ72" s="292"/>
      <c r="BK72" s="292"/>
      <c r="BL72" s="292"/>
      <c r="BM72" s="292"/>
      <c r="BN72" s="292"/>
      <c r="BO72" s="292"/>
      <c r="BP72" s="292"/>
      <c r="BQ72" s="292"/>
      <c r="BR72" s="292"/>
      <c r="BS72" s="292"/>
      <c r="BT72" s="292"/>
      <c r="BU72" s="292"/>
      <c r="BV72" s="292"/>
      <c r="BW72" s="292"/>
      <c r="BX72" s="292"/>
      <c r="BY72" s="292"/>
      <c r="BZ72" s="292"/>
      <c r="CA72" s="292"/>
      <c r="CB72" s="292"/>
      <c r="CC72" s="292"/>
      <c r="CD72" s="292"/>
      <c r="CE72" s="292"/>
      <c r="CF72" s="292"/>
      <c r="CG72" s="292"/>
      <c r="CH72" s="292"/>
      <c r="CI72" s="292"/>
      <c r="CJ72" s="292"/>
      <c r="CK72" s="292"/>
      <c r="CL72" s="292"/>
      <c r="CM72" s="292"/>
      <c r="CN72" s="292"/>
      <c r="CO72" s="292"/>
      <c r="CP72" s="292"/>
      <c r="CQ72" s="292"/>
      <c r="CR72" s="292"/>
      <c r="CS72" s="292"/>
      <c r="CT72" s="292"/>
      <c r="CU72" s="292"/>
      <c r="CV72" s="292"/>
      <c r="CW72" s="292"/>
      <c r="CX72" s="292"/>
      <c r="CY72" s="292"/>
      <c r="CZ72" s="292"/>
      <c r="DA72" s="292"/>
      <c r="DB72" s="292"/>
      <c r="DC72" s="292"/>
      <c r="DD72" s="292"/>
      <c r="DE72" s="292"/>
      <c r="DF72" s="292"/>
      <c r="DG72" s="292"/>
      <c r="DH72" s="292"/>
      <c r="DI72" s="292"/>
      <c r="DJ72" s="292"/>
      <c r="DK72" s="292"/>
      <c r="DL72" s="292"/>
      <c r="DM72" s="292"/>
      <c r="DN72" s="292"/>
      <c r="DO72" s="292"/>
      <c r="DP72" s="292"/>
      <c r="DQ72" s="292"/>
      <c r="DR72" s="292"/>
      <c r="DS72" s="292"/>
      <c r="DT72" s="292"/>
      <c r="DU72" s="292"/>
      <c r="DV72" s="292"/>
      <c r="DW72" s="292"/>
      <c r="DX72" s="292"/>
      <c r="DY72" s="292"/>
      <c r="DZ72" s="292"/>
      <c r="EA72" s="292"/>
      <c r="EB72" s="292"/>
      <c r="EC72" s="292"/>
      <c r="ED72" s="292"/>
      <c r="EE72" s="292"/>
      <c r="EF72" s="292"/>
      <c r="EG72" s="292"/>
      <c r="EH72" s="292"/>
      <c r="EI72" s="292"/>
      <c r="EJ72" s="292"/>
      <c r="EK72" s="292"/>
      <c r="EL72" s="292"/>
      <c r="EM72" s="292"/>
      <c r="EN72" s="292"/>
      <c r="EO72" s="292"/>
      <c r="EP72" s="292"/>
      <c r="EQ72" s="292"/>
      <c r="ER72" s="292"/>
      <c r="ES72" s="292"/>
      <c r="ET72" s="292"/>
      <c r="EU72" s="292"/>
      <c r="EV72" s="292"/>
      <c r="EW72" s="292"/>
      <c r="EX72" s="292"/>
      <c r="EY72" s="292"/>
      <c r="EZ72" s="292"/>
      <c r="FA72" s="292"/>
      <c r="FB72" s="292"/>
      <c r="FC72" s="292"/>
      <c r="FD72" s="292"/>
      <c r="FE72" s="292"/>
      <c r="FF72" s="292"/>
      <c r="FG72" s="292"/>
      <c r="FH72" s="292"/>
      <c r="FI72" s="292"/>
      <c r="FJ72" s="292"/>
      <c r="FK72" s="292"/>
      <c r="FL72" s="292"/>
      <c r="FM72" s="292"/>
      <c r="FN72" s="292"/>
      <c r="FO72" s="292"/>
      <c r="FP72" s="292"/>
      <c r="FQ72" s="292"/>
      <c r="FR72" s="292"/>
      <c r="FS72" s="292"/>
      <c r="FT72" s="292"/>
      <c r="FU72" s="292"/>
      <c r="FV72" s="292"/>
      <c r="FW72" s="292"/>
      <c r="FX72" s="292"/>
      <c r="FY72" s="292"/>
      <c r="FZ72" s="292"/>
      <c r="GA72" s="292"/>
      <c r="GB72" s="292"/>
      <c r="GC72" s="292"/>
      <c r="GD72" s="292"/>
      <c r="GE72" s="292"/>
      <c r="GF72" s="292"/>
      <c r="GG72" s="292"/>
      <c r="GH72" s="292"/>
      <c r="GI72" s="292"/>
      <c r="GJ72" s="292"/>
      <c r="GK72" s="292"/>
      <c r="GL72" s="292"/>
      <c r="GM72" s="292"/>
      <c r="GN72" s="292"/>
      <c r="GO72" s="292"/>
      <c r="GP72" s="292"/>
      <c r="GQ72" s="292"/>
      <c r="GR72" s="292"/>
      <c r="GS72" s="292"/>
      <c r="GT72" s="292"/>
      <c r="GU72" s="292"/>
      <c r="GV72" s="292"/>
      <c r="GW72" s="292"/>
      <c r="GX72" s="292"/>
      <c r="GY72" s="292"/>
      <c r="GZ72" s="292"/>
      <c r="HA72" s="292"/>
      <c r="HB72" s="292"/>
      <c r="HC72" s="292"/>
      <c r="HD72" s="292"/>
      <c r="HE72" s="292"/>
      <c r="HF72" s="292"/>
      <c r="HG72" s="292"/>
      <c r="HH72" s="292"/>
      <c r="HI72" s="292"/>
      <c r="HJ72" s="292"/>
      <c r="HK72" s="292"/>
      <c r="HL72" s="292"/>
      <c r="HM72" s="292"/>
      <c r="HN72" s="292"/>
      <c r="HO72" s="292"/>
      <c r="HP72" s="292"/>
      <c r="HQ72" s="292"/>
      <c r="HR72" s="292"/>
      <c r="HS72" s="292"/>
      <c r="HT72" s="292"/>
      <c r="HU72" s="292"/>
      <c r="HV72" s="292"/>
      <c r="HW72" s="292"/>
      <c r="HX72" s="292"/>
      <c r="HY72" s="292"/>
      <c r="HZ72" s="292"/>
      <c r="IA72" s="292"/>
      <c r="IB72" s="292"/>
      <c r="IC72" s="292"/>
      <c r="ID72" s="292"/>
      <c r="IE72" s="292"/>
      <c r="IF72" s="292"/>
      <c r="IG72" s="292"/>
      <c r="IH72" s="292"/>
      <c r="II72" s="292"/>
      <c r="IJ72" s="292"/>
      <c r="IK72" s="292"/>
      <c r="IL72" s="292"/>
      <c r="IM72" s="292"/>
      <c r="IN72" s="292"/>
      <c r="IO72" s="292"/>
      <c r="IP72" s="292"/>
      <c r="IQ72" s="292"/>
      <c r="IR72" s="292"/>
      <c r="IS72" s="292"/>
      <c r="IT72" s="292"/>
      <c r="IU72" s="292"/>
      <c r="IV72" s="292"/>
      <c r="IW72" s="292"/>
      <c r="IX72" s="292"/>
      <c r="IY72" s="292"/>
      <c r="IZ72" s="292"/>
      <c r="JA72" s="292"/>
      <c r="JB72" s="292"/>
      <c r="JC72" s="292"/>
      <c r="JD72" s="292"/>
      <c r="JE72" s="292"/>
      <c r="JF72" s="292"/>
      <c r="JG72" s="292"/>
      <c r="JH72" s="292"/>
      <c r="JI72" s="292"/>
      <c r="JJ72" s="292"/>
      <c r="JK72" s="292"/>
      <c r="JL72" s="292"/>
      <c r="JM72" s="292"/>
      <c r="JN72" s="292"/>
      <c r="JO72" s="292"/>
      <c r="JP72" s="292"/>
      <c r="JQ72" s="292"/>
      <c r="JR72" s="292"/>
      <c r="JS72" s="292"/>
      <c r="JT72" s="292"/>
      <c r="JU72" s="292"/>
      <c r="JV72" s="292"/>
      <c r="JW72" s="292"/>
      <c r="JX72" s="292"/>
      <c r="JY72" s="292"/>
      <c r="JZ72" s="292"/>
      <c r="KA72" s="292"/>
      <c r="KB72" s="292"/>
      <c r="KC72" s="292"/>
      <c r="KD72" s="292"/>
      <c r="KE72" s="292"/>
      <c r="KF72" s="292"/>
      <c r="KG72" s="292"/>
      <c r="KH72" s="292"/>
      <c r="KI72" s="292"/>
      <c r="KJ72" s="292"/>
      <c r="KK72" s="292"/>
      <c r="KL72" s="292"/>
      <c r="KM72" s="292"/>
      <c r="KN72" s="292"/>
      <c r="KO72" s="292"/>
      <c r="KP72" s="292"/>
      <c r="KQ72" s="292"/>
      <c r="KR72" s="292"/>
      <c r="KS72" s="292"/>
      <c r="KT72" s="292"/>
      <c r="KU72" s="292"/>
      <c r="KV72" s="292"/>
      <c r="KW72" s="292"/>
      <c r="KX72" s="292"/>
      <c r="KY72" s="292"/>
      <c r="KZ72" s="292"/>
      <c r="LA72" s="292"/>
      <c r="LB72" s="292"/>
      <c r="LC72" s="292"/>
      <c r="LD72" s="292"/>
      <c r="LE72" s="292"/>
      <c r="LF72" s="292"/>
      <c r="LG72" s="292"/>
      <c r="LH72" s="292"/>
      <c r="LI72" s="292"/>
      <c r="LJ72" s="292"/>
      <c r="LK72" s="292"/>
      <c r="LL72" s="292"/>
      <c r="LM72" s="292"/>
      <c r="LN72" s="292"/>
      <c r="LO72" s="292"/>
      <c r="LP72" s="292"/>
      <c r="LQ72" s="292"/>
      <c r="LR72" s="292"/>
      <c r="LS72" s="292"/>
      <c r="LT72" s="292"/>
      <c r="LU72" s="292"/>
      <c r="LV72" s="292"/>
      <c r="LW72" s="292"/>
      <c r="LX72" s="292"/>
      <c r="LY72" s="292"/>
      <c r="LZ72" s="292"/>
      <c r="MA72" s="292"/>
      <c r="MB72" s="292"/>
      <c r="MC72" s="292"/>
      <c r="MD72" s="292"/>
      <c r="ME72" s="292"/>
      <c r="MF72" s="292"/>
      <c r="MG72" s="292"/>
      <c r="MH72" s="292"/>
      <c r="MI72" s="292"/>
      <c r="MJ72" s="292"/>
      <c r="MK72" s="292"/>
      <c r="ML72" s="292"/>
      <c r="MM72" s="292"/>
      <c r="MN72" s="292"/>
      <c r="MO72" s="292"/>
      <c r="MP72" s="292"/>
      <c r="MQ72" s="292"/>
      <c r="MR72" s="292"/>
      <c r="MS72" s="292"/>
      <c r="MT72" s="292"/>
      <c r="MU72" s="292"/>
      <c r="MV72" s="292"/>
      <c r="MW72" s="292"/>
      <c r="MX72" s="292"/>
      <c r="MY72" s="292"/>
      <c r="MZ72" s="292"/>
      <c r="NA72" s="292"/>
      <c r="NB72" s="292"/>
      <c r="NC72" s="292"/>
      <c r="ND72" s="292"/>
      <c r="NE72" s="292"/>
      <c r="NF72" s="292"/>
      <c r="NG72" s="292"/>
      <c r="NH72" s="292"/>
      <c r="NI72" s="292"/>
      <c r="NJ72" s="292"/>
      <c r="NK72" s="292"/>
      <c r="NL72" s="292"/>
      <c r="NM72" s="292"/>
      <c r="NN72" s="292"/>
      <c r="NO72" s="292"/>
      <c r="NP72" s="292"/>
      <c r="NQ72" s="292"/>
      <c r="NR72" s="292"/>
      <c r="NS72" s="292"/>
      <c r="NT72" s="292"/>
      <c r="NU72" s="292"/>
      <c r="NV72" s="292"/>
      <c r="NW72" s="292"/>
      <c r="NX72" s="292"/>
      <c r="NY72" s="292"/>
      <c r="NZ72" s="292"/>
      <c r="OA72" s="292"/>
      <c r="OB72" s="292"/>
      <c r="OC72" s="292"/>
      <c r="OD72" s="292"/>
      <c r="OE72" s="292"/>
      <c r="OF72" s="292"/>
      <c r="OG72" s="292"/>
      <c r="OH72" s="292"/>
      <c r="OI72" s="292"/>
      <c r="OJ72" s="292"/>
      <c r="OK72" s="292"/>
      <c r="OL72" s="292"/>
      <c r="OM72" s="292"/>
      <c r="ON72" s="292"/>
      <c r="OO72" s="292"/>
      <c r="OP72" s="292"/>
      <c r="OQ72" s="292"/>
      <c r="OR72" s="292"/>
      <c r="OS72" s="292"/>
      <c r="OT72" s="292"/>
      <c r="OU72" s="292"/>
      <c r="OV72" s="292"/>
      <c r="OW72" s="292"/>
      <c r="OX72" s="292"/>
      <c r="OY72" s="292"/>
      <c r="OZ72" s="292"/>
      <c r="PA72" s="292"/>
      <c r="PB72" s="292"/>
      <c r="PC72" s="292"/>
      <c r="PD72" s="292"/>
      <c r="PE72" s="292"/>
      <c r="PF72" s="292"/>
      <c r="PG72" s="292"/>
      <c r="PH72" s="292"/>
      <c r="PI72" s="292"/>
      <c r="PJ72" s="292"/>
      <c r="PK72" s="292"/>
      <c r="PL72" s="292"/>
      <c r="PM72" s="292"/>
      <c r="PN72" s="292"/>
      <c r="PO72" s="292"/>
      <c r="PP72" s="292"/>
      <c r="PQ72" s="292"/>
      <c r="PR72" s="292"/>
      <c r="PS72" s="292"/>
      <c r="PT72" s="292"/>
      <c r="PU72" s="292"/>
      <c r="PV72" s="292"/>
      <c r="PW72" s="292"/>
      <c r="PX72" s="292"/>
      <c r="PY72" s="292"/>
      <c r="PZ72" s="292"/>
      <c r="QA72" s="292"/>
      <c r="QB72" s="292"/>
      <c r="QC72" s="292"/>
      <c r="QD72" s="292"/>
      <c r="QE72" s="292"/>
      <c r="QF72" s="292"/>
      <c r="QG72" s="292"/>
      <c r="QH72" s="292"/>
      <c r="QI72" s="292"/>
      <c r="QJ72" s="292"/>
      <c r="QK72" s="292"/>
      <c r="QL72" s="292"/>
      <c r="QM72" s="292"/>
      <c r="QN72" s="292"/>
      <c r="QO72" s="292"/>
      <c r="QP72" s="292"/>
      <c r="QQ72" s="292"/>
      <c r="QR72" s="292"/>
      <c r="QS72" s="292"/>
      <c r="QT72" s="292"/>
      <c r="QU72" s="292"/>
      <c r="QV72" s="292"/>
      <c r="QW72" s="292"/>
      <c r="QX72" s="292"/>
      <c r="QY72" s="292"/>
      <c r="QZ72" s="292"/>
      <c r="RA72" s="292"/>
      <c r="RB72" s="292"/>
      <c r="RC72" s="292"/>
      <c r="RD72" s="292"/>
      <c r="RE72" s="292"/>
      <c r="RF72" s="292"/>
      <c r="RG72" s="292"/>
      <c r="RH72" s="292"/>
      <c r="RI72" s="292"/>
      <c r="RJ72" s="292"/>
      <c r="RK72" s="292"/>
      <c r="RL72" s="292"/>
      <c r="RM72" s="292"/>
      <c r="RN72" s="292"/>
      <c r="RO72" s="292"/>
      <c r="RP72" s="292"/>
      <c r="RQ72" s="292"/>
      <c r="RR72" s="292"/>
      <c r="RS72" s="292"/>
      <c r="RT72" s="292"/>
      <c r="RU72" s="292"/>
      <c r="RV72" s="292"/>
      <c r="RW72" s="292"/>
      <c r="RX72" s="292"/>
      <c r="RY72" s="292"/>
      <c r="RZ72" s="292"/>
      <c r="SA72" s="292"/>
      <c r="SB72" s="292"/>
      <c r="SC72" s="292"/>
      <c r="SD72" s="292"/>
      <c r="SE72" s="292"/>
      <c r="SF72" s="292"/>
      <c r="SG72" s="292"/>
      <c r="SH72" s="292"/>
      <c r="SI72" s="292"/>
      <c r="SJ72" s="292"/>
      <c r="SK72" s="292"/>
      <c r="SL72" s="292"/>
      <c r="SM72" s="292"/>
      <c r="SN72" s="292"/>
      <c r="SO72" s="292"/>
      <c r="SP72" s="292"/>
      <c r="SQ72" s="292"/>
      <c r="SR72" s="292"/>
      <c r="SS72" s="292"/>
      <c r="ST72" s="292"/>
      <c r="SU72" s="292"/>
    </row>
    <row r="73" spans="1:515" s="538" customFormat="1" ht="15" customHeight="1" x14ac:dyDescent="0.25">
      <c r="A73" s="986"/>
      <c r="B73" s="984"/>
      <c r="C73" s="984"/>
      <c r="D73" s="957"/>
      <c r="E73" s="981"/>
      <c r="F73" s="981"/>
      <c r="G73" s="981"/>
      <c r="H73" s="957"/>
      <c r="I73" s="981"/>
      <c r="J73" s="981"/>
      <c r="K73" s="981"/>
      <c r="L73" s="957"/>
      <c r="M73" s="981"/>
      <c r="N73" s="981"/>
      <c r="O73" s="981"/>
      <c r="P73" s="957"/>
      <c r="Q73" s="981"/>
      <c r="R73" s="981"/>
      <c r="S73" s="981"/>
      <c r="T73" s="957"/>
      <c r="U73" s="981"/>
      <c r="V73" s="981"/>
      <c r="W73" s="981"/>
      <c r="X73" s="957"/>
      <c r="Y73" s="981"/>
      <c r="Z73" s="981"/>
      <c r="AA73" s="981"/>
      <c r="AB73" s="976"/>
      <c r="AC73" s="1144"/>
      <c r="AD73" s="981"/>
      <c r="AE73" s="971"/>
      <c r="AF73" s="292"/>
      <c r="AG73" s="292"/>
      <c r="AH73" s="292"/>
      <c r="AI73" s="292"/>
      <c r="AJ73" s="292"/>
      <c r="AK73" s="292"/>
      <c r="AL73" s="292"/>
      <c r="AM73" s="292"/>
      <c r="AN73" s="292"/>
      <c r="AO73" s="292"/>
      <c r="AP73" s="292"/>
      <c r="AQ73" s="292"/>
      <c r="AR73" s="292"/>
      <c r="AS73" s="292"/>
      <c r="AT73" s="292"/>
      <c r="AU73" s="292"/>
      <c r="AV73" s="292"/>
      <c r="AW73" s="292"/>
      <c r="AX73" s="292"/>
      <c r="AY73" s="292"/>
      <c r="AZ73" s="292"/>
      <c r="BA73" s="292"/>
      <c r="BB73" s="292"/>
      <c r="BC73" s="292"/>
      <c r="BD73" s="292"/>
      <c r="BE73" s="292"/>
      <c r="BF73" s="292"/>
      <c r="BG73" s="292"/>
      <c r="BH73" s="292"/>
      <c r="BI73" s="292"/>
      <c r="BJ73" s="292"/>
      <c r="BK73" s="292"/>
      <c r="BL73" s="292"/>
      <c r="BM73" s="292"/>
      <c r="BN73" s="292"/>
      <c r="BO73" s="292"/>
      <c r="BP73" s="292"/>
      <c r="BQ73" s="292"/>
      <c r="BR73" s="292"/>
      <c r="BS73" s="292"/>
      <c r="BT73" s="292"/>
      <c r="BU73" s="292"/>
      <c r="BV73" s="292"/>
      <c r="BW73" s="292"/>
      <c r="BX73" s="292"/>
      <c r="BY73" s="292"/>
      <c r="BZ73" s="292"/>
      <c r="CA73" s="292"/>
      <c r="CB73" s="292"/>
      <c r="CC73" s="292"/>
      <c r="CD73" s="292"/>
      <c r="CE73" s="292"/>
      <c r="CF73" s="292"/>
      <c r="CG73" s="292"/>
      <c r="CH73" s="292"/>
      <c r="CI73" s="292"/>
      <c r="CJ73" s="292"/>
      <c r="CK73" s="292"/>
      <c r="CL73" s="292"/>
      <c r="CM73" s="292"/>
      <c r="CN73" s="292"/>
      <c r="CO73" s="292"/>
      <c r="CP73" s="292"/>
      <c r="CQ73" s="292"/>
      <c r="CR73" s="292"/>
      <c r="CS73" s="292"/>
      <c r="CT73" s="292"/>
      <c r="CU73" s="292"/>
      <c r="CV73" s="292"/>
      <c r="CW73" s="292"/>
      <c r="CX73" s="292"/>
      <c r="CY73" s="292"/>
      <c r="CZ73" s="292"/>
      <c r="DA73" s="292"/>
      <c r="DB73" s="292"/>
      <c r="DC73" s="292"/>
      <c r="DD73" s="292"/>
      <c r="DE73" s="292"/>
      <c r="DF73" s="292"/>
      <c r="DG73" s="292"/>
      <c r="DH73" s="292"/>
      <c r="DI73" s="292"/>
      <c r="DJ73" s="292"/>
      <c r="DK73" s="292"/>
      <c r="DL73" s="292"/>
      <c r="DM73" s="292"/>
      <c r="DN73" s="292"/>
      <c r="DO73" s="292"/>
      <c r="DP73" s="292"/>
      <c r="DQ73" s="292"/>
      <c r="DR73" s="292"/>
      <c r="DS73" s="292"/>
      <c r="DT73" s="292"/>
      <c r="DU73" s="292"/>
      <c r="DV73" s="292"/>
      <c r="DW73" s="292"/>
      <c r="DX73" s="292"/>
      <c r="DY73" s="292"/>
      <c r="DZ73" s="292"/>
      <c r="EA73" s="292"/>
      <c r="EB73" s="292"/>
      <c r="EC73" s="292"/>
      <c r="ED73" s="292"/>
      <c r="EE73" s="292"/>
      <c r="EF73" s="292"/>
      <c r="EG73" s="292"/>
      <c r="EH73" s="292"/>
      <c r="EI73" s="292"/>
      <c r="EJ73" s="292"/>
      <c r="EK73" s="292"/>
      <c r="EL73" s="292"/>
      <c r="EM73" s="292"/>
      <c r="EN73" s="292"/>
      <c r="EO73" s="292"/>
      <c r="EP73" s="292"/>
      <c r="EQ73" s="292"/>
      <c r="ER73" s="292"/>
      <c r="ES73" s="292"/>
      <c r="ET73" s="292"/>
      <c r="EU73" s="292"/>
      <c r="EV73" s="292"/>
      <c r="EW73" s="292"/>
      <c r="EX73" s="292"/>
      <c r="EY73" s="292"/>
      <c r="EZ73" s="292"/>
      <c r="FA73" s="292"/>
      <c r="FB73" s="292"/>
      <c r="FC73" s="292"/>
      <c r="FD73" s="292"/>
      <c r="FE73" s="292"/>
      <c r="FF73" s="292"/>
      <c r="FG73" s="292"/>
      <c r="FH73" s="292"/>
      <c r="FI73" s="292"/>
      <c r="FJ73" s="292"/>
      <c r="FK73" s="292"/>
      <c r="FL73" s="292"/>
      <c r="FM73" s="292"/>
      <c r="FN73" s="292"/>
      <c r="FO73" s="292"/>
      <c r="FP73" s="292"/>
      <c r="FQ73" s="292"/>
      <c r="FR73" s="292"/>
      <c r="FS73" s="292"/>
      <c r="FT73" s="292"/>
      <c r="FU73" s="292"/>
      <c r="FV73" s="292"/>
      <c r="FW73" s="292"/>
      <c r="FX73" s="292"/>
      <c r="FY73" s="292"/>
      <c r="FZ73" s="292"/>
      <c r="GA73" s="292"/>
      <c r="GB73" s="292"/>
      <c r="GC73" s="292"/>
      <c r="GD73" s="292"/>
      <c r="GE73" s="292"/>
      <c r="GF73" s="292"/>
      <c r="GG73" s="292"/>
      <c r="GH73" s="292"/>
      <c r="GI73" s="292"/>
      <c r="GJ73" s="292"/>
      <c r="GK73" s="292"/>
      <c r="GL73" s="292"/>
      <c r="GM73" s="292"/>
      <c r="GN73" s="292"/>
      <c r="GO73" s="292"/>
      <c r="GP73" s="292"/>
      <c r="GQ73" s="292"/>
      <c r="GR73" s="292"/>
      <c r="GS73" s="292"/>
      <c r="GT73" s="292"/>
      <c r="GU73" s="292"/>
      <c r="GV73" s="292"/>
      <c r="GW73" s="292"/>
      <c r="GX73" s="292"/>
      <c r="GY73" s="292"/>
      <c r="GZ73" s="292"/>
      <c r="HA73" s="292"/>
      <c r="HB73" s="292"/>
      <c r="HC73" s="292"/>
      <c r="HD73" s="292"/>
      <c r="HE73" s="292"/>
      <c r="HF73" s="292"/>
      <c r="HG73" s="292"/>
      <c r="HH73" s="292"/>
      <c r="HI73" s="292"/>
      <c r="HJ73" s="292"/>
      <c r="HK73" s="292"/>
      <c r="HL73" s="292"/>
      <c r="HM73" s="292"/>
      <c r="HN73" s="292"/>
      <c r="HO73" s="292"/>
      <c r="HP73" s="292"/>
      <c r="HQ73" s="292"/>
      <c r="HR73" s="292"/>
      <c r="HS73" s="292"/>
      <c r="HT73" s="292"/>
      <c r="HU73" s="292"/>
      <c r="HV73" s="292"/>
      <c r="HW73" s="292"/>
      <c r="HX73" s="292"/>
      <c r="HY73" s="292"/>
      <c r="HZ73" s="292"/>
      <c r="IA73" s="292"/>
      <c r="IB73" s="292"/>
      <c r="IC73" s="292"/>
      <c r="ID73" s="292"/>
      <c r="IE73" s="292"/>
      <c r="IF73" s="292"/>
      <c r="IG73" s="292"/>
      <c r="IH73" s="292"/>
      <c r="II73" s="292"/>
      <c r="IJ73" s="292"/>
      <c r="IK73" s="292"/>
      <c r="IL73" s="292"/>
      <c r="IM73" s="292"/>
      <c r="IN73" s="292"/>
      <c r="IO73" s="292"/>
      <c r="IP73" s="292"/>
      <c r="IQ73" s="292"/>
      <c r="IR73" s="292"/>
      <c r="IS73" s="292"/>
      <c r="IT73" s="292"/>
      <c r="IU73" s="292"/>
      <c r="IV73" s="292"/>
      <c r="IW73" s="292"/>
      <c r="IX73" s="292"/>
      <c r="IY73" s="292"/>
      <c r="IZ73" s="292"/>
      <c r="JA73" s="292"/>
      <c r="JB73" s="292"/>
      <c r="JC73" s="292"/>
      <c r="JD73" s="292"/>
      <c r="JE73" s="292"/>
      <c r="JF73" s="292"/>
      <c r="JG73" s="292"/>
      <c r="JH73" s="292"/>
      <c r="JI73" s="292"/>
      <c r="JJ73" s="292"/>
      <c r="JK73" s="292"/>
      <c r="JL73" s="292"/>
      <c r="JM73" s="292"/>
      <c r="JN73" s="292"/>
      <c r="JO73" s="292"/>
      <c r="JP73" s="292"/>
      <c r="JQ73" s="292"/>
      <c r="JR73" s="292"/>
      <c r="JS73" s="292"/>
      <c r="JT73" s="292"/>
      <c r="JU73" s="292"/>
      <c r="JV73" s="292"/>
      <c r="JW73" s="292"/>
      <c r="JX73" s="292"/>
      <c r="JY73" s="292"/>
      <c r="JZ73" s="292"/>
      <c r="KA73" s="292"/>
      <c r="KB73" s="292"/>
      <c r="KC73" s="292"/>
      <c r="KD73" s="292"/>
      <c r="KE73" s="292"/>
      <c r="KF73" s="292"/>
      <c r="KG73" s="292"/>
      <c r="KH73" s="292"/>
      <c r="KI73" s="292"/>
      <c r="KJ73" s="292"/>
      <c r="KK73" s="292"/>
      <c r="KL73" s="292"/>
      <c r="KM73" s="292"/>
      <c r="KN73" s="292"/>
      <c r="KO73" s="292"/>
      <c r="KP73" s="292"/>
      <c r="KQ73" s="292"/>
      <c r="KR73" s="292"/>
      <c r="KS73" s="292"/>
      <c r="KT73" s="292"/>
      <c r="KU73" s="292"/>
      <c r="KV73" s="292"/>
      <c r="KW73" s="292"/>
      <c r="KX73" s="292"/>
      <c r="KY73" s="292"/>
      <c r="KZ73" s="292"/>
      <c r="LA73" s="292"/>
      <c r="LB73" s="292"/>
      <c r="LC73" s="292"/>
      <c r="LD73" s="292"/>
      <c r="LE73" s="292"/>
      <c r="LF73" s="292"/>
      <c r="LG73" s="292"/>
      <c r="LH73" s="292"/>
      <c r="LI73" s="292"/>
      <c r="LJ73" s="292"/>
      <c r="LK73" s="292"/>
      <c r="LL73" s="292"/>
      <c r="LM73" s="292"/>
      <c r="LN73" s="292"/>
      <c r="LO73" s="292"/>
      <c r="LP73" s="292"/>
      <c r="LQ73" s="292"/>
      <c r="LR73" s="292"/>
      <c r="LS73" s="292"/>
      <c r="LT73" s="292"/>
      <c r="LU73" s="292"/>
      <c r="LV73" s="292"/>
      <c r="LW73" s="292"/>
      <c r="LX73" s="292"/>
      <c r="LY73" s="292"/>
      <c r="LZ73" s="292"/>
      <c r="MA73" s="292"/>
      <c r="MB73" s="292"/>
      <c r="MC73" s="292"/>
      <c r="MD73" s="292"/>
      <c r="ME73" s="292"/>
      <c r="MF73" s="292"/>
      <c r="MG73" s="292"/>
      <c r="MH73" s="292"/>
      <c r="MI73" s="292"/>
      <c r="MJ73" s="292"/>
      <c r="MK73" s="292"/>
      <c r="ML73" s="292"/>
      <c r="MM73" s="292"/>
      <c r="MN73" s="292"/>
      <c r="MO73" s="292"/>
      <c r="MP73" s="292"/>
      <c r="MQ73" s="292"/>
      <c r="MR73" s="292"/>
      <c r="MS73" s="292"/>
      <c r="MT73" s="292"/>
      <c r="MU73" s="292"/>
      <c r="MV73" s="292"/>
      <c r="MW73" s="292"/>
      <c r="MX73" s="292"/>
      <c r="MY73" s="292"/>
      <c r="MZ73" s="292"/>
      <c r="NA73" s="292"/>
      <c r="NB73" s="292"/>
      <c r="NC73" s="292"/>
      <c r="ND73" s="292"/>
      <c r="NE73" s="292"/>
      <c r="NF73" s="292"/>
      <c r="NG73" s="292"/>
      <c r="NH73" s="292"/>
      <c r="NI73" s="292"/>
      <c r="NJ73" s="292"/>
      <c r="NK73" s="292"/>
      <c r="NL73" s="292"/>
      <c r="NM73" s="292"/>
      <c r="NN73" s="292"/>
      <c r="NO73" s="292"/>
      <c r="NP73" s="292"/>
      <c r="NQ73" s="292"/>
      <c r="NR73" s="292"/>
      <c r="NS73" s="292"/>
      <c r="NT73" s="292"/>
      <c r="NU73" s="292"/>
      <c r="NV73" s="292"/>
      <c r="NW73" s="292"/>
      <c r="NX73" s="292"/>
      <c r="NY73" s="292"/>
      <c r="NZ73" s="292"/>
      <c r="OA73" s="292"/>
      <c r="OB73" s="292"/>
      <c r="OC73" s="292"/>
      <c r="OD73" s="292"/>
      <c r="OE73" s="292"/>
      <c r="OF73" s="292"/>
      <c r="OG73" s="292"/>
      <c r="OH73" s="292"/>
      <c r="OI73" s="292"/>
      <c r="OJ73" s="292"/>
      <c r="OK73" s="292"/>
      <c r="OL73" s="292"/>
      <c r="OM73" s="292"/>
      <c r="ON73" s="292"/>
      <c r="OO73" s="292"/>
      <c r="OP73" s="292"/>
      <c r="OQ73" s="292"/>
      <c r="OR73" s="292"/>
      <c r="OS73" s="292"/>
      <c r="OT73" s="292"/>
      <c r="OU73" s="292"/>
      <c r="OV73" s="292"/>
      <c r="OW73" s="292"/>
      <c r="OX73" s="292"/>
      <c r="OY73" s="292"/>
      <c r="OZ73" s="292"/>
      <c r="PA73" s="292"/>
      <c r="PB73" s="292"/>
      <c r="PC73" s="292"/>
      <c r="PD73" s="292"/>
      <c r="PE73" s="292"/>
      <c r="PF73" s="292"/>
      <c r="PG73" s="292"/>
      <c r="PH73" s="292"/>
      <c r="PI73" s="292"/>
      <c r="PJ73" s="292"/>
      <c r="PK73" s="292"/>
      <c r="PL73" s="292"/>
      <c r="PM73" s="292"/>
      <c r="PN73" s="292"/>
      <c r="PO73" s="292"/>
      <c r="PP73" s="292"/>
      <c r="PQ73" s="292"/>
      <c r="PR73" s="292"/>
      <c r="PS73" s="292"/>
      <c r="PT73" s="292"/>
      <c r="PU73" s="292"/>
      <c r="PV73" s="292"/>
      <c r="PW73" s="292"/>
      <c r="PX73" s="292"/>
      <c r="PY73" s="292"/>
      <c r="PZ73" s="292"/>
      <c r="QA73" s="292"/>
      <c r="QB73" s="292"/>
      <c r="QC73" s="292"/>
      <c r="QD73" s="292"/>
      <c r="QE73" s="292"/>
      <c r="QF73" s="292"/>
      <c r="QG73" s="292"/>
      <c r="QH73" s="292"/>
      <c r="QI73" s="292"/>
      <c r="QJ73" s="292"/>
      <c r="QK73" s="292"/>
      <c r="QL73" s="292"/>
      <c r="QM73" s="292"/>
      <c r="QN73" s="292"/>
      <c r="QO73" s="292"/>
      <c r="QP73" s="292"/>
      <c r="QQ73" s="292"/>
      <c r="QR73" s="292"/>
      <c r="QS73" s="292"/>
      <c r="QT73" s="292"/>
      <c r="QU73" s="292"/>
      <c r="QV73" s="292"/>
      <c r="QW73" s="292"/>
      <c r="QX73" s="292"/>
      <c r="QY73" s="292"/>
      <c r="QZ73" s="292"/>
      <c r="RA73" s="292"/>
      <c r="RB73" s="292"/>
      <c r="RC73" s="292"/>
      <c r="RD73" s="292"/>
      <c r="RE73" s="292"/>
      <c r="RF73" s="292"/>
      <c r="RG73" s="292"/>
      <c r="RH73" s="292"/>
      <c r="RI73" s="292"/>
      <c r="RJ73" s="292"/>
      <c r="RK73" s="292"/>
      <c r="RL73" s="292"/>
      <c r="RM73" s="292"/>
      <c r="RN73" s="292"/>
      <c r="RO73" s="292"/>
      <c r="RP73" s="292"/>
      <c r="RQ73" s="292"/>
      <c r="RR73" s="292"/>
      <c r="RS73" s="292"/>
      <c r="RT73" s="292"/>
      <c r="RU73" s="292"/>
      <c r="RV73" s="292"/>
      <c r="RW73" s="292"/>
      <c r="RX73" s="292"/>
      <c r="RY73" s="292"/>
      <c r="RZ73" s="292"/>
      <c r="SA73" s="292"/>
      <c r="SB73" s="292"/>
      <c r="SC73" s="292"/>
      <c r="SD73" s="292"/>
      <c r="SE73" s="292"/>
      <c r="SF73" s="292"/>
      <c r="SG73" s="292"/>
      <c r="SH73" s="292"/>
      <c r="SI73" s="292"/>
      <c r="SJ73" s="292"/>
      <c r="SK73" s="292"/>
      <c r="SL73" s="292"/>
      <c r="SM73" s="292"/>
      <c r="SN73" s="292"/>
      <c r="SO73" s="292"/>
      <c r="SP73" s="292"/>
      <c r="SQ73" s="292"/>
      <c r="SR73" s="292"/>
      <c r="SS73" s="292"/>
      <c r="ST73" s="292"/>
      <c r="SU73" s="292"/>
    </row>
    <row r="74" spans="1:515" s="627" customFormat="1" ht="23.15" customHeight="1" x14ac:dyDescent="0.25">
      <c r="A74" s="1353" t="s">
        <v>376</v>
      </c>
      <c r="B74" s="1354"/>
      <c r="C74" s="1354"/>
      <c r="D74" s="957"/>
      <c r="E74" s="1174" t="s">
        <v>15</v>
      </c>
      <c r="F74" s="1174" t="s">
        <v>363</v>
      </c>
      <c r="G74" s="1174" t="s">
        <v>377</v>
      </c>
      <c r="H74" s="957"/>
      <c r="I74" s="1174" t="s">
        <v>15</v>
      </c>
      <c r="J74" s="1174" t="s">
        <v>363</v>
      </c>
      <c r="K74" s="1174" t="s">
        <v>377</v>
      </c>
      <c r="L74" s="957"/>
      <c r="M74" s="1174" t="s">
        <v>15</v>
      </c>
      <c r="N74" s="1174" t="s">
        <v>363</v>
      </c>
      <c r="O74" s="1174" t="s">
        <v>377</v>
      </c>
      <c r="P74" s="957"/>
      <c r="Q74" s="1174" t="s">
        <v>15</v>
      </c>
      <c r="R74" s="1174" t="s">
        <v>363</v>
      </c>
      <c r="S74" s="1174" t="s">
        <v>377</v>
      </c>
      <c r="T74" s="957"/>
      <c r="U74" s="1174" t="s">
        <v>15</v>
      </c>
      <c r="V74" s="1174" t="s">
        <v>363</v>
      </c>
      <c r="W74" s="1174" t="s">
        <v>377</v>
      </c>
      <c r="X74" s="960"/>
      <c r="Y74" s="1174" t="s">
        <v>15</v>
      </c>
      <c r="Z74" s="1174" t="s">
        <v>363</v>
      </c>
      <c r="AA74" s="1174" t="s">
        <v>377</v>
      </c>
      <c r="AB74" s="957"/>
      <c r="AC74" s="957"/>
      <c r="AD74" s="1174" t="s">
        <v>377</v>
      </c>
      <c r="AE74" s="971"/>
      <c r="AF74" s="292"/>
      <c r="AG74" s="292"/>
      <c r="AH74" s="292"/>
      <c r="AI74" s="292"/>
      <c r="AJ74" s="292"/>
      <c r="AK74" s="292"/>
      <c r="AL74" s="292"/>
      <c r="AM74" s="292"/>
      <c r="AN74" s="292"/>
      <c r="AO74" s="292"/>
      <c r="AP74" s="292"/>
      <c r="AQ74" s="292"/>
      <c r="AR74" s="292"/>
      <c r="AS74" s="292"/>
      <c r="AT74" s="292"/>
      <c r="AU74" s="292"/>
      <c r="AV74" s="292"/>
      <c r="AW74" s="292"/>
      <c r="AX74" s="292"/>
      <c r="AY74" s="292"/>
      <c r="AZ74" s="292"/>
      <c r="BA74" s="292"/>
      <c r="BB74" s="292"/>
      <c r="BC74" s="292"/>
      <c r="BD74" s="292"/>
      <c r="BE74" s="292"/>
      <c r="BF74" s="292"/>
      <c r="BG74" s="292"/>
      <c r="BH74" s="292"/>
      <c r="BI74" s="292"/>
      <c r="BJ74" s="292"/>
      <c r="BK74" s="292"/>
      <c r="BL74" s="292"/>
      <c r="BM74" s="292"/>
      <c r="BN74" s="292"/>
      <c r="BO74" s="292"/>
      <c r="BP74" s="292"/>
      <c r="BQ74" s="292"/>
      <c r="BR74" s="292"/>
      <c r="BS74" s="292"/>
      <c r="BT74" s="292"/>
      <c r="BU74" s="292"/>
      <c r="BV74" s="292"/>
      <c r="BW74" s="292"/>
      <c r="BX74" s="292"/>
      <c r="BY74" s="292"/>
      <c r="BZ74" s="292"/>
      <c r="CA74" s="292"/>
      <c r="CB74" s="292"/>
      <c r="CC74" s="292"/>
      <c r="CD74" s="292"/>
      <c r="CE74" s="292"/>
      <c r="CF74" s="292"/>
      <c r="CG74" s="292"/>
      <c r="CH74" s="292"/>
      <c r="CI74" s="292"/>
      <c r="CJ74" s="292"/>
      <c r="CK74" s="292"/>
      <c r="CL74" s="292"/>
      <c r="CM74" s="292"/>
      <c r="CN74" s="292"/>
      <c r="CO74" s="292"/>
      <c r="CP74" s="292"/>
      <c r="CQ74" s="292"/>
      <c r="CR74" s="292"/>
      <c r="CS74" s="292"/>
      <c r="CT74" s="292"/>
      <c r="CU74" s="292"/>
      <c r="CV74" s="292"/>
      <c r="CW74" s="292"/>
      <c r="CX74" s="292"/>
      <c r="CY74" s="292"/>
      <c r="CZ74" s="292"/>
      <c r="DA74" s="292"/>
      <c r="DB74" s="292"/>
      <c r="DC74" s="292"/>
      <c r="DD74" s="292"/>
      <c r="DE74" s="292"/>
      <c r="DF74" s="292"/>
      <c r="DG74" s="292"/>
      <c r="DH74" s="292"/>
      <c r="DI74" s="292"/>
      <c r="DJ74" s="292"/>
      <c r="DK74" s="292"/>
      <c r="DL74" s="292"/>
      <c r="DM74" s="292"/>
      <c r="DN74" s="292"/>
      <c r="DO74" s="292"/>
      <c r="DP74" s="292"/>
      <c r="DQ74" s="292"/>
      <c r="DR74" s="292"/>
      <c r="DS74" s="292"/>
      <c r="DT74" s="292"/>
      <c r="DU74" s="292"/>
      <c r="DV74" s="292"/>
      <c r="DW74" s="292"/>
      <c r="DX74" s="292"/>
      <c r="DY74" s="292"/>
      <c r="DZ74" s="292"/>
      <c r="EA74" s="292"/>
      <c r="EB74" s="292"/>
      <c r="EC74" s="292"/>
      <c r="ED74" s="292"/>
      <c r="EE74" s="292"/>
      <c r="EF74" s="292"/>
      <c r="EG74" s="292"/>
      <c r="EH74" s="292"/>
      <c r="EI74" s="292"/>
      <c r="EJ74" s="292"/>
      <c r="EK74" s="292"/>
      <c r="EL74" s="292"/>
      <c r="EM74" s="292"/>
      <c r="EN74" s="292"/>
      <c r="EO74" s="292"/>
      <c r="EP74" s="292"/>
      <c r="EQ74" s="292"/>
      <c r="ER74" s="292"/>
      <c r="ES74" s="292"/>
      <c r="ET74" s="292"/>
      <c r="EU74" s="292"/>
      <c r="EV74" s="292"/>
      <c r="EW74" s="292"/>
      <c r="EX74" s="292"/>
      <c r="EY74" s="292"/>
      <c r="EZ74" s="292"/>
      <c r="FA74" s="292"/>
      <c r="FB74" s="292"/>
      <c r="FC74" s="292"/>
      <c r="FD74" s="292"/>
      <c r="FE74" s="292"/>
      <c r="FF74" s="292"/>
      <c r="FG74" s="292"/>
      <c r="FH74" s="292"/>
      <c r="FI74" s="292"/>
      <c r="FJ74" s="292"/>
      <c r="FK74" s="292"/>
      <c r="FL74" s="292"/>
      <c r="FM74" s="292"/>
      <c r="FN74" s="292"/>
      <c r="FO74" s="292"/>
      <c r="FP74" s="292"/>
      <c r="FQ74" s="292"/>
      <c r="FR74" s="292"/>
      <c r="FS74" s="292"/>
      <c r="FT74" s="292"/>
      <c r="FU74" s="292"/>
      <c r="FV74" s="292"/>
      <c r="FW74" s="292"/>
      <c r="FX74" s="292"/>
      <c r="FY74" s="292"/>
      <c r="FZ74" s="292"/>
      <c r="GA74" s="292"/>
      <c r="GB74" s="292"/>
      <c r="GC74" s="292"/>
      <c r="GD74" s="292"/>
      <c r="GE74" s="292"/>
      <c r="GF74" s="292"/>
      <c r="GG74" s="292"/>
      <c r="GH74" s="292"/>
      <c r="GI74" s="292"/>
      <c r="GJ74" s="292"/>
      <c r="GK74" s="292"/>
      <c r="GL74" s="292"/>
      <c r="GM74" s="292"/>
      <c r="GN74" s="292"/>
      <c r="GO74" s="292"/>
      <c r="GP74" s="292"/>
      <c r="GQ74" s="292"/>
      <c r="GR74" s="292"/>
      <c r="GS74" s="292"/>
      <c r="GT74" s="292"/>
      <c r="GU74" s="292"/>
      <c r="GV74" s="292"/>
      <c r="GW74" s="292"/>
      <c r="GX74" s="292"/>
      <c r="GY74" s="292"/>
      <c r="GZ74" s="292"/>
      <c r="HA74" s="292"/>
      <c r="HB74" s="292"/>
      <c r="HC74" s="292"/>
      <c r="HD74" s="292"/>
      <c r="HE74" s="292"/>
      <c r="HF74" s="292"/>
      <c r="HG74" s="292"/>
      <c r="HH74" s="292"/>
      <c r="HI74" s="292"/>
      <c r="HJ74" s="292"/>
      <c r="HK74" s="292"/>
      <c r="HL74" s="292"/>
      <c r="HM74" s="292"/>
      <c r="HN74" s="292"/>
      <c r="HO74" s="292"/>
      <c r="HP74" s="292"/>
      <c r="HQ74" s="292"/>
      <c r="HR74" s="292"/>
      <c r="HS74" s="292"/>
      <c r="HT74" s="292"/>
      <c r="HU74" s="292"/>
      <c r="HV74" s="292"/>
      <c r="HW74" s="292"/>
      <c r="HX74" s="292"/>
      <c r="HY74" s="292"/>
      <c r="HZ74" s="292"/>
      <c r="IA74" s="292"/>
      <c r="IB74" s="292"/>
      <c r="IC74" s="292"/>
      <c r="ID74" s="292"/>
      <c r="IE74" s="292"/>
      <c r="IF74" s="292"/>
      <c r="IG74" s="292"/>
      <c r="IH74" s="292"/>
      <c r="II74" s="292"/>
      <c r="IJ74" s="292"/>
      <c r="IK74" s="292"/>
      <c r="IL74" s="292"/>
      <c r="IM74" s="292"/>
      <c r="IN74" s="292"/>
      <c r="IO74" s="292"/>
      <c r="IP74" s="292"/>
      <c r="IQ74" s="292"/>
      <c r="IR74" s="292"/>
      <c r="IS74" s="292"/>
      <c r="IT74" s="292"/>
      <c r="IU74" s="292"/>
      <c r="IV74" s="292"/>
      <c r="IW74" s="292"/>
      <c r="IX74" s="292"/>
      <c r="IY74" s="292"/>
      <c r="IZ74" s="292"/>
      <c r="JA74" s="292"/>
      <c r="JB74" s="292"/>
      <c r="JC74" s="292"/>
      <c r="JD74" s="292"/>
      <c r="JE74" s="292"/>
      <c r="JF74" s="292"/>
      <c r="JG74" s="292"/>
      <c r="JH74" s="292"/>
      <c r="JI74" s="292"/>
      <c r="JJ74" s="292"/>
      <c r="JK74" s="292"/>
      <c r="JL74" s="292"/>
      <c r="JM74" s="292"/>
      <c r="JN74" s="292"/>
      <c r="JO74" s="292"/>
      <c r="JP74" s="292"/>
      <c r="JQ74" s="292"/>
      <c r="JR74" s="292"/>
      <c r="JS74" s="292"/>
      <c r="JT74" s="292"/>
      <c r="JU74" s="292"/>
      <c r="JV74" s="292"/>
      <c r="JW74" s="292"/>
      <c r="JX74" s="292"/>
      <c r="JY74" s="292"/>
      <c r="JZ74" s="292"/>
      <c r="KA74" s="292"/>
      <c r="KB74" s="292"/>
      <c r="KC74" s="292"/>
      <c r="KD74" s="292"/>
      <c r="KE74" s="292"/>
      <c r="KF74" s="292"/>
      <c r="KG74" s="292"/>
      <c r="KH74" s="292"/>
      <c r="KI74" s="292"/>
      <c r="KJ74" s="292"/>
      <c r="KK74" s="292"/>
      <c r="KL74" s="292"/>
      <c r="KM74" s="292"/>
      <c r="KN74" s="292"/>
      <c r="KO74" s="292"/>
      <c r="KP74" s="292"/>
      <c r="KQ74" s="292"/>
      <c r="KR74" s="292"/>
      <c r="KS74" s="292"/>
      <c r="KT74" s="292"/>
      <c r="KU74" s="292"/>
      <c r="KV74" s="292"/>
      <c r="KW74" s="292"/>
      <c r="KX74" s="292"/>
      <c r="KY74" s="292"/>
      <c r="KZ74" s="292"/>
      <c r="LA74" s="292"/>
      <c r="LB74" s="292"/>
      <c r="LC74" s="292"/>
      <c r="LD74" s="292"/>
      <c r="LE74" s="292"/>
      <c r="LF74" s="292"/>
      <c r="LG74" s="292"/>
      <c r="LH74" s="292"/>
      <c r="LI74" s="292"/>
      <c r="LJ74" s="292"/>
      <c r="LK74" s="292"/>
      <c r="LL74" s="292"/>
      <c r="LM74" s="292"/>
      <c r="LN74" s="292"/>
      <c r="LO74" s="292"/>
      <c r="LP74" s="292"/>
      <c r="LQ74" s="292"/>
      <c r="LR74" s="292"/>
      <c r="LS74" s="292"/>
      <c r="LT74" s="292"/>
      <c r="LU74" s="292"/>
      <c r="LV74" s="292"/>
      <c r="LW74" s="292"/>
      <c r="LX74" s="292"/>
      <c r="LY74" s="292"/>
      <c r="LZ74" s="292"/>
      <c r="MA74" s="292"/>
      <c r="MB74" s="292"/>
      <c r="MC74" s="292"/>
      <c r="MD74" s="292"/>
      <c r="ME74" s="292"/>
      <c r="MF74" s="292"/>
      <c r="MG74" s="292"/>
      <c r="MH74" s="292"/>
      <c r="MI74" s="292"/>
      <c r="MJ74" s="292"/>
      <c r="MK74" s="292"/>
      <c r="ML74" s="292"/>
      <c r="MM74" s="292"/>
      <c r="MN74" s="292"/>
      <c r="MO74" s="292"/>
      <c r="MP74" s="292"/>
      <c r="MQ74" s="292"/>
      <c r="MR74" s="292"/>
      <c r="MS74" s="292"/>
      <c r="MT74" s="292"/>
      <c r="MU74" s="292"/>
      <c r="MV74" s="292"/>
      <c r="MW74" s="292"/>
      <c r="MX74" s="292"/>
      <c r="MY74" s="292"/>
      <c r="MZ74" s="292"/>
      <c r="NA74" s="292"/>
      <c r="NB74" s="292"/>
      <c r="NC74" s="292"/>
      <c r="ND74" s="292"/>
      <c r="NE74" s="292"/>
      <c r="NF74" s="292"/>
      <c r="NG74" s="292"/>
      <c r="NH74" s="292"/>
      <c r="NI74" s="292"/>
      <c r="NJ74" s="292"/>
      <c r="NK74" s="292"/>
      <c r="NL74" s="292"/>
      <c r="NM74" s="292"/>
      <c r="NN74" s="292"/>
      <c r="NO74" s="292"/>
      <c r="NP74" s="292"/>
      <c r="NQ74" s="292"/>
      <c r="NR74" s="292"/>
      <c r="NS74" s="292"/>
      <c r="NT74" s="292"/>
      <c r="NU74" s="292"/>
      <c r="NV74" s="292"/>
      <c r="NW74" s="292"/>
      <c r="NX74" s="292"/>
      <c r="NY74" s="292"/>
      <c r="NZ74" s="292"/>
      <c r="OA74" s="292"/>
      <c r="OB74" s="292"/>
      <c r="OC74" s="292"/>
      <c r="OD74" s="292"/>
      <c r="OE74" s="292"/>
      <c r="OF74" s="292"/>
      <c r="OG74" s="292"/>
      <c r="OH74" s="292"/>
      <c r="OI74" s="292"/>
      <c r="OJ74" s="292"/>
      <c r="OK74" s="292"/>
      <c r="OL74" s="292"/>
      <c r="OM74" s="292"/>
      <c r="ON74" s="292"/>
      <c r="OO74" s="292"/>
      <c r="OP74" s="292"/>
      <c r="OQ74" s="292"/>
      <c r="OR74" s="292"/>
      <c r="OS74" s="292"/>
      <c r="OT74" s="292"/>
      <c r="OU74" s="292"/>
      <c r="OV74" s="292"/>
      <c r="OW74" s="292"/>
      <c r="OX74" s="292"/>
      <c r="OY74" s="292"/>
      <c r="OZ74" s="292"/>
      <c r="PA74" s="292"/>
      <c r="PB74" s="292"/>
      <c r="PC74" s="292"/>
      <c r="PD74" s="292"/>
      <c r="PE74" s="292"/>
      <c r="PF74" s="292"/>
      <c r="PG74" s="292"/>
      <c r="PH74" s="292"/>
      <c r="PI74" s="292"/>
      <c r="PJ74" s="292"/>
      <c r="PK74" s="292"/>
      <c r="PL74" s="292"/>
      <c r="PM74" s="292"/>
      <c r="PN74" s="292"/>
      <c r="PO74" s="292"/>
      <c r="PP74" s="292"/>
      <c r="PQ74" s="292"/>
      <c r="PR74" s="292"/>
      <c r="PS74" s="292"/>
      <c r="PT74" s="292"/>
      <c r="PU74" s="292"/>
      <c r="PV74" s="292"/>
      <c r="PW74" s="292"/>
      <c r="PX74" s="292"/>
      <c r="PY74" s="292"/>
      <c r="PZ74" s="292"/>
      <c r="QA74" s="292"/>
      <c r="QB74" s="292"/>
      <c r="QC74" s="292"/>
      <c r="QD74" s="292"/>
      <c r="QE74" s="292"/>
      <c r="QF74" s="292"/>
      <c r="QG74" s="292"/>
      <c r="QH74" s="292"/>
      <c r="QI74" s="292"/>
      <c r="QJ74" s="292"/>
      <c r="QK74" s="292"/>
      <c r="QL74" s="292"/>
      <c r="QM74" s="292"/>
      <c r="QN74" s="292"/>
      <c r="QO74" s="292"/>
      <c r="QP74" s="292"/>
      <c r="QQ74" s="292"/>
      <c r="QR74" s="292"/>
      <c r="QS74" s="292"/>
      <c r="QT74" s="292"/>
      <c r="QU74" s="292"/>
      <c r="QV74" s="292"/>
      <c r="QW74" s="292"/>
      <c r="QX74" s="292"/>
      <c r="QY74" s="292"/>
      <c r="QZ74" s="292"/>
      <c r="RA74" s="292"/>
      <c r="RB74" s="292"/>
      <c r="RC74" s="292"/>
      <c r="RD74" s="292"/>
      <c r="RE74" s="292"/>
      <c r="RF74" s="292"/>
      <c r="RG74" s="292"/>
      <c r="RH74" s="292"/>
      <c r="RI74" s="292"/>
      <c r="RJ74" s="292"/>
      <c r="RK74" s="292"/>
      <c r="RL74" s="292"/>
      <c r="RM74" s="292"/>
      <c r="RN74" s="292"/>
      <c r="RO74" s="292"/>
      <c r="RP74" s="292"/>
      <c r="RQ74" s="292"/>
      <c r="RR74" s="292"/>
      <c r="RS74" s="292"/>
      <c r="RT74" s="292"/>
      <c r="RU74" s="292"/>
      <c r="RV74" s="292"/>
      <c r="RW74" s="292"/>
      <c r="RX74" s="292"/>
      <c r="RY74" s="292"/>
      <c r="RZ74" s="292"/>
      <c r="SA74" s="292"/>
      <c r="SB74" s="292"/>
      <c r="SC74" s="292"/>
      <c r="SD74" s="292"/>
      <c r="SE74" s="292"/>
      <c r="SF74" s="292"/>
      <c r="SG74" s="292"/>
      <c r="SH74" s="292"/>
      <c r="SI74" s="292"/>
      <c r="SJ74" s="292"/>
      <c r="SK74" s="292"/>
      <c r="SL74" s="292"/>
      <c r="SM74" s="292"/>
      <c r="SN74" s="292"/>
      <c r="SO74" s="292"/>
      <c r="SP74" s="292"/>
      <c r="SQ74" s="292"/>
      <c r="SR74" s="292"/>
      <c r="SS74" s="292"/>
      <c r="ST74" s="292"/>
      <c r="SU74" s="292"/>
    </row>
    <row r="75" spans="1:515" ht="15" customHeight="1" x14ac:dyDescent="0.25">
      <c r="A75" s="1349" t="s">
        <v>378</v>
      </c>
      <c r="B75" s="1350"/>
      <c r="C75" s="1350"/>
      <c r="D75" s="957"/>
      <c r="E75" s="622">
        <v>0</v>
      </c>
      <c r="F75" s="626">
        <v>0</v>
      </c>
      <c r="G75" s="1003">
        <f>E75*F75</f>
        <v>0</v>
      </c>
      <c r="H75" s="957"/>
      <c r="I75" s="622">
        <v>0</v>
      </c>
      <c r="J75" s="626">
        <v>0</v>
      </c>
      <c r="K75" s="1003">
        <f>I75*J75</f>
        <v>0</v>
      </c>
      <c r="L75" s="957"/>
      <c r="M75" s="622">
        <v>0</v>
      </c>
      <c r="N75" s="626">
        <v>0</v>
      </c>
      <c r="O75" s="1003">
        <f>M75*N75</f>
        <v>0</v>
      </c>
      <c r="P75" s="957"/>
      <c r="Q75" s="622">
        <v>0</v>
      </c>
      <c r="R75" s="626">
        <v>0.01</v>
      </c>
      <c r="S75" s="1003">
        <f>Q75*R75</f>
        <v>0</v>
      </c>
      <c r="T75" s="957"/>
      <c r="U75" s="622">
        <v>0</v>
      </c>
      <c r="V75" s="626">
        <v>0</v>
      </c>
      <c r="W75" s="1003">
        <f>U75*V75</f>
        <v>0</v>
      </c>
      <c r="X75" s="960"/>
      <c r="Y75" s="622">
        <v>0</v>
      </c>
      <c r="Z75" s="626">
        <v>0</v>
      </c>
      <c r="AA75" s="1003">
        <f>Y75*Z75</f>
        <v>0</v>
      </c>
      <c r="AB75" s="975"/>
      <c r="AC75" s="957"/>
      <c r="AD75" s="1003">
        <f>G75+K75+O75+S75+W75+AA75</f>
        <v>0</v>
      </c>
      <c r="AE75" s="971"/>
    </row>
    <row r="76" spans="1:515" ht="15" customHeight="1" x14ac:dyDescent="0.25">
      <c r="A76" s="1351" t="s">
        <v>379</v>
      </c>
      <c r="B76" s="1352"/>
      <c r="C76" s="1352"/>
      <c r="D76" s="957"/>
      <c r="E76" s="622">
        <v>0</v>
      </c>
      <c r="F76" s="626">
        <v>0</v>
      </c>
      <c r="G76" s="1003">
        <f>E76*F76</f>
        <v>0</v>
      </c>
      <c r="H76" s="957"/>
      <c r="I76" s="622">
        <v>0</v>
      </c>
      <c r="J76" s="626">
        <v>0</v>
      </c>
      <c r="K76" s="1003">
        <f>I76*J76</f>
        <v>0</v>
      </c>
      <c r="L76" s="957"/>
      <c r="M76" s="622">
        <v>0</v>
      </c>
      <c r="N76" s="626">
        <v>0</v>
      </c>
      <c r="O76" s="1003">
        <f>M76*N76</f>
        <v>0</v>
      </c>
      <c r="P76" s="957"/>
      <c r="Q76" s="622">
        <v>0</v>
      </c>
      <c r="R76" s="626">
        <v>0.01</v>
      </c>
      <c r="S76" s="1003">
        <f>Q76*R76</f>
        <v>0</v>
      </c>
      <c r="T76" s="957"/>
      <c r="U76" s="622">
        <v>0</v>
      </c>
      <c r="V76" s="626">
        <v>0</v>
      </c>
      <c r="W76" s="1003">
        <f>U76*V76</f>
        <v>0</v>
      </c>
      <c r="X76" s="960"/>
      <c r="Y76" s="622">
        <v>0</v>
      </c>
      <c r="Z76" s="626">
        <v>0</v>
      </c>
      <c r="AA76" s="1003">
        <f>Y76*Z76</f>
        <v>0</v>
      </c>
      <c r="AB76" s="975"/>
      <c r="AC76" s="957"/>
      <c r="AD76" s="1003">
        <f>G76+K76+O76+S76+W76+AA76</f>
        <v>0</v>
      </c>
      <c r="AE76" s="971"/>
    </row>
    <row r="77" spans="1:515" s="627" customFormat="1" ht="23.15" customHeight="1" x14ac:dyDescent="0.25">
      <c r="A77" s="1325" t="s">
        <v>380</v>
      </c>
      <c r="B77" s="1326"/>
      <c r="C77" s="1326"/>
      <c r="D77" s="957"/>
      <c r="E77" s="957"/>
      <c r="F77" s="992"/>
      <c r="G77" s="793">
        <f>SUM(G74:G76)</f>
        <v>0</v>
      </c>
      <c r="H77" s="957"/>
      <c r="I77" s="990"/>
      <c r="J77" s="991"/>
      <c r="K77" s="793">
        <f>SUM(K75:K76)</f>
        <v>0</v>
      </c>
      <c r="L77" s="957"/>
      <c r="M77" s="960"/>
      <c r="N77" s="993"/>
      <c r="O77" s="793">
        <f>SUM(O75:O76)</f>
        <v>0</v>
      </c>
      <c r="P77" s="957"/>
      <c r="Q77" s="957"/>
      <c r="R77" s="957"/>
      <c r="S77" s="793">
        <f>SUM(S75:S76)</f>
        <v>0</v>
      </c>
      <c r="T77" s="957"/>
      <c r="U77" s="1295"/>
      <c r="V77" s="1295"/>
      <c r="W77" s="793">
        <f>SUM(W75:W76)</f>
        <v>0</v>
      </c>
      <c r="X77" s="960"/>
      <c r="Y77" s="1304"/>
      <c r="Z77" s="1304"/>
      <c r="AA77" s="793">
        <f>SUM(AA75:AA76)</f>
        <v>0</v>
      </c>
      <c r="AB77" s="976"/>
      <c r="AC77" s="957"/>
      <c r="AD77" s="793">
        <f>G77+K77+O77+S77+W77+AA77</f>
        <v>0</v>
      </c>
      <c r="AE77" s="971"/>
      <c r="AF77" s="292"/>
      <c r="AG77" s="292"/>
      <c r="AH77" s="292"/>
      <c r="AI77" s="292"/>
      <c r="AJ77" s="292"/>
      <c r="AK77" s="292"/>
      <c r="AL77" s="292"/>
      <c r="AM77" s="292"/>
      <c r="AN77" s="292"/>
      <c r="AO77" s="292"/>
      <c r="AP77" s="292"/>
      <c r="AQ77" s="292"/>
      <c r="AR77" s="292"/>
      <c r="AS77" s="292"/>
      <c r="AT77" s="292"/>
      <c r="AU77" s="292"/>
      <c r="AV77" s="292"/>
      <c r="AW77" s="292"/>
      <c r="AX77" s="292"/>
      <c r="AY77" s="292"/>
      <c r="AZ77" s="292"/>
      <c r="BA77" s="292"/>
      <c r="BB77" s="292"/>
      <c r="BC77" s="292"/>
      <c r="BD77" s="292"/>
      <c r="BE77" s="292"/>
      <c r="BF77" s="292"/>
      <c r="BG77" s="292"/>
      <c r="BH77" s="292"/>
      <c r="BI77" s="292"/>
      <c r="BJ77" s="292"/>
      <c r="BK77" s="292"/>
      <c r="BL77" s="292"/>
      <c r="BM77" s="292"/>
      <c r="BN77" s="292"/>
      <c r="BO77" s="292"/>
      <c r="BP77" s="292"/>
      <c r="BQ77" s="292"/>
      <c r="BR77" s="292"/>
      <c r="BS77" s="292"/>
      <c r="BT77" s="292"/>
      <c r="BU77" s="292"/>
      <c r="BV77" s="292"/>
      <c r="BW77" s="292"/>
      <c r="BX77" s="292"/>
      <c r="BY77" s="292"/>
      <c r="BZ77" s="292"/>
      <c r="CA77" s="292"/>
      <c r="CB77" s="292"/>
      <c r="CC77" s="292"/>
      <c r="CD77" s="292"/>
      <c r="CE77" s="292"/>
      <c r="CF77" s="292"/>
      <c r="CG77" s="292"/>
      <c r="CH77" s="292"/>
      <c r="CI77" s="292"/>
      <c r="CJ77" s="292"/>
      <c r="CK77" s="292"/>
      <c r="CL77" s="292"/>
      <c r="CM77" s="292"/>
      <c r="CN77" s="292"/>
      <c r="CO77" s="292"/>
      <c r="CP77" s="292"/>
      <c r="CQ77" s="292"/>
      <c r="CR77" s="292"/>
      <c r="CS77" s="292"/>
      <c r="CT77" s="292"/>
      <c r="CU77" s="292"/>
      <c r="CV77" s="292"/>
      <c r="CW77" s="292"/>
      <c r="CX77" s="292"/>
      <c r="CY77" s="292"/>
      <c r="CZ77" s="292"/>
      <c r="DA77" s="292"/>
      <c r="DB77" s="292"/>
      <c r="DC77" s="292"/>
      <c r="DD77" s="292"/>
      <c r="DE77" s="292"/>
      <c r="DF77" s="292"/>
      <c r="DG77" s="292"/>
      <c r="DH77" s="292"/>
      <c r="DI77" s="292"/>
      <c r="DJ77" s="292"/>
      <c r="DK77" s="292"/>
      <c r="DL77" s="292"/>
      <c r="DM77" s="292"/>
      <c r="DN77" s="292"/>
      <c r="DO77" s="292"/>
      <c r="DP77" s="292"/>
      <c r="DQ77" s="292"/>
      <c r="DR77" s="292"/>
      <c r="DS77" s="292"/>
      <c r="DT77" s="292"/>
      <c r="DU77" s="292"/>
      <c r="DV77" s="292"/>
      <c r="DW77" s="292"/>
      <c r="DX77" s="292"/>
      <c r="DY77" s="292"/>
      <c r="DZ77" s="292"/>
      <c r="EA77" s="292"/>
      <c r="EB77" s="292"/>
      <c r="EC77" s="292"/>
      <c r="ED77" s="292"/>
      <c r="EE77" s="292"/>
      <c r="EF77" s="292"/>
      <c r="EG77" s="292"/>
      <c r="EH77" s="292"/>
      <c r="EI77" s="292"/>
      <c r="EJ77" s="292"/>
      <c r="EK77" s="292"/>
      <c r="EL77" s="292"/>
      <c r="EM77" s="292"/>
      <c r="EN77" s="292"/>
      <c r="EO77" s="292"/>
      <c r="EP77" s="292"/>
      <c r="EQ77" s="292"/>
      <c r="ER77" s="292"/>
      <c r="ES77" s="292"/>
      <c r="ET77" s="292"/>
      <c r="EU77" s="292"/>
      <c r="EV77" s="292"/>
      <c r="EW77" s="292"/>
      <c r="EX77" s="292"/>
      <c r="EY77" s="292"/>
      <c r="EZ77" s="292"/>
      <c r="FA77" s="292"/>
      <c r="FB77" s="292"/>
      <c r="FC77" s="292"/>
      <c r="FD77" s="292"/>
      <c r="FE77" s="292"/>
      <c r="FF77" s="292"/>
      <c r="FG77" s="292"/>
      <c r="FH77" s="292"/>
      <c r="FI77" s="292"/>
      <c r="FJ77" s="292"/>
      <c r="FK77" s="292"/>
      <c r="FL77" s="292"/>
      <c r="FM77" s="292"/>
      <c r="FN77" s="292"/>
      <c r="FO77" s="292"/>
      <c r="FP77" s="292"/>
      <c r="FQ77" s="292"/>
      <c r="FR77" s="292"/>
      <c r="FS77" s="292"/>
      <c r="FT77" s="292"/>
      <c r="FU77" s="292"/>
      <c r="FV77" s="292"/>
      <c r="FW77" s="292"/>
      <c r="FX77" s="292"/>
      <c r="FY77" s="292"/>
      <c r="FZ77" s="292"/>
      <c r="GA77" s="292"/>
      <c r="GB77" s="292"/>
      <c r="GC77" s="292"/>
      <c r="GD77" s="292"/>
      <c r="GE77" s="292"/>
      <c r="GF77" s="292"/>
      <c r="GG77" s="292"/>
      <c r="GH77" s="292"/>
      <c r="GI77" s="292"/>
      <c r="GJ77" s="292"/>
      <c r="GK77" s="292"/>
      <c r="GL77" s="292"/>
      <c r="GM77" s="292"/>
      <c r="GN77" s="292"/>
      <c r="GO77" s="292"/>
      <c r="GP77" s="292"/>
      <c r="GQ77" s="292"/>
      <c r="GR77" s="292"/>
      <c r="GS77" s="292"/>
      <c r="GT77" s="292"/>
      <c r="GU77" s="292"/>
      <c r="GV77" s="292"/>
      <c r="GW77" s="292"/>
      <c r="GX77" s="292"/>
      <c r="GY77" s="292"/>
      <c r="GZ77" s="292"/>
      <c r="HA77" s="292"/>
      <c r="HB77" s="292"/>
      <c r="HC77" s="292"/>
      <c r="HD77" s="292"/>
      <c r="HE77" s="292"/>
      <c r="HF77" s="292"/>
      <c r="HG77" s="292"/>
      <c r="HH77" s="292"/>
      <c r="HI77" s="292"/>
      <c r="HJ77" s="292"/>
      <c r="HK77" s="292"/>
      <c r="HL77" s="292"/>
      <c r="HM77" s="292"/>
      <c r="HN77" s="292"/>
      <c r="HO77" s="292"/>
      <c r="HP77" s="292"/>
      <c r="HQ77" s="292"/>
      <c r="HR77" s="292"/>
      <c r="HS77" s="292"/>
      <c r="HT77" s="292"/>
      <c r="HU77" s="292"/>
      <c r="HV77" s="292"/>
      <c r="HW77" s="292"/>
      <c r="HX77" s="292"/>
      <c r="HY77" s="292"/>
      <c r="HZ77" s="292"/>
      <c r="IA77" s="292"/>
      <c r="IB77" s="292"/>
      <c r="IC77" s="292"/>
      <c r="ID77" s="292"/>
      <c r="IE77" s="292"/>
      <c r="IF77" s="292"/>
      <c r="IG77" s="292"/>
      <c r="IH77" s="292"/>
      <c r="II77" s="292"/>
      <c r="IJ77" s="292"/>
      <c r="IK77" s="292"/>
      <c r="IL77" s="292"/>
      <c r="IM77" s="292"/>
      <c r="IN77" s="292"/>
      <c r="IO77" s="292"/>
      <c r="IP77" s="292"/>
      <c r="IQ77" s="292"/>
      <c r="IR77" s="292"/>
      <c r="IS77" s="292"/>
      <c r="IT77" s="292"/>
      <c r="IU77" s="292"/>
      <c r="IV77" s="292"/>
      <c r="IW77" s="292"/>
      <c r="IX77" s="292"/>
      <c r="IY77" s="292"/>
      <c r="IZ77" s="292"/>
      <c r="JA77" s="292"/>
      <c r="JB77" s="292"/>
      <c r="JC77" s="292"/>
      <c r="JD77" s="292"/>
      <c r="JE77" s="292"/>
      <c r="JF77" s="292"/>
      <c r="JG77" s="292"/>
      <c r="JH77" s="292"/>
      <c r="JI77" s="292"/>
      <c r="JJ77" s="292"/>
      <c r="JK77" s="292"/>
      <c r="JL77" s="292"/>
      <c r="JM77" s="292"/>
      <c r="JN77" s="292"/>
      <c r="JO77" s="292"/>
      <c r="JP77" s="292"/>
      <c r="JQ77" s="292"/>
      <c r="JR77" s="292"/>
      <c r="JS77" s="292"/>
      <c r="JT77" s="292"/>
      <c r="JU77" s="292"/>
      <c r="JV77" s="292"/>
      <c r="JW77" s="292"/>
      <c r="JX77" s="292"/>
      <c r="JY77" s="292"/>
      <c r="JZ77" s="292"/>
      <c r="KA77" s="292"/>
      <c r="KB77" s="292"/>
      <c r="KC77" s="292"/>
      <c r="KD77" s="292"/>
      <c r="KE77" s="292"/>
      <c r="KF77" s="292"/>
      <c r="KG77" s="292"/>
      <c r="KH77" s="292"/>
      <c r="KI77" s="292"/>
      <c r="KJ77" s="292"/>
      <c r="KK77" s="292"/>
      <c r="KL77" s="292"/>
      <c r="KM77" s="292"/>
      <c r="KN77" s="292"/>
      <c r="KO77" s="292"/>
      <c r="KP77" s="292"/>
      <c r="KQ77" s="292"/>
      <c r="KR77" s="292"/>
      <c r="KS77" s="292"/>
      <c r="KT77" s="292"/>
      <c r="KU77" s="292"/>
      <c r="KV77" s="292"/>
      <c r="KW77" s="292"/>
      <c r="KX77" s="292"/>
      <c r="KY77" s="292"/>
      <c r="KZ77" s="292"/>
      <c r="LA77" s="292"/>
      <c r="LB77" s="292"/>
      <c r="LC77" s="292"/>
      <c r="LD77" s="292"/>
      <c r="LE77" s="292"/>
      <c r="LF77" s="292"/>
      <c r="LG77" s="292"/>
      <c r="LH77" s="292"/>
      <c r="LI77" s="292"/>
      <c r="LJ77" s="292"/>
      <c r="LK77" s="292"/>
      <c r="LL77" s="292"/>
      <c r="LM77" s="292"/>
      <c r="LN77" s="292"/>
      <c r="LO77" s="292"/>
      <c r="LP77" s="292"/>
      <c r="LQ77" s="292"/>
      <c r="LR77" s="292"/>
      <c r="LS77" s="292"/>
      <c r="LT77" s="292"/>
      <c r="LU77" s="292"/>
      <c r="LV77" s="292"/>
      <c r="LW77" s="292"/>
      <c r="LX77" s="292"/>
      <c r="LY77" s="292"/>
      <c r="LZ77" s="292"/>
      <c r="MA77" s="292"/>
      <c r="MB77" s="292"/>
      <c r="MC77" s="292"/>
      <c r="MD77" s="292"/>
      <c r="ME77" s="292"/>
      <c r="MF77" s="292"/>
      <c r="MG77" s="292"/>
      <c r="MH77" s="292"/>
      <c r="MI77" s="292"/>
      <c r="MJ77" s="292"/>
      <c r="MK77" s="292"/>
      <c r="ML77" s="292"/>
      <c r="MM77" s="292"/>
      <c r="MN77" s="292"/>
      <c r="MO77" s="292"/>
      <c r="MP77" s="292"/>
      <c r="MQ77" s="292"/>
      <c r="MR77" s="292"/>
      <c r="MS77" s="292"/>
      <c r="MT77" s="292"/>
      <c r="MU77" s="292"/>
      <c r="MV77" s="292"/>
      <c r="MW77" s="292"/>
      <c r="MX77" s="292"/>
      <c r="MY77" s="292"/>
      <c r="MZ77" s="292"/>
      <c r="NA77" s="292"/>
      <c r="NB77" s="292"/>
      <c r="NC77" s="292"/>
      <c r="ND77" s="292"/>
      <c r="NE77" s="292"/>
      <c r="NF77" s="292"/>
      <c r="NG77" s="292"/>
      <c r="NH77" s="292"/>
      <c r="NI77" s="292"/>
      <c r="NJ77" s="292"/>
      <c r="NK77" s="292"/>
      <c r="NL77" s="292"/>
      <c r="NM77" s="292"/>
      <c r="NN77" s="292"/>
      <c r="NO77" s="292"/>
      <c r="NP77" s="292"/>
      <c r="NQ77" s="292"/>
      <c r="NR77" s="292"/>
      <c r="NS77" s="292"/>
      <c r="NT77" s="292"/>
      <c r="NU77" s="292"/>
      <c r="NV77" s="292"/>
      <c r="NW77" s="292"/>
      <c r="NX77" s="292"/>
      <c r="NY77" s="292"/>
      <c r="NZ77" s="292"/>
      <c r="OA77" s="292"/>
      <c r="OB77" s="292"/>
      <c r="OC77" s="292"/>
      <c r="OD77" s="292"/>
      <c r="OE77" s="292"/>
      <c r="OF77" s="292"/>
      <c r="OG77" s="292"/>
      <c r="OH77" s="292"/>
      <c r="OI77" s="292"/>
      <c r="OJ77" s="292"/>
      <c r="OK77" s="292"/>
      <c r="OL77" s="292"/>
      <c r="OM77" s="292"/>
      <c r="ON77" s="292"/>
      <c r="OO77" s="292"/>
      <c r="OP77" s="292"/>
      <c r="OQ77" s="292"/>
      <c r="OR77" s="292"/>
      <c r="OS77" s="292"/>
      <c r="OT77" s="292"/>
      <c r="OU77" s="292"/>
      <c r="OV77" s="292"/>
      <c r="OW77" s="292"/>
      <c r="OX77" s="292"/>
      <c r="OY77" s="292"/>
      <c r="OZ77" s="292"/>
      <c r="PA77" s="292"/>
      <c r="PB77" s="292"/>
      <c r="PC77" s="292"/>
      <c r="PD77" s="292"/>
      <c r="PE77" s="292"/>
      <c r="PF77" s="292"/>
      <c r="PG77" s="292"/>
      <c r="PH77" s="292"/>
      <c r="PI77" s="292"/>
      <c r="PJ77" s="292"/>
      <c r="PK77" s="292"/>
      <c r="PL77" s="292"/>
      <c r="PM77" s="292"/>
      <c r="PN77" s="292"/>
      <c r="PO77" s="292"/>
      <c r="PP77" s="292"/>
      <c r="PQ77" s="292"/>
      <c r="PR77" s="292"/>
      <c r="PS77" s="292"/>
      <c r="PT77" s="292"/>
      <c r="PU77" s="292"/>
      <c r="PV77" s="292"/>
      <c r="PW77" s="292"/>
      <c r="PX77" s="292"/>
      <c r="PY77" s="292"/>
      <c r="PZ77" s="292"/>
      <c r="QA77" s="292"/>
      <c r="QB77" s="292"/>
      <c r="QC77" s="292"/>
      <c r="QD77" s="292"/>
      <c r="QE77" s="292"/>
      <c r="QF77" s="292"/>
      <c r="QG77" s="292"/>
      <c r="QH77" s="292"/>
      <c r="QI77" s="292"/>
      <c r="QJ77" s="292"/>
      <c r="QK77" s="292"/>
      <c r="QL77" s="292"/>
      <c r="QM77" s="292"/>
      <c r="QN77" s="292"/>
      <c r="QO77" s="292"/>
      <c r="QP77" s="292"/>
      <c r="QQ77" s="292"/>
      <c r="QR77" s="292"/>
      <c r="QS77" s="292"/>
      <c r="QT77" s="292"/>
      <c r="QU77" s="292"/>
      <c r="QV77" s="292"/>
      <c r="QW77" s="292"/>
      <c r="QX77" s="292"/>
      <c r="QY77" s="292"/>
      <c r="QZ77" s="292"/>
      <c r="RA77" s="292"/>
      <c r="RB77" s="292"/>
      <c r="RC77" s="292"/>
      <c r="RD77" s="292"/>
      <c r="RE77" s="292"/>
      <c r="RF77" s="292"/>
      <c r="RG77" s="292"/>
      <c r="RH77" s="292"/>
      <c r="RI77" s="292"/>
      <c r="RJ77" s="292"/>
      <c r="RK77" s="292"/>
      <c r="RL77" s="292"/>
      <c r="RM77" s="292"/>
      <c r="RN77" s="292"/>
      <c r="RO77" s="292"/>
      <c r="RP77" s="292"/>
      <c r="RQ77" s="292"/>
      <c r="RR77" s="292"/>
      <c r="RS77" s="292"/>
      <c r="RT77" s="292"/>
      <c r="RU77" s="292"/>
      <c r="RV77" s="292"/>
      <c r="RW77" s="292"/>
      <c r="RX77" s="292"/>
      <c r="RY77" s="292"/>
      <c r="RZ77" s="292"/>
      <c r="SA77" s="292"/>
      <c r="SB77" s="292"/>
      <c r="SC77" s="292"/>
      <c r="SD77" s="292"/>
      <c r="SE77" s="292"/>
      <c r="SF77" s="292"/>
      <c r="SG77" s="292"/>
      <c r="SH77" s="292"/>
      <c r="SI77" s="292"/>
      <c r="SJ77" s="292"/>
      <c r="SK77" s="292"/>
      <c r="SL77" s="292"/>
      <c r="SM77" s="292"/>
      <c r="SN77" s="292"/>
      <c r="SO77" s="292"/>
      <c r="SP77" s="292"/>
      <c r="SQ77" s="292"/>
      <c r="SR77" s="292"/>
      <c r="SS77" s="292"/>
      <c r="ST77" s="292"/>
      <c r="SU77" s="292"/>
    </row>
    <row r="78" spans="1:515" s="960" customFormat="1" ht="23.15" customHeight="1" x14ac:dyDescent="0.25">
      <c r="A78" s="986"/>
      <c r="B78" s="984"/>
      <c r="C78" s="984"/>
      <c r="D78" s="957"/>
      <c r="E78" s="981"/>
      <c r="F78" s="981"/>
      <c r="G78" s="981"/>
      <c r="H78" s="957"/>
      <c r="I78" s="981"/>
      <c r="J78" s="981"/>
      <c r="K78" s="981"/>
      <c r="L78" s="957"/>
      <c r="M78" s="981"/>
      <c r="N78" s="981"/>
      <c r="O78" s="981"/>
      <c r="P78" s="957"/>
      <c r="Q78" s="981"/>
      <c r="R78" s="981"/>
      <c r="S78" s="981"/>
      <c r="T78" s="957"/>
      <c r="U78" s="981"/>
      <c r="V78" s="981"/>
      <c r="W78" s="981"/>
      <c r="X78" s="957"/>
      <c r="Y78" s="981"/>
      <c r="Z78" s="981"/>
      <c r="AA78" s="981"/>
      <c r="AB78" s="976"/>
      <c r="AC78" s="1144"/>
      <c r="AD78" s="981"/>
      <c r="AE78" s="971"/>
    </row>
    <row r="79" spans="1:515" s="628" customFormat="1" ht="22.5" customHeight="1" x14ac:dyDescent="0.25">
      <c r="A79" s="1339" t="s">
        <v>381</v>
      </c>
      <c r="B79" s="1340"/>
      <c r="C79" s="1340"/>
      <c r="D79" s="964"/>
      <c r="E79" s="1306" t="s">
        <v>382</v>
      </c>
      <c r="F79" s="1306"/>
      <c r="G79" s="1306"/>
      <c r="H79" s="964"/>
      <c r="I79" s="1306" t="s">
        <v>383</v>
      </c>
      <c r="J79" s="1306"/>
      <c r="K79" s="1306"/>
      <c r="L79" s="964"/>
      <c r="M79" s="1306" t="s">
        <v>384</v>
      </c>
      <c r="N79" s="1306"/>
      <c r="O79" s="1306"/>
      <c r="P79" s="964"/>
      <c r="Q79" s="1306" t="s">
        <v>385</v>
      </c>
      <c r="R79" s="1306"/>
      <c r="S79" s="1306"/>
      <c r="T79" s="964"/>
      <c r="U79" s="1306" t="s">
        <v>386</v>
      </c>
      <c r="V79" s="1306"/>
      <c r="W79" s="1306"/>
      <c r="X79" s="978"/>
      <c r="Y79" s="1306" t="s">
        <v>387</v>
      </c>
      <c r="Z79" s="1306"/>
      <c r="AA79" s="1306"/>
      <c r="AB79" s="976"/>
      <c r="AC79" s="1145" t="s">
        <v>388</v>
      </c>
      <c r="AD79" s="1145" t="s">
        <v>389</v>
      </c>
      <c r="AE79" s="971"/>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292"/>
      <c r="BI79" s="292"/>
      <c r="BJ79" s="292"/>
      <c r="BK79" s="292"/>
      <c r="BL79" s="292"/>
      <c r="BM79" s="292"/>
      <c r="BN79" s="292"/>
      <c r="BO79" s="292"/>
      <c r="BP79" s="292"/>
      <c r="BQ79" s="292"/>
      <c r="BR79" s="292"/>
      <c r="BS79" s="292"/>
      <c r="BT79" s="292"/>
      <c r="BU79" s="292"/>
      <c r="BV79" s="292"/>
      <c r="BW79" s="292"/>
      <c r="BX79" s="292"/>
      <c r="BY79" s="292"/>
      <c r="BZ79" s="292"/>
      <c r="CA79" s="292"/>
      <c r="CB79" s="292"/>
      <c r="CC79" s="292"/>
      <c r="CD79" s="292"/>
      <c r="CE79" s="292"/>
      <c r="CF79" s="292"/>
      <c r="CG79" s="292"/>
      <c r="CH79" s="292"/>
      <c r="CI79" s="292"/>
      <c r="CJ79" s="292"/>
      <c r="CK79" s="292"/>
      <c r="CL79" s="292"/>
      <c r="CM79" s="292"/>
      <c r="CN79" s="292"/>
      <c r="CO79" s="292"/>
      <c r="CP79" s="292"/>
      <c r="CQ79" s="292"/>
      <c r="CR79" s="292"/>
      <c r="CS79" s="292"/>
      <c r="CT79" s="292"/>
      <c r="CU79" s="292"/>
      <c r="CV79" s="292"/>
      <c r="CW79" s="292"/>
      <c r="CX79" s="292"/>
      <c r="CY79" s="292"/>
      <c r="CZ79" s="292"/>
      <c r="DA79" s="292"/>
      <c r="DB79" s="292"/>
      <c r="DC79" s="292"/>
      <c r="DD79" s="292"/>
      <c r="DE79" s="292"/>
      <c r="DF79" s="292"/>
      <c r="DG79" s="292"/>
      <c r="DH79" s="292"/>
      <c r="DI79" s="292"/>
      <c r="DJ79" s="292"/>
      <c r="DK79" s="292"/>
      <c r="DL79" s="292"/>
      <c r="DM79" s="292"/>
      <c r="DN79" s="292"/>
      <c r="DO79" s="292"/>
      <c r="DP79" s="292"/>
      <c r="DQ79" s="292"/>
      <c r="DR79" s="292"/>
      <c r="DS79" s="292"/>
      <c r="DT79" s="292"/>
      <c r="DU79" s="292"/>
      <c r="DV79" s="292"/>
      <c r="DW79" s="292"/>
      <c r="DX79" s="292"/>
      <c r="DY79" s="292"/>
      <c r="DZ79" s="292"/>
      <c r="EA79" s="292"/>
      <c r="EB79" s="292"/>
      <c r="EC79" s="292"/>
      <c r="ED79" s="292"/>
      <c r="EE79" s="292"/>
      <c r="EF79" s="292"/>
      <c r="EG79" s="292"/>
      <c r="EH79" s="292"/>
      <c r="EI79" s="292"/>
      <c r="EJ79" s="292"/>
      <c r="EK79" s="292"/>
      <c r="EL79" s="292"/>
      <c r="EM79" s="292"/>
      <c r="EN79" s="292"/>
      <c r="EO79" s="292"/>
      <c r="EP79" s="292"/>
      <c r="EQ79" s="292"/>
      <c r="ER79" s="292"/>
      <c r="ES79" s="292"/>
      <c r="ET79" s="292"/>
      <c r="EU79" s="292"/>
      <c r="EV79" s="292"/>
      <c r="EW79" s="292"/>
      <c r="EX79" s="292"/>
      <c r="EY79" s="292"/>
      <c r="EZ79" s="292"/>
      <c r="FA79" s="292"/>
      <c r="FB79" s="292"/>
      <c r="FC79" s="292"/>
      <c r="FD79" s="292"/>
      <c r="FE79" s="292"/>
      <c r="FF79" s="292"/>
      <c r="FG79" s="292"/>
      <c r="FH79" s="292"/>
      <c r="FI79" s="292"/>
      <c r="FJ79" s="292"/>
      <c r="FK79" s="292"/>
      <c r="FL79" s="292"/>
      <c r="FM79" s="292"/>
      <c r="FN79" s="292"/>
      <c r="FO79" s="292"/>
      <c r="FP79" s="292"/>
      <c r="FQ79" s="292"/>
      <c r="FR79" s="292"/>
      <c r="FS79" s="292"/>
      <c r="FT79" s="292"/>
      <c r="FU79" s="292"/>
      <c r="FV79" s="292"/>
      <c r="FW79" s="292"/>
      <c r="FX79" s="292"/>
      <c r="FY79" s="292"/>
      <c r="FZ79" s="292"/>
      <c r="GA79" s="292"/>
      <c r="GB79" s="292"/>
      <c r="GC79" s="292"/>
      <c r="GD79" s="292"/>
      <c r="GE79" s="292"/>
      <c r="GF79" s="292"/>
      <c r="GG79" s="292"/>
      <c r="GH79" s="292"/>
      <c r="GI79" s="292"/>
      <c r="GJ79" s="292"/>
      <c r="GK79" s="292"/>
      <c r="GL79" s="292"/>
      <c r="GM79" s="292"/>
      <c r="GN79" s="292"/>
      <c r="GO79" s="292"/>
      <c r="GP79" s="292"/>
      <c r="GQ79" s="292"/>
      <c r="GR79" s="292"/>
      <c r="GS79" s="292"/>
      <c r="GT79" s="292"/>
      <c r="GU79" s="292"/>
      <c r="GV79" s="292"/>
      <c r="GW79" s="292"/>
      <c r="GX79" s="292"/>
      <c r="GY79" s="292"/>
      <c r="GZ79" s="292"/>
      <c r="HA79" s="292"/>
      <c r="HB79" s="292"/>
      <c r="HC79" s="292"/>
      <c r="HD79" s="292"/>
      <c r="HE79" s="292"/>
      <c r="HF79" s="292"/>
      <c r="HG79" s="292"/>
      <c r="HH79" s="292"/>
      <c r="HI79" s="292"/>
      <c r="HJ79" s="292"/>
      <c r="HK79" s="292"/>
      <c r="HL79" s="292"/>
      <c r="HM79" s="292"/>
      <c r="HN79" s="292"/>
      <c r="HO79" s="292"/>
      <c r="HP79" s="292"/>
      <c r="HQ79" s="292"/>
      <c r="HR79" s="292"/>
      <c r="HS79" s="292"/>
      <c r="HT79" s="292"/>
      <c r="HU79" s="292"/>
      <c r="HV79" s="292"/>
      <c r="HW79" s="292"/>
      <c r="HX79" s="292"/>
      <c r="HY79" s="292"/>
      <c r="HZ79" s="292"/>
      <c r="IA79" s="292"/>
      <c r="IB79" s="292"/>
      <c r="IC79" s="292"/>
      <c r="ID79" s="292"/>
      <c r="IE79" s="292"/>
      <c r="IF79" s="292"/>
      <c r="IG79" s="292"/>
      <c r="IH79" s="292"/>
      <c r="II79" s="292"/>
      <c r="IJ79" s="292"/>
      <c r="IK79" s="292"/>
      <c r="IL79" s="292"/>
      <c r="IM79" s="292"/>
      <c r="IN79" s="292"/>
      <c r="IO79" s="292"/>
      <c r="IP79" s="292"/>
      <c r="IQ79" s="292"/>
      <c r="IR79" s="292"/>
      <c r="IS79" s="292"/>
      <c r="IT79" s="292"/>
      <c r="IU79" s="292"/>
      <c r="IV79" s="292"/>
      <c r="IW79" s="292"/>
      <c r="IX79" s="292"/>
      <c r="IY79" s="292"/>
      <c r="IZ79" s="292"/>
      <c r="JA79" s="292"/>
      <c r="JB79" s="292"/>
      <c r="JC79" s="292"/>
      <c r="JD79" s="292"/>
      <c r="JE79" s="292"/>
      <c r="JF79" s="292"/>
      <c r="JG79" s="292"/>
      <c r="JH79" s="292"/>
      <c r="JI79" s="292"/>
      <c r="JJ79" s="292"/>
      <c r="JK79" s="292"/>
      <c r="JL79" s="292"/>
      <c r="JM79" s="292"/>
      <c r="JN79" s="292"/>
      <c r="JO79" s="292"/>
      <c r="JP79" s="292"/>
      <c r="JQ79" s="292"/>
      <c r="JR79" s="292"/>
      <c r="JS79" s="292"/>
      <c r="JT79" s="292"/>
      <c r="JU79" s="292"/>
      <c r="JV79" s="292"/>
      <c r="JW79" s="292"/>
      <c r="JX79" s="292"/>
      <c r="JY79" s="292"/>
      <c r="JZ79" s="292"/>
      <c r="KA79" s="292"/>
      <c r="KB79" s="292"/>
      <c r="KC79" s="292"/>
      <c r="KD79" s="292"/>
      <c r="KE79" s="292"/>
      <c r="KF79" s="292"/>
      <c r="KG79" s="292"/>
      <c r="KH79" s="292"/>
      <c r="KI79" s="292"/>
      <c r="KJ79" s="292"/>
      <c r="KK79" s="292"/>
      <c r="KL79" s="292"/>
      <c r="KM79" s="292"/>
      <c r="KN79" s="292"/>
      <c r="KO79" s="292"/>
      <c r="KP79" s="292"/>
      <c r="KQ79" s="292"/>
      <c r="KR79" s="292"/>
      <c r="KS79" s="292"/>
      <c r="KT79" s="292"/>
      <c r="KU79" s="292"/>
      <c r="KV79" s="292"/>
      <c r="KW79" s="292"/>
      <c r="KX79" s="292"/>
      <c r="KY79" s="292"/>
      <c r="KZ79" s="292"/>
      <c r="LA79" s="292"/>
      <c r="LB79" s="292"/>
      <c r="LC79" s="292"/>
      <c r="LD79" s="292"/>
      <c r="LE79" s="292"/>
      <c r="LF79" s="292"/>
      <c r="LG79" s="292"/>
      <c r="LH79" s="292"/>
      <c r="LI79" s="292"/>
      <c r="LJ79" s="292"/>
      <c r="LK79" s="292"/>
      <c r="LL79" s="292"/>
      <c r="LM79" s="292"/>
      <c r="LN79" s="292"/>
      <c r="LO79" s="292"/>
      <c r="LP79" s="292"/>
      <c r="LQ79" s="292"/>
      <c r="LR79" s="292"/>
      <c r="LS79" s="292"/>
      <c r="LT79" s="292"/>
      <c r="LU79" s="292"/>
      <c r="LV79" s="292"/>
      <c r="LW79" s="292"/>
      <c r="LX79" s="292"/>
      <c r="LY79" s="292"/>
      <c r="LZ79" s="292"/>
      <c r="MA79" s="292"/>
      <c r="MB79" s="292"/>
      <c r="MC79" s="292"/>
      <c r="MD79" s="292"/>
      <c r="ME79" s="292"/>
      <c r="MF79" s="292"/>
      <c r="MG79" s="292"/>
      <c r="MH79" s="292"/>
      <c r="MI79" s="292"/>
      <c r="MJ79" s="292"/>
      <c r="MK79" s="292"/>
      <c r="ML79" s="292"/>
      <c r="MM79" s="292"/>
      <c r="MN79" s="292"/>
      <c r="MO79" s="292"/>
      <c r="MP79" s="292"/>
      <c r="MQ79" s="292"/>
      <c r="MR79" s="292"/>
      <c r="MS79" s="292"/>
      <c r="MT79" s="292"/>
      <c r="MU79" s="292"/>
      <c r="MV79" s="292"/>
      <c r="MW79" s="292"/>
      <c r="MX79" s="292"/>
      <c r="MY79" s="292"/>
      <c r="MZ79" s="292"/>
      <c r="NA79" s="292"/>
      <c r="NB79" s="292"/>
      <c r="NC79" s="292"/>
      <c r="ND79" s="292"/>
      <c r="NE79" s="292"/>
      <c r="NF79" s="292"/>
      <c r="NG79" s="292"/>
      <c r="NH79" s="292"/>
      <c r="NI79" s="292"/>
      <c r="NJ79" s="292"/>
      <c r="NK79" s="292"/>
      <c r="NL79" s="292"/>
      <c r="NM79" s="292"/>
      <c r="NN79" s="292"/>
      <c r="NO79" s="292"/>
      <c r="NP79" s="292"/>
      <c r="NQ79" s="292"/>
      <c r="NR79" s="292"/>
      <c r="NS79" s="292"/>
      <c r="NT79" s="292"/>
      <c r="NU79" s="292"/>
      <c r="NV79" s="292"/>
      <c r="NW79" s="292"/>
      <c r="NX79" s="292"/>
      <c r="NY79" s="292"/>
      <c r="NZ79" s="292"/>
      <c r="OA79" s="292"/>
      <c r="OB79" s="292"/>
      <c r="OC79" s="292"/>
      <c r="OD79" s="292"/>
      <c r="OE79" s="292"/>
      <c r="OF79" s="292"/>
      <c r="OG79" s="292"/>
      <c r="OH79" s="292"/>
      <c r="OI79" s="292"/>
      <c r="OJ79" s="292"/>
      <c r="OK79" s="292"/>
      <c r="OL79" s="292"/>
      <c r="OM79" s="292"/>
      <c r="ON79" s="292"/>
      <c r="OO79" s="292"/>
      <c r="OP79" s="292"/>
      <c r="OQ79" s="292"/>
      <c r="OR79" s="292"/>
      <c r="OS79" s="292"/>
      <c r="OT79" s="292"/>
      <c r="OU79" s="292"/>
      <c r="OV79" s="292"/>
      <c r="OW79" s="292"/>
      <c r="OX79" s="292"/>
      <c r="OY79" s="292"/>
      <c r="OZ79" s="292"/>
      <c r="PA79" s="292"/>
      <c r="PB79" s="292"/>
      <c r="PC79" s="292"/>
      <c r="PD79" s="292"/>
      <c r="PE79" s="292"/>
      <c r="PF79" s="292"/>
      <c r="PG79" s="292"/>
      <c r="PH79" s="292"/>
      <c r="PI79" s="292"/>
      <c r="PJ79" s="292"/>
      <c r="PK79" s="292"/>
      <c r="PL79" s="292"/>
      <c r="PM79" s="292"/>
      <c r="PN79" s="292"/>
      <c r="PO79" s="292"/>
      <c r="PP79" s="292"/>
      <c r="PQ79" s="292"/>
      <c r="PR79" s="292"/>
      <c r="PS79" s="292"/>
      <c r="PT79" s="292"/>
      <c r="PU79" s="292"/>
      <c r="PV79" s="292"/>
      <c r="PW79" s="292"/>
      <c r="PX79" s="292"/>
      <c r="PY79" s="292"/>
      <c r="PZ79" s="292"/>
      <c r="QA79" s="292"/>
      <c r="QB79" s="292"/>
      <c r="QC79" s="292"/>
      <c r="QD79" s="292"/>
      <c r="QE79" s="292"/>
      <c r="QF79" s="292"/>
      <c r="QG79" s="292"/>
      <c r="QH79" s="292"/>
      <c r="QI79" s="292"/>
      <c r="QJ79" s="292"/>
      <c r="QK79" s="292"/>
      <c r="QL79" s="292"/>
      <c r="QM79" s="292"/>
      <c r="QN79" s="292"/>
      <c r="QO79" s="292"/>
      <c r="QP79" s="292"/>
      <c r="QQ79" s="292"/>
      <c r="QR79" s="292"/>
      <c r="QS79" s="292"/>
      <c r="QT79" s="292"/>
      <c r="QU79" s="292"/>
      <c r="QV79" s="292"/>
      <c r="QW79" s="292"/>
      <c r="QX79" s="292"/>
      <c r="QY79" s="292"/>
      <c r="QZ79" s="292"/>
      <c r="RA79" s="292"/>
      <c r="RB79" s="292"/>
      <c r="RC79" s="292"/>
      <c r="RD79" s="292"/>
      <c r="RE79" s="292"/>
      <c r="RF79" s="292"/>
      <c r="RG79" s="292"/>
      <c r="RH79" s="292"/>
      <c r="RI79" s="292"/>
      <c r="RJ79" s="292"/>
      <c r="RK79" s="292"/>
      <c r="RL79" s="292"/>
      <c r="RM79" s="292"/>
      <c r="RN79" s="292"/>
      <c r="RO79" s="292"/>
      <c r="RP79" s="292"/>
      <c r="RQ79" s="292"/>
      <c r="RR79" s="292"/>
      <c r="RS79" s="292"/>
      <c r="RT79" s="292"/>
      <c r="RU79" s="292"/>
      <c r="RV79" s="292"/>
      <c r="RW79" s="292"/>
      <c r="RX79" s="292"/>
      <c r="RY79" s="292"/>
      <c r="RZ79" s="292"/>
      <c r="SA79" s="292"/>
      <c r="SB79" s="292"/>
      <c r="SC79" s="292"/>
      <c r="SD79" s="292"/>
      <c r="SE79" s="292"/>
      <c r="SF79" s="292"/>
      <c r="SG79" s="292"/>
      <c r="SH79" s="292"/>
      <c r="SI79" s="292"/>
      <c r="SJ79" s="292"/>
      <c r="SK79" s="292"/>
      <c r="SL79" s="292"/>
      <c r="SM79" s="292"/>
      <c r="SN79" s="292"/>
      <c r="SO79" s="292"/>
      <c r="SP79" s="292"/>
      <c r="SQ79" s="292"/>
      <c r="SR79" s="292"/>
      <c r="SS79" s="292"/>
      <c r="ST79" s="292"/>
      <c r="SU79" s="292"/>
    </row>
    <row r="80" spans="1:515" s="629" customFormat="1" ht="23.15" customHeight="1" x14ac:dyDescent="0.25">
      <c r="A80" s="1341"/>
      <c r="B80" s="1342"/>
      <c r="C80" s="1342"/>
      <c r="D80" s="962"/>
      <c r="E80" s="1305">
        <f>E72+G77</f>
        <v>0</v>
      </c>
      <c r="F80" s="1305"/>
      <c r="G80" s="1305"/>
      <c r="H80" s="962"/>
      <c r="I80" s="1305">
        <f>I72+K77</f>
        <v>0</v>
      </c>
      <c r="J80" s="1305"/>
      <c r="K80" s="1305"/>
      <c r="L80" s="962"/>
      <c r="M80" s="1305">
        <f>M72+O77</f>
        <v>0</v>
      </c>
      <c r="N80" s="1305"/>
      <c r="O80" s="1305"/>
      <c r="P80" s="962"/>
      <c r="Q80" s="1305">
        <f>Q72+S77</f>
        <v>0</v>
      </c>
      <c r="R80" s="1305"/>
      <c r="S80" s="1305"/>
      <c r="T80" s="962"/>
      <c r="U80" s="1305">
        <f>U72+W77</f>
        <v>0</v>
      </c>
      <c r="V80" s="1305"/>
      <c r="W80" s="1305"/>
      <c r="X80" s="962"/>
      <c r="Y80" s="1305">
        <f>Y72+AA77</f>
        <v>0</v>
      </c>
      <c r="Z80" s="1305"/>
      <c r="AA80" s="1305"/>
      <c r="AB80" s="976"/>
      <c r="AC80" s="799">
        <f>AC47+AC33</f>
        <v>0</v>
      </c>
      <c r="AD80" s="790">
        <f>E80+I80+M80+Q80+U80+Y80</f>
        <v>0</v>
      </c>
      <c r="AE80" s="971"/>
      <c r="AF80" s="292"/>
      <c r="AG80" s="292"/>
      <c r="AH80" s="292"/>
      <c r="AI80" s="292"/>
      <c r="AJ80" s="292"/>
      <c r="AK80" s="292"/>
      <c r="AL80" s="292"/>
      <c r="AM80" s="292"/>
      <c r="AN80" s="292"/>
      <c r="AO80" s="292"/>
      <c r="AP80" s="292"/>
      <c r="AQ80" s="292"/>
      <c r="AR80" s="292"/>
      <c r="AS80" s="292"/>
      <c r="AT80" s="292"/>
      <c r="AU80" s="292"/>
      <c r="AV80" s="292"/>
      <c r="AW80" s="292"/>
      <c r="AX80" s="292"/>
      <c r="AY80" s="292"/>
      <c r="AZ80" s="292"/>
      <c r="BA80" s="292"/>
      <c r="BB80" s="292"/>
      <c r="BC80" s="292"/>
      <c r="BD80" s="292"/>
      <c r="BE80" s="292"/>
      <c r="BF80" s="292"/>
      <c r="BG80" s="292"/>
      <c r="BH80" s="292"/>
      <c r="BI80" s="292"/>
      <c r="BJ80" s="292"/>
      <c r="BK80" s="292"/>
      <c r="BL80" s="292"/>
      <c r="BM80" s="292"/>
      <c r="BN80" s="292"/>
      <c r="BO80" s="292"/>
      <c r="BP80" s="292"/>
      <c r="BQ80" s="292"/>
      <c r="BR80" s="292"/>
      <c r="BS80" s="292"/>
      <c r="BT80" s="292"/>
      <c r="BU80" s="292"/>
      <c r="BV80" s="292"/>
      <c r="BW80" s="292"/>
      <c r="BX80" s="292"/>
      <c r="BY80" s="292"/>
      <c r="BZ80" s="292"/>
      <c r="CA80" s="292"/>
      <c r="CB80" s="292"/>
      <c r="CC80" s="292"/>
      <c r="CD80" s="292"/>
      <c r="CE80" s="292"/>
      <c r="CF80" s="292"/>
      <c r="CG80" s="292"/>
      <c r="CH80" s="292"/>
      <c r="CI80" s="292"/>
      <c r="CJ80" s="292"/>
      <c r="CK80" s="292"/>
      <c r="CL80" s="292"/>
      <c r="CM80" s="292"/>
      <c r="CN80" s="292"/>
      <c r="CO80" s="292"/>
      <c r="CP80" s="292"/>
      <c r="CQ80" s="292"/>
      <c r="CR80" s="292"/>
      <c r="CS80" s="292"/>
      <c r="CT80" s="292"/>
      <c r="CU80" s="292"/>
      <c r="CV80" s="292"/>
      <c r="CW80" s="292"/>
      <c r="CX80" s="292"/>
      <c r="CY80" s="292"/>
      <c r="CZ80" s="292"/>
      <c r="DA80" s="292"/>
      <c r="DB80" s="292"/>
      <c r="DC80" s="292"/>
      <c r="DD80" s="292"/>
      <c r="DE80" s="292"/>
      <c r="DF80" s="292"/>
      <c r="DG80" s="292"/>
      <c r="DH80" s="292"/>
      <c r="DI80" s="292"/>
      <c r="DJ80" s="292"/>
      <c r="DK80" s="292"/>
      <c r="DL80" s="292"/>
      <c r="DM80" s="292"/>
      <c r="DN80" s="292"/>
      <c r="DO80" s="292"/>
      <c r="DP80" s="292"/>
      <c r="DQ80" s="292"/>
      <c r="DR80" s="292"/>
      <c r="DS80" s="292"/>
      <c r="DT80" s="292"/>
      <c r="DU80" s="292"/>
      <c r="DV80" s="292"/>
      <c r="DW80" s="292"/>
      <c r="DX80" s="292"/>
      <c r="DY80" s="292"/>
      <c r="DZ80" s="292"/>
      <c r="EA80" s="292"/>
      <c r="EB80" s="292"/>
      <c r="EC80" s="292"/>
      <c r="ED80" s="292"/>
      <c r="EE80" s="292"/>
      <c r="EF80" s="292"/>
      <c r="EG80" s="292"/>
      <c r="EH80" s="292"/>
      <c r="EI80" s="292"/>
      <c r="EJ80" s="292"/>
      <c r="EK80" s="292"/>
      <c r="EL80" s="292"/>
      <c r="EM80" s="292"/>
      <c r="EN80" s="292"/>
      <c r="EO80" s="292"/>
      <c r="EP80" s="292"/>
      <c r="EQ80" s="292"/>
      <c r="ER80" s="292"/>
      <c r="ES80" s="292"/>
      <c r="ET80" s="292"/>
      <c r="EU80" s="292"/>
      <c r="EV80" s="292"/>
      <c r="EW80" s="292"/>
      <c r="EX80" s="292"/>
      <c r="EY80" s="292"/>
      <c r="EZ80" s="292"/>
      <c r="FA80" s="292"/>
      <c r="FB80" s="292"/>
      <c r="FC80" s="292"/>
      <c r="FD80" s="292"/>
      <c r="FE80" s="292"/>
      <c r="FF80" s="292"/>
      <c r="FG80" s="292"/>
      <c r="FH80" s="292"/>
      <c r="FI80" s="292"/>
      <c r="FJ80" s="292"/>
      <c r="FK80" s="292"/>
      <c r="FL80" s="292"/>
      <c r="FM80" s="292"/>
      <c r="FN80" s="292"/>
      <c r="FO80" s="292"/>
      <c r="FP80" s="292"/>
      <c r="FQ80" s="292"/>
      <c r="FR80" s="292"/>
      <c r="FS80" s="292"/>
      <c r="FT80" s="292"/>
      <c r="FU80" s="292"/>
      <c r="FV80" s="292"/>
      <c r="FW80" s="292"/>
      <c r="FX80" s="292"/>
      <c r="FY80" s="292"/>
      <c r="FZ80" s="292"/>
      <c r="GA80" s="292"/>
      <c r="GB80" s="292"/>
      <c r="GC80" s="292"/>
      <c r="GD80" s="292"/>
      <c r="GE80" s="292"/>
      <c r="GF80" s="292"/>
      <c r="GG80" s="292"/>
      <c r="GH80" s="292"/>
      <c r="GI80" s="292"/>
      <c r="GJ80" s="292"/>
      <c r="GK80" s="292"/>
      <c r="GL80" s="292"/>
      <c r="GM80" s="292"/>
      <c r="GN80" s="292"/>
      <c r="GO80" s="292"/>
      <c r="GP80" s="292"/>
      <c r="GQ80" s="292"/>
      <c r="GR80" s="292"/>
      <c r="GS80" s="292"/>
      <c r="GT80" s="292"/>
      <c r="GU80" s="292"/>
      <c r="GV80" s="292"/>
      <c r="GW80" s="292"/>
      <c r="GX80" s="292"/>
      <c r="GY80" s="292"/>
      <c r="GZ80" s="292"/>
      <c r="HA80" s="292"/>
      <c r="HB80" s="292"/>
      <c r="HC80" s="292"/>
      <c r="HD80" s="292"/>
      <c r="HE80" s="292"/>
      <c r="HF80" s="292"/>
      <c r="HG80" s="292"/>
      <c r="HH80" s="292"/>
      <c r="HI80" s="292"/>
      <c r="HJ80" s="292"/>
      <c r="HK80" s="292"/>
      <c r="HL80" s="292"/>
      <c r="HM80" s="292"/>
      <c r="HN80" s="292"/>
      <c r="HO80" s="292"/>
      <c r="HP80" s="292"/>
      <c r="HQ80" s="292"/>
      <c r="HR80" s="292"/>
      <c r="HS80" s="292"/>
      <c r="HT80" s="292"/>
      <c r="HU80" s="292"/>
      <c r="HV80" s="292"/>
      <c r="HW80" s="292"/>
      <c r="HX80" s="292"/>
      <c r="HY80" s="292"/>
      <c r="HZ80" s="292"/>
      <c r="IA80" s="292"/>
      <c r="IB80" s="292"/>
      <c r="IC80" s="292"/>
      <c r="ID80" s="292"/>
      <c r="IE80" s="292"/>
      <c r="IF80" s="292"/>
      <c r="IG80" s="292"/>
      <c r="IH80" s="292"/>
      <c r="II80" s="292"/>
      <c r="IJ80" s="292"/>
      <c r="IK80" s="292"/>
      <c r="IL80" s="292"/>
      <c r="IM80" s="292"/>
      <c r="IN80" s="292"/>
      <c r="IO80" s="292"/>
      <c r="IP80" s="292"/>
      <c r="IQ80" s="292"/>
      <c r="IR80" s="292"/>
      <c r="IS80" s="292"/>
      <c r="IT80" s="292"/>
      <c r="IU80" s="292"/>
      <c r="IV80" s="292"/>
      <c r="IW80" s="292"/>
      <c r="IX80" s="292"/>
      <c r="IY80" s="292"/>
      <c r="IZ80" s="292"/>
      <c r="JA80" s="292"/>
      <c r="JB80" s="292"/>
      <c r="JC80" s="292"/>
      <c r="JD80" s="292"/>
      <c r="JE80" s="292"/>
      <c r="JF80" s="292"/>
      <c r="JG80" s="292"/>
      <c r="JH80" s="292"/>
      <c r="JI80" s="292"/>
      <c r="JJ80" s="292"/>
      <c r="JK80" s="292"/>
      <c r="JL80" s="292"/>
      <c r="JM80" s="292"/>
      <c r="JN80" s="292"/>
      <c r="JO80" s="292"/>
      <c r="JP80" s="292"/>
      <c r="JQ80" s="292"/>
      <c r="JR80" s="292"/>
      <c r="JS80" s="292"/>
      <c r="JT80" s="292"/>
      <c r="JU80" s="292"/>
      <c r="JV80" s="292"/>
      <c r="JW80" s="292"/>
      <c r="JX80" s="292"/>
      <c r="JY80" s="292"/>
      <c r="JZ80" s="292"/>
      <c r="KA80" s="292"/>
      <c r="KB80" s="292"/>
      <c r="KC80" s="292"/>
      <c r="KD80" s="292"/>
      <c r="KE80" s="292"/>
      <c r="KF80" s="292"/>
      <c r="KG80" s="292"/>
      <c r="KH80" s="292"/>
      <c r="KI80" s="292"/>
      <c r="KJ80" s="292"/>
      <c r="KK80" s="292"/>
      <c r="KL80" s="292"/>
      <c r="KM80" s="292"/>
      <c r="KN80" s="292"/>
      <c r="KO80" s="292"/>
      <c r="KP80" s="292"/>
      <c r="KQ80" s="292"/>
      <c r="KR80" s="292"/>
      <c r="KS80" s="292"/>
      <c r="KT80" s="292"/>
      <c r="KU80" s="292"/>
      <c r="KV80" s="292"/>
      <c r="KW80" s="292"/>
      <c r="KX80" s="292"/>
      <c r="KY80" s="292"/>
      <c r="KZ80" s="292"/>
      <c r="LA80" s="292"/>
      <c r="LB80" s="292"/>
      <c r="LC80" s="292"/>
      <c r="LD80" s="292"/>
      <c r="LE80" s="292"/>
      <c r="LF80" s="292"/>
      <c r="LG80" s="292"/>
      <c r="LH80" s="292"/>
      <c r="LI80" s="292"/>
      <c r="LJ80" s="292"/>
      <c r="LK80" s="292"/>
      <c r="LL80" s="292"/>
      <c r="LM80" s="292"/>
      <c r="LN80" s="292"/>
      <c r="LO80" s="292"/>
      <c r="LP80" s="292"/>
      <c r="LQ80" s="292"/>
      <c r="LR80" s="292"/>
      <c r="LS80" s="292"/>
      <c r="LT80" s="292"/>
      <c r="LU80" s="292"/>
      <c r="LV80" s="292"/>
      <c r="LW80" s="292"/>
      <c r="LX80" s="292"/>
      <c r="LY80" s="292"/>
      <c r="LZ80" s="292"/>
      <c r="MA80" s="292"/>
      <c r="MB80" s="292"/>
      <c r="MC80" s="292"/>
      <c r="MD80" s="292"/>
      <c r="ME80" s="292"/>
      <c r="MF80" s="292"/>
      <c r="MG80" s="292"/>
      <c r="MH80" s="292"/>
      <c r="MI80" s="292"/>
      <c r="MJ80" s="292"/>
      <c r="MK80" s="292"/>
      <c r="ML80" s="292"/>
      <c r="MM80" s="292"/>
      <c r="MN80" s="292"/>
      <c r="MO80" s="292"/>
      <c r="MP80" s="292"/>
      <c r="MQ80" s="292"/>
      <c r="MR80" s="292"/>
      <c r="MS80" s="292"/>
      <c r="MT80" s="292"/>
      <c r="MU80" s="292"/>
      <c r="MV80" s="292"/>
      <c r="MW80" s="292"/>
      <c r="MX80" s="292"/>
      <c r="MY80" s="292"/>
      <c r="MZ80" s="292"/>
      <c r="NA80" s="292"/>
      <c r="NB80" s="292"/>
      <c r="NC80" s="292"/>
      <c r="ND80" s="292"/>
      <c r="NE80" s="292"/>
      <c r="NF80" s="292"/>
      <c r="NG80" s="292"/>
      <c r="NH80" s="292"/>
      <c r="NI80" s="292"/>
      <c r="NJ80" s="292"/>
      <c r="NK80" s="292"/>
      <c r="NL80" s="292"/>
      <c r="NM80" s="292"/>
      <c r="NN80" s="292"/>
      <c r="NO80" s="292"/>
      <c r="NP80" s="292"/>
      <c r="NQ80" s="292"/>
      <c r="NR80" s="292"/>
      <c r="NS80" s="292"/>
      <c r="NT80" s="292"/>
      <c r="NU80" s="292"/>
      <c r="NV80" s="292"/>
      <c r="NW80" s="292"/>
      <c r="NX80" s="292"/>
      <c r="NY80" s="292"/>
      <c r="NZ80" s="292"/>
      <c r="OA80" s="292"/>
      <c r="OB80" s="292"/>
      <c r="OC80" s="292"/>
      <c r="OD80" s="292"/>
      <c r="OE80" s="292"/>
      <c r="OF80" s="292"/>
      <c r="OG80" s="292"/>
      <c r="OH80" s="292"/>
      <c r="OI80" s="292"/>
      <c r="OJ80" s="292"/>
      <c r="OK80" s="292"/>
      <c r="OL80" s="292"/>
      <c r="OM80" s="292"/>
      <c r="ON80" s="292"/>
      <c r="OO80" s="292"/>
      <c r="OP80" s="292"/>
      <c r="OQ80" s="292"/>
      <c r="OR80" s="292"/>
      <c r="OS80" s="292"/>
      <c r="OT80" s="292"/>
      <c r="OU80" s="292"/>
      <c r="OV80" s="292"/>
      <c r="OW80" s="292"/>
      <c r="OX80" s="292"/>
      <c r="OY80" s="292"/>
      <c r="OZ80" s="292"/>
      <c r="PA80" s="292"/>
      <c r="PB80" s="292"/>
      <c r="PC80" s="292"/>
      <c r="PD80" s="292"/>
      <c r="PE80" s="292"/>
      <c r="PF80" s="292"/>
      <c r="PG80" s="292"/>
      <c r="PH80" s="292"/>
      <c r="PI80" s="292"/>
      <c r="PJ80" s="292"/>
      <c r="PK80" s="292"/>
      <c r="PL80" s="292"/>
      <c r="PM80" s="292"/>
      <c r="PN80" s="292"/>
      <c r="PO80" s="292"/>
      <c r="PP80" s="292"/>
      <c r="PQ80" s="292"/>
      <c r="PR80" s="292"/>
      <c r="PS80" s="292"/>
      <c r="PT80" s="292"/>
      <c r="PU80" s="292"/>
      <c r="PV80" s="292"/>
      <c r="PW80" s="292"/>
      <c r="PX80" s="292"/>
      <c r="PY80" s="292"/>
      <c r="PZ80" s="292"/>
      <c r="QA80" s="292"/>
      <c r="QB80" s="292"/>
      <c r="QC80" s="292"/>
      <c r="QD80" s="292"/>
      <c r="QE80" s="292"/>
      <c r="QF80" s="292"/>
      <c r="QG80" s="292"/>
      <c r="QH80" s="292"/>
      <c r="QI80" s="292"/>
      <c r="QJ80" s="292"/>
      <c r="QK80" s="292"/>
      <c r="QL80" s="292"/>
      <c r="QM80" s="292"/>
      <c r="QN80" s="292"/>
      <c r="QO80" s="292"/>
      <c r="QP80" s="292"/>
      <c r="QQ80" s="292"/>
      <c r="QR80" s="292"/>
      <c r="QS80" s="292"/>
      <c r="QT80" s="292"/>
      <c r="QU80" s="292"/>
      <c r="QV80" s="292"/>
      <c r="QW80" s="292"/>
      <c r="QX80" s="292"/>
      <c r="QY80" s="292"/>
      <c r="QZ80" s="292"/>
      <c r="RA80" s="292"/>
      <c r="RB80" s="292"/>
      <c r="RC80" s="292"/>
      <c r="RD80" s="292"/>
      <c r="RE80" s="292"/>
      <c r="RF80" s="292"/>
      <c r="RG80" s="292"/>
      <c r="RH80" s="292"/>
      <c r="RI80" s="292"/>
      <c r="RJ80" s="292"/>
      <c r="RK80" s="292"/>
      <c r="RL80" s="292"/>
      <c r="RM80" s="292"/>
      <c r="RN80" s="292"/>
      <c r="RO80" s="292"/>
      <c r="RP80" s="292"/>
      <c r="RQ80" s="292"/>
      <c r="RR80" s="292"/>
      <c r="RS80" s="292"/>
      <c r="RT80" s="292"/>
      <c r="RU80" s="292"/>
      <c r="RV80" s="292"/>
      <c r="RW80" s="292"/>
      <c r="RX80" s="292"/>
      <c r="RY80" s="292"/>
      <c r="RZ80" s="292"/>
      <c r="SA80" s="292"/>
      <c r="SB80" s="292"/>
      <c r="SC80" s="292"/>
      <c r="SD80" s="292"/>
      <c r="SE80" s="292"/>
      <c r="SF80" s="292"/>
      <c r="SG80" s="292"/>
      <c r="SH80" s="292"/>
      <c r="SI80" s="292"/>
      <c r="SJ80" s="292"/>
      <c r="SK80" s="292"/>
      <c r="SL80" s="292"/>
      <c r="SM80" s="292"/>
      <c r="SN80" s="292"/>
      <c r="SO80" s="292"/>
      <c r="SP80" s="292"/>
      <c r="SQ80" s="292"/>
      <c r="SR80" s="292"/>
      <c r="SS80" s="292"/>
      <c r="ST80" s="292"/>
      <c r="SU80" s="292"/>
    </row>
    <row r="81" spans="1:31" ht="15" customHeight="1" x14ac:dyDescent="0.25">
      <c r="A81" s="959"/>
      <c r="B81" s="960"/>
      <c r="C81" s="960"/>
      <c r="D81" s="960"/>
      <c r="E81" s="960"/>
      <c r="F81" s="960"/>
      <c r="G81" s="960"/>
      <c r="H81" s="960"/>
      <c r="I81" s="960"/>
      <c r="J81" s="960"/>
      <c r="K81" s="960"/>
      <c r="L81" s="960"/>
      <c r="M81" s="960"/>
      <c r="N81" s="960"/>
      <c r="O81" s="960"/>
      <c r="P81" s="960"/>
      <c r="Q81" s="960"/>
      <c r="R81" s="960"/>
      <c r="S81" s="960"/>
      <c r="T81" s="960"/>
      <c r="U81" s="960"/>
      <c r="V81" s="960"/>
      <c r="W81" s="960"/>
      <c r="X81" s="960"/>
      <c r="Y81" s="960"/>
      <c r="Z81" s="960"/>
      <c r="AA81" s="960"/>
      <c r="AB81" s="960"/>
      <c r="AC81" s="960"/>
      <c r="AD81" s="960"/>
      <c r="AE81" s="967"/>
    </row>
    <row r="82" spans="1:31" ht="15" customHeight="1" x14ac:dyDescent="0.25">
      <c r="A82" s="960"/>
      <c r="B82" s="960"/>
      <c r="C82" s="960"/>
      <c r="D82" s="960"/>
      <c r="E82" s="960"/>
      <c r="F82" s="960"/>
      <c r="G82" s="960"/>
      <c r="H82" s="960"/>
      <c r="I82" s="960"/>
      <c r="J82" s="960"/>
      <c r="K82" s="960"/>
      <c r="L82" s="960"/>
      <c r="M82" s="960"/>
      <c r="N82" s="960"/>
      <c r="O82" s="960"/>
      <c r="P82" s="960"/>
      <c r="Q82" s="960"/>
      <c r="R82" s="960"/>
      <c r="S82" s="960"/>
      <c r="T82" s="960"/>
      <c r="U82" s="960"/>
      <c r="V82" s="960"/>
      <c r="W82" s="960"/>
      <c r="X82" s="960"/>
      <c r="Y82" s="960"/>
      <c r="Z82" s="960"/>
      <c r="AA82" s="960"/>
      <c r="AB82" s="960"/>
      <c r="AC82" s="960"/>
      <c r="AD82" s="960"/>
      <c r="AE82" s="967"/>
    </row>
    <row r="83" spans="1:31" ht="15" customHeight="1" x14ac:dyDescent="0.25">
      <c r="A83" s="960"/>
      <c r="B83" s="960"/>
      <c r="C83" s="960"/>
      <c r="D83" s="960"/>
      <c r="E83" s="1192" t="s">
        <v>15</v>
      </c>
      <c r="F83" s="1192" t="s">
        <v>390</v>
      </c>
      <c r="G83" s="1192" t="s">
        <v>345</v>
      </c>
      <c r="H83" s="960"/>
      <c r="I83" s="1192" t="s">
        <v>15</v>
      </c>
      <c r="J83" s="1192" t="s">
        <v>390</v>
      </c>
      <c r="K83" s="1192" t="s">
        <v>345</v>
      </c>
      <c r="L83" s="960"/>
      <c r="M83" s="1192" t="s">
        <v>15</v>
      </c>
      <c r="N83" s="1192" t="s">
        <v>390</v>
      </c>
      <c r="O83" s="1192" t="s">
        <v>345</v>
      </c>
      <c r="P83" s="960"/>
      <c r="Q83" s="1192" t="s">
        <v>15</v>
      </c>
      <c r="R83" s="1192" t="s">
        <v>390</v>
      </c>
      <c r="S83" s="1192" t="s">
        <v>345</v>
      </c>
      <c r="T83" s="960"/>
      <c r="U83" s="1192" t="s">
        <v>15</v>
      </c>
      <c r="V83" s="1192" t="s">
        <v>390</v>
      </c>
      <c r="W83" s="1192" t="s">
        <v>345</v>
      </c>
      <c r="X83" s="960"/>
      <c r="Y83" s="1192" t="s">
        <v>15</v>
      </c>
      <c r="Z83" s="1192" t="s">
        <v>390</v>
      </c>
      <c r="AA83" s="1192" t="s">
        <v>345</v>
      </c>
      <c r="AB83" s="960"/>
      <c r="AC83" s="1192" t="s">
        <v>390</v>
      </c>
      <c r="AD83" s="1192" t="s">
        <v>391</v>
      </c>
      <c r="AE83" s="967"/>
    </row>
    <row r="84" spans="1:31" ht="23.5" customHeight="1" x14ac:dyDescent="0.25">
      <c r="A84" s="1368" t="s">
        <v>392</v>
      </c>
      <c r="B84" s="1369"/>
      <c r="C84" s="1178" t="s">
        <v>393</v>
      </c>
      <c r="D84" s="960"/>
      <c r="E84" s="1302">
        <f>E80</f>
        <v>0</v>
      </c>
      <c r="F84" s="1161">
        <v>0</v>
      </c>
      <c r="G84" s="1160">
        <f>E84*F84</f>
        <v>0</v>
      </c>
      <c r="H84" s="960"/>
      <c r="I84" s="1302">
        <f>I80</f>
        <v>0</v>
      </c>
      <c r="J84" s="1161">
        <v>0</v>
      </c>
      <c r="K84" s="1160">
        <f>I84*J84</f>
        <v>0</v>
      </c>
      <c r="L84" s="960"/>
      <c r="M84" s="1302">
        <f>M80</f>
        <v>0</v>
      </c>
      <c r="N84" s="1161">
        <v>0</v>
      </c>
      <c r="O84" s="1160">
        <f>M84*N84</f>
        <v>0</v>
      </c>
      <c r="P84" s="960"/>
      <c r="Q84" s="1302">
        <f>Q80</f>
        <v>0</v>
      </c>
      <c r="R84" s="1161">
        <v>0</v>
      </c>
      <c r="S84" s="1160">
        <f>Q84*R84</f>
        <v>0</v>
      </c>
      <c r="T84" s="960"/>
      <c r="U84" s="1302">
        <f>U80</f>
        <v>0</v>
      </c>
      <c r="V84" s="1161">
        <v>0</v>
      </c>
      <c r="W84" s="1160">
        <f>U84*V84</f>
        <v>0</v>
      </c>
      <c r="X84" s="960"/>
      <c r="Y84" s="1302">
        <f>Y80</f>
        <v>0</v>
      </c>
      <c r="Z84" s="1161">
        <v>0</v>
      </c>
      <c r="AA84" s="1160">
        <f>Y84*Z84</f>
        <v>0</v>
      </c>
      <c r="AB84" s="960"/>
      <c r="AC84" s="1162">
        <f>AVERAGE(Z84,V84,R84,N84,J84,F84)</f>
        <v>0</v>
      </c>
      <c r="AD84" s="1200">
        <f>AA84+W84+S84+O84+K84+G84</f>
        <v>0</v>
      </c>
      <c r="AE84" s="967"/>
    </row>
    <row r="85" spans="1:31" ht="25.5" customHeight="1" x14ac:dyDescent="0.25">
      <c r="A85" s="1370"/>
      <c r="B85" s="1371"/>
      <c r="C85" s="1178" t="s">
        <v>394</v>
      </c>
      <c r="D85" s="960"/>
      <c r="E85" s="1303"/>
      <c r="F85" s="1161">
        <v>0</v>
      </c>
      <c r="G85" s="1160">
        <f>E85*F85</f>
        <v>0</v>
      </c>
      <c r="H85" s="960"/>
      <c r="I85" s="1303"/>
      <c r="J85" s="1161">
        <v>0</v>
      </c>
      <c r="K85" s="1160">
        <f>I85*J85</f>
        <v>0</v>
      </c>
      <c r="L85" s="960"/>
      <c r="M85" s="1303"/>
      <c r="N85" s="1161">
        <v>0</v>
      </c>
      <c r="O85" s="1160">
        <f>M85*N85</f>
        <v>0</v>
      </c>
      <c r="P85" s="960"/>
      <c r="Q85" s="1303"/>
      <c r="R85" s="1161">
        <v>0</v>
      </c>
      <c r="S85" s="1160">
        <f>Q85*R85</f>
        <v>0</v>
      </c>
      <c r="T85" s="960"/>
      <c r="U85" s="1303"/>
      <c r="V85" s="1161">
        <v>0</v>
      </c>
      <c r="W85" s="1160">
        <f>U85*V85</f>
        <v>0</v>
      </c>
      <c r="X85" s="960"/>
      <c r="Y85" s="1303"/>
      <c r="Z85" s="1161">
        <v>0</v>
      </c>
      <c r="AA85" s="1160">
        <f>Y85*Z85</f>
        <v>0</v>
      </c>
      <c r="AB85" s="960"/>
      <c r="AC85" s="1162">
        <f>AVERAGE(Z85,V85,R85,N85,J85,F85)</f>
        <v>0</v>
      </c>
      <c r="AD85" s="1200">
        <f>AA85+W85+S85+O85+K85+G85</f>
        <v>0</v>
      </c>
      <c r="AE85" s="967"/>
    </row>
    <row r="86" spans="1:31" ht="15" customHeight="1" x14ac:dyDescent="0.25">
      <c r="A86" s="960"/>
      <c r="B86" s="960"/>
      <c r="C86" s="960"/>
      <c r="D86" s="960"/>
      <c r="E86" s="960"/>
      <c r="F86" s="960"/>
      <c r="G86" s="960"/>
      <c r="H86" s="960"/>
      <c r="I86" s="960"/>
      <c r="J86" s="960"/>
      <c r="K86" s="960"/>
      <c r="L86" s="960"/>
      <c r="M86" s="960"/>
      <c r="N86" s="960"/>
      <c r="O86" s="960"/>
      <c r="P86" s="960"/>
      <c r="Q86" s="960"/>
      <c r="R86" s="960"/>
      <c r="S86" s="960"/>
      <c r="T86" s="960"/>
      <c r="U86" s="960"/>
      <c r="V86" s="960"/>
      <c r="W86" s="960"/>
      <c r="X86" s="960"/>
      <c r="Y86" s="960"/>
      <c r="Z86" s="960"/>
      <c r="AA86" s="960"/>
      <c r="AB86" s="960"/>
      <c r="AC86" s="960"/>
      <c r="AD86" s="960"/>
      <c r="AE86" s="967"/>
    </row>
    <row r="87" spans="1:31" ht="15" customHeight="1" thickBot="1" x14ac:dyDescent="0.3">
      <c r="A87" s="959"/>
      <c r="B87" s="960"/>
      <c r="C87" s="960"/>
      <c r="D87" s="960"/>
      <c r="E87" s="960"/>
      <c r="F87" s="960"/>
      <c r="G87" s="960"/>
      <c r="H87" s="960"/>
      <c r="I87" s="960"/>
      <c r="J87" s="960"/>
      <c r="K87" s="960"/>
      <c r="L87" s="960"/>
      <c r="M87" s="960"/>
      <c r="N87" s="960"/>
      <c r="O87" s="960"/>
      <c r="P87" s="960"/>
      <c r="Q87" s="960"/>
      <c r="R87" s="960"/>
      <c r="S87" s="960"/>
      <c r="T87" s="960"/>
      <c r="U87" s="960"/>
      <c r="V87" s="960"/>
      <c r="W87" s="960"/>
      <c r="X87" s="960"/>
      <c r="Y87" s="960"/>
      <c r="Z87" s="960"/>
      <c r="AA87" s="960"/>
      <c r="AB87" s="960"/>
      <c r="AC87" s="960"/>
      <c r="AD87" s="960"/>
      <c r="AE87" s="967"/>
    </row>
    <row r="88" spans="1:31" ht="25.5" customHeight="1" thickBot="1" x14ac:dyDescent="0.3">
      <c r="A88" s="1355" t="s">
        <v>395</v>
      </c>
      <c r="B88" s="1356"/>
      <c r="C88" s="1357"/>
      <c r="D88" s="960"/>
      <c r="E88" s="960"/>
      <c r="F88" s="960"/>
      <c r="G88" s="960"/>
      <c r="H88" s="960"/>
      <c r="I88" s="960"/>
      <c r="J88" s="960"/>
      <c r="K88" s="960"/>
      <c r="L88" s="960"/>
      <c r="M88" s="960"/>
      <c r="N88" s="960"/>
      <c r="O88" s="960"/>
      <c r="P88" s="960"/>
      <c r="Q88" s="960"/>
      <c r="R88" s="960"/>
      <c r="S88" s="960"/>
      <c r="T88" s="960"/>
      <c r="U88" s="960"/>
      <c r="V88" s="960"/>
      <c r="W88" s="960"/>
      <c r="X88" s="960"/>
      <c r="Y88" s="960"/>
      <c r="Z88" s="960"/>
      <c r="AA88" s="960"/>
      <c r="AB88" s="960"/>
      <c r="AC88" s="960"/>
      <c r="AD88" s="960"/>
      <c r="AE88" s="967"/>
    </row>
    <row r="89" spans="1:31" ht="38.5" customHeight="1" x14ac:dyDescent="0.25">
      <c r="A89" s="1372" t="s">
        <v>396</v>
      </c>
      <c r="B89" s="1373"/>
      <c r="C89" s="1374"/>
      <c r="D89" s="960"/>
      <c r="E89" s="960"/>
      <c r="F89" s="960"/>
      <c r="G89" s="960"/>
      <c r="H89" s="960"/>
      <c r="I89" s="960"/>
      <c r="J89" s="960"/>
      <c r="K89" s="960"/>
      <c r="L89" s="960"/>
      <c r="M89" s="960"/>
      <c r="N89" s="960"/>
      <c r="O89" s="960"/>
      <c r="P89" s="960"/>
      <c r="Q89" s="960"/>
      <c r="R89" s="960"/>
      <c r="S89" s="960"/>
      <c r="T89" s="960"/>
      <c r="U89" s="960"/>
      <c r="V89" s="960"/>
      <c r="W89" s="960"/>
      <c r="X89" s="960"/>
      <c r="Y89" s="960"/>
      <c r="Z89" s="960"/>
      <c r="AA89" s="960"/>
      <c r="AB89" s="960"/>
      <c r="AC89" s="960"/>
      <c r="AD89" s="960"/>
      <c r="AE89" s="967"/>
    </row>
    <row r="90" spans="1:31" ht="30" customHeight="1" x14ac:dyDescent="0.25">
      <c r="A90" s="1299" t="s">
        <v>397</v>
      </c>
      <c r="B90" s="1300"/>
      <c r="C90" s="1301"/>
      <c r="D90" s="965"/>
      <c r="E90" s="965"/>
      <c r="F90" s="965"/>
      <c r="G90" s="965"/>
      <c r="H90" s="965"/>
      <c r="I90" s="965"/>
      <c r="J90" s="965"/>
      <c r="K90" s="965"/>
      <c r="L90" s="960"/>
      <c r="M90" s="960"/>
      <c r="N90" s="960"/>
      <c r="O90" s="960"/>
      <c r="P90" s="960"/>
      <c r="Q90" s="960"/>
      <c r="R90" s="960"/>
      <c r="S90" s="960"/>
      <c r="T90" s="960"/>
      <c r="U90" s="960"/>
      <c r="V90" s="960"/>
      <c r="W90" s="960"/>
      <c r="X90" s="960"/>
      <c r="Y90" s="960"/>
      <c r="Z90" s="960"/>
      <c r="AA90" s="960"/>
      <c r="AB90" s="960"/>
      <c r="AC90" s="960"/>
      <c r="AD90" s="960"/>
      <c r="AE90" s="967"/>
    </row>
    <row r="91" spans="1:31" ht="63" customHeight="1" x14ac:dyDescent="0.25">
      <c r="A91" s="1343" t="s">
        <v>398</v>
      </c>
      <c r="B91" s="1343"/>
      <c r="C91" s="1343"/>
      <c r="D91" s="960"/>
      <c r="E91" s="960"/>
      <c r="F91" s="960"/>
      <c r="G91" s="960"/>
      <c r="H91" s="960"/>
      <c r="I91" s="960"/>
      <c r="J91" s="960"/>
      <c r="K91" s="960"/>
      <c r="L91" s="960"/>
      <c r="M91" s="960"/>
      <c r="N91" s="960"/>
      <c r="O91" s="960"/>
      <c r="P91" s="960"/>
      <c r="Q91" s="960"/>
      <c r="R91" s="960"/>
      <c r="S91" s="960"/>
      <c r="T91" s="960"/>
      <c r="U91" s="960"/>
      <c r="V91" s="960"/>
      <c r="W91" s="960"/>
      <c r="X91" s="960"/>
      <c r="Y91" s="960"/>
      <c r="Z91" s="960"/>
      <c r="AA91" s="960"/>
      <c r="AB91" s="960"/>
      <c r="AC91" s="960"/>
      <c r="AD91" s="960"/>
      <c r="AE91" s="967"/>
    </row>
    <row r="92" spans="1:31" ht="29.5" customHeight="1" x14ac:dyDescent="0.25">
      <c r="A92" s="1299" t="s">
        <v>399</v>
      </c>
      <c r="B92" s="1300"/>
      <c r="C92" s="1301"/>
      <c r="D92" s="960"/>
      <c r="E92" s="960"/>
      <c r="F92" s="960"/>
      <c r="G92" s="960"/>
      <c r="H92" s="960"/>
      <c r="I92" s="960"/>
      <c r="J92" s="960"/>
      <c r="K92" s="960"/>
      <c r="L92" s="960"/>
      <c r="M92" s="960"/>
      <c r="N92" s="960"/>
      <c r="O92" s="960"/>
      <c r="P92" s="960"/>
      <c r="Q92" s="960"/>
      <c r="R92" s="960"/>
      <c r="S92" s="960"/>
      <c r="T92" s="960"/>
      <c r="U92" s="960"/>
      <c r="V92" s="960"/>
      <c r="W92" s="960"/>
      <c r="X92" s="960"/>
      <c r="Y92" s="960"/>
      <c r="Z92" s="960"/>
      <c r="AA92" s="960"/>
      <c r="AB92" s="960"/>
      <c r="AC92" s="960"/>
      <c r="AD92" s="960"/>
      <c r="AE92" s="967"/>
    </row>
    <row r="93" spans="1:31" ht="13" customHeight="1" thickBot="1" x14ac:dyDescent="0.3">
      <c r="A93" s="968"/>
      <c r="B93" s="969"/>
      <c r="C93" s="969"/>
      <c r="D93" s="966"/>
      <c r="E93" s="966"/>
      <c r="F93" s="966"/>
      <c r="G93" s="966"/>
      <c r="H93" s="966"/>
      <c r="I93" s="966"/>
      <c r="J93" s="966"/>
      <c r="K93" s="966"/>
      <c r="L93" s="966"/>
      <c r="M93" s="966"/>
      <c r="N93" s="966"/>
      <c r="O93" s="966"/>
      <c r="P93" s="966"/>
      <c r="Q93" s="966"/>
      <c r="R93" s="966"/>
      <c r="S93" s="966"/>
      <c r="T93" s="966"/>
      <c r="U93" s="966"/>
      <c r="V93" s="966"/>
      <c r="W93" s="966"/>
      <c r="X93" s="966"/>
      <c r="Y93" s="966"/>
      <c r="Z93" s="966"/>
      <c r="AA93" s="966"/>
      <c r="AB93" s="966"/>
      <c r="AC93" s="966"/>
      <c r="AD93" s="966"/>
      <c r="AE93" s="970"/>
    </row>
    <row r="94" spans="1:31" x14ac:dyDescent="0.25">
      <c r="A94" s="796"/>
      <c r="B94" s="796"/>
      <c r="C94" s="796"/>
    </row>
    <row r="95" spans="1:31" x14ac:dyDescent="0.25">
      <c r="A95" s="796"/>
      <c r="B95" s="796"/>
      <c r="C95" s="796"/>
    </row>
    <row r="96" spans="1:31" x14ac:dyDescent="0.25">
      <c r="A96" s="796"/>
      <c r="B96" s="796"/>
      <c r="C96" s="796"/>
    </row>
    <row r="97" spans="1:3" x14ac:dyDescent="0.25">
      <c r="A97" s="796"/>
      <c r="B97" s="796"/>
      <c r="C97" s="796"/>
    </row>
    <row r="98" spans="1:3" x14ac:dyDescent="0.25">
      <c r="A98" s="796"/>
      <c r="B98" s="796"/>
      <c r="C98" s="796"/>
    </row>
    <row r="99" spans="1:3" ht="13" customHeight="1" x14ac:dyDescent="0.25">
      <c r="B99" s="577"/>
      <c r="C99" s="577"/>
    </row>
    <row r="100" spans="1:3" x14ac:dyDescent="0.25">
      <c r="A100" s="577"/>
      <c r="B100" s="577"/>
      <c r="C100" s="577"/>
    </row>
    <row r="101" spans="1:3" x14ac:dyDescent="0.25">
      <c r="A101" s="577"/>
      <c r="B101" s="577"/>
      <c r="C101" s="577"/>
    </row>
    <row r="102" spans="1:3" x14ac:dyDescent="0.25">
      <c r="A102" s="577"/>
      <c r="B102" s="577"/>
      <c r="C102" s="577"/>
    </row>
  </sheetData>
  <mergeCells count="140">
    <mergeCell ref="A58:C58"/>
    <mergeCell ref="A68:C68"/>
    <mergeCell ref="U68:V68"/>
    <mergeCell ref="A65:C65"/>
    <mergeCell ref="A66:B66"/>
    <mergeCell ref="C66:C67"/>
    <mergeCell ref="A67:B67"/>
    <mergeCell ref="A63:C63"/>
    <mergeCell ref="Q79:S79"/>
    <mergeCell ref="U79:W79"/>
    <mergeCell ref="U62:W62"/>
    <mergeCell ref="A79:C80"/>
    <mergeCell ref="Q80:S80"/>
    <mergeCell ref="U80:W80"/>
    <mergeCell ref="E62:G62"/>
    <mergeCell ref="I62:K62"/>
    <mergeCell ref="M62:O62"/>
    <mergeCell ref="Q62:S62"/>
    <mergeCell ref="M79:O79"/>
    <mergeCell ref="A59:C59"/>
    <mergeCell ref="A84:B85"/>
    <mergeCell ref="E84:E85"/>
    <mergeCell ref="I84:I85"/>
    <mergeCell ref="M84:M85"/>
    <mergeCell ref="Q84:Q85"/>
    <mergeCell ref="U84:U85"/>
    <mergeCell ref="A88:C88"/>
    <mergeCell ref="A89:C89"/>
    <mergeCell ref="A90:C90"/>
    <mergeCell ref="A91:C91"/>
    <mergeCell ref="A92:C92"/>
    <mergeCell ref="A42:C42"/>
    <mergeCell ref="A43:B43"/>
    <mergeCell ref="A44:B44"/>
    <mergeCell ref="A45:B45"/>
    <mergeCell ref="A46:B46"/>
    <mergeCell ref="A47:C47"/>
    <mergeCell ref="Y79:AA79"/>
    <mergeCell ref="A72:C72"/>
    <mergeCell ref="A75:C75"/>
    <mergeCell ref="E72:G72"/>
    <mergeCell ref="I72:K72"/>
    <mergeCell ref="M72:O72"/>
    <mergeCell ref="Q72:S72"/>
    <mergeCell ref="U72:W72"/>
    <mergeCell ref="Y72:AA72"/>
    <mergeCell ref="A74:C74"/>
    <mergeCell ref="A76:C76"/>
    <mergeCell ref="U77:V77"/>
    <mergeCell ref="Y77:Z77"/>
    <mergeCell ref="A77:C77"/>
    <mergeCell ref="E79:G79"/>
    <mergeCell ref="I79:K79"/>
    <mergeCell ref="A25:B25"/>
    <mergeCell ref="A26:B26"/>
    <mergeCell ref="A27:B27"/>
    <mergeCell ref="A28:B28"/>
    <mergeCell ref="A29:B29"/>
    <mergeCell ref="A30:B30"/>
    <mergeCell ref="A57:C57"/>
    <mergeCell ref="A31:B31"/>
    <mergeCell ref="A32:B32"/>
    <mergeCell ref="A35:C35"/>
    <mergeCell ref="A36:B36"/>
    <mergeCell ref="A37:B37"/>
    <mergeCell ref="A38:B38"/>
    <mergeCell ref="A39:B39"/>
    <mergeCell ref="A40:C40"/>
    <mergeCell ref="A54:C54"/>
    <mergeCell ref="A49:C49"/>
    <mergeCell ref="A50:B50"/>
    <mergeCell ref="A51:B51"/>
    <mergeCell ref="A52:B52"/>
    <mergeCell ref="A53:B53"/>
    <mergeCell ref="A56:C56"/>
    <mergeCell ref="A2:B2"/>
    <mergeCell ref="B4:C4"/>
    <mergeCell ref="E4:G4"/>
    <mergeCell ref="I4:K4"/>
    <mergeCell ref="M4:O4"/>
    <mergeCell ref="Q4:S4"/>
    <mergeCell ref="U4:W4"/>
    <mergeCell ref="Y4:AA4"/>
    <mergeCell ref="B5:C5"/>
    <mergeCell ref="E6:G6"/>
    <mergeCell ref="I6:K6"/>
    <mergeCell ref="M6:O6"/>
    <mergeCell ref="Q6:S6"/>
    <mergeCell ref="U6:W6"/>
    <mergeCell ref="Y6:AA6"/>
    <mergeCell ref="BG5:BI5"/>
    <mergeCell ref="AC7:AD7"/>
    <mergeCell ref="U54:V54"/>
    <mergeCell ref="Y54:Z54"/>
    <mergeCell ref="I7:K7"/>
    <mergeCell ref="M7:O7"/>
    <mergeCell ref="Q7:S7"/>
    <mergeCell ref="U7:W7"/>
    <mergeCell ref="Y7:AA7"/>
    <mergeCell ref="Y40:Z40"/>
    <mergeCell ref="AC6:AD6"/>
    <mergeCell ref="E7:G7"/>
    <mergeCell ref="U40:V40"/>
    <mergeCell ref="A17:B17"/>
    <mergeCell ref="A18:B18"/>
    <mergeCell ref="A19:B19"/>
    <mergeCell ref="A7:C7"/>
    <mergeCell ref="A8:B8"/>
    <mergeCell ref="A9:B9"/>
    <mergeCell ref="A10:B10"/>
    <mergeCell ref="A11:B11"/>
    <mergeCell ref="A12:B12"/>
    <mergeCell ref="A13:B13"/>
    <mergeCell ref="A14:B14"/>
    <mergeCell ref="A15:B15"/>
    <mergeCell ref="A16:B16"/>
    <mergeCell ref="A20:B20"/>
    <mergeCell ref="A21:B21"/>
    <mergeCell ref="Y80:AA80"/>
    <mergeCell ref="E80:G80"/>
    <mergeCell ref="I80:K80"/>
    <mergeCell ref="M80:O80"/>
    <mergeCell ref="Y84:Y85"/>
    <mergeCell ref="Y62:AA62"/>
    <mergeCell ref="E71:G71"/>
    <mergeCell ref="I71:K71"/>
    <mergeCell ref="M71:O71"/>
    <mergeCell ref="Q71:S71"/>
    <mergeCell ref="U71:W71"/>
    <mergeCell ref="Y71:AA71"/>
    <mergeCell ref="E63:G63"/>
    <mergeCell ref="I63:K63"/>
    <mergeCell ref="M63:O63"/>
    <mergeCell ref="Q63:S63"/>
    <mergeCell ref="U63:W63"/>
    <mergeCell ref="Y63:AA63"/>
    <mergeCell ref="Y68:Z68"/>
    <mergeCell ref="A22:B22"/>
    <mergeCell ref="A23:B23"/>
    <mergeCell ref="A24:B24"/>
  </mergeCells>
  <phoneticPr fontId="20" type="noConversion"/>
  <pageMargins left="0.25" right="0.25" top="0.75" bottom="0.75" header="0.3" footer="0.3"/>
  <pageSetup scale="39" fitToHeight="3" orientation="landscape" r:id="rId1"/>
  <headerFooter alignWithMargins="0"/>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BCA02-F6E6-4764-A86D-EF91370CAA1E}">
  <sheetPr codeName="Sheet29"/>
  <dimension ref="A1:O67"/>
  <sheetViews>
    <sheetView zoomScaleNormal="100" workbookViewId="0">
      <selection activeCell="I2" sqref="I2:M4"/>
    </sheetView>
  </sheetViews>
  <sheetFormatPr defaultColWidth="8.7265625" defaultRowHeight="13" x14ac:dyDescent="0.25"/>
  <cols>
    <col min="1" max="1" width="5.1796875" style="857" customWidth="1"/>
    <col min="2" max="2" width="13.26953125" style="857" customWidth="1"/>
    <col min="3" max="3" width="25.453125" style="857" customWidth="1"/>
    <col min="4" max="4" width="8.7265625" style="857"/>
    <col min="5" max="5" width="10.453125" style="857" customWidth="1"/>
    <col min="6" max="6" width="8.1796875" style="857" customWidth="1"/>
    <col min="7" max="7" width="11.1796875" style="857" customWidth="1"/>
    <col min="8" max="8" width="15.54296875" style="857" customWidth="1"/>
    <col min="9" max="9" width="16.453125" style="857" customWidth="1"/>
    <col min="10" max="11" width="14.7265625" style="857" customWidth="1"/>
    <col min="12" max="12" width="16.81640625" style="857" customWidth="1"/>
    <col min="13" max="13" width="14.54296875" style="857" customWidth="1"/>
    <col min="14" max="14" width="11.453125" style="857" customWidth="1"/>
    <col min="15" max="15" width="20.81640625" style="857" customWidth="1"/>
    <col min="16" max="16384" width="8.7265625" style="857"/>
  </cols>
  <sheetData>
    <row r="1" spans="1:15" ht="13.5" thickBot="1" x14ac:dyDescent="0.3">
      <c r="A1" s="1008"/>
      <c r="B1" s="1018"/>
      <c r="C1" s="1018"/>
      <c r="D1" s="1018"/>
      <c r="E1" s="1018"/>
      <c r="F1" s="1018"/>
      <c r="G1" s="1018"/>
      <c r="H1" s="1018"/>
      <c r="I1" s="1018"/>
      <c r="J1" s="1018"/>
      <c r="K1" s="1018"/>
      <c r="L1" s="1018"/>
      <c r="M1" s="1018"/>
      <c r="N1" s="1018"/>
      <c r="O1" s="1017"/>
    </row>
    <row r="2" spans="1:15" ht="36" customHeight="1" thickBot="1" x14ac:dyDescent="0.3">
      <c r="A2" s="1009"/>
      <c r="B2" s="1380" t="s">
        <v>537</v>
      </c>
      <c r="C2" s="1381"/>
      <c r="D2" s="1013"/>
      <c r="E2" s="1013"/>
      <c r="F2" s="1013"/>
      <c r="G2" s="1013"/>
      <c r="H2" s="1027" t="s">
        <v>292</v>
      </c>
      <c r="I2" s="1384" t="s">
        <v>401</v>
      </c>
      <c r="J2" s="1385"/>
      <c r="K2" s="1385"/>
      <c r="L2" s="1385"/>
      <c r="M2" s="1386"/>
      <c r="N2" s="1013"/>
      <c r="O2" s="1016"/>
    </row>
    <row r="3" spans="1:15" ht="32.15" customHeight="1" x14ac:dyDescent="0.25">
      <c r="A3" s="1009"/>
      <c r="B3" s="1013"/>
      <c r="C3" s="1019"/>
      <c r="D3" s="1013"/>
      <c r="E3" s="1013"/>
      <c r="F3" s="1013"/>
      <c r="G3" s="1020"/>
      <c r="H3" s="1020"/>
      <c r="I3" s="1387"/>
      <c r="J3" s="1388"/>
      <c r="K3" s="1388"/>
      <c r="L3" s="1388"/>
      <c r="M3" s="1389"/>
      <c r="N3" s="1013"/>
      <c r="O3" s="1016"/>
    </row>
    <row r="4" spans="1:15" x14ac:dyDescent="0.25">
      <c r="A4" s="1009"/>
      <c r="B4" s="1013"/>
      <c r="C4" s="1013"/>
      <c r="D4" s="1013"/>
      <c r="E4" s="1020"/>
      <c r="F4" s="1020"/>
      <c r="G4" s="1020"/>
      <c r="H4" s="1020"/>
      <c r="I4" s="1390"/>
      <c r="J4" s="1391"/>
      <c r="K4" s="1391"/>
      <c r="L4" s="1391"/>
      <c r="M4" s="1392"/>
      <c r="N4" s="1013"/>
      <c r="O4" s="1016"/>
    </row>
    <row r="5" spans="1:15" ht="13.5" thickBot="1" x14ac:dyDescent="0.3">
      <c r="A5" s="1009"/>
      <c r="B5" s="1013"/>
      <c r="C5" s="1013"/>
      <c r="D5" s="1013"/>
      <c r="E5" s="1013"/>
      <c r="F5" s="1013"/>
      <c r="G5" s="1013"/>
      <c r="H5" s="1013"/>
      <c r="I5" s="1013"/>
      <c r="J5" s="1013"/>
      <c r="K5" s="1013"/>
      <c r="L5" s="1022"/>
      <c r="M5" s="1022"/>
      <c r="N5" s="1013"/>
      <c r="O5" s="1016"/>
    </row>
    <row r="6" spans="1:15" ht="31" customHeight="1" thickBot="1" x14ac:dyDescent="0.3">
      <c r="A6" s="1009"/>
      <c r="B6" s="1382" t="str">
        <f>General!D4</f>
        <v>Name</v>
      </c>
      <c r="C6" s="1383"/>
      <c r="D6" s="1021"/>
      <c r="E6" s="1021"/>
      <c r="F6" s="1013"/>
      <c r="G6" s="1013"/>
      <c r="H6" s="1379"/>
      <c r="I6" s="1379"/>
      <c r="J6" s="1379"/>
      <c r="K6" s="1379"/>
      <c r="L6" s="1013"/>
      <c r="M6" s="1013"/>
      <c r="N6" s="1013"/>
      <c r="O6" s="1016"/>
    </row>
    <row r="7" spans="1:15" ht="39.5" thickBot="1" x14ac:dyDescent="0.3">
      <c r="A7" s="1009"/>
      <c r="B7" s="882" t="s">
        <v>402</v>
      </c>
      <c r="C7" s="883" t="s">
        <v>403</v>
      </c>
      <c r="D7" s="884" t="s">
        <v>404</v>
      </c>
      <c r="E7" s="884" t="s">
        <v>405</v>
      </c>
      <c r="F7" s="884" t="s">
        <v>406</v>
      </c>
      <c r="G7" s="884" t="s">
        <v>405</v>
      </c>
      <c r="H7" s="1036" t="s">
        <v>407</v>
      </c>
      <c r="I7" s="1036" t="s">
        <v>408</v>
      </c>
      <c r="J7" s="1036" t="s">
        <v>409</v>
      </c>
      <c r="K7" s="1036" t="s">
        <v>410</v>
      </c>
      <c r="L7" s="886" t="s">
        <v>411</v>
      </c>
      <c r="M7" s="887" t="s">
        <v>412</v>
      </c>
      <c r="N7" s="1013"/>
      <c r="O7" s="1016"/>
    </row>
    <row r="8" spans="1:15" x14ac:dyDescent="0.25">
      <c r="A8" s="1009"/>
      <c r="B8" s="888" t="s">
        <v>538</v>
      </c>
      <c r="C8" s="889"/>
      <c r="D8" s="889"/>
      <c r="E8" s="889"/>
      <c r="F8" s="889"/>
      <c r="G8" s="1034"/>
      <c r="H8" s="892">
        <v>0</v>
      </c>
      <c r="I8" s="892">
        <v>0</v>
      </c>
      <c r="J8" s="892">
        <v>0</v>
      </c>
      <c r="K8" s="892">
        <v>0</v>
      </c>
      <c r="L8" s="1035">
        <f t="shared" ref="L8:L14" si="0">SUM(H8:K8)</f>
        <v>0</v>
      </c>
      <c r="M8" s="1378"/>
      <c r="N8" s="1013"/>
      <c r="O8" s="1016"/>
    </row>
    <row r="9" spans="1:15" x14ac:dyDescent="0.25">
      <c r="A9" s="1009"/>
      <c r="B9" s="888" t="s">
        <v>538</v>
      </c>
      <c r="C9" s="1169"/>
      <c r="D9" s="1169"/>
      <c r="E9" s="1169"/>
      <c r="F9" s="1169"/>
      <c r="G9" s="881"/>
      <c r="H9" s="892">
        <v>0</v>
      </c>
      <c r="I9" s="892">
        <v>0</v>
      </c>
      <c r="J9" s="892">
        <v>0</v>
      </c>
      <c r="K9" s="892">
        <v>0</v>
      </c>
      <c r="L9" s="906">
        <f t="shared" si="0"/>
        <v>0</v>
      </c>
      <c r="M9" s="1378"/>
      <c r="N9" s="1013"/>
      <c r="O9" s="1016"/>
    </row>
    <row r="10" spans="1:15" x14ac:dyDescent="0.25">
      <c r="A10" s="1009"/>
      <c r="B10" s="888" t="s">
        <v>538</v>
      </c>
      <c r="C10" s="1169"/>
      <c r="D10" s="1169"/>
      <c r="E10" s="1169"/>
      <c r="F10" s="1169"/>
      <c r="G10" s="881"/>
      <c r="H10" s="892">
        <v>0</v>
      </c>
      <c r="I10" s="892">
        <v>0</v>
      </c>
      <c r="J10" s="892">
        <v>0</v>
      </c>
      <c r="K10" s="892">
        <v>0</v>
      </c>
      <c r="L10" s="906">
        <f t="shared" si="0"/>
        <v>0</v>
      </c>
      <c r="M10" s="1378"/>
      <c r="N10" s="1013"/>
      <c r="O10" s="1016"/>
    </row>
    <row r="11" spans="1:15" x14ac:dyDescent="0.25">
      <c r="A11" s="1009"/>
      <c r="B11" s="888" t="s">
        <v>538</v>
      </c>
      <c r="C11" s="1169"/>
      <c r="D11" s="1169"/>
      <c r="E11" s="1169"/>
      <c r="F11" s="1169"/>
      <c r="G11" s="881"/>
      <c r="H11" s="892">
        <v>0</v>
      </c>
      <c r="I11" s="892">
        <v>0</v>
      </c>
      <c r="J11" s="892">
        <v>0</v>
      </c>
      <c r="K11" s="892">
        <v>0</v>
      </c>
      <c r="L11" s="906">
        <f t="shared" si="0"/>
        <v>0</v>
      </c>
      <c r="M11" s="1378"/>
      <c r="N11" s="1013"/>
      <c r="O11" s="1016"/>
    </row>
    <row r="12" spans="1:15" x14ac:dyDescent="0.25">
      <c r="A12" s="1009"/>
      <c r="B12" s="888" t="s">
        <v>538</v>
      </c>
      <c r="C12" s="1169"/>
      <c r="D12" s="1169"/>
      <c r="E12" s="1169"/>
      <c r="F12" s="1169"/>
      <c r="G12" s="881"/>
      <c r="H12" s="892">
        <v>0</v>
      </c>
      <c r="I12" s="892">
        <v>0</v>
      </c>
      <c r="J12" s="892">
        <v>0</v>
      </c>
      <c r="K12" s="892">
        <v>0</v>
      </c>
      <c r="L12" s="906">
        <f t="shared" si="0"/>
        <v>0</v>
      </c>
      <c r="M12" s="1378"/>
      <c r="N12" s="1013"/>
      <c r="O12" s="1016"/>
    </row>
    <row r="13" spans="1:15" x14ac:dyDescent="0.25">
      <c r="A13" s="1009"/>
      <c r="B13" s="888" t="s">
        <v>538</v>
      </c>
      <c r="C13" s="1169"/>
      <c r="D13" s="1169"/>
      <c r="E13" s="1169"/>
      <c r="F13" s="1169"/>
      <c r="G13" s="881"/>
      <c r="H13" s="892">
        <v>0</v>
      </c>
      <c r="I13" s="892">
        <v>0</v>
      </c>
      <c r="J13" s="892">
        <v>0</v>
      </c>
      <c r="K13" s="892">
        <v>0</v>
      </c>
      <c r="L13" s="906">
        <f t="shared" si="0"/>
        <v>0</v>
      </c>
      <c r="M13" s="1378"/>
      <c r="N13" s="1013"/>
      <c r="O13" s="1016"/>
    </row>
    <row r="14" spans="1:15" ht="13.5" thickBot="1" x14ac:dyDescent="0.3">
      <c r="A14" s="1009"/>
      <c r="B14" s="888" t="s">
        <v>538</v>
      </c>
      <c r="C14" s="894"/>
      <c r="D14" s="894"/>
      <c r="E14" s="894"/>
      <c r="F14" s="894"/>
      <c r="G14" s="1032"/>
      <c r="H14" s="892">
        <v>0</v>
      </c>
      <c r="I14" s="892">
        <v>0</v>
      </c>
      <c r="J14" s="892">
        <v>0</v>
      </c>
      <c r="K14" s="892">
        <v>0</v>
      </c>
      <c r="L14" s="909">
        <f t="shared" si="0"/>
        <v>0</v>
      </c>
      <c r="M14" s="1378"/>
      <c r="N14" s="1013"/>
      <c r="O14" s="1016"/>
    </row>
    <row r="15" spans="1:15" ht="19" customHeight="1" thickBot="1" x14ac:dyDescent="0.3">
      <c r="A15" s="1009"/>
      <c r="B15" s="1375" t="s">
        <v>539</v>
      </c>
      <c r="C15" s="1376"/>
      <c r="D15" s="1376"/>
      <c r="E15" s="1376"/>
      <c r="F15" s="1376"/>
      <c r="G15" s="1376"/>
      <c r="H15" s="1028">
        <f>SUM(H8:H14)</f>
        <v>0</v>
      </c>
      <c r="I15" s="1028">
        <f>SUM(I8:I14)</f>
        <v>0</v>
      </c>
      <c r="J15" s="1028">
        <f>SUM(J8:J14)</f>
        <v>0</v>
      </c>
      <c r="K15" s="1028">
        <f>SUM(K8:K14)</f>
        <v>0</v>
      </c>
      <c r="L15" s="1013"/>
      <c r="M15" s="898">
        <f>SUM(H15:K15)</f>
        <v>0</v>
      </c>
      <c r="N15" s="1013"/>
      <c r="O15" s="1016"/>
    </row>
    <row r="16" spans="1:15" x14ac:dyDescent="0.25">
      <c r="A16" s="1009"/>
      <c r="B16" s="1378"/>
      <c r="C16" s="1378"/>
      <c r="D16" s="1378"/>
      <c r="E16" s="1378"/>
      <c r="F16" s="1378"/>
      <c r="G16" s="1378"/>
      <c r="H16" s="1378"/>
      <c r="I16" s="1378"/>
      <c r="J16" s="1378"/>
      <c r="K16" s="1378"/>
      <c r="L16" s="1378"/>
      <c r="M16" s="1378"/>
      <c r="N16" s="1013"/>
      <c r="O16" s="1016"/>
    </row>
    <row r="17" spans="1:15" ht="13.5" thickBot="1" x14ac:dyDescent="0.3">
      <c r="A17" s="1009"/>
      <c r="B17" s="1378"/>
      <c r="C17" s="1378"/>
      <c r="D17" s="1378"/>
      <c r="E17" s="1378"/>
      <c r="F17" s="1378"/>
      <c r="G17" s="1378"/>
      <c r="H17" s="1378"/>
      <c r="I17" s="1378"/>
      <c r="J17" s="1378"/>
      <c r="K17" s="1378"/>
      <c r="L17" s="1378"/>
      <c r="M17" s="1378"/>
      <c r="N17" s="1013"/>
      <c r="O17" s="1016"/>
    </row>
    <row r="18" spans="1:15" x14ac:dyDescent="0.25">
      <c r="A18" s="1009"/>
      <c r="B18" s="899" t="s">
        <v>540</v>
      </c>
      <c r="C18" s="900"/>
      <c r="D18" s="900"/>
      <c r="E18" s="900"/>
      <c r="F18" s="900"/>
      <c r="G18" s="900"/>
      <c r="H18" s="901">
        <v>0</v>
      </c>
      <c r="I18" s="901">
        <v>0</v>
      </c>
      <c r="J18" s="901">
        <v>0</v>
      </c>
      <c r="K18" s="902">
        <v>0</v>
      </c>
      <c r="L18" s="903">
        <f t="shared" ref="L18:L24" si="1">SUM(H18:K18)</f>
        <v>0</v>
      </c>
      <c r="M18" s="1378"/>
      <c r="N18" s="1013"/>
      <c r="O18" s="1016"/>
    </row>
    <row r="19" spans="1:15" x14ac:dyDescent="0.25">
      <c r="A19" s="1009"/>
      <c r="B19" s="904" t="s">
        <v>540</v>
      </c>
      <c r="C19" s="1169"/>
      <c r="D19" s="1169"/>
      <c r="E19" s="1169"/>
      <c r="F19" s="1169"/>
      <c r="G19" s="1169"/>
      <c r="H19" s="892">
        <v>0</v>
      </c>
      <c r="I19" s="892">
        <v>0</v>
      </c>
      <c r="J19" s="892">
        <v>0</v>
      </c>
      <c r="K19" s="905">
        <v>0</v>
      </c>
      <c r="L19" s="906">
        <f t="shared" si="1"/>
        <v>0</v>
      </c>
      <c r="M19" s="1378"/>
      <c r="N19" s="1013"/>
      <c r="O19" s="1016"/>
    </row>
    <row r="20" spans="1:15" x14ac:dyDescent="0.25">
      <c r="A20" s="1009"/>
      <c r="B20" s="904" t="s">
        <v>540</v>
      </c>
      <c r="C20" s="1169"/>
      <c r="D20" s="1169"/>
      <c r="E20" s="1169"/>
      <c r="F20" s="1169"/>
      <c r="G20" s="1169"/>
      <c r="H20" s="892">
        <v>0</v>
      </c>
      <c r="I20" s="892">
        <v>0</v>
      </c>
      <c r="J20" s="892">
        <v>0</v>
      </c>
      <c r="K20" s="905">
        <v>0</v>
      </c>
      <c r="L20" s="906">
        <f t="shared" si="1"/>
        <v>0</v>
      </c>
      <c r="M20" s="1378"/>
      <c r="N20" s="1013"/>
      <c r="O20" s="1016"/>
    </row>
    <row r="21" spans="1:15" x14ac:dyDescent="0.25">
      <c r="A21" s="1009"/>
      <c r="B21" s="904" t="s">
        <v>540</v>
      </c>
      <c r="C21" s="1169"/>
      <c r="D21" s="1169"/>
      <c r="E21" s="1169"/>
      <c r="F21" s="1169"/>
      <c r="G21" s="1169"/>
      <c r="H21" s="892">
        <v>0</v>
      </c>
      <c r="I21" s="892">
        <v>0</v>
      </c>
      <c r="J21" s="892">
        <v>0</v>
      </c>
      <c r="K21" s="905">
        <v>0</v>
      </c>
      <c r="L21" s="906">
        <f t="shared" si="1"/>
        <v>0</v>
      </c>
      <c r="M21" s="1378"/>
      <c r="N21" s="1013"/>
      <c r="O21" s="1016"/>
    </row>
    <row r="22" spans="1:15" x14ac:dyDescent="0.25">
      <c r="A22" s="1009"/>
      <c r="B22" s="904" t="s">
        <v>540</v>
      </c>
      <c r="C22" s="1169"/>
      <c r="D22" s="1169"/>
      <c r="E22" s="1169"/>
      <c r="F22" s="1169"/>
      <c r="G22" s="1169"/>
      <c r="H22" s="892">
        <v>0</v>
      </c>
      <c r="I22" s="892">
        <v>0</v>
      </c>
      <c r="J22" s="892">
        <v>0</v>
      </c>
      <c r="K22" s="905">
        <v>0</v>
      </c>
      <c r="L22" s="906">
        <f t="shared" si="1"/>
        <v>0</v>
      </c>
      <c r="M22" s="1378"/>
      <c r="N22" s="1013"/>
      <c r="O22" s="1016"/>
    </row>
    <row r="23" spans="1:15" x14ac:dyDescent="0.25">
      <c r="A23" s="1009"/>
      <c r="B23" s="904" t="s">
        <v>540</v>
      </c>
      <c r="C23" s="1169"/>
      <c r="D23" s="1169"/>
      <c r="E23" s="1169"/>
      <c r="F23" s="1169"/>
      <c r="G23" s="1169"/>
      <c r="H23" s="892">
        <v>0</v>
      </c>
      <c r="I23" s="892">
        <v>0</v>
      </c>
      <c r="J23" s="892">
        <v>0</v>
      </c>
      <c r="K23" s="905">
        <v>0</v>
      </c>
      <c r="L23" s="906">
        <f t="shared" si="1"/>
        <v>0</v>
      </c>
      <c r="M23" s="1378"/>
      <c r="N23" s="1013"/>
      <c r="O23" s="1016"/>
    </row>
    <row r="24" spans="1:15" ht="13.5" thickBot="1" x14ac:dyDescent="0.3">
      <c r="A24" s="1009"/>
      <c r="B24" s="904" t="s">
        <v>540</v>
      </c>
      <c r="C24" s="907"/>
      <c r="D24" s="907"/>
      <c r="E24" s="907"/>
      <c r="F24" s="907"/>
      <c r="G24" s="907"/>
      <c r="H24" s="895">
        <v>0</v>
      </c>
      <c r="I24" s="895">
        <v>0</v>
      </c>
      <c r="J24" s="895">
        <v>0</v>
      </c>
      <c r="K24" s="908">
        <v>0</v>
      </c>
      <c r="L24" s="909">
        <f t="shared" si="1"/>
        <v>0</v>
      </c>
      <c r="M24" s="1378"/>
      <c r="N24" s="1013"/>
      <c r="O24" s="1016"/>
    </row>
    <row r="25" spans="1:15" ht="17.5" customHeight="1" thickBot="1" x14ac:dyDescent="0.3">
      <c r="A25" s="1009"/>
      <c r="B25" s="1375" t="s">
        <v>541</v>
      </c>
      <c r="C25" s="1376"/>
      <c r="D25" s="1376"/>
      <c r="E25" s="1376"/>
      <c r="F25" s="1376"/>
      <c r="G25" s="1376"/>
      <c r="H25" s="1028">
        <f>SUM(H18:H24)</f>
        <v>0</v>
      </c>
      <c r="I25" s="1028">
        <f>SUM(I18:I24)</f>
        <v>0</v>
      </c>
      <c r="J25" s="1028">
        <f>SUM(J18:J24)</f>
        <v>0</v>
      </c>
      <c r="K25" s="1028">
        <f>SUM(K18:K24)</f>
        <v>0</v>
      </c>
      <c r="L25" s="1013"/>
      <c r="M25" s="898">
        <f>SUM(H25:K25)</f>
        <v>0</v>
      </c>
      <c r="N25" s="1013"/>
      <c r="O25" s="1016"/>
    </row>
    <row r="26" spans="1:15" x14ac:dyDescent="0.25">
      <c r="A26" s="1009"/>
      <c r="B26" s="1378"/>
      <c r="C26" s="1378"/>
      <c r="D26" s="1378"/>
      <c r="E26" s="1378"/>
      <c r="F26" s="1378"/>
      <c r="G26" s="1378"/>
      <c r="H26" s="1378"/>
      <c r="I26" s="1378"/>
      <c r="J26" s="1378"/>
      <c r="K26" s="1378"/>
      <c r="L26" s="1378"/>
      <c r="M26" s="1378"/>
      <c r="N26" s="1013"/>
      <c r="O26" s="1016"/>
    </row>
    <row r="27" spans="1:15" ht="13.5" thickBot="1" x14ac:dyDescent="0.3">
      <c r="A27" s="1009"/>
      <c r="B27" s="1378"/>
      <c r="C27" s="1378"/>
      <c r="D27" s="1378"/>
      <c r="E27" s="1378"/>
      <c r="F27" s="1378"/>
      <c r="G27" s="1378"/>
      <c r="H27" s="1378"/>
      <c r="I27" s="1378"/>
      <c r="J27" s="1378"/>
      <c r="K27" s="1378"/>
      <c r="L27" s="1378"/>
      <c r="M27" s="1378"/>
      <c r="N27" s="1013"/>
      <c r="O27" s="1016"/>
    </row>
    <row r="28" spans="1:15" x14ac:dyDescent="0.25">
      <c r="A28" s="1009"/>
      <c r="B28" s="899" t="s">
        <v>542</v>
      </c>
      <c r="C28" s="900"/>
      <c r="D28" s="900"/>
      <c r="E28" s="900"/>
      <c r="F28" s="900"/>
      <c r="G28" s="1031"/>
      <c r="H28" s="892">
        <v>0</v>
      </c>
      <c r="I28" s="892">
        <v>0</v>
      </c>
      <c r="J28" s="892">
        <v>0</v>
      </c>
      <c r="K28" s="892">
        <v>0</v>
      </c>
      <c r="L28" s="903">
        <f t="shared" ref="L28:L34" si="2">SUM(H28:K28)</f>
        <v>0</v>
      </c>
      <c r="M28" s="1378"/>
      <c r="N28" s="1013"/>
      <c r="O28" s="1016"/>
    </row>
    <row r="29" spans="1:15" x14ac:dyDescent="0.25">
      <c r="A29" s="1009"/>
      <c r="B29" s="904" t="s">
        <v>542</v>
      </c>
      <c r="C29" s="1169"/>
      <c r="D29" s="1169"/>
      <c r="E29" s="1169"/>
      <c r="F29" s="1169"/>
      <c r="G29" s="881"/>
      <c r="H29" s="892">
        <v>0</v>
      </c>
      <c r="I29" s="892">
        <v>0</v>
      </c>
      <c r="J29" s="892">
        <v>0</v>
      </c>
      <c r="K29" s="892">
        <v>0</v>
      </c>
      <c r="L29" s="906">
        <f t="shared" si="2"/>
        <v>0</v>
      </c>
      <c r="M29" s="1378"/>
      <c r="N29" s="1013"/>
      <c r="O29" s="1016"/>
    </row>
    <row r="30" spans="1:15" x14ac:dyDescent="0.25">
      <c r="A30" s="1009"/>
      <c r="B30" s="904" t="s">
        <v>542</v>
      </c>
      <c r="C30" s="1169"/>
      <c r="D30" s="1169"/>
      <c r="E30" s="1169"/>
      <c r="F30" s="1169"/>
      <c r="G30" s="881"/>
      <c r="H30" s="892">
        <v>0</v>
      </c>
      <c r="I30" s="892">
        <v>0</v>
      </c>
      <c r="J30" s="892">
        <v>0</v>
      </c>
      <c r="K30" s="892">
        <v>0</v>
      </c>
      <c r="L30" s="906">
        <f t="shared" si="2"/>
        <v>0</v>
      </c>
      <c r="M30" s="1378"/>
      <c r="N30" s="1013"/>
      <c r="O30" s="1016"/>
    </row>
    <row r="31" spans="1:15" x14ac:dyDescent="0.25">
      <c r="A31" s="1009"/>
      <c r="B31" s="904" t="s">
        <v>542</v>
      </c>
      <c r="C31" s="1169"/>
      <c r="D31" s="1169"/>
      <c r="E31" s="1169"/>
      <c r="F31" s="1169"/>
      <c r="G31" s="881"/>
      <c r="H31" s="892">
        <v>0</v>
      </c>
      <c r="I31" s="892">
        <v>0</v>
      </c>
      <c r="J31" s="892">
        <v>0</v>
      </c>
      <c r="K31" s="892">
        <v>0</v>
      </c>
      <c r="L31" s="906">
        <f t="shared" si="2"/>
        <v>0</v>
      </c>
      <c r="M31" s="1378"/>
      <c r="N31" s="1013"/>
      <c r="O31" s="1016"/>
    </row>
    <row r="32" spans="1:15" x14ac:dyDescent="0.25">
      <c r="A32" s="1009"/>
      <c r="B32" s="904" t="s">
        <v>542</v>
      </c>
      <c r="C32" s="1169"/>
      <c r="D32" s="1169"/>
      <c r="E32" s="1169"/>
      <c r="F32" s="1169"/>
      <c r="G32" s="881"/>
      <c r="H32" s="892">
        <v>0</v>
      </c>
      <c r="I32" s="892">
        <v>0</v>
      </c>
      <c r="J32" s="892">
        <v>0</v>
      </c>
      <c r="K32" s="892">
        <v>0</v>
      </c>
      <c r="L32" s="906">
        <f t="shared" si="2"/>
        <v>0</v>
      </c>
      <c r="M32" s="1378"/>
      <c r="N32" s="1013"/>
      <c r="O32" s="1016"/>
    </row>
    <row r="33" spans="1:15" x14ac:dyDescent="0.25">
      <c r="A33" s="1009"/>
      <c r="B33" s="904" t="s">
        <v>542</v>
      </c>
      <c r="C33" s="1169"/>
      <c r="D33" s="1169"/>
      <c r="E33" s="1169"/>
      <c r="F33" s="1169"/>
      <c r="G33" s="881"/>
      <c r="H33" s="892">
        <v>0</v>
      </c>
      <c r="I33" s="892">
        <v>0</v>
      </c>
      <c r="J33" s="892">
        <v>0</v>
      </c>
      <c r="K33" s="892">
        <v>0</v>
      </c>
      <c r="L33" s="906">
        <f t="shared" si="2"/>
        <v>0</v>
      </c>
      <c r="M33" s="1378"/>
      <c r="N33" s="1013"/>
      <c r="O33" s="1016"/>
    </row>
    <row r="34" spans="1:15" ht="13.5" thickBot="1" x14ac:dyDescent="0.3">
      <c r="A34" s="1009"/>
      <c r="B34" s="904" t="s">
        <v>542</v>
      </c>
      <c r="C34" s="894"/>
      <c r="D34" s="894"/>
      <c r="E34" s="894"/>
      <c r="F34" s="894"/>
      <c r="G34" s="1032"/>
      <c r="H34" s="892">
        <v>0</v>
      </c>
      <c r="I34" s="892">
        <v>0</v>
      </c>
      <c r="J34" s="892">
        <v>0</v>
      </c>
      <c r="K34" s="892">
        <v>0</v>
      </c>
      <c r="L34" s="909">
        <f t="shared" si="2"/>
        <v>0</v>
      </c>
      <c r="M34" s="1378"/>
      <c r="N34" s="1013"/>
      <c r="O34" s="1016"/>
    </row>
    <row r="35" spans="1:15" ht="18" customHeight="1" thickBot="1" x14ac:dyDescent="0.3">
      <c r="A35" s="1009"/>
      <c r="B35" s="1375" t="s">
        <v>543</v>
      </c>
      <c r="C35" s="1376"/>
      <c r="D35" s="1376"/>
      <c r="E35" s="1376"/>
      <c r="F35" s="1376"/>
      <c r="G35" s="1376"/>
      <c r="H35" s="1028">
        <f>SUM(H28:H34)</f>
        <v>0</v>
      </c>
      <c r="I35" s="1028">
        <f>SUM(I28:I34)</f>
        <v>0</v>
      </c>
      <c r="J35" s="1028">
        <f>SUM(J28:J34)</f>
        <v>0</v>
      </c>
      <c r="K35" s="1028">
        <f>SUM(K28:K34)</f>
        <v>0</v>
      </c>
      <c r="L35" s="1013"/>
      <c r="M35" s="898">
        <f>SUM(H35:K35)</f>
        <v>0</v>
      </c>
      <c r="N35" s="1013"/>
      <c r="O35" s="1016"/>
    </row>
    <row r="36" spans="1:15" x14ac:dyDescent="0.25">
      <c r="A36" s="1009"/>
      <c r="B36" s="1378"/>
      <c r="C36" s="1378"/>
      <c r="D36" s="1378"/>
      <c r="E36" s="1378"/>
      <c r="F36" s="1378"/>
      <c r="G36" s="1378"/>
      <c r="H36" s="1378"/>
      <c r="I36" s="1378"/>
      <c r="J36" s="1378"/>
      <c r="K36" s="1378"/>
      <c r="L36" s="1378"/>
      <c r="M36" s="1378"/>
      <c r="N36" s="1013"/>
      <c r="O36" s="1016"/>
    </row>
    <row r="37" spans="1:15" ht="13.5" thickBot="1" x14ac:dyDescent="0.3">
      <c r="A37" s="1009"/>
      <c r="B37" s="1378"/>
      <c r="C37" s="1378"/>
      <c r="D37" s="1378"/>
      <c r="E37" s="1378"/>
      <c r="F37" s="1378"/>
      <c r="G37" s="1378"/>
      <c r="H37" s="1378"/>
      <c r="I37" s="1378"/>
      <c r="J37" s="1378"/>
      <c r="K37" s="1378"/>
      <c r="L37" s="1378"/>
      <c r="M37" s="1378"/>
      <c r="N37" s="1013"/>
      <c r="O37" s="1016"/>
    </row>
    <row r="38" spans="1:15" x14ac:dyDescent="0.25">
      <c r="A38" s="1009"/>
      <c r="B38" s="899" t="s">
        <v>544</v>
      </c>
      <c r="C38" s="900"/>
      <c r="D38" s="900"/>
      <c r="E38" s="900"/>
      <c r="F38" s="900"/>
      <c r="G38" s="1031"/>
      <c r="H38" s="892">
        <v>0</v>
      </c>
      <c r="I38" s="892">
        <v>0</v>
      </c>
      <c r="J38" s="892">
        <v>0</v>
      </c>
      <c r="K38" s="892">
        <v>0</v>
      </c>
      <c r="L38" s="903">
        <f t="shared" ref="L38:L43" si="3">SUM(H38:K38)</f>
        <v>0</v>
      </c>
      <c r="M38" s="1378"/>
      <c r="N38" s="1013"/>
      <c r="O38" s="1016"/>
    </row>
    <row r="39" spans="1:15" x14ac:dyDescent="0.25">
      <c r="A39" s="1009"/>
      <c r="B39" s="904" t="s">
        <v>544</v>
      </c>
      <c r="C39" s="1169"/>
      <c r="D39" s="1169"/>
      <c r="E39" s="1169"/>
      <c r="F39" s="1169"/>
      <c r="G39" s="881"/>
      <c r="H39" s="892">
        <v>0</v>
      </c>
      <c r="I39" s="892">
        <v>0</v>
      </c>
      <c r="J39" s="892">
        <v>0</v>
      </c>
      <c r="K39" s="892">
        <v>0</v>
      </c>
      <c r="L39" s="906">
        <f t="shared" si="3"/>
        <v>0</v>
      </c>
      <c r="M39" s="1378"/>
      <c r="N39" s="1013"/>
      <c r="O39" s="1016"/>
    </row>
    <row r="40" spans="1:15" x14ac:dyDescent="0.25">
      <c r="A40" s="1009"/>
      <c r="B40" s="904" t="s">
        <v>544</v>
      </c>
      <c r="C40" s="1169"/>
      <c r="D40" s="1169"/>
      <c r="E40" s="1169"/>
      <c r="F40" s="1169"/>
      <c r="G40" s="881"/>
      <c r="H40" s="892">
        <v>0</v>
      </c>
      <c r="I40" s="892">
        <v>0</v>
      </c>
      <c r="J40" s="892">
        <v>0</v>
      </c>
      <c r="K40" s="892">
        <v>0</v>
      </c>
      <c r="L40" s="906">
        <f t="shared" si="3"/>
        <v>0</v>
      </c>
      <c r="M40" s="1378"/>
      <c r="N40" s="1013"/>
      <c r="O40" s="1016"/>
    </row>
    <row r="41" spans="1:15" x14ac:dyDescent="0.25">
      <c r="A41" s="1009"/>
      <c r="B41" s="904" t="s">
        <v>544</v>
      </c>
      <c r="C41" s="1169"/>
      <c r="D41" s="1169"/>
      <c r="E41" s="1169"/>
      <c r="F41" s="1169"/>
      <c r="G41" s="881"/>
      <c r="H41" s="892">
        <v>0</v>
      </c>
      <c r="I41" s="892">
        <v>0</v>
      </c>
      <c r="J41" s="892">
        <v>0</v>
      </c>
      <c r="K41" s="892">
        <v>0</v>
      </c>
      <c r="L41" s="906">
        <f t="shared" si="3"/>
        <v>0</v>
      </c>
      <c r="M41" s="1378"/>
      <c r="N41" s="1013"/>
      <c r="O41" s="1016"/>
    </row>
    <row r="42" spans="1:15" x14ac:dyDescent="0.25">
      <c r="A42" s="1009"/>
      <c r="B42" s="904" t="s">
        <v>544</v>
      </c>
      <c r="C42" s="1169"/>
      <c r="D42" s="1169"/>
      <c r="E42" s="1169"/>
      <c r="F42" s="1169"/>
      <c r="G42" s="881"/>
      <c r="H42" s="892">
        <v>0</v>
      </c>
      <c r="I42" s="892">
        <v>0</v>
      </c>
      <c r="J42" s="892">
        <v>0</v>
      </c>
      <c r="K42" s="892">
        <v>0</v>
      </c>
      <c r="L42" s="906">
        <f t="shared" si="3"/>
        <v>0</v>
      </c>
      <c r="M42" s="1378"/>
      <c r="N42" s="1013"/>
      <c r="O42" s="1016"/>
    </row>
    <row r="43" spans="1:15" ht="13.5" thickBot="1" x14ac:dyDescent="0.3">
      <c r="A43" s="1009"/>
      <c r="B43" s="904" t="s">
        <v>544</v>
      </c>
      <c r="C43" s="894"/>
      <c r="D43" s="894"/>
      <c r="E43" s="894"/>
      <c r="F43" s="894"/>
      <c r="G43" s="1032"/>
      <c r="H43" s="892">
        <v>0</v>
      </c>
      <c r="I43" s="892">
        <v>0</v>
      </c>
      <c r="J43" s="892">
        <v>0</v>
      </c>
      <c r="K43" s="892">
        <v>0</v>
      </c>
      <c r="L43" s="909">
        <f t="shared" si="3"/>
        <v>0</v>
      </c>
      <c r="M43" s="1378"/>
      <c r="N43" s="1013"/>
      <c r="O43" s="1016"/>
    </row>
    <row r="44" spans="1:15" ht="18" customHeight="1" thickBot="1" x14ac:dyDescent="0.3">
      <c r="A44" s="1009"/>
      <c r="B44" s="1375" t="s">
        <v>545</v>
      </c>
      <c r="C44" s="1376"/>
      <c r="D44" s="1376"/>
      <c r="E44" s="1376"/>
      <c r="F44" s="1376"/>
      <c r="G44" s="1376"/>
      <c r="H44" s="1028">
        <f>SUM(H38:H43)</f>
        <v>0</v>
      </c>
      <c r="I44" s="1028">
        <f>SUM(I38:I43)</f>
        <v>0</v>
      </c>
      <c r="J44" s="1028">
        <f>SUM(J38:J43)</f>
        <v>0</v>
      </c>
      <c r="K44" s="1028">
        <f>SUM(K38:K43)</f>
        <v>0</v>
      </c>
      <c r="L44" s="1013"/>
      <c r="M44" s="898">
        <f>SUM(H44:K44)</f>
        <v>0</v>
      </c>
      <c r="N44" s="1013"/>
      <c r="O44" s="1016"/>
    </row>
    <row r="45" spans="1:15" x14ac:dyDescent="0.25">
      <c r="A45" s="1009"/>
      <c r="B45" s="1378"/>
      <c r="C45" s="1378"/>
      <c r="D45" s="1378"/>
      <c r="E45" s="1378"/>
      <c r="F45" s="1378"/>
      <c r="G45" s="1378"/>
      <c r="H45" s="1378"/>
      <c r="I45" s="1378"/>
      <c r="J45" s="1378"/>
      <c r="K45" s="1378"/>
      <c r="L45" s="1378"/>
      <c r="M45" s="1378"/>
      <c r="N45" s="1013"/>
      <c r="O45" s="1016"/>
    </row>
    <row r="46" spans="1:15" ht="13.5" thickBot="1" x14ac:dyDescent="0.3">
      <c r="A46" s="1009"/>
      <c r="B46" s="1378"/>
      <c r="C46" s="1378"/>
      <c r="D46" s="1378"/>
      <c r="E46" s="1378"/>
      <c r="F46" s="1378"/>
      <c r="G46" s="1378"/>
      <c r="H46" s="1378"/>
      <c r="I46" s="1378"/>
      <c r="J46" s="1378"/>
      <c r="K46" s="1378"/>
      <c r="L46" s="1378"/>
      <c r="M46" s="1378"/>
      <c r="N46" s="1013"/>
      <c r="O46" s="1016"/>
    </row>
    <row r="47" spans="1:15" x14ac:dyDescent="0.25">
      <c r="A47" s="1009"/>
      <c r="B47" s="899" t="s">
        <v>546</v>
      </c>
      <c r="C47" s="900"/>
      <c r="D47" s="900"/>
      <c r="E47" s="900"/>
      <c r="F47" s="900"/>
      <c r="G47" s="1031"/>
      <c r="H47" s="892">
        <v>0</v>
      </c>
      <c r="I47" s="892">
        <v>0</v>
      </c>
      <c r="J47" s="892">
        <v>0</v>
      </c>
      <c r="K47" s="892">
        <v>0</v>
      </c>
      <c r="L47" s="903">
        <f t="shared" ref="L47:L55" si="4">SUM(H47:K47)</f>
        <v>0</v>
      </c>
      <c r="M47" s="1378"/>
      <c r="N47" s="1013"/>
      <c r="O47" s="1016"/>
    </row>
    <row r="48" spans="1:15" x14ac:dyDescent="0.25">
      <c r="A48" s="1009"/>
      <c r="B48" s="904" t="s">
        <v>546</v>
      </c>
      <c r="C48" s="1169"/>
      <c r="D48" s="1169"/>
      <c r="E48" s="1169"/>
      <c r="F48" s="1169"/>
      <c r="G48" s="881"/>
      <c r="H48" s="892">
        <v>0</v>
      </c>
      <c r="I48" s="892">
        <v>0</v>
      </c>
      <c r="J48" s="892">
        <v>0</v>
      </c>
      <c r="K48" s="892">
        <v>0</v>
      </c>
      <c r="L48" s="906">
        <f t="shared" si="4"/>
        <v>0</v>
      </c>
      <c r="M48" s="1378"/>
      <c r="N48" s="1013"/>
      <c r="O48" s="1016"/>
    </row>
    <row r="49" spans="1:15" x14ac:dyDescent="0.25">
      <c r="A49" s="1009"/>
      <c r="B49" s="904" t="s">
        <v>546</v>
      </c>
      <c r="C49" s="1169"/>
      <c r="D49" s="1169"/>
      <c r="E49" s="1169"/>
      <c r="F49" s="1169"/>
      <c r="G49" s="881"/>
      <c r="H49" s="892">
        <v>0</v>
      </c>
      <c r="I49" s="892">
        <v>0</v>
      </c>
      <c r="J49" s="892">
        <v>0</v>
      </c>
      <c r="K49" s="892">
        <v>0</v>
      </c>
      <c r="L49" s="906">
        <f t="shared" si="4"/>
        <v>0</v>
      </c>
      <c r="M49" s="1378"/>
      <c r="N49" s="1013"/>
      <c r="O49" s="1016"/>
    </row>
    <row r="50" spans="1:15" x14ac:dyDescent="0.25">
      <c r="A50" s="1009"/>
      <c r="B50" s="904" t="s">
        <v>546</v>
      </c>
      <c r="C50" s="1169"/>
      <c r="D50" s="1169"/>
      <c r="E50" s="1169"/>
      <c r="F50" s="1169"/>
      <c r="G50" s="881"/>
      <c r="H50" s="892">
        <v>0</v>
      </c>
      <c r="I50" s="892">
        <v>0</v>
      </c>
      <c r="J50" s="892">
        <v>0</v>
      </c>
      <c r="K50" s="892">
        <v>0</v>
      </c>
      <c r="L50" s="906">
        <f t="shared" si="4"/>
        <v>0</v>
      </c>
      <c r="M50" s="1378"/>
      <c r="N50" s="1013"/>
      <c r="O50" s="1016"/>
    </row>
    <row r="51" spans="1:15" x14ac:dyDescent="0.25">
      <c r="A51" s="1009"/>
      <c r="B51" s="904" t="s">
        <v>546</v>
      </c>
      <c r="C51" s="1169"/>
      <c r="D51" s="1169"/>
      <c r="E51" s="1169"/>
      <c r="F51" s="1169"/>
      <c r="G51" s="881"/>
      <c r="H51" s="892">
        <v>0</v>
      </c>
      <c r="I51" s="892">
        <v>0</v>
      </c>
      <c r="J51" s="892">
        <v>0</v>
      </c>
      <c r="K51" s="892">
        <v>0</v>
      </c>
      <c r="L51" s="906">
        <f t="shared" si="4"/>
        <v>0</v>
      </c>
      <c r="M51" s="1378"/>
      <c r="N51" s="1013"/>
      <c r="O51" s="1016"/>
    </row>
    <row r="52" spans="1:15" x14ac:dyDescent="0.25">
      <c r="A52" s="1009"/>
      <c r="B52" s="904" t="s">
        <v>546</v>
      </c>
      <c r="C52" s="1169"/>
      <c r="D52" s="1169"/>
      <c r="E52" s="1169"/>
      <c r="F52" s="1169"/>
      <c r="G52" s="881"/>
      <c r="H52" s="892">
        <v>0</v>
      </c>
      <c r="I52" s="892">
        <v>0</v>
      </c>
      <c r="J52" s="892">
        <v>0</v>
      </c>
      <c r="K52" s="892">
        <v>0</v>
      </c>
      <c r="L52" s="906">
        <f t="shared" si="4"/>
        <v>0</v>
      </c>
      <c r="M52" s="1378"/>
      <c r="N52" s="1013"/>
      <c r="O52" s="1016"/>
    </row>
    <row r="53" spans="1:15" x14ac:dyDescent="0.25">
      <c r="A53" s="1009"/>
      <c r="B53" s="904" t="s">
        <v>546</v>
      </c>
      <c r="C53" s="1169"/>
      <c r="D53" s="1169"/>
      <c r="E53" s="1169"/>
      <c r="F53" s="1169"/>
      <c r="G53" s="881"/>
      <c r="H53" s="892">
        <v>0</v>
      </c>
      <c r="I53" s="892">
        <v>0</v>
      </c>
      <c r="J53" s="892">
        <v>0</v>
      </c>
      <c r="K53" s="892">
        <v>0</v>
      </c>
      <c r="L53" s="906">
        <f t="shared" si="4"/>
        <v>0</v>
      </c>
      <c r="M53" s="1378"/>
      <c r="N53" s="1013"/>
      <c r="O53" s="1016"/>
    </row>
    <row r="54" spans="1:15" x14ac:dyDescent="0.25">
      <c r="A54" s="1009"/>
      <c r="B54" s="904" t="s">
        <v>546</v>
      </c>
      <c r="C54" s="1169"/>
      <c r="D54" s="1169"/>
      <c r="E54" s="1169"/>
      <c r="F54" s="1169"/>
      <c r="G54" s="881"/>
      <c r="H54" s="892">
        <v>0</v>
      </c>
      <c r="I54" s="892">
        <v>0</v>
      </c>
      <c r="J54" s="892">
        <v>0</v>
      </c>
      <c r="K54" s="892">
        <v>0</v>
      </c>
      <c r="L54" s="906">
        <f t="shared" si="4"/>
        <v>0</v>
      </c>
      <c r="M54" s="1378"/>
      <c r="N54" s="1013"/>
      <c r="O54" s="1016"/>
    </row>
    <row r="55" spans="1:15" ht="13.5" thickBot="1" x14ac:dyDescent="0.3">
      <c r="A55" s="1009"/>
      <c r="B55" s="916" t="s">
        <v>546</v>
      </c>
      <c r="C55" s="907"/>
      <c r="D55" s="907"/>
      <c r="E55" s="907"/>
      <c r="F55" s="907"/>
      <c r="G55" s="1033"/>
      <c r="H55" s="892">
        <v>0</v>
      </c>
      <c r="I55" s="892">
        <v>0</v>
      </c>
      <c r="J55" s="892">
        <v>0</v>
      </c>
      <c r="K55" s="892">
        <v>0</v>
      </c>
      <c r="L55" s="909">
        <f t="shared" si="4"/>
        <v>0</v>
      </c>
      <c r="M55" s="1378"/>
      <c r="N55" s="1013"/>
      <c r="O55" s="1016"/>
    </row>
    <row r="56" spans="1:15" ht="20.5" customHeight="1" thickBot="1" x14ac:dyDescent="0.3">
      <c r="A56" s="1009"/>
      <c r="B56" s="1375" t="s">
        <v>547</v>
      </c>
      <c r="C56" s="1376"/>
      <c r="D56" s="1376"/>
      <c r="E56" s="1376"/>
      <c r="F56" s="1376"/>
      <c r="G56" s="1376"/>
      <c r="H56" s="1028">
        <f>SUM(H47:H55)</f>
        <v>0</v>
      </c>
      <c r="I56" s="1028">
        <f>SUM(I47:I55)</f>
        <v>0</v>
      </c>
      <c r="J56" s="1028">
        <f>SUM(J47:J55)</f>
        <v>0</v>
      </c>
      <c r="K56" s="1028">
        <f>SUM(K47:K55)</f>
        <v>0</v>
      </c>
      <c r="L56" s="1378"/>
      <c r="M56" s="898">
        <f>SUM(H56:K56)</f>
        <v>0</v>
      </c>
      <c r="N56" s="1013"/>
      <c r="O56" s="1016"/>
    </row>
    <row r="57" spans="1:15" ht="20.5" customHeight="1" thickBot="1" x14ac:dyDescent="0.3">
      <c r="A57" s="1009"/>
      <c r="B57" s="1024"/>
      <c r="C57" s="1024"/>
      <c r="D57" s="1024"/>
      <c r="E57" s="1024"/>
      <c r="F57" s="1024"/>
      <c r="G57" s="1024"/>
      <c r="H57" s="1025"/>
      <c r="I57" s="1026"/>
      <c r="J57" s="1025"/>
      <c r="K57" s="1025"/>
      <c r="L57" s="1378"/>
      <c r="M57" s="1023"/>
      <c r="N57" s="1013"/>
      <c r="O57" s="1016"/>
    </row>
    <row r="58" spans="1:15" ht="20.5" customHeight="1" thickBot="1" x14ac:dyDescent="0.3">
      <c r="A58" s="1009"/>
      <c r="B58" s="1375" t="s">
        <v>548</v>
      </c>
      <c r="C58" s="1376"/>
      <c r="D58" s="1376"/>
      <c r="E58" s="1376"/>
      <c r="F58" s="1376"/>
      <c r="G58" s="1376"/>
      <c r="H58" s="914">
        <f>H56+H44+H35+H25+H15</f>
        <v>0</v>
      </c>
      <c r="I58" s="914">
        <f>I56+I44+I35+I25+I15</f>
        <v>0</v>
      </c>
      <c r="J58" s="914">
        <f>J56+J44+J35+J25+J15</f>
        <v>0</v>
      </c>
      <c r="K58" s="915">
        <f>K56+K44+K35+K25+K15</f>
        <v>0</v>
      </c>
      <c r="L58" s="1379"/>
      <c r="M58" s="1023"/>
      <c r="N58" s="922">
        <f>SUM(H58:K58)</f>
        <v>0</v>
      </c>
      <c r="O58" s="1016"/>
    </row>
    <row r="59" spans="1:15" s="923" customFormat="1" ht="23.5" customHeight="1" thickBot="1" x14ac:dyDescent="0.3">
      <c r="A59" s="1010"/>
      <c r="B59" s="1012"/>
      <c r="C59" s="1012"/>
      <c r="D59" s="1012"/>
      <c r="E59" s="1012"/>
      <c r="F59" s="1012"/>
      <c r="G59" s="1012"/>
      <c r="H59" s="1012"/>
      <c r="I59" s="1012"/>
      <c r="J59" s="1012"/>
      <c r="K59" s="1012"/>
      <c r="L59" s="922">
        <f>SUM(L8:L56)</f>
        <v>0</v>
      </c>
      <c r="M59" s="922">
        <f>SUM(M15:M56)</f>
        <v>0</v>
      </c>
      <c r="N59" s="1012"/>
      <c r="O59" s="1016"/>
    </row>
    <row r="60" spans="1:15" ht="26.5" thickBot="1" x14ac:dyDescent="0.3">
      <c r="A60" s="1009"/>
      <c r="B60" s="1013"/>
      <c r="C60" s="1013"/>
      <c r="D60" s="1013"/>
      <c r="E60" s="1013"/>
      <c r="F60" s="1013"/>
      <c r="G60" s="1013"/>
      <c r="H60" s="1013"/>
      <c r="I60" s="1013"/>
      <c r="J60" s="1013"/>
      <c r="K60" s="1013"/>
      <c r="L60" s="1013"/>
      <c r="M60" s="1013"/>
      <c r="N60" s="1013"/>
      <c r="O60" s="924" t="s">
        <v>549</v>
      </c>
    </row>
    <row r="61" spans="1:15" ht="25.5" customHeight="1" thickBot="1" x14ac:dyDescent="0.3">
      <c r="A61" s="1011"/>
      <c r="B61" s="1014"/>
      <c r="C61" s="1014"/>
      <c r="D61" s="1014"/>
      <c r="E61" s="1014"/>
      <c r="F61" s="1014"/>
      <c r="G61" s="1014"/>
      <c r="H61" s="1014"/>
      <c r="I61" s="1014"/>
      <c r="J61" s="1014"/>
      <c r="K61" s="1015"/>
      <c r="L61" s="1014"/>
      <c r="M61" s="1014"/>
      <c r="N61" s="1014"/>
      <c r="O61" s="925">
        <f>'Phase 6 Costs'!BA67</f>
        <v>0</v>
      </c>
    </row>
    <row r="62" spans="1:15" x14ac:dyDescent="0.25">
      <c r="K62" s="926"/>
    </row>
    <row r="63" spans="1:15" x14ac:dyDescent="0.25">
      <c r="K63" s="926"/>
    </row>
    <row r="64" spans="1:15" x14ac:dyDescent="0.25">
      <c r="K64" s="926"/>
    </row>
    <row r="65" spans="8:11" x14ac:dyDescent="0.25">
      <c r="K65" s="926"/>
    </row>
    <row r="66" spans="8:11" x14ac:dyDescent="0.25">
      <c r="K66" s="926"/>
    </row>
    <row r="67" spans="8:11" x14ac:dyDescent="0.25">
      <c r="H67" s="927"/>
      <c r="I67" s="927"/>
      <c r="J67" s="927"/>
      <c r="K67" s="926"/>
    </row>
  </sheetData>
  <mergeCells count="20">
    <mergeCell ref="B15:G15"/>
    <mergeCell ref="B2:C2"/>
    <mergeCell ref="I2:M4"/>
    <mergeCell ref="B6:C6"/>
    <mergeCell ref="H6:K6"/>
    <mergeCell ref="M8:M14"/>
    <mergeCell ref="B56:G56"/>
    <mergeCell ref="L56:L58"/>
    <mergeCell ref="B58:G58"/>
    <mergeCell ref="B16:M17"/>
    <mergeCell ref="M18:M24"/>
    <mergeCell ref="B25:G25"/>
    <mergeCell ref="B26:M27"/>
    <mergeCell ref="M28:M34"/>
    <mergeCell ref="B35:G35"/>
    <mergeCell ref="B36:M37"/>
    <mergeCell ref="M38:M43"/>
    <mergeCell ref="B44:G44"/>
    <mergeCell ref="B45:M46"/>
    <mergeCell ref="M47:M55"/>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pageSetUpPr fitToPage="1"/>
  </sheetPr>
  <dimension ref="A1:AT94"/>
  <sheetViews>
    <sheetView zoomScaleNormal="100" workbookViewId="0">
      <pane xSplit="3" ySplit="5" topLeftCell="D6" activePane="bottomRight" state="frozen"/>
      <selection pane="topRight" activeCell="D1" sqref="D1"/>
      <selection pane="bottomLeft" activeCell="A6" sqref="A6"/>
      <selection pane="bottomRight" activeCell="C85" sqref="C85"/>
    </sheetView>
  </sheetViews>
  <sheetFormatPr defaultColWidth="21.26953125" defaultRowHeight="13" x14ac:dyDescent="0.25"/>
  <cols>
    <col min="1" max="1" width="4.1796875" style="292" customWidth="1"/>
    <col min="2" max="2" width="27.54296875" style="292" customWidth="1"/>
    <col min="3" max="3" width="25.453125" style="292" customWidth="1"/>
    <col min="4" max="4" width="2.54296875" style="292" customWidth="1"/>
    <col min="5" max="5" width="14.453125" style="292" customWidth="1"/>
    <col min="6" max="6" width="18.54296875" style="292" customWidth="1"/>
    <col min="7" max="7" width="2.453125" style="292" customWidth="1"/>
    <col min="8" max="8" width="11.54296875" style="292" customWidth="1"/>
    <col min="9" max="9" width="18.26953125" style="292" customWidth="1"/>
    <col min="10" max="10" width="2.81640625" style="292" customWidth="1"/>
    <col min="11" max="11" width="11.7265625" style="292" customWidth="1"/>
    <col min="12" max="12" width="17.81640625" style="292" customWidth="1"/>
    <col min="13" max="13" width="2.7265625" style="292" customWidth="1"/>
    <col min="14" max="14" width="11.26953125" style="292" customWidth="1"/>
    <col min="15" max="15" width="17" style="292" customWidth="1"/>
    <col min="16" max="16" width="2.453125" style="292" customWidth="1"/>
    <col min="17" max="17" width="13.1796875" style="292" customWidth="1"/>
    <col min="18" max="18" width="18.1796875" style="292" customWidth="1"/>
    <col min="19" max="19" width="2.1796875" style="292" customWidth="1"/>
    <col min="20" max="20" width="12.26953125" style="292" customWidth="1"/>
    <col min="21" max="21" width="18.81640625" style="292" customWidth="1"/>
    <col min="22" max="22" width="2.1796875" style="620" customWidth="1"/>
    <col min="23" max="23" width="13.81640625" style="292" customWidth="1"/>
    <col min="24" max="24" width="17.54296875" style="292" customWidth="1"/>
    <col min="25" max="25" width="7.453125" style="292" customWidth="1"/>
    <col min="26" max="16384" width="21.26953125" style="292"/>
  </cols>
  <sheetData>
    <row r="1" spans="1:25" ht="17.5" customHeight="1" x14ac:dyDescent="0.25">
      <c r="A1" s="960"/>
      <c r="B1" s="960"/>
      <c r="C1" s="960"/>
      <c r="D1" s="960"/>
      <c r="E1" s="960"/>
      <c r="F1" s="960"/>
      <c r="G1" s="960"/>
      <c r="H1" s="960"/>
      <c r="I1" s="960"/>
      <c r="J1" s="960"/>
      <c r="K1" s="960"/>
      <c r="L1" s="960"/>
      <c r="M1" s="960"/>
      <c r="N1" s="960"/>
      <c r="O1" s="960"/>
      <c r="P1" s="960"/>
      <c r="Q1" s="960"/>
      <c r="R1" s="960"/>
      <c r="S1" s="960"/>
      <c r="T1" s="960"/>
      <c r="U1" s="960"/>
      <c r="V1" s="960"/>
      <c r="W1" s="960"/>
      <c r="X1" s="960"/>
      <c r="Y1" s="960"/>
    </row>
    <row r="2" spans="1:25" ht="24" customHeight="1" x14ac:dyDescent="0.25">
      <c r="A2" s="960"/>
      <c r="B2" s="808" t="s">
        <v>320</v>
      </c>
      <c r="C2" s="1133" t="str">
        <f>General!D4</f>
        <v>Name</v>
      </c>
      <c r="D2" s="1081"/>
      <c r="E2" s="1081"/>
      <c r="F2" s="960"/>
      <c r="G2" s="960"/>
      <c r="H2" s="960"/>
      <c r="I2" s="960"/>
      <c r="J2" s="960"/>
      <c r="K2" s="1678" t="s">
        <v>550</v>
      </c>
      <c r="L2" s="1678"/>
      <c r="M2" s="1678"/>
      <c r="N2" s="1678"/>
      <c r="O2" s="960"/>
      <c r="P2" s="960"/>
      <c r="Q2" s="960"/>
      <c r="R2" s="960"/>
      <c r="S2" s="960"/>
      <c r="T2" s="960"/>
      <c r="U2" s="960"/>
      <c r="V2" s="960"/>
      <c r="W2" s="960"/>
      <c r="X2" s="960"/>
      <c r="Y2" s="960"/>
    </row>
    <row r="3" spans="1:25" ht="23.15" customHeight="1" x14ac:dyDescent="0.25">
      <c r="A3" s="960"/>
      <c r="B3" s="808" t="s">
        <v>321</v>
      </c>
      <c r="C3" s="1133" t="str">
        <f>General!D5</f>
        <v>Name</v>
      </c>
      <c r="D3" s="1081"/>
      <c r="E3" s="1081"/>
      <c r="F3" s="960"/>
      <c r="G3" s="960"/>
      <c r="H3" s="960"/>
      <c r="I3" s="960"/>
      <c r="J3" s="960"/>
      <c r="K3" s="960"/>
      <c r="L3" s="960"/>
      <c r="M3" s="960"/>
      <c r="N3" s="960"/>
      <c r="O3" s="960"/>
      <c r="P3" s="960"/>
      <c r="Q3" s="960"/>
      <c r="R3" s="960"/>
      <c r="S3" s="960"/>
      <c r="T3" s="960"/>
      <c r="U3" s="960"/>
      <c r="V3" s="960"/>
      <c r="W3" s="960"/>
      <c r="X3" s="960"/>
      <c r="Y3" s="960"/>
    </row>
    <row r="4" spans="1:25" ht="13" customHeight="1" x14ac:dyDescent="0.25">
      <c r="A4" s="960"/>
      <c r="B4" s="960"/>
      <c r="C4" s="1040"/>
      <c r="D4" s="1040"/>
      <c r="E4" s="1304"/>
      <c r="F4" s="1304"/>
      <c r="G4" s="960"/>
      <c r="H4" s="1304"/>
      <c r="I4" s="1304"/>
      <c r="J4" s="960"/>
      <c r="K4" s="1304"/>
      <c r="L4" s="1304"/>
      <c r="M4" s="960"/>
      <c r="N4" s="1304"/>
      <c r="O4" s="1304"/>
      <c r="P4" s="960"/>
      <c r="Q4" s="1304"/>
      <c r="R4" s="1304"/>
      <c r="S4" s="960"/>
      <c r="T4" s="1304"/>
      <c r="U4" s="1304"/>
      <c r="V4" s="960"/>
      <c r="W4" s="960"/>
      <c r="X4" s="960"/>
      <c r="Y4" s="960"/>
    </row>
    <row r="5" spans="1:25" ht="18" customHeight="1" x14ac:dyDescent="0.25">
      <c r="A5" s="960"/>
      <c r="B5" s="1663" t="s">
        <v>428</v>
      </c>
      <c r="C5" s="1663"/>
      <c r="D5" s="1040"/>
      <c r="E5" s="1670" t="s">
        <v>551</v>
      </c>
      <c r="F5" s="1670"/>
      <c r="G5" s="1040"/>
      <c r="H5" s="1670" t="s">
        <v>552</v>
      </c>
      <c r="I5" s="1670"/>
      <c r="J5" s="1065"/>
      <c r="K5" s="1670" t="s">
        <v>553</v>
      </c>
      <c r="L5" s="1670"/>
      <c r="M5" s="1040"/>
      <c r="N5" s="1670" t="s">
        <v>554</v>
      </c>
      <c r="O5" s="1670"/>
      <c r="P5" s="1040"/>
      <c r="Q5" s="1670" t="s">
        <v>555</v>
      </c>
      <c r="R5" s="1670"/>
      <c r="S5" s="1065"/>
      <c r="T5" s="1670" t="s">
        <v>556</v>
      </c>
      <c r="U5" s="1670"/>
      <c r="V5" s="1088"/>
      <c r="W5" s="1664" t="s">
        <v>557</v>
      </c>
      <c r="X5" s="1665"/>
      <c r="Y5" s="960"/>
    </row>
    <row r="6" spans="1:25" ht="29.15" customHeight="1" x14ac:dyDescent="0.25">
      <c r="A6" s="960"/>
      <c r="B6" s="1663"/>
      <c r="C6" s="1663"/>
      <c r="D6" s="1040"/>
      <c r="E6" s="1671" t="str">
        <f>'Phase 1 Costs'!$C2</f>
        <v>Proposed PoP as "MM/YY to MM/YY"</v>
      </c>
      <c r="F6" s="1671"/>
      <c r="G6" s="1080"/>
      <c r="H6" s="1671" t="str">
        <f>'Phase 2 Costs '!$C2</f>
        <v>Proposed PoP as "MM/YY to MM/YY"</v>
      </c>
      <c r="I6" s="1671"/>
      <c r="J6" s="1066"/>
      <c r="K6" s="1671" t="str">
        <f>'Phase 3 Costs'!$C2</f>
        <v>Proposed PoP as "MM/YY to MM/YY"</v>
      </c>
      <c r="L6" s="1671"/>
      <c r="M6" s="1080"/>
      <c r="N6" s="1671" t="str">
        <f>'Phase 4 Costs'!$C2</f>
        <v>Proposed PoP as "MM/YY to MM/YY"</v>
      </c>
      <c r="O6" s="1671"/>
      <c r="P6" s="1080"/>
      <c r="Q6" s="1671" t="str">
        <f>'Phase 5 Costs'!$C2</f>
        <v>Proposed PoP as "MM/YY to MM/YY"</v>
      </c>
      <c r="R6" s="1671"/>
      <c r="S6" s="1066"/>
      <c r="T6" s="1671" t="str">
        <f>'Phase 6 Costs'!$C2</f>
        <v>Proposed PoP as "MM/YY to MM/YY"</v>
      </c>
      <c r="U6" s="1671"/>
      <c r="V6" s="1089"/>
      <c r="W6" s="1669" t="s">
        <v>558</v>
      </c>
      <c r="X6" s="1669"/>
      <c r="Y6" s="960"/>
    </row>
    <row r="7" spans="1:25" ht="30" customHeight="1" x14ac:dyDescent="0.25">
      <c r="A7" s="960"/>
      <c r="B7" s="818" t="s">
        <v>559</v>
      </c>
      <c r="C7" s="1195" t="s">
        <v>289</v>
      </c>
      <c r="D7" s="1065"/>
      <c r="E7" s="809" t="s">
        <v>327</v>
      </c>
      <c r="F7" s="810" t="s">
        <v>560</v>
      </c>
      <c r="G7" s="1065"/>
      <c r="H7" s="809" t="s">
        <v>327</v>
      </c>
      <c r="I7" s="810" t="s">
        <v>560</v>
      </c>
      <c r="J7" s="1065"/>
      <c r="K7" s="809" t="s">
        <v>327</v>
      </c>
      <c r="L7" s="810" t="s">
        <v>560</v>
      </c>
      <c r="M7" s="1065"/>
      <c r="N7" s="809" t="s">
        <v>327</v>
      </c>
      <c r="O7" s="810" t="s">
        <v>560</v>
      </c>
      <c r="P7" s="1065"/>
      <c r="Q7" s="809" t="s">
        <v>327</v>
      </c>
      <c r="R7" s="810" t="s">
        <v>560</v>
      </c>
      <c r="S7" s="1065"/>
      <c r="T7" s="809" t="s">
        <v>327</v>
      </c>
      <c r="U7" s="817" t="s">
        <v>560</v>
      </c>
      <c r="V7" s="1090"/>
      <c r="W7" s="809" t="s">
        <v>327</v>
      </c>
      <c r="X7" s="810" t="s">
        <v>560</v>
      </c>
      <c r="Y7" s="960"/>
    </row>
    <row r="8" spans="1:25" x14ac:dyDescent="0.25">
      <c r="A8" s="960"/>
      <c r="B8" s="821" t="str">
        <f>IF(ISBLANK('Labor Rates'!D8),"",'Labor Rates'!D8)</f>
        <v/>
      </c>
      <c r="C8" s="821" t="str">
        <f>IF(ISBLANK('Labor Rates'!E8),"",'Labor Rates'!E8)</f>
        <v/>
      </c>
      <c r="D8" s="1082"/>
      <c r="E8" s="820">
        <f>'Phase 1 Costs'!$AC9</f>
        <v>0</v>
      </c>
      <c r="F8" s="814">
        <f>'Phase 1 Costs'!AD9</f>
        <v>0</v>
      </c>
      <c r="G8" s="1067"/>
      <c r="H8" s="820">
        <f>'Phase 2 Costs '!AC9</f>
        <v>0</v>
      </c>
      <c r="I8" s="814">
        <f>'Phase 2 Costs '!AD9</f>
        <v>0</v>
      </c>
      <c r="J8" s="1067"/>
      <c r="K8" s="820">
        <f>'Phase 3 Costs'!AC9</f>
        <v>0</v>
      </c>
      <c r="L8" s="814">
        <f>'Phase 3 Costs'!AD9</f>
        <v>0</v>
      </c>
      <c r="M8" s="1067"/>
      <c r="N8" s="820">
        <f>'Phase 4 Costs'!$AC9</f>
        <v>0</v>
      </c>
      <c r="O8" s="814">
        <f>'Phase 4 Costs'!$AD9</f>
        <v>0</v>
      </c>
      <c r="P8" s="1067"/>
      <c r="Q8" s="820">
        <f>'Phase 5 Costs'!$AC9</f>
        <v>0</v>
      </c>
      <c r="R8" s="814">
        <f>'Phase 5 Costs'!$AD9</f>
        <v>0</v>
      </c>
      <c r="S8" s="1067"/>
      <c r="T8" s="820">
        <f>'Phase 6 Costs'!$AC9</f>
        <v>0</v>
      </c>
      <c r="U8" s="814">
        <f>'Phase 6 Costs'!$AD9</f>
        <v>0</v>
      </c>
      <c r="V8" s="1067"/>
      <c r="W8" s="820">
        <f t="shared" ref="W8:W31" si="0">E8+H8+K8+N8+Q8+T8</f>
        <v>0</v>
      </c>
      <c r="X8" s="814">
        <f t="shared" ref="X8:X31" si="1">F8+I8+L8+O8+R8+U8</f>
        <v>0</v>
      </c>
      <c r="Y8" s="960"/>
    </row>
    <row r="9" spans="1:25" x14ac:dyDescent="0.25">
      <c r="A9" s="960"/>
      <c r="B9" s="821" t="str">
        <f>IF(ISBLANK('Labor Rates'!D9),"",'Labor Rates'!D9)</f>
        <v/>
      </c>
      <c r="C9" s="821" t="str">
        <f>IF(ISBLANK('Labor Rates'!E9),"",'Labor Rates'!E9)</f>
        <v/>
      </c>
      <c r="D9" s="1082"/>
      <c r="E9" s="820">
        <f>'Phase 1 Costs'!$AC10</f>
        <v>0</v>
      </c>
      <c r="F9" s="814">
        <f>'Phase 1 Costs'!AD10</f>
        <v>0</v>
      </c>
      <c r="G9" s="1067"/>
      <c r="H9" s="820">
        <f>'Phase 2 Costs '!AC10</f>
        <v>0</v>
      </c>
      <c r="I9" s="814">
        <f>'Phase 2 Costs '!AD10</f>
        <v>0</v>
      </c>
      <c r="J9" s="1067"/>
      <c r="K9" s="820">
        <f>'Phase 3 Costs'!AC10</f>
        <v>0</v>
      </c>
      <c r="L9" s="814">
        <f>'Phase 3 Costs'!AD10</f>
        <v>0</v>
      </c>
      <c r="M9" s="1067"/>
      <c r="N9" s="820">
        <f>'Phase 4 Costs'!$AC10</f>
        <v>0</v>
      </c>
      <c r="O9" s="814">
        <f>'Phase 4 Costs'!$AD10</f>
        <v>0</v>
      </c>
      <c r="P9" s="1067"/>
      <c r="Q9" s="820">
        <f>'Phase 5 Costs'!$AC10</f>
        <v>0</v>
      </c>
      <c r="R9" s="814">
        <f>'Phase 5 Costs'!$AD10</f>
        <v>0</v>
      </c>
      <c r="S9" s="1067"/>
      <c r="T9" s="820">
        <f>'Phase 6 Costs'!$AC10</f>
        <v>0</v>
      </c>
      <c r="U9" s="814">
        <f>'Phase 6 Costs'!$AD10</f>
        <v>0</v>
      </c>
      <c r="V9" s="1067"/>
      <c r="W9" s="820">
        <f t="shared" si="0"/>
        <v>0</v>
      </c>
      <c r="X9" s="814">
        <f t="shared" si="1"/>
        <v>0</v>
      </c>
      <c r="Y9" s="960"/>
    </row>
    <row r="10" spans="1:25" x14ac:dyDescent="0.25">
      <c r="A10" s="960"/>
      <c r="B10" s="821" t="str">
        <f>IF(ISBLANK('Labor Rates'!D10),"",'Labor Rates'!D10)</f>
        <v/>
      </c>
      <c r="C10" s="821" t="str">
        <f>IF(ISBLANK('Labor Rates'!E10),"",'Labor Rates'!E10)</f>
        <v/>
      </c>
      <c r="D10" s="1082"/>
      <c r="E10" s="820">
        <f>'Phase 1 Costs'!$AC11</f>
        <v>0</v>
      </c>
      <c r="F10" s="814">
        <f>'Phase 1 Costs'!AD11</f>
        <v>0</v>
      </c>
      <c r="G10" s="1067"/>
      <c r="H10" s="820">
        <f>'Phase 2 Costs '!AC11</f>
        <v>0</v>
      </c>
      <c r="I10" s="814">
        <f>'Phase 2 Costs '!AD11</f>
        <v>0</v>
      </c>
      <c r="J10" s="1067"/>
      <c r="K10" s="820">
        <f>'Phase 3 Costs'!AC11</f>
        <v>0</v>
      </c>
      <c r="L10" s="814">
        <f>'Phase 3 Costs'!AD11</f>
        <v>0</v>
      </c>
      <c r="M10" s="1067"/>
      <c r="N10" s="820">
        <f>'Phase 4 Costs'!$AC11</f>
        <v>0</v>
      </c>
      <c r="O10" s="814">
        <f>'Phase 4 Costs'!$AD11</f>
        <v>0</v>
      </c>
      <c r="P10" s="1067"/>
      <c r="Q10" s="820">
        <f>'Phase 5 Costs'!$AC11</f>
        <v>0</v>
      </c>
      <c r="R10" s="814">
        <f>'Phase 5 Costs'!$AD11</f>
        <v>0</v>
      </c>
      <c r="S10" s="1067"/>
      <c r="T10" s="820">
        <f>'Phase 6 Costs'!$AC11</f>
        <v>0</v>
      </c>
      <c r="U10" s="814">
        <f>'Phase 6 Costs'!$AD11</f>
        <v>0</v>
      </c>
      <c r="V10" s="1067"/>
      <c r="W10" s="820">
        <f t="shared" si="0"/>
        <v>0</v>
      </c>
      <c r="X10" s="814">
        <f t="shared" si="1"/>
        <v>0</v>
      </c>
      <c r="Y10" s="960"/>
    </row>
    <row r="11" spans="1:25" x14ac:dyDescent="0.25">
      <c r="A11" s="960"/>
      <c r="B11" s="821" t="str">
        <f>IF(ISBLANK('Labor Rates'!D11),"",'Labor Rates'!D11)</f>
        <v/>
      </c>
      <c r="C11" s="821" t="str">
        <f>IF(ISBLANK('Labor Rates'!E11),"",'Labor Rates'!E11)</f>
        <v/>
      </c>
      <c r="D11" s="1082"/>
      <c r="E11" s="820">
        <f>'Phase 1 Costs'!$AC12</f>
        <v>0</v>
      </c>
      <c r="F11" s="814">
        <f>'Phase 1 Costs'!AD12</f>
        <v>0</v>
      </c>
      <c r="G11" s="1067"/>
      <c r="H11" s="820">
        <f>'Phase 2 Costs '!AC12</f>
        <v>0</v>
      </c>
      <c r="I11" s="814">
        <f>'Phase 2 Costs '!AD12</f>
        <v>0</v>
      </c>
      <c r="J11" s="1067"/>
      <c r="K11" s="820">
        <f>'Phase 3 Costs'!AC12</f>
        <v>0</v>
      </c>
      <c r="L11" s="814">
        <f>'Phase 3 Costs'!AD12</f>
        <v>0</v>
      </c>
      <c r="M11" s="1067"/>
      <c r="N11" s="820">
        <f>'Phase 4 Costs'!$AC12</f>
        <v>0</v>
      </c>
      <c r="O11" s="814">
        <f>'Phase 4 Costs'!$AD12</f>
        <v>0</v>
      </c>
      <c r="P11" s="1067"/>
      <c r="Q11" s="820">
        <f>'Phase 5 Costs'!$AC12</f>
        <v>0</v>
      </c>
      <c r="R11" s="814">
        <f>'Phase 5 Costs'!$AD12</f>
        <v>0</v>
      </c>
      <c r="S11" s="1067"/>
      <c r="T11" s="820">
        <f>'Phase 6 Costs'!$AC12</f>
        <v>0</v>
      </c>
      <c r="U11" s="814">
        <f>'Phase 6 Costs'!$AD12</f>
        <v>0</v>
      </c>
      <c r="V11" s="1067"/>
      <c r="W11" s="820">
        <f t="shared" si="0"/>
        <v>0</v>
      </c>
      <c r="X11" s="814">
        <f t="shared" si="1"/>
        <v>0</v>
      </c>
      <c r="Y11" s="960"/>
    </row>
    <row r="12" spans="1:25" x14ac:dyDescent="0.25">
      <c r="A12" s="960"/>
      <c r="B12" s="821" t="str">
        <f>IF(ISBLANK('Labor Rates'!D12),"",'Labor Rates'!D12)</f>
        <v/>
      </c>
      <c r="C12" s="821" t="str">
        <f>IF(ISBLANK('Labor Rates'!E12),"",'Labor Rates'!E12)</f>
        <v/>
      </c>
      <c r="D12" s="1082"/>
      <c r="E12" s="820">
        <f>'Phase 1 Costs'!$AC13</f>
        <v>0</v>
      </c>
      <c r="F12" s="814">
        <f>'Phase 1 Costs'!AD13</f>
        <v>0</v>
      </c>
      <c r="G12" s="1067"/>
      <c r="H12" s="820">
        <f>'Phase 2 Costs '!AC13</f>
        <v>0</v>
      </c>
      <c r="I12" s="814">
        <f>'Phase 2 Costs '!AD13</f>
        <v>0</v>
      </c>
      <c r="J12" s="1067"/>
      <c r="K12" s="820">
        <f>'Phase 3 Costs'!AC13</f>
        <v>0</v>
      </c>
      <c r="L12" s="814">
        <f>'Phase 3 Costs'!AD13</f>
        <v>0</v>
      </c>
      <c r="M12" s="1067"/>
      <c r="N12" s="820">
        <f>'Phase 4 Costs'!$AC13</f>
        <v>0</v>
      </c>
      <c r="O12" s="814">
        <f>'Phase 4 Costs'!$AD13</f>
        <v>0</v>
      </c>
      <c r="P12" s="1067"/>
      <c r="Q12" s="820">
        <f>'Phase 5 Costs'!$AC13</f>
        <v>0</v>
      </c>
      <c r="R12" s="814">
        <f>'Phase 5 Costs'!$AD13</f>
        <v>0</v>
      </c>
      <c r="S12" s="1067"/>
      <c r="T12" s="820">
        <f>'Phase 6 Costs'!$AC13</f>
        <v>0</v>
      </c>
      <c r="U12" s="814">
        <f>'Phase 6 Costs'!$AD13</f>
        <v>0</v>
      </c>
      <c r="V12" s="1067"/>
      <c r="W12" s="820">
        <f t="shared" si="0"/>
        <v>0</v>
      </c>
      <c r="X12" s="814">
        <f t="shared" si="1"/>
        <v>0</v>
      </c>
      <c r="Y12" s="960"/>
    </row>
    <row r="13" spans="1:25" x14ac:dyDescent="0.25">
      <c r="A13" s="960"/>
      <c r="B13" s="821" t="str">
        <f>IF(ISBLANK('Labor Rates'!D13),"",'Labor Rates'!D13)</f>
        <v/>
      </c>
      <c r="C13" s="821" t="str">
        <f>IF(ISBLANK('Labor Rates'!E13),"",'Labor Rates'!E13)</f>
        <v/>
      </c>
      <c r="D13" s="1082"/>
      <c r="E13" s="820">
        <f>'Phase 1 Costs'!$AC14</f>
        <v>0</v>
      </c>
      <c r="F13" s="814">
        <f>'Phase 1 Costs'!AD14</f>
        <v>0</v>
      </c>
      <c r="G13" s="1067"/>
      <c r="H13" s="820">
        <f>'Phase 2 Costs '!AC14</f>
        <v>0</v>
      </c>
      <c r="I13" s="814">
        <f>'Phase 2 Costs '!AD14</f>
        <v>0</v>
      </c>
      <c r="J13" s="1067"/>
      <c r="K13" s="820">
        <f>'Phase 3 Costs'!AC14</f>
        <v>0</v>
      </c>
      <c r="L13" s="814">
        <f>'Phase 3 Costs'!AD14</f>
        <v>0</v>
      </c>
      <c r="M13" s="1067"/>
      <c r="N13" s="820">
        <f>'Phase 4 Costs'!$AC14</f>
        <v>0</v>
      </c>
      <c r="O13" s="814">
        <f>'Phase 4 Costs'!$AD14</f>
        <v>0</v>
      </c>
      <c r="P13" s="1067"/>
      <c r="Q13" s="820">
        <f>'Phase 5 Costs'!$AC14</f>
        <v>0</v>
      </c>
      <c r="R13" s="814">
        <f>'Phase 5 Costs'!$AD14</f>
        <v>0</v>
      </c>
      <c r="S13" s="1067"/>
      <c r="T13" s="820">
        <f>'Phase 6 Costs'!$AC14</f>
        <v>0</v>
      </c>
      <c r="U13" s="814">
        <f>'Phase 6 Costs'!$AD14</f>
        <v>0</v>
      </c>
      <c r="V13" s="1067"/>
      <c r="W13" s="820">
        <f t="shared" si="0"/>
        <v>0</v>
      </c>
      <c r="X13" s="814">
        <f t="shared" si="1"/>
        <v>0</v>
      </c>
      <c r="Y13" s="960"/>
    </row>
    <row r="14" spans="1:25" x14ac:dyDescent="0.25">
      <c r="A14" s="960"/>
      <c r="B14" s="821" t="str">
        <f>IF(ISBLANK('Labor Rates'!D14),"",'Labor Rates'!D14)</f>
        <v/>
      </c>
      <c r="C14" s="821" t="str">
        <f>IF(ISBLANK('Labor Rates'!E14),"",'Labor Rates'!E14)</f>
        <v/>
      </c>
      <c r="D14" s="1082"/>
      <c r="E14" s="820">
        <f>'Phase 1 Costs'!$AC15</f>
        <v>0</v>
      </c>
      <c r="F14" s="814">
        <f>'Phase 1 Costs'!AD15</f>
        <v>0</v>
      </c>
      <c r="G14" s="1067"/>
      <c r="H14" s="820">
        <f>'Phase 2 Costs '!AC15</f>
        <v>0</v>
      </c>
      <c r="I14" s="814">
        <f>'Phase 2 Costs '!AD15</f>
        <v>0</v>
      </c>
      <c r="J14" s="1067"/>
      <c r="K14" s="820">
        <f>'Phase 3 Costs'!AC15</f>
        <v>0</v>
      </c>
      <c r="L14" s="814">
        <f>'Phase 3 Costs'!AD15</f>
        <v>0</v>
      </c>
      <c r="M14" s="1067"/>
      <c r="N14" s="820">
        <f>'Phase 4 Costs'!$AC15</f>
        <v>0</v>
      </c>
      <c r="O14" s="814">
        <f>'Phase 4 Costs'!$AD15</f>
        <v>0</v>
      </c>
      <c r="P14" s="1067"/>
      <c r="Q14" s="820">
        <f>'Phase 5 Costs'!$AC15</f>
        <v>0</v>
      </c>
      <c r="R14" s="814">
        <f>'Phase 5 Costs'!$AD15</f>
        <v>0</v>
      </c>
      <c r="S14" s="1067"/>
      <c r="T14" s="820">
        <f>'Phase 6 Costs'!$AC15</f>
        <v>0</v>
      </c>
      <c r="U14" s="814">
        <f>'Phase 6 Costs'!$AD15</f>
        <v>0</v>
      </c>
      <c r="V14" s="1067"/>
      <c r="W14" s="820">
        <f t="shared" si="0"/>
        <v>0</v>
      </c>
      <c r="X14" s="814">
        <f t="shared" si="1"/>
        <v>0</v>
      </c>
      <c r="Y14" s="960"/>
    </row>
    <row r="15" spans="1:25" x14ac:dyDescent="0.25">
      <c r="A15" s="960"/>
      <c r="B15" s="821" t="str">
        <f>IF(ISBLANK('Labor Rates'!D15),"",'Labor Rates'!D15)</f>
        <v/>
      </c>
      <c r="C15" s="821" t="str">
        <f>IF(ISBLANK('Labor Rates'!E15),"",'Labor Rates'!E15)</f>
        <v/>
      </c>
      <c r="D15" s="1082"/>
      <c r="E15" s="820">
        <f>'Phase 1 Costs'!$AC16</f>
        <v>0</v>
      </c>
      <c r="F15" s="814">
        <f>'Phase 1 Costs'!AD16</f>
        <v>0</v>
      </c>
      <c r="G15" s="1067"/>
      <c r="H15" s="820">
        <f>'Phase 2 Costs '!AC16</f>
        <v>0</v>
      </c>
      <c r="I15" s="814">
        <f>'Phase 2 Costs '!AD16</f>
        <v>0</v>
      </c>
      <c r="J15" s="1067"/>
      <c r="K15" s="820">
        <f>'Phase 3 Costs'!AC16</f>
        <v>0</v>
      </c>
      <c r="L15" s="814">
        <f>'Phase 3 Costs'!AD16</f>
        <v>0</v>
      </c>
      <c r="M15" s="1067"/>
      <c r="N15" s="820">
        <f>'Phase 4 Costs'!$AC16</f>
        <v>0</v>
      </c>
      <c r="O15" s="814">
        <f>'Phase 4 Costs'!$AD16</f>
        <v>0</v>
      </c>
      <c r="P15" s="1067"/>
      <c r="Q15" s="820">
        <f>'Phase 5 Costs'!$AC16</f>
        <v>0</v>
      </c>
      <c r="R15" s="814">
        <f>'Phase 5 Costs'!$AD16</f>
        <v>0</v>
      </c>
      <c r="S15" s="1067"/>
      <c r="T15" s="820">
        <f>'Phase 6 Costs'!$AC16</f>
        <v>0</v>
      </c>
      <c r="U15" s="814">
        <f>'Phase 6 Costs'!$AD16</f>
        <v>0</v>
      </c>
      <c r="V15" s="1067"/>
      <c r="W15" s="820">
        <f t="shared" si="0"/>
        <v>0</v>
      </c>
      <c r="X15" s="814">
        <f t="shared" si="1"/>
        <v>0</v>
      </c>
      <c r="Y15" s="960"/>
    </row>
    <row r="16" spans="1:25" x14ac:dyDescent="0.25">
      <c r="A16" s="960"/>
      <c r="B16" s="821" t="str">
        <f>IF(ISBLANK('Labor Rates'!D16),"",'Labor Rates'!D16)</f>
        <v/>
      </c>
      <c r="C16" s="821" t="str">
        <f>IF(ISBLANK('Labor Rates'!E16),"",'Labor Rates'!E16)</f>
        <v/>
      </c>
      <c r="D16" s="1082"/>
      <c r="E16" s="820">
        <f>'Phase 1 Costs'!$AC17</f>
        <v>0</v>
      </c>
      <c r="F16" s="814">
        <f>'Phase 1 Costs'!AD17</f>
        <v>0</v>
      </c>
      <c r="G16" s="1067"/>
      <c r="H16" s="820">
        <f>'Phase 2 Costs '!AC17</f>
        <v>0</v>
      </c>
      <c r="I16" s="814">
        <f>'Phase 2 Costs '!AD17</f>
        <v>0</v>
      </c>
      <c r="J16" s="1067"/>
      <c r="K16" s="820">
        <f>'Phase 3 Costs'!AC17</f>
        <v>0</v>
      </c>
      <c r="L16" s="814">
        <f>'Phase 3 Costs'!AD17</f>
        <v>0</v>
      </c>
      <c r="M16" s="1067"/>
      <c r="N16" s="820">
        <f>'Phase 4 Costs'!$AC17</f>
        <v>0</v>
      </c>
      <c r="O16" s="814">
        <f>'Phase 4 Costs'!$AD17</f>
        <v>0</v>
      </c>
      <c r="P16" s="1067"/>
      <c r="Q16" s="820">
        <f>'Phase 5 Costs'!$AC17</f>
        <v>0</v>
      </c>
      <c r="R16" s="814">
        <f>'Phase 5 Costs'!$AD17</f>
        <v>0</v>
      </c>
      <c r="S16" s="1067"/>
      <c r="T16" s="820">
        <f>'Phase 6 Costs'!$AC17</f>
        <v>0</v>
      </c>
      <c r="U16" s="814">
        <f>'Phase 6 Costs'!$AD17</f>
        <v>0</v>
      </c>
      <c r="V16" s="1067"/>
      <c r="W16" s="820">
        <f t="shared" si="0"/>
        <v>0</v>
      </c>
      <c r="X16" s="814">
        <f t="shared" si="1"/>
        <v>0</v>
      </c>
      <c r="Y16" s="960"/>
    </row>
    <row r="17" spans="1:25" x14ac:dyDescent="0.25">
      <c r="A17" s="960"/>
      <c r="B17" s="821" t="str">
        <f>IF(ISBLANK('Labor Rates'!D17),"",'Labor Rates'!D17)</f>
        <v/>
      </c>
      <c r="C17" s="821" t="str">
        <f>IF(ISBLANK('Labor Rates'!E17),"",'Labor Rates'!E17)</f>
        <v/>
      </c>
      <c r="D17" s="1082"/>
      <c r="E17" s="820">
        <f>'Phase 1 Costs'!$AC18</f>
        <v>0</v>
      </c>
      <c r="F17" s="814">
        <f>'Phase 1 Costs'!AD18</f>
        <v>0</v>
      </c>
      <c r="G17" s="1067"/>
      <c r="H17" s="820">
        <f>'Phase 2 Costs '!AC18</f>
        <v>0</v>
      </c>
      <c r="I17" s="814">
        <f>'Phase 2 Costs '!AD18</f>
        <v>0</v>
      </c>
      <c r="J17" s="1067"/>
      <c r="K17" s="820">
        <f>'Phase 3 Costs'!AC18</f>
        <v>0</v>
      </c>
      <c r="L17" s="814">
        <f>'Phase 3 Costs'!AD18</f>
        <v>0</v>
      </c>
      <c r="M17" s="1067"/>
      <c r="N17" s="820">
        <f>'Phase 4 Costs'!$AC18</f>
        <v>0</v>
      </c>
      <c r="O17" s="814">
        <f>'Phase 4 Costs'!$AD18</f>
        <v>0</v>
      </c>
      <c r="P17" s="1067"/>
      <c r="Q17" s="820">
        <f>'Phase 5 Costs'!$AC18</f>
        <v>0</v>
      </c>
      <c r="R17" s="814">
        <f>'Phase 5 Costs'!$AD18</f>
        <v>0</v>
      </c>
      <c r="S17" s="1067"/>
      <c r="T17" s="820">
        <f>'Phase 6 Costs'!$AC18</f>
        <v>0</v>
      </c>
      <c r="U17" s="814">
        <f>'Phase 6 Costs'!$AD18</f>
        <v>0</v>
      </c>
      <c r="V17" s="1067"/>
      <c r="W17" s="820">
        <f t="shared" si="0"/>
        <v>0</v>
      </c>
      <c r="X17" s="814">
        <f t="shared" si="1"/>
        <v>0</v>
      </c>
      <c r="Y17" s="960"/>
    </row>
    <row r="18" spans="1:25" x14ac:dyDescent="0.25">
      <c r="A18" s="960"/>
      <c r="B18" s="821" t="str">
        <f>IF(ISBLANK('Labor Rates'!D18),"",'Labor Rates'!D18)</f>
        <v/>
      </c>
      <c r="C18" s="821" t="str">
        <f>IF(ISBLANK('Labor Rates'!E18),"",'Labor Rates'!E18)</f>
        <v/>
      </c>
      <c r="D18" s="1082"/>
      <c r="E18" s="820">
        <f>'Phase 1 Costs'!$AC19</f>
        <v>0</v>
      </c>
      <c r="F18" s="814">
        <f>'Phase 1 Costs'!AD19</f>
        <v>0</v>
      </c>
      <c r="G18" s="1067"/>
      <c r="H18" s="820">
        <f>'Phase 2 Costs '!AC19</f>
        <v>0</v>
      </c>
      <c r="I18" s="814">
        <f>'Phase 2 Costs '!AD19</f>
        <v>0</v>
      </c>
      <c r="J18" s="1067"/>
      <c r="K18" s="820">
        <f>'Phase 3 Costs'!AC19</f>
        <v>0</v>
      </c>
      <c r="L18" s="814">
        <f>'Phase 3 Costs'!AD19</f>
        <v>0</v>
      </c>
      <c r="M18" s="1067"/>
      <c r="N18" s="820">
        <f>'Phase 4 Costs'!$AC19</f>
        <v>0</v>
      </c>
      <c r="O18" s="814">
        <f>'Phase 4 Costs'!$AD19</f>
        <v>0</v>
      </c>
      <c r="P18" s="1067"/>
      <c r="Q18" s="820">
        <f>'Phase 5 Costs'!$AC19</f>
        <v>0</v>
      </c>
      <c r="R18" s="814">
        <f>'Phase 5 Costs'!$AD19</f>
        <v>0</v>
      </c>
      <c r="S18" s="1067"/>
      <c r="T18" s="820">
        <f>'Phase 6 Costs'!$AC19</f>
        <v>0</v>
      </c>
      <c r="U18" s="814">
        <f>'Phase 6 Costs'!$AD19</f>
        <v>0</v>
      </c>
      <c r="V18" s="1067"/>
      <c r="W18" s="820">
        <f t="shared" si="0"/>
        <v>0</v>
      </c>
      <c r="X18" s="814">
        <f t="shared" si="1"/>
        <v>0</v>
      </c>
      <c r="Y18" s="960"/>
    </row>
    <row r="19" spans="1:25" x14ac:dyDescent="0.25">
      <c r="A19" s="960"/>
      <c r="B19" s="821" t="str">
        <f>IF(ISBLANK('Labor Rates'!D19),"",'Labor Rates'!D19)</f>
        <v/>
      </c>
      <c r="C19" s="821" t="str">
        <f>IF(ISBLANK('Labor Rates'!E19),"",'Labor Rates'!E19)</f>
        <v/>
      </c>
      <c r="D19" s="1082"/>
      <c r="E19" s="820">
        <f>'Phase 1 Costs'!$AC20</f>
        <v>0</v>
      </c>
      <c r="F19" s="814">
        <f>'Phase 1 Costs'!AD20</f>
        <v>0</v>
      </c>
      <c r="G19" s="1067"/>
      <c r="H19" s="820">
        <f>'Phase 2 Costs '!AC20</f>
        <v>0</v>
      </c>
      <c r="I19" s="814">
        <f>'Phase 2 Costs '!AD20</f>
        <v>0</v>
      </c>
      <c r="J19" s="1067"/>
      <c r="K19" s="820">
        <f>'Phase 3 Costs'!AC20</f>
        <v>0</v>
      </c>
      <c r="L19" s="814">
        <f>'Phase 3 Costs'!AD20</f>
        <v>0</v>
      </c>
      <c r="M19" s="1067"/>
      <c r="N19" s="820">
        <f>'Phase 4 Costs'!$AC20</f>
        <v>0</v>
      </c>
      <c r="O19" s="814">
        <f>'Phase 4 Costs'!$AD20</f>
        <v>0</v>
      </c>
      <c r="P19" s="1067"/>
      <c r="Q19" s="820">
        <f>'Phase 5 Costs'!$AC20</f>
        <v>0</v>
      </c>
      <c r="R19" s="814">
        <f>'Phase 5 Costs'!$AD20</f>
        <v>0</v>
      </c>
      <c r="S19" s="1067"/>
      <c r="T19" s="820">
        <f>'Phase 6 Costs'!$AC20</f>
        <v>0</v>
      </c>
      <c r="U19" s="814">
        <f>'Phase 6 Costs'!$AD20</f>
        <v>0</v>
      </c>
      <c r="V19" s="1067"/>
      <c r="W19" s="820">
        <f t="shared" si="0"/>
        <v>0</v>
      </c>
      <c r="X19" s="814">
        <f t="shared" si="1"/>
        <v>0</v>
      </c>
      <c r="Y19" s="960"/>
    </row>
    <row r="20" spans="1:25" x14ac:dyDescent="0.25">
      <c r="A20" s="960"/>
      <c r="B20" s="821" t="str">
        <f>IF(ISBLANK('Labor Rates'!D20),"",'Labor Rates'!D20)</f>
        <v/>
      </c>
      <c r="C20" s="821" t="str">
        <f>IF(ISBLANK('Labor Rates'!E20),"",'Labor Rates'!E20)</f>
        <v/>
      </c>
      <c r="D20" s="1082"/>
      <c r="E20" s="820">
        <f>'Phase 1 Costs'!$AC21</f>
        <v>0</v>
      </c>
      <c r="F20" s="814">
        <f>'Phase 1 Costs'!AD21</f>
        <v>0</v>
      </c>
      <c r="G20" s="1067"/>
      <c r="H20" s="820">
        <f>'Phase 2 Costs '!AC21</f>
        <v>0</v>
      </c>
      <c r="I20" s="814">
        <f>'Phase 2 Costs '!AD21</f>
        <v>0</v>
      </c>
      <c r="J20" s="1067"/>
      <c r="K20" s="820">
        <f>'Phase 3 Costs'!AC21</f>
        <v>0</v>
      </c>
      <c r="L20" s="814">
        <f>'Phase 3 Costs'!AD21</f>
        <v>0</v>
      </c>
      <c r="M20" s="1067"/>
      <c r="N20" s="820">
        <f>'Phase 4 Costs'!$AC21</f>
        <v>0</v>
      </c>
      <c r="O20" s="814">
        <f>'Phase 4 Costs'!$AD21</f>
        <v>0</v>
      </c>
      <c r="P20" s="1067"/>
      <c r="Q20" s="820">
        <f>'Phase 5 Costs'!$AC21</f>
        <v>0</v>
      </c>
      <c r="R20" s="814">
        <f>'Phase 5 Costs'!$AD21</f>
        <v>0</v>
      </c>
      <c r="S20" s="1067"/>
      <c r="T20" s="820">
        <f>'Phase 6 Costs'!$AC21</f>
        <v>0</v>
      </c>
      <c r="U20" s="814">
        <f>'Phase 6 Costs'!$AD21</f>
        <v>0</v>
      </c>
      <c r="V20" s="1067"/>
      <c r="W20" s="820">
        <f t="shared" si="0"/>
        <v>0</v>
      </c>
      <c r="X20" s="814">
        <f t="shared" si="1"/>
        <v>0</v>
      </c>
      <c r="Y20" s="960"/>
    </row>
    <row r="21" spans="1:25" x14ac:dyDescent="0.25">
      <c r="A21" s="960"/>
      <c r="B21" s="821" t="str">
        <f>IF(ISBLANK('Labor Rates'!D21),"",'Labor Rates'!D21)</f>
        <v/>
      </c>
      <c r="C21" s="821" t="str">
        <f>IF(ISBLANK('Labor Rates'!E21),"",'Labor Rates'!E21)</f>
        <v/>
      </c>
      <c r="D21" s="1082"/>
      <c r="E21" s="820">
        <f>'Phase 1 Costs'!$AC22</f>
        <v>0</v>
      </c>
      <c r="F21" s="814">
        <f>'Phase 1 Costs'!AD22</f>
        <v>0</v>
      </c>
      <c r="G21" s="1067"/>
      <c r="H21" s="820">
        <f>'Phase 2 Costs '!AC22</f>
        <v>0</v>
      </c>
      <c r="I21" s="814">
        <f>'Phase 2 Costs '!AD22</f>
        <v>0</v>
      </c>
      <c r="J21" s="1067"/>
      <c r="K21" s="820">
        <f>'Phase 3 Costs'!AC22</f>
        <v>0</v>
      </c>
      <c r="L21" s="814">
        <f>'Phase 3 Costs'!AD22</f>
        <v>0</v>
      </c>
      <c r="M21" s="1067"/>
      <c r="N21" s="820">
        <f>'Phase 4 Costs'!$AC22</f>
        <v>0</v>
      </c>
      <c r="O21" s="814">
        <f>'Phase 4 Costs'!$AD22</f>
        <v>0</v>
      </c>
      <c r="P21" s="1067"/>
      <c r="Q21" s="820">
        <f>'Phase 5 Costs'!$AC22</f>
        <v>0</v>
      </c>
      <c r="R21" s="814">
        <f>'Phase 5 Costs'!$AD22</f>
        <v>0</v>
      </c>
      <c r="S21" s="1067"/>
      <c r="T21" s="820">
        <f>'Phase 6 Costs'!$AC22</f>
        <v>0</v>
      </c>
      <c r="U21" s="814">
        <f>'Phase 6 Costs'!$AD22</f>
        <v>0</v>
      </c>
      <c r="V21" s="1067"/>
      <c r="W21" s="820">
        <f t="shared" si="0"/>
        <v>0</v>
      </c>
      <c r="X21" s="814">
        <f t="shared" si="1"/>
        <v>0</v>
      </c>
      <c r="Y21" s="960"/>
    </row>
    <row r="22" spans="1:25" x14ac:dyDescent="0.25">
      <c r="A22" s="960"/>
      <c r="B22" s="821" t="str">
        <f>IF(ISBLANK('Labor Rates'!D22),"",'Labor Rates'!D22)</f>
        <v/>
      </c>
      <c r="C22" s="821" t="str">
        <f>IF(ISBLANK('Labor Rates'!E22),"",'Labor Rates'!E22)</f>
        <v/>
      </c>
      <c r="D22" s="1082"/>
      <c r="E22" s="820">
        <f>'Phase 1 Costs'!$AC23</f>
        <v>0</v>
      </c>
      <c r="F22" s="814">
        <f>'Phase 1 Costs'!AD23</f>
        <v>0</v>
      </c>
      <c r="G22" s="1067"/>
      <c r="H22" s="820">
        <f>'Phase 2 Costs '!AC23</f>
        <v>0</v>
      </c>
      <c r="I22" s="814">
        <f>'Phase 2 Costs '!AD23</f>
        <v>0</v>
      </c>
      <c r="J22" s="1067"/>
      <c r="K22" s="820">
        <f>'Phase 3 Costs'!AC23</f>
        <v>0</v>
      </c>
      <c r="L22" s="814">
        <f>'Phase 3 Costs'!AD23</f>
        <v>0</v>
      </c>
      <c r="M22" s="1067"/>
      <c r="N22" s="820">
        <f>'Phase 4 Costs'!$AC23</f>
        <v>0</v>
      </c>
      <c r="O22" s="814">
        <f>'Phase 4 Costs'!$AD23</f>
        <v>0</v>
      </c>
      <c r="P22" s="1067"/>
      <c r="Q22" s="820">
        <f>'Phase 5 Costs'!$AC23</f>
        <v>0</v>
      </c>
      <c r="R22" s="814">
        <f>'Phase 5 Costs'!$AD23</f>
        <v>0</v>
      </c>
      <c r="S22" s="1067"/>
      <c r="T22" s="820">
        <f>'Phase 6 Costs'!$AC23</f>
        <v>0</v>
      </c>
      <c r="U22" s="814">
        <f>'Phase 6 Costs'!$AD23</f>
        <v>0</v>
      </c>
      <c r="V22" s="1067"/>
      <c r="W22" s="820">
        <f t="shared" si="0"/>
        <v>0</v>
      </c>
      <c r="X22" s="814">
        <f t="shared" si="1"/>
        <v>0</v>
      </c>
      <c r="Y22" s="960"/>
    </row>
    <row r="23" spans="1:25" x14ac:dyDescent="0.25">
      <c r="A23" s="960"/>
      <c r="B23" s="821" t="str">
        <f>IF(ISBLANK('Labor Rates'!D23),"",'Labor Rates'!D23)</f>
        <v/>
      </c>
      <c r="C23" s="821" t="str">
        <f>IF(ISBLANK('Labor Rates'!E23),"",'Labor Rates'!E23)</f>
        <v/>
      </c>
      <c r="D23" s="1082"/>
      <c r="E23" s="820">
        <f>'Phase 1 Costs'!$AC24</f>
        <v>0</v>
      </c>
      <c r="F23" s="814">
        <f>'Phase 1 Costs'!AD24</f>
        <v>0</v>
      </c>
      <c r="G23" s="1067"/>
      <c r="H23" s="820">
        <f>'Phase 2 Costs '!AC24</f>
        <v>0</v>
      </c>
      <c r="I23" s="814">
        <f>'Phase 2 Costs '!AD24</f>
        <v>0</v>
      </c>
      <c r="J23" s="1067"/>
      <c r="K23" s="820">
        <f>'Phase 3 Costs'!AC24</f>
        <v>0</v>
      </c>
      <c r="L23" s="814">
        <f>'Phase 3 Costs'!AD24</f>
        <v>0</v>
      </c>
      <c r="M23" s="1067"/>
      <c r="N23" s="820">
        <f>'Phase 4 Costs'!$AC24</f>
        <v>0</v>
      </c>
      <c r="O23" s="814">
        <f>'Phase 4 Costs'!$AD24</f>
        <v>0</v>
      </c>
      <c r="P23" s="1067"/>
      <c r="Q23" s="820">
        <f>'Phase 5 Costs'!$AC24</f>
        <v>0</v>
      </c>
      <c r="R23" s="814">
        <f>'Phase 5 Costs'!$AD24</f>
        <v>0</v>
      </c>
      <c r="S23" s="1067"/>
      <c r="T23" s="820">
        <f>'Phase 6 Costs'!$AC24</f>
        <v>0</v>
      </c>
      <c r="U23" s="814">
        <f>'Phase 6 Costs'!$AD24</f>
        <v>0</v>
      </c>
      <c r="V23" s="1067"/>
      <c r="W23" s="820">
        <f t="shared" si="0"/>
        <v>0</v>
      </c>
      <c r="X23" s="814">
        <f t="shared" si="1"/>
        <v>0</v>
      </c>
      <c r="Y23" s="960"/>
    </row>
    <row r="24" spans="1:25" x14ac:dyDescent="0.25">
      <c r="A24" s="960"/>
      <c r="B24" s="821" t="str">
        <f>IF(ISBLANK('Labor Rates'!D24),"",'Labor Rates'!D24)</f>
        <v/>
      </c>
      <c r="C24" s="821" t="str">
        <f>IF(ISBLANK('Labor Rates'!E24),"",'Labor Rates'!E24)</f>
        <v/>
      </c>
      <c r="D24" s="1082"/>
      <c r="E24" s="820">
        <f>'Phase 1 Costs'!$AC25</f>
        <v>0</v>
      </c>
      <c r="F24" s="814">
        <f>'Phase 1 Costs'!AD25</f>
        <v>0</v>
      </c>
      <c r="G24" s="1067"/>
      <c r="H24" s="820">
        <f>'Phase 2 Costs '!AC25</f>
        <v>0</v>
      </c>
      <c r="I24" s="814">
        <f>'Phase 2 Costs '!AD25</f>
        <v>0</v>
      </c>
      <c r="J24" s="1067"/>
      <c r="K24" s="820">
        <f>'Phase 3 Costs'!AC25</f>
        <v>0</v>
      </c>
      <c r="L24" s="814">
        <f>'Phase 3 Costs'!AD25</f>
        <v>0</v>
      </c>
      <c r="M24" s="1067"/>
      <c r="N24" s="820">
        <f>'Phase 4 Costs'!$AC25</f>
        <v>0</v>
      </c>
      <c r="O24" s="814">
        <f>'Phase 4 Costs'!$AD25</f>
        <v>0</v>
      </c>
      <c r="P24" s="1067"/>
      <c r="Q24" s="820">
        <f>'Phase 5 Costs'!$AC25</f>
        <v>0</v>
      </c>
      <c r="R24" s="814">
        <f>'Phase 5 Costs'!$AD25</f>
        <v>0</v>
      </c>
      <c r="S24" s="1067"/>
      <c r="T24" s="820">
        <f>'Phase 6 Costs'!$AC25</f>
        <v>0</v>
      </c>
      <c r="U24" s="814">
        <f>'Phase 6 Costs'!$AD25</f>
        <v>0</v>
      </c>
      <c r="V24" s="1067"/>
      <c r="W24" s="820">
        <f t="shared" si="0"/>
        <v>0</v>
      </c>
      <c r="X24" s="814">
        <f t="shared" si="1"/>
        <v>0</v>
      </c>
      <c r="Y24" s="960"/>
    </row>
    <row r="25" spans="1:25" x14ac:dyDescent="0.25">
      <c r="A25" s="960"/>
      <c r="B25" s="821" t="str">
        <f>IF(ISBLANK('Labor Rates'!D25),"",'Labor Rates'!D25)</f>
        <v/>
      </c>
      <c r="C25" s="821" t="str">
        <f>IF(ISBLANK('Labor Rates'!E25),"",'Labor Rates'!E25)</f>
        <v/>
      </c>
      <c r="D25" s="1082"/>
      <c r="E25" s="820">
        <f>'Phase 1 Costs'!$AC26</f>
        <v>0</v>
      </c>
      <c r="F25" s="814">
        <f>'Phase 1 Costs'!AD26</f>
        <v>0</v>
      </c>
      <c r="G25" s="1067"/>
      <c r="H25" s="820">
        <f>'Phase 2 Costs '!AC26</f>
        <v>0</v>
      </c>
      <c r="I25" s="814">
        <f>'Phase 2 Costs '!AD26</f>
        <v>0</v>
      </c>
      <c r="J25" s="1067"/>
      <c r="K25" s="820">
        <f>'Phase 3 Costs'!AC26</f>
        <v>0</v>
      </c>
      <c r="L25" s="814">
        <f>'Phase 3 Costs'!AD26</f>
        <v>0</v>
      </c>
      <c r="M25" s="1067"/>
      <c r="N25" s="820">
        <f>'Phase 4 Costs'!$AC26</f>
        <v>0</v>
      </c>
      <c r="O25" s="814">
        <f>'Phase 4 Costs'!$AD26</f>
        <v>0</v>
      </c>
      <c r="P25" s="1067"/>
      <c r="Q25" s="820">
        <f>'Phase 5 Costs'!$AC26</f>
        <v>0</v>
      </c>
      <c r="R25" s="814">
        <f>'Phase 5 Costs'!$AD26</f>
        <v>0</v>
      </c>
      <c r="S25" s="1067"/>
      <c r="T25" s="820">
        <f>'Phase 6 Costs'!$AC26</f>
        <v>0</v>
      </c>
      <c r="U25" s="814">
        <f>'Phase 6 Costs'!$AD26</f>
        <v>0</v>
      </c>
      <c r="V25" s="1067"/>
      <c r="W25" s="820">
        <f t="shared" si="0"/>
        <v>0</v>
      </c>
      <c r="X25" s="814">
        <f t="shared" si="1"/>
        <v>0</v>
      </c>
      <c r="Y25" s="960"/>
    </row>
    <row r="26" spans="1:25" x14ac:dyDescent="0.25">
      <c r="A26" s="960"/>
      <c r="B26" s="821" t="str">
        <f>IF(ISBLANK('Labor Rates'!D26),"",'Labor Rates'!D26)</f>
        <v/>
      </c>
      <c r="C26" s="821" t="str">
        <f>IF(ISBLANK('Labor Rates'!E26),"",'Labor Rates'!E26)</f>
        <v/>
      </c>
      <c r="D26" s="1082"/>
      <c r="E26" s="820">
        <f>'Phase 1 Costs'!$AC27</f>
        <v>0</v>
      </c>
      <c r="F26" s="814">
        <f>'Phase 1 Costs'!AD27</f>
        <v>0</v>
      </c>
      <c r="G26" s="1067"/>
      <c r="H26" s="820">
        <f>'Phase 2 Costs '!AC27</f>
        <v>0</v>
      </c>
      <c r="I26" s="814">
        <f>'Phase 2 Costs '!AD27</f>
        <v>0</v>
      </c>
      <c r="J26" s="1067"/>
      <c r="K26" s="820">
        <f>'Phase 3 Costs'!AC27</f>
        <v>0</v>
      </c>
      <c r="L26" s="814">
        <f>'Phase 3 Costs'!AD27</f>
        <v>0</v>
      </c>
      <c r="M26" s="1067"/>
      <c r="N26" s="820">
        <f>'Phase 4 Costs'!$AC27</f>
        <v>0</v>
      </c>
      <c r="O26" s="814">
        <f>'Phase 4 Costs'!$AD27</f>
        <v>0</v>
      </c>
      <c r="P26" s="1067"/>
      <c r="Q26" s="820">
        <f>'Phase 5 Costs'!$AC27</f>
        <v>0</v>
      </c>
      <c r="R26" s="814">
        <f>'Phase 5 Costs'!$AD27</f>
        <v>0</v>
      </c>
      <c r="S26" s="1067"/>
      <c r="T26" s="820">
        <f>'Phase 6 Costs'!$AC27</f>
        <v>0</v>
      </c>
      <c r="U26" s="814">
        <f>'Phase 6 Costs'!$AD27</f>
        <v>0</v>
      </c>
      <c r="V26" s="1067"/>
      <c r="W26" s="820">
        <f t="shared" si="0"/>
        <v>0</v>
      </c>
      <c r="X26" s="814">
        <f t="shared" si="1"/>
        <v>0</v>
      </c>
      <c r="Y26" s="960"/>
    </row>
    <row r="27" spans="1:25" x14ac:dyDescent="0.25">
      <c r="A27" s="960"/>
      <c r="B27" s="821" t="str">
        <f>IF(ISBLANK('Labor Rates'!D27),"",'Labor Rates'!D27)</f>
        <v/>
      </c>
      <c r="C27" s="821" t="str">
        <f>IF(ISBLANK('Labor Rates'!E27),"",'Labor Rates'!E27)</f>
        <v/>
      </c>
      <c r="D27" s="1082"/>
      <c r="E27" s="820">
        <f>'Phase 1 Costs'!$AC28</f>
        <v>0</v>
      </c>
      <c r="F27" s="814">
        <f>'Phase 1 Costs'!AD28</f>
        <v>0</v>
      </c>
      <c r="G27" s="1067"/>
      <c r="H27" s="820">
        <f>'Phase 2 Costs '!AC28</f>
        <v>0</v>
      </c>
      <c r="I27" s="814">
        <f>'Phase 2 Costs '!AD28</f>
        <v>0</v>
      </c>
      <c r="J27" s="1067"/>
      <c r="K27" s="820">
        <f>'Phase 3 Costs'!AC28</f>
        <v>0</v>
      </c>
      <c r="L27" s="814">
        <f>'Phase 3 Costs'!AD28</f>
        <v>0</v>
      </c>
      <c r="M27" s="1067"/>
      <c r="N27" s="820">
        <f>'Phase 4 Costs'!$AC28</f>
        <v>0</v>
      </c>
      <c r="O27" s="814">
        <f>'Phase 4 Costs'!$AD28</f>
        <v>0</v>
      </c>
      <c r="P27" s="1067"/>
      <c r="Q27" s="820">
        <f>'Phase 5 Costs'!$AC28</f>
        <v>0</v>
      </c>
      <c r="R27" s="814">
        <f>'Phase 5 Costs'!$AD28</f>
        <v>0</v>
      </c>
      <c r="S27" s="1067"/>
      <c r="T27" s="820">
        <f>'Phase 6 Costs'!$AC28</f>
        <v>0</v>
      </c>
      <c r="U27" s="814">
        <f>'Phase 6 Costs'!$AD28</f>
        <v>0</v>
      </c>
      <c r="V27" s="1067"/>
      <c r="W27" s="820">
        <f t="shared" si="0"/>
        <v>0</v>
      </c>
      <c r="X27" s="814">
        <f t="shared" si="1"/>
        <v>0</v>
      </c>
      <c r="Y27" s="960"/>
    </row>
    <row r="28" spans="1:25" x14ac:dyDescent="0.25">
      <c r="A28" s="960"/>
      <c r="B28" s="821" t="str">
        <f>IF(ISBLANK('Labor Rates'!D28),"",'Labor Rates'!D28)</f>
        <v/>
      </c>
      <c r="C28" s="821" t="str">
        <f>IF(ISBLANK('Labor Rates'!E28),"",'Labor Rates'!E28)</f>
        <v/>
      </c>
      <c r="D28" s="1082"/>
      <c r="E28" s="820">
        <f>'Phase 1 Costs'!$AC29</f>
        <v>0</v>
      </c>
      <c r="F28" s="814">
        <f>'Phase 1 Costs'!AD29</f>
        <v>0</v>
      </c>
      <c r="G28" s="1067"/>
      <c r="H28" s="820">
        <f>'Phase 2 Costs '!AC29</f>
        <v>0</v>
      </c>
      <c r="I28" s="814">
        <f>'Phase 2 Costs '!AD29</f>
        <v>0</v>
      </c>
      <c r="J28" s="1067"/>
      <c r="K28" s="820">
        <f>'Phase 3 Costs'!AC29</f>
        <v>0</v>
      </c>
      <c r="L28" s="814">
        <f>'Phase 3 Costs'!AD29</f>
        <v>0</v>
      </c>
      <c r="M28" s="1067"/>
      <c r="N28" s="820">
        <f>'Phase 4 Costs'!$AC29</f>
        <v>0</v>
      </c>
      <c r="O28" s="814">
        <f>'Phase 4 Costs'!$AD29</f>
        <v>0</v>
      </c>
      <c r="P28" s="1067"/>
      <c r="Q28" s="820">
        <f>'Phase 5 Costs'!$AC29</f>
        <v>0</v>
      </c>
      <c r="R28" s="814">
        <f>'Phase 5 Costs'!$AD29</f>
        <v>0</v>
      </c>
      <c r="S28" s="1067"/>
      <c r="T28" s="820">
        <f>'Phase 6 Costs'!$AC29</f>
        <v>0</v>
      </c>
      <c r="U28" s="814">
        <f>'Phase 6 Costs'!$AD29</f>
        <v>0</v>
      </c>
      <c r="V28" s="1067"/>
      <c r="W28" s="820">
        <f t="shared" si="0"/>
        <v>0</v>
      </c>
      <c r="X28" s="814">
        <f t="shared" si="1"/>
        <v>0</v>
      </c>
      <c r="Y28" s="960"/>
    </row>
    <row r="29" spans="1:25" x14ac:dyDescent="0.25">
      <c r="A29" s="960"/>
      <c r="B29" s="821" t="str">
        <f>IF(ISBLANK('Labor Rates'!D29),"",'Labor Rates'!D29)</f>
        <v/>
      </c>
      <c r="C29" s="821" t="str">
        <f>IF(ISBLANK('Labor Rates'!E29),"",'Labor Rates'!E29)</f>
        <v/>
      </c>
      <c r="D29" s="1082"/>
      <c r="E29" s="820">
        <f>'Phase 1 Costs'!$AC30</f>
        <v>0</v>
      </c>
      <c r="F29" s="814">
        <f>'Phase 1 Costs'!AD30</f>
        <v>0</v>
      </c>
      <c r="G29" s="1067"/>
      <c r="H29" s="820">
        <f>'Phase 2 Costs '!AC30</f>
        <v>0</v>
      </c>
      <c r="I29" s="814">
        <f>'Phase 2 Costs '!AD30</f>
        <v>0</v>
      </c>
      <c r="J29" s="1067"/>
      <c r="K29" s="820">
        <f>'Phase 3 Costs'!AC30</f>
        <v>0</v>
      </c>
      <c r="L29" s="814">
        <f>'Phase 3 Costs'!AD30</f>
        <v>0</v>
      </c>
      <c r="M29" s="1067"/>
      <c r="N29" s="820">
        <f>'Phase 4 Costs'!$AC30</f>
        <v>0</v>
      </c>
      <c r="O29" s="814">
        <f>'Phase 4 Costs'!$AD30</f>
        <v>0</v>
      </c>
      <c r="P29" s="1067"/>
      <c r="Q29" s="820">
        <f>'Phase 5 Costs'!$AC30</f>
        <v>0</v>
      </c>
      <c r="R29" s="814">
        <f>'Phase 5 Costs'!$AD30</f>
        <v>0</v>
      </c>
      <c r="S29" s="1067"/>
      <c r="T29" s="820">
        <f>'Phase 6 Costs'!$AC30</f>
        <v>0</v>
      </c>
      <c r="U29" s="814">
        <f>'Phase 6 Costs'!$AD30</f>
        <v>0</v>
      </c>
      <c r="V29" s="1067"/>
      <c r="W29" s="820">
        <f t="shared" si="0"/>
        <v>0</v>
      </c>
      <c r="X29" s="814">
        <f t="shared" si="1"/>
        <v>0</v>
      </c>
      <c r="Y29" s="960"/>
    </row>
    <row r="30" spans="1:25" x14ac:dyDescent="0.25">
      <c r="A30" s="960"/>
      <c r="B30" s="821" t="str">
        <f>IF(ISBLANK('Labor Rates'!D30),"",'Labor Rates'!D30)</f>
        <v/>
      </c>
      <c r="C30" s="821" t="str">
        <f>IF(ISBLANK('Labor Rates'!E30),"",'Labor Rates'!E30)</f>
        <v/>
      </c>
      <c r="D30" s="1082"/>
      <c r="E30" s="820">
        <f>'Phase 1 Costs'!$AC31</f>
        <v>0</v>
      </c>
      <c r="F30" s="814">
        <f>'Phase 1 Costs'!AD31</f>
        <v>0</v>
      </c>
      <c r="G30" s="1067"/>
      <c r="H30" s="820">
        <f>'Phase 2 Costs '!AC31</f>
        <v>0</v>
      </c>
      <c r="I30" s="814">
        <f>'Phase 2 Costs '!AD31</f>
        <v>0</v>
      </c>
      <c r="J30" s="1067"/>
      <c r="K30" s="820">
        <f>'Phase 3 Costs'!AC31</f>
        <v>0</v>
      </c>
      <c r="L30" s="814">
        <f>'Phase 3 Costs'!AD31</f>
        <v>0</v>
      </c>
      <c r="M30" s="1067"/>
      <c r="N30" s="820">
        <f>'Phase 4 Costs'!$AC31</f>
        <v>0</v>
      </c>
      <c r="O30" s="814">
        <f>'Phase 4 Costs'!$AD31</f>
        <v>0</v>
      </c>
      <c r="P30" s="1067"/>
      <c r="Q30" s="820">
        <f>'Phase 5 Costs'!$AC31</f>
        <v>0</v>
      </c>
      <c r="R30" s="814">
        <f>'Phase 5 Costs'!$AD31</f>
        <v>0</v>
      </c>
      <c r="S30" s="1067"/>
      <c r="T30" s="820">
        <f>'Phase 6 Costs'!$AC31</f>
        <v>0</v>
      </c>
      <c r="U30" s="814">
        <f>'Phase 6 Costs'!$AD31</f>
        <v>0</v>
      </c>
      <c r="V30" s="1067"/>
      <c r="W30" s="820">
        <f t="shared" si="0"/>
        <v>0</v>
      </c>
      <c r="X30" s="814">
        <f t="shared" si="1"/>
        <v>0</v>
      </c>
      <c r="Y30" s="960"/>
    </row>
    <row r="31" spans="1:25" x14ac:dyDescent="0.25">
      <c r="A31" s="960"/>
      <c r="B31" s="821" t="str">
        <f>IF(ISBLANK('Labor Rates'!D31),"",'Labor Rates'!D31)</f>
        <v/>
      </c>
      <c r="C31" s="821" t="str">
        <f>IF(ISBLANK('Labor Rates'!E31),"",'Labor Rates'!E31)</f>
        <v/>
      </c>
      <c r="D31" s="1082"/>
      <c r="E31" s="820">
        <f>'Phase 1 Costs'!$AC32</f>
        <v>0</v>
      </c>
      <c r="F31" s="814">
        <f>'Phase 1 Costs'!AD32</f>
        <v>0</v>
      </c>
      <c r="G31" s="1067"/>
      <c r="H31" s="820">
        <f>'Phase 2 Costs '!AC32</f>
        <v>0</v>
      </c>
      <c r="I31" s="814">
        <f>'Phase 2 Costs '!AD32</f>
        <v>0</v>
      </c>
      <c r="J31" s="1067"/>
      <c r="K31" s="820">
        <f>'Phase 3 Costs'!AC32</f>
        <v>0</v>
      </c>
      <c r="L31" s="814">
        <f>'Phase 3 Costs'!AD32</f>
        <v>0</v>
      </c>
      <c r="M31" s="1067"/>
      <c r="N31" s="820">
        <f>'Phase 4 Costs'!$AC32</f>
        <v>0</v>
      </c>
      <c r="O31" s="814">
        <f>'Phase 4 Costs'!$AD32</f>
        <v>0</v>
      </c>
      <c r="P31" s="1067"/>
      <c r="Q31" s="820">
        <f>'Phase 5 Costs'!$AC32</f>
        <v>0</v>
      </c>
      <c r="R31" s="814">
        <f>'Phase 5 Costs'!$AD32</f>
        <v>0</v>
      </c>
      <c r="S31" s="1067"/>
      <c r="T31" s="820">
        <f>'Phase 6 Costs'!$AC32</f>
        <v>0</v>
      </c>
      <c r="U31" s="814">
        <f>'Phase 6 Costs'!$AD32</f>
        <v>0</v>
      </c>
      <c r="V31" s="1067"/>
      <c r="W31" s="820">
        <f t="shared" si="0"/>
        <v>0</v>
      </c>
      <c r="X31" s="814">
        <f t="shared" si="1"/>
        <v>0</v>
      </c>
      <c r="Y31" s="960"/>
    </row>
    <row r="32" spans="1:25" ht="21" customHeight="1" x14ac:dyDescent="0.25">
      <c r="A32" s="960"/>
      <c r="B32" s="1681" t="s">
        <v>561</v>
      </c>
      <c r="C32" s="1682"/>
      <c r="D32" s="1083"/>
      <c r="E32" s="1157">
        <f>'Phase 1 Costs'!AC33</f>
        <v>0</v>
      </c>
      <c r="F32" s="1155">
        <f>'Phase 1 Costs'!AD33</f>
        <v>0</v>
      </c>
      <c r="G32" s="1068"/>
      <c r="H32" s="1156">
        <f>'Phase 2 Costs '!AC33</f>
        <v>0</v>
      </c>
      <c r="I32" s="1155">
        <f>'Phase 2 Costs '!AD33</f>
        <v>0</v>
      </c>
      <c r="J32" s="1068"/>
      <c r="K32" s="1156">
        <f>'Phase 3 Costs'!AC33</f>
        <v>0</v>
      </c>
      <c r="L32" s="1155">
        <f>'Phase 3 Costs'!AD33</f>
        <v>0</v>
      </c>
      <c r="M32" s="1068"/>
      <c r="N32" s="1156">
        <f>'Phase 4 Costs'!AC33</f>
        <v>0</v>
      </c>
      <c r="O32" s="1155">
        <f>'Phase 4 Costs'!AD33</f>
        <v>0</v>
      </c>
      <c r="P32" s="1068"/>
      <c r="Q32" s="1156">
        <f>'Phase 5 Costs'!$AC33</f>
        <v>0</v>
      </c>
      <c r="R32" s="1155">
        <f>'Phase 5 Costs'!$AD33</f>
        <v>0</v>
      </c>
      <c r="S32" s="1068"/>
      <c r="T32" s="1156">
        <f>'Phase 6 Costs'!$AC33</f>
        <v>0</v>
      </c>
      <c r="U32" s="1155">
        <f>'Phase 6 Costs'!$AD33</f>
        <v>0</v>
      </c>
      <c r="V32" s="1068"/>
      <c r="W32" s="1156">
        <f>SUM(W8:W31)</f>
        <v>0</v>
      </c>
      <c r="X32" s="1155">
        <f>F32+I32+L32+O32+R32+U32</f>
        <v>0</v>
      </c>
      <c r="Y32" s="960"/>
    </row>
    <row r="33" spans="1:46" ht="15" customHeight="1" x14ac:dyDescent="0.25">
      <c r="A33" s="960"/>
      <c r="B33" s="1084"/>
      <c r="C33" s="1085"/>
      <c r="D33" s="1083"/>
      <c r="E33" s="1086"/>
      <c r="F33" s="1068"/>
      <c r="G33" s="1068"/>
      <c r="H33" s="1086"/>
      <c r="I33" s="1068"/>
      <c r="J33" s="1068"/>
      <c r="K33" s="1087"/>
      <c r="L33" s="1068"/>
      <c r="M33" s="1068"/>
      <c r="N33" s="1086"/>
      <c r="O33" s="1068"/>
      <c r="P33" s="1068"/>
      <c r="Q33" s="1086"/>
      <c r="R33" s="1068"/>
      <c r="S33" s="1068"/>
      <c r="T33" s="1086"/>
      <c r="U33" s="1068"/>
      <c r="V33" s="1068"/>
      <c r="W33" s="1086"/>
      <c r="X33" s="1072"/>
      <c r="Y33" s="960"/>
    </row>
    <row r="34" spans="1:46" ht="18" customHeight="1" x14ac:dyDescent="0.25">
      <c r="A34" s="960"/>
      <c r="B34" s="1679" t="s">
        <v>562</v>
      </c>
      <c r="C34" s="1680"/>
      <c r="D34" s="1065"/>
      <c r="E34" s="1650" t="s">
        <v>563</v>
      </c>
      <c r="F34" s="1650"/>
      <c r="G34" s="1067"/>
      <c r="H34" s="1650" t="s">
        <v>564</v>
      </c>
      <c r="I34" s="1650"/>
      <c r="J34" s="1067"/>
      <c r="K34" s="1650" t="s">
        <v>565</v>
      </c>
      <c r="L34" s="1650"/>
      <c r="M34" s="1067"/>
      <c r="N34" s="1650" t="s">
        <v>566</v>
      </c>
      <c r="O34" s="1650"/>
      <c r="P34" s="1067"/>
      <c r="Q34" s="1650" t="s">
        <v>567</v>
      </c>
      <c r="R34" s="1650"/>
      <c r="S34" s="1067"/>
      <c r="T34" s="1650" t="s">
        <v>568</v>
      </c>
      <c r="U34" s="1650"/>
      <c r="V34" s="1067"/>
      <c r="W34" s="1650" t="s">
        <v>569</v>
      </c>
      <c r="X34" s="1650"/>
      <c r="Y34" s="960"/>
    </row>
    <row r="35" spans="1:46" ht="15" customHeight="1" x14ac:dyDescent="0.25">
      <c r="A35" s="960"/>
      <c r="B35" s="1672" t="str">
        <f>'Phase 1 Costs'!A36</f>
        <v>Subproposer- #01</v>
      </c>
      <c r="C35" s="1301"/>
      <c r="D35" s="1078"/>
      <c r="E35" s="1651">
        <f>'Phase 1 Costs'!AD36</f>
        <v>0</v>
      </c>
      <c r="F35" s="1651"/>
      <c r="G35" s="1067"/>
      <c r="H35" s="1651">
        <f>'Phase 2 Costs '!AD36</f>
        <v>0</v>
      </c>
      <c r="I35" s="1651"/>
      <c r="J35" s="1067"/>
      <c r="K35" s="1651">
        <f>'Phase 3 Costs'!AD36</f>
        <v>0</v>
      </c>
      <c r="L35" s="1651"/>
      <c r="M35" s="1067"/>
      <c r="N35" s="1651">
        <f>'Phase 4 Costs'!AD36</f>
        <v>0</v>
      </c>
      <c r="O35" s="1651"/>
      <c r="P35" s="1067"/>
      <c r="Q35" s="1651">
        <f>'Phase 5 Costs'!AD36</f>
        <v>0</v>
      </c>
      <c r="R35" s="1651"/>
      <c r="S35" s="1067"/>
      <c r="T35" s="1651">
        <f>'Phase 6 Costs'!AD36</f>
        <v>0</v>
      </c>
      <c r="U35" s="1651"/>
      <c r="V35" s="1067"/>
      <c r="W35" s="1651">
        <f>E35+H35+K35+N35+Q35+T35</f>
        <v>0</v>
      </c>
      <c r="X35" s="1651"/>
      <c r="Y35" s="960"/>
    </row>
    <row r="36" spans="1:46" ht="15" customHeight="1" x14ac:dyDescent="0.25">
      <c r="A36" s="960"/>
      <c r="B36" s="1672" t="str">
        <f>'Phase 1 Costs'!A37</f>
        <v>Subproposer- #02</v>
      </c>
      <c r="C36" s="1301"/>
      <c r="D36" s="1078"/>
      <c r="E36" s="1651">
        <f>'Phase 1 Costs'!AD37</f>
        <v>0</v>
      </c>
      <c r="F36" s="1651"/>
      <c r="G36" s="1067"/>
      <c r="H36" s="1651">
        <f>'Phase 2 Costs '!AD37</f>
        <v>0</v>
      </c>
      <c r="I36" s="1651"/>
      <c r="J36" s="1067"/>
      <c r="K36" s="1651">
        <f>'Phase 3 Costs'!AD37</f>
        <v>0</v>
      </c>
      <c r="L36" s="1651"/>
      <c r="M36" s="1067"/>
      <c r="N36" s="1651">
        <f>'Phase 4 Costs'!AD37</f>
        <v>0</v>
      </c>
      <c r="O36" s="1651"/>
      <c r="P36" s="1067"/>
      <c r="Q36" s="1651">
        <f>'Phase 5 Costs'!AD37</f>
        <v>0</v>
      </c>
      <c r="R36" s="1651"/>
      <c r="S36" s="1067"/>
      <c r="T36" s="1651">
        <f>'Phase 6 Costs'!AD37</f>
        <v>0</v>
      </c>
      <c r="U36" s="1651"/>
      <c r="V36" s="1067"/>
      <c r="W36" s="1651">
        <f>E36+H36+K36+N36+Q36+T36</f>
        <v>0</v>
      </c>
      <c r="X36" s="1651"/>
      <c r="Y36" s="960"/>
    </row>
    <row r="37" spans="1:46" ht="15" customHeight="1" x14ac:dyDescent="0.25">
      <c r="A37" s="960"/>
      <c r="B37" s="1672" t="str">
        <f>'Phase 1 Costs'!A38</f>
        <v>Subproposer- #03</v>
      </c>
      <c r="C37" s="1301"/>
      <c r="D37" s="1078"/>
      <c r="E37" s="1651">
        <f>'Phase 1 Costs'!AD38</f>
        <v>0</v>
      </c>
      <c r="F37" s="1651"/>
      <c r="G37" s="1067"/>
      <c r="H37" s="1651">
        <f>'Phase 2 Costs '!AD38</f>
        <v>0</v>
      </c>
      <c r="I37" s="1651"/>
      <c r="J37" s="1067"/>
      <c r="K37" s="1651">
        <f>'Phase 3 Costs'!AD38</f>
        <v>0</v>
      </c>
      <c r="L37" s="1651"/>
      <c r="M37" s="1067"/>
      <c r="N37" s="1651">
        <f>'Phase 4 Costs'!AD38</f>
        <v>0</v>
      </c>
      <c r="O37" s="1651"/>
      <c r="P37" s="1067"/>
      <c r="Q37" s="1651">
        <f>'Phase 5 Costs'!AD38</f>
        <v>0</v>
      </c>
      <c r="R37" s="1651"/>
      <c r="S37" s="1067"/>
      <c r="T37" s="1651">
        <f>'Phase 6 Costs'!AD38</f>
        <v>0</v>
      </c>
      <c r="U37" s="1651"/>
      <c r="V37" s="1067"/>
      <c r="W37" s="1651">
        <f>E37+H37+K37+N37+Q37+T37</f>
        <v>0</v>
      </c>
      <c r="X37" s="1651"/>
      <c r="Y37" s="960"/>
    </row>
    <row r="38" spans="1:46" ht="15" customHeight="1" x14ac:dyDescent="0.25">
      <c r="A38" s="960"/>
      <c r="B38" s="1672" t="str">
        <f>'Phase 1 Costs'!A39</f>
        <v>Insert line(s) for additional Subproposers</v>
      </c>
      <c r="C38" s="1301"/>
      <c r="D38" s="1078"/>
      <c r="E38" s="1651">
        <f>'Phase 1 Costs'!AD39</f>
        <v>0</v>
      </c>
      <c r="F38" s="1651"/>
      <c r="G38" s="1067"/>
      <c r="H38" s="1651">
        <f>'Phase 2 Costs '!AD39</f>
        <v>0</v>
      </c>
      <c r="I38" s="1651"/>
      <c r="J38" s="1067"/>
      <c r="K38" s="1651">
        <f>'Phase 3 Costs'!AD39</f>
        <v>0</v>
      </c>
      <c r="L38" s="1651"/>
      <c r="M38" s="1067"/>
      <c r="N38" s="1651">
        <f>'Phase 4 Costs'!AD39</f>
        <v>0</v>
      </c>
      <c r="O38" s="1651"/>
      <c r="P38" s="1067"/>
      <c r="Q38" s="1651">
        <f>'Phase 5 Costs'!AD39</f>
        <v>0</v>
      </c>
      <c r="R38" s="1651"/>
      <c r="S38" s="1067"/>
      <c r="T38" s="1651">
        <f>'Phase 6 Costs'!AD39</f>
        <v>0</v>
      </c>
      <c r="U38" s="1651"/>
      <c r="V38" s="1067"/>
      <c r="W38" s="1651">
        <f>E38+H38+K38+N38+Q38+T38</f>
        <v>0</v>
      </c>
      <c r="X38" s="1651"/>
      <c r="Y38" s="960"/>
    </row>
    <row r="39" spans="1:46" ht="19.5" customHeight="1" x14ac:dyDescent="0.25">
      <c r="A39" s="960"/>
      <c r="B39" s="1673" t="s">
        <v>569</v>
      </c>
      <c r="C39" s="1673"/>
      <c r="D39" s="1040"/>
      <c r="E39" s="1650">
        <f>'Phase 1 Costs'!AD40</f>
        <v>0</v>
      </c>
      <c r="F39" s="1650"/>
      <c r="G39" s="1068"/>
      <c r="H39" s="1650">
        <f>'Phase 2 Costs '!AD40</f>
        <v>0</v>
      </c>
      <c r="I39" s="1650"/>
      <c r="J39" s="1068"/>
      <c r="K39" s="1650">
        <f>'Phase 3 Costs'!AD40</f>
        <v>0</v>
      </c>
      <c r="L39" s="1650"/>
      <c r="M39" s="1068"/>
      <c r="N39" s="1650">
        <f>'Phase 4 Costs'!AD40</f>
        <v>0</v>
      </c>
      <c r="O39" s="1650"/>
      <c r="P39" s="1068"/>
      <c r="Q39" s="1650">
        <f>'Phase 5 Costs'!AD40</f>
        <v>0</v>
      </c>
      <c r="R39" s="1650"/>
      <c r="S39" s="1068"/>
      <c r="T39" s="1650">
        <f>'Phase 6 Costs'!AD40</f>
        <v>0</v>
      </c>
      <c r="U39" s="1650"/>
      <c r="V39" s="1068"/>
      <c r="W39" s="1650">
        <f>E39+H39+K39+N39+Q39+T39</f>
        <v>0</v>
      </c>
      <c r="X39" s="1650"/>
      <c r="Y39" s="960"/>
    </row>
    <row r="40" spans="1:46" ht="15" customHeight="1" x14ac:dyDescent="0.25">
      <c r="A40" s="960"/>
      <c r="B40" s="1083"/>
      <c r="C40" s="1083"/>
      <c r="D40" s="1040"/>
      <c r="E40" s="960"/>
      <c r="F40" s="1068"/>
      <c r="G40" s="1068"/>
      <c r="H40" s="960"/>
      <c r="I40" s="1068"/>
      <c r="J40" s="1068"/>
      <c r="K40" s="960"/>
      <c r="L40" s="1068"/>
      <c r="M40" s="1068"/>
      <c r="N40" s="960"/>
      <c r="O40" s="1068"/>
      <c r="P40" s="1068"/>
      <c r="Q40" s="960"/>
      <c r="R40" s="1068"/>
      <c r="S40" s="1068"/>
      <c r="T40" s="960"/>
      <c r="U40" s="1068"/>
      <c r="V40" s="1068"/>
      <c r="W40" s="1068"/>
      <c r="X40" s="1068"/>
      <c r="Y40" s="960"/>
    </row>
    <row r="41" spans="1:46" ht="15" customHeight="1" x14ac:dyDescent="0.25">
      <c r="A41" s="960"/>
      <c r="B41" s="1676" t="s">
        <v>342</v>
      </c>
      <c r="C41" s="1676"/>
      <c r="D41" s="1040"/>
      <c r="E41" s="1657" t="s">
        <v>570</v>
      </c>
      <c r="F41" s="1657"/>
      <c r="G41" s="1068"/>
      <c r="H41" s="1657" t="s">
        <v>571</v>
      </c>
      <c r="I41" s="1657"/>
      <c r="J41" s="1068"/>
      <c r="K41" s="1657" t="s">
        <v>572</v>
      </c>
      <c r="L41" s="1657"/>
      <c r="M41" s="1068"/>
      <c r="N41" s="1657" t="s">
        <v>573</v>
      </c>
      <c r="O41" s="1657"/>
      <c r="P41" s="1068"/>
      <c r="Q41" s="1657" t="s">
        <v>574</v>
      </c>
      <c r="R41" s="1657"/>
      <c r="S41" s="1068"/>
      <c r="T41" s="1657" t="s">
        <v>575</v>
      </c>
      <c r="U41" s="1657"/>
      <c r="V41" s="1068"/>
      <c r="W41" s="1657" t="s">
        <v>344</v>
      </c>
      <c r="X41" s="1657"/>
      <c r="Y41" s="960"/>
    </row>
    <row r="42" spans="1:46" ht="18.649999999999999" customHeight="1" x14ac:dyDescent="0.25">
      <c r="A42" s="960"/>
      <c r="B42" s="1677"/>
      <c r="C42" s="1677"/>
      <c r="D42" s="1073"/>
      <c r="E42" s="811" t="s">
        <v>327</v>
      </c>
      <c r="F42" s="815" t="s">
        <v>576</v>
      </c>
      <c r="G42" s="1069"/>
      <c r="H42" s="811" t="s">
        <v>327</v>
      </c>
      <c r="I42" s="815" t="s">
        <v>576</v>
      </c>
      <c r="J42" s="1069"/>
      <c r="K42" s="811" t="s">
        <v>327</v>
      </c>
      <c r="L42" s="815" t="s">
        <v>576</v>
      </c>
      <c r="M42" s="1069"/>
      <c r="N42" s="811" t="s">
        <v>327</v>
      </c>
      <c r="O42" s="815" t="s">
        <v>576</v>
      </c>
      <c r="P42" s="1069"/>
      <c r="Q42" s="811" t="s">
        <v>327</v>
      </c>
      <c r="R42" s="815" t="s">
        <v>576</v>
      </c>
      <c r="S42" s="1069"/>
      <c r="T42" s="811" t="s">
        <v>327</v>
      </c>
      <c r="U42" s="815" t="s">
        <v>576</v>
      </c>
      <c r="V42" s="1069"/>
      <c r="W42" s="811" t="s">
        <v>327</v>
      </c>
      <c r="X42" s="815" t="s">
        <v>576</v>
      </c>
      <c r="Y42" s="960"/>
      <c r="AS42" s="812" t="s">
        <v>327</v>
      </c>
      <c r="AT42" s="813" t="s">
        <v>576</v>
      </c>
    </row>
    <row r="43" spans="1:46" ht="15" customHeight="1" x14ac:dyDescent="0.25">
      <c r="A43" s="960"/>
      <c r="B43" s="1668" t="str">
        <f>'Phase 1 Costs'!A43</f>
        <v>Consultant Name - #01</v>
      </c>
      <c r="C43" s="1668"/>
      <c r="D43" s="1079"/>
      <c r="E43" s="1138">
        <f>'Phase 1 Costs'!AC43</f>
        <v>0</v>
      </c>
      <c r="F43" s="819">
        <f>'Phase 1 Costs'!AD43</f>
        <v>0</v>
      </c>
      <c r="G43" s="1067"/>
      <c r="H43" s="1138">
        <f>'Phase 2 Costs '!AC43</f>
        <v>0</v>
      </c>
      <c r="I43" s="819">
        <f>'Phase 2 Costs '!AD43</f>
        <v>0</v>
      </c>
      <c r="J43" s="1067"/>
      <c r="K43" s="1138">
        <f>'Phase 3 Costs'!AC43</f>
        <v>0</v>
      </c>
      <c r="L43" s="819">
        <f>'Phase 3 Costs'!AD43</f>
        <v>0</v>
      </c>
      <c r="M43" s="1067"/>
      <c r="N43" s="1138">
        <f>'Phase 4 Costs'!AC43</f>
        <v>0</v>
      </c>
      <c r="O43" s="819">
        <f>'Phase 4 Costs'!AD43</f>
        <v>0</v>
      </c>
      <c r="P43" s="1067"/>
      <c r="Q43" s="1139">
        <f>'Phase 5 Costs'!AC43</f>
        <v>0</v>
      </c>
      <c r="R43" s="1151">
        <f>'Phase 5 Costs'!AD43</f>
        <v>0</v>
      </c>
      <c r="S43" s="1067"/>
      <c r="T43" s="1139">
        <f>'Phase 6 Costs'!AC43</f>
        <v>0</v>
      </c>
      <c r="U43" s="819">
        <f>'Phase 6 Costs'!AD43</f>
        <v>0</v>
      </c>
      <c r="V43" s="1067"/>
      <c r="W43" s="1138">
        <f t="shared" ref="W43:X47" si="2">E43+H43+K43+N43+Q43+T43</f>
        <v>0</v>
      </c>
      <c r="X43" s="819">
        <f t="shared" si="2"/>
        <v>0</v>
      </c>
      <c r="Y43" s="960"/>
    </row>
    <row r="44" spans="1:46" ht="15" customHeight="1" x14ac:dyDescent="0.25">
      <c r="A44" s="960"/>
      <c r="B44" s="1668" t="str">
        <f>'Phase 1 Costs'!A44</f>
        <v>Consultant Name - #02</v>
      </c>
      <c r="C44" s="1668"/>
      <c r="D44" s="1079"/>
      <c r="E44" s="1138">
        <f>'Phase 1 Costs'!AC44</f>
        <v>0</v>
      </c>
      <c r="F44" s="819">
        <f>'Phase 1 Costs'!AD44</f>
        <v>0</v>
      </c>
      <c r="G44" s="1067"/>
      <c r="H44" s="1138">
        <f>'Phase 2 Costs '!AC44</f>
        <v>0</v>
      </c>
      <c r="I44" s="819">
        <f>'Phase 2 Costs '!AD44</f>
        <v>0</v>
      </c>
      <c r="J44" s="1067"/>
      <c r="K44" s="1138">
        <f>'Phase 3 Costs'!AC44</f>
        <v>0</v>
      </c>
      <c r="L44" s="819">
        <f>'Phase 3 Costs'!AD44</f>
        <v>0</v>
      </c>
      <c r="M44" s="1067"/>
      <c r="N44" s="1138">
        <f>'Phase 4 Costs'!AC44</f>
        <v>0</v>
      </c>
      <c r="O44" s="819">
        <f>'Phase 4 Costs'!AD44</f>
        <v>0</v>
      </c>
      <c r="P44" s="1067"/>
      <c r="Q44" s="1139">
        <f>'Phase 5 Costs'!AC44</f>
        <v>0</v>
      </c>
      <c r="R44" s="1151">
        <f>'Phase 5 Costs'!AD44</f>
        <v>0</v>
      </c>
      <c r="S44" s="1067"/>
      <c r="T44" s="1139">
        <f>'Phase 6 Costs'!AC44</f>
        <v>0</v>
      </c>
      <c r="U44" s="819">
        <f>'Phase 6 Costs'!AD44</f>
        <v>0</v>
      </c>
      <c r="V44" s="1067"/>
      <c r="W44" s="1138">
        <f t="shared" si="2"/>
        <v>0</v>
      </c>
      <c r="X44" s="819">
        <f t="shared" si="2"/>
        <v>0</v>
      </c>
      <c r="Y44" s="960"/>
    </row>
    <row r="45" spans="1:46" ht="15" customHeight="1" x14ac:dyDescent="0.25">
      <c r="A45" s="960"/>
      <c r="B45" s="1668" t="str">
        <f>'Phase 1 Costs'!A45</f>
        <v>Consultant Name - #03</v>
      </c>
      <c r="C45" s="1668"/>
      <c r="D45" s="1079"/>
      <c r="E45" s="1138">
        <f>'Phase 1 Costs'!AC45</f>
        <v>0</v>
      </c>
      <c r="F45" s="819">
        <f>'Phase 1 Costs'!AD45</f>
        <v>0</v>
      </c>
      <c r="G45" s="1067"/>
      <c r="H45" s="1138">
        <f>'Phase 2 Costs '!AC45</f>
        <v>0</v>
      </c>
      <c r="I45" s="819">
        <f>'Phase 2 Costs '!AD45</f>
        <v>0</v>
      </c>
      <c r="J45" s="1067"/>
      <c r="K45" s="1138">
        <f>'Phase 3 Costs'!AC45</f>
        <v>0</v>
      </c>
      <c r="L45" s="819">
        <f>'Phase 3 Costs'!AD45</f>
        <v>0</v>
      </c>
      <c r="M45" s="1067"/>
      <c r="N45" s="1138">
        <f>'Phase 4 Costs'!AC45</f>
        <v>0</v>
      </c>
      <c r="O45" s="819">
        <f>'Phase 4 Costs'!AD45</f>
        <v>0</v>
      </c>
      <c r="P45" s="1067"/>
      <c r="Q45" s="1139">
        <f>'Phase 5 Costs'!AC45</f>
        <v>0</v>
      </c>
      <c r="R45" s="1151">
        <f>'Phase 5 Costs'!AD45</f>
        <v>0</v>
      </c>
      <c r="S45" s="1067"/>
      <c r="T45" s="1139">
        <f>'Phase 6 Costs'!AC45</f>
        <v>0</v>
      </c>
      <c r="U45" s="819">
        <f>'Phase 6 Costs'!AD45</f>
        <v>0</v>
      </c>
      <c r="V45" s="1067"/>
      <c r="W45" s="1138">
        <f t="shared" si="2"/>
        <v>0</v>
      </c>
      <c r="X45" s="819">
        <f t="shared" si="2"/>
        <v>0</v>
      </c>
      <c r="Y45" s="960"/>
    </row>
    <row r="46" spans="1:46" ht="15" customHeight="1" x14ac:dyDescent="0.25">
      <c r="A46" s="960"/>
      <c r="B46" s="1668" t="str">
        <f>'Phase 1 Costs'!A46</f>
        <v>Insert line(s) for additional Consultants</v>
      </c>
      <c r="C46" s="1668"/>
      <c r="D46" s="1079"/>
      <c r="E46" s="1138">
        <f>'Phase 1 Costs'!AC46</f>
        <v>0</v>
      </c>
      <c r="F46" s="819">
        <f>'Phase 1 Costs'!AD46</f>
        <v>0</v>
      </c>
      <c r="G46" s="1067"/>
      <c r="H46" s="1138">
        <f>'Phase 2 Costs '!AC46</f>
        <v>0</v>
      </c>
      <c r="I46" s="819">
        <f>'Phase 2 Costs '!AD46</f>
        <v>0</v>
      </c>
      <c r="J46" s="1067"/>
      <c r="K46" s="1138">
        <f>'Phase 3 Costs'!AC46</f>
        <v>0</v>
      </c>
      <c r="L46" s="819">
        <f>'Phase 3 Costs'!AD46</f>
        <v>0</v>
      </c>
      <c r="M46" s="1067"/>
      <c r="N46" s="1138">
        <f>'Phase 4 Costs'!AC46</f>
        <v>0</v>
      </c>
      <c r="O46" s="819">
        <f>'Phase 4 Costs'!AD46</f>
        <v>0</v>
      </c>
      <c r="P46" s="1067"/>
      <c r="Q46" s="1139">
        <f>'Phase 5 Costs'!AC46</f>
        <v>0</v>
      </c>
      <c r="R46" s="1151">
        <f>'Phase 5 Costs'!AD46</f>
        <v>0</v>
      </c>
      <c r="S46" s="1067"/>
      <c r="T46" s="1139">
        <f>'Phase 6 Costs'!AC46</f>
        <v>0</v>
      </c>
      <c r="U46" s="819">
        <f>'Phase 6 Costs'!AD46</f>
        <v>0</v>
      </c>
      <c r="V46" s="1067"/>
      <c r="W46" s="1138">
        <f t="shared" si="2"/>
        <v>0</v>
      </c>
      <c r="X46" s="819">
        <f t="shared" si="2"/>
        <v>0</v>
      </c>
      <c r="Y46" s="960"/>
    </row>
    <row r="47" spans="1:46" ht="22.5" customHeight="1" x14ac:dyDescent="0.25">
      <c r="A47" s="960"/>
      <c r="B47" s="1674" t="s">
        <v>344</v>
      </c>
      <c r="C47" s="1674"/>
      <c r="D47" s="1040"/>
      <c r="E47" s="1140">
        <f>'Phase 1 Costs'!AC47</f>
        <v>0</v>
      </c>
      <c r="F47" s="816">
        <f>'Phase 1 Costs'!AD47</f>
        <v>0</v>
      </c>
      <c r="G47" s="1068"/>
      <c r="H47" s="1140">
        <f>'Phase 2 Costs '!AC47</f>
        <v>0</v>
      </c>
      <c r="I47" s="816">
        <f>'Phase 2 Costs '!AD47</f>
        <v>0</v>
      </c>
      <c r="J47" s="1068"/>
      <c r="K47" s="1140">
        <f>'Phase 3 Costs'!AC47</f>
        <v>0</v>
      </c>
      <c r="L47" s="816">
        <f>'Phase 3 Costs'!AD47</f>
        <v>0</v>
      </c>
      <c r="M47" s="1068"/>
      <c r="N47" s="1140">
        <f>'Phase 4 Costs'!AC47</f>
        <v>0</v>
      </c>
      <c r="O47" s="816">
        <f>'Phase 4 Costs'!AD47</f>
        <v>0</v>
      </c>
      <c r="P47" s="1068"/>
      <c r="Q47" s="1153">
        <f>'Phase 5 Costs'!AC47</f>
        <v>0</v>
      </c>
      <c r="R47" s="1154">
        <f>'Phase 5 Costs'!AD47</f>
        <v>0</v>
      </c>
      <c r="S47" s="1068"/>
      <c r="T47" s="1153">
        <f>'Phase 6 Costs'!AC47</f>
        <v>0</v>
      </c>
      <c r="U47" s="816">
        <f>'Phase 6 Costs'!AD47</f>
        <v>0</v>
      </c>
      <c r="V47" s="1068"/>
      <c r="W47" s="1140">
        <f t="shared" si="2"/>
        <v>0</v>
      </c>
      <c r="X47" s="816">
        <f t="shared" si="2"/>
        <v>0</v>
      </c>
      <c r="Y47" s="960"/>
    </row>
    <row r="48" spans="1:46" ht="15" customHeight="1" x14ac:dyDescent="0.25">
      <c r="A48" s="960"/>
      <c r="B48" s="1083"/>
      <c r="C48" s="1083"/>
      <c r="D48" s="1040"/>
      <c r="E48" s="1074"/>
      <c r="F48" s="1068"/>
      <c r="G48" s="1068"/>
      <c r="H48" s="1075"/>
      <c r="I48" s="1068"/>
      <c r="J48" s="1068"/>
      <c r="K48" s="1076"/>
      <c r="L48" s="1068"/>
      <c r="M48" s="1068"/>
      <c r="N48" s="1076"/>
      <c r="O48" s="1068"/>
      <c r="P48" s="1068"/>
      <c r="Q48" s="1077"/>
      <c r="R48" s="1068"/>
      <c r="S48" s="1068"/>
      <c r="T48" s="1077"/>
      <c r="U48" s="1068"/>
      <c r="V48" s="1068"/>
      <c r="W48" s="1070"/>
      <c r="X48" s="1072"/>
      <c r="Y48" s="960"/>
    </row>
    <row r="49" spans="1:46" ht="21.65" customHeight="1" x14ac:dyDescent="0.25">
      <c r="A49" s="960"/>
      <c r="B49" s="1675" t="s">
        <v>352</v>
      </c>
      <c r="C49" s="1675"/>
      <c r="D49" s="1040"/>
      <c r="E49" s="1658" t="s">
        <v>577</v>
      </c>
      <c r="F49" s="1658"/>
      <c r="G49" s="1068"/>
      <c r="H49" s="1658" t="s">
        <v>578</v>
      </c>
      <c r="I49" s="1658"/>
      <c r="J49" s="1068"/>
      <c r="K49" s="1658" t="s">
        <v>579</v>
      </c>
      <c r="L49" s="1658"/>
      <c r="M49" s="1068"/>
      <c r="N49" s="1658" t="s">
        <v>580</v>
      </c>
      <c r="O49" s="1658"/>
      <c r="P49" s="1068"/>
      <c r="Q49" s="1658" t="s">
        <v>581</v>
      </c>
      <c r="R49" s="1658"/>
      <c r="S49" s="1068"/>
      <c r="T49" s="1658" t="s">
        <v>582</v>
      </c>
      <c r="U49" s="1658"/>
      <c r="V49" s="1068"/>
      <c r="W49" s="1658" t="s">
        <v>583</v>
      </c>
      <c r="X49" s="1658"/>
      <c r="Y49" s="960"/>
    </row>
    <row r="50" spans="1:46" ht="15" customHeight="1" x14ac:dyDescent="0.25">
      <c r="A50" s="960"/>
      <c r="B50" s="1668" t="str">
        <f>'Phase 1 Costs'!A50</f>
        <v>Materials/Supplies</v>
      </c>
      <c r="C50" s="1668"/>
      <c r="D50" s="1078"/>
      <c r="E50" s="1651">
        <f>'Phase 1 Costs'!AD50</f>
        <v>0</v>
      </c>
      <c r="F50" s="1651"/>
      <c r="G50" s="1067"/>
      <c r="H50" s="1651">
        <f>'Phase 2 Costs '!AD50</f>
        <v>0</v>
      </c>
      <c r="I50" s="1651"/>
      <c r="J50" s="1067"/>
      <c r="K50" s="1651">
        <f>'Phase 3 Costs'!AD50</f>
        <v>0</v>
      </c>
      <c r="L50" s="1651"/>
      <c r="M50" s="1067"/>
      <c r="N50" s="1651">
        <f>'Phase 4 Costs'!AD50</f>
        <v>0</v>
      </c>
      <c r="O50" s="1651"/>
      <c r="P50" s="1067"/>
      <c r="Q50" s="1651">
        <f>'Phase 5 Costs'!AD50</f>
        <v>0</v>
      </c>
      <c r="R50" s="1651"/>
      <c r="S50" s="1067"/>
      <c r="T50" s="1651">
        <f>'Phase 6 Costs'!AD50</f>
        <v>0</v>
      </c>
      <c r="U50" s="1651"/>
      <c r="V50" s="1067"/>
      <c r="W50" s="1651">
        <f>E50+H50+K50+N50+Q50+T50</f>
        <v>0</v>
      </c>
      <c r="X50" s="1651"/>
      <c r="Y50" s="960"/>
    </row>
    <row r="51" spans="1:46" ht="15" customHeight="1" x14ac:dyDescent="0.25">
      <c r="A51" s="960"/>
      <c r="B51" s="1668" t="str">
        <f>'Phase 1 Costs'!A51</f>
        <v>Equipment</v>
      </c>
      <c r="C51" s="1668"/>
      <c r="D51" s="1078"/>
      <c r="E51" s="1651">
        <f>'Phase 1 Costs'!AD51</f>
        <v>0</v>
      </c>
      <c r="F51" s="1651"/>
      <c r="G51" s="1067"/>
      <c r="H51" s="1651">
        <f>'Phase 2 Costs '!AD51</f>
        <v>0</v>
      </c>
      <c r="I51" s="1651"/>
      <c r="J51" s="1067"/>
      <c r="K51" s="1651">
        <f>'Phase 3 Costs'!AD51</f>
        <v>0</v>
      </c>
      <c r="L51" s="1651"/>
      <c r="M51" s="1067"/>
      <c r="N51" s="1651">
        <f>'Phase 4 Costs'!AD51</f>
        <v>0</v>
      </c>
      <c r="O51" s="1651"/>
      <c r="P51" s="1067"/>
      <c r="Q51" s="1651">
        <f>'Phase 5 Costs'!AD51</f>
        <v>0</v>
      </c>
      <c r="R51" s="1651"/>
      <c r="S51" s="1067"/>
      <c r="T51" s="1651">
        <f>'Phase 6 Costs'!AD51</f>
        <v>0</v>
      </c>
      <c r="U51" s="1651"/>
      <c r="V51" s="1067"/>
      <c r="W51" s="1651">
        <f>E51+H51+K51+N51+Q51+T51</f>
        <v>0</v>
      </c>
      <c r="X51" s="1651"/>
      <c r="Y51" s="960"/>
    </row>
    <row r="52" spans="1:46" ht="15" customHeight="1" x14ac:dyDescent="0.25">
      <c r="A52" s="960"/>
      <c r="B52" s="1668" t="str">
        <f>'Phase 1 Costs'!A52</f>
        <v>Travel</v>
      </c>
      <c r="C52" s="1668"/>
      <c r="D52" s="1078"/>
      <c r="E52" s="1651">
        <f>'Phase 1 Costs'!AD52</f>
        <v>0</v>
      </c>
      <c r="F52" s="1651"/>
      <c r="G52" s="1067"/>
      <c r="H52" s="1651">
        <f>'Phase 2 Costs '!AD52</f>
        <v>0</v>
      </c>
      <c r="I52" s="1651"/>
      <c r="J52" s="1067"/>
      <c r="K52" s="1651">
        <f>'Phase 3 Costs'!AD52</f>
        <v>0</v>
      </c>
      <c r="L52" s="1651"/>
      <c r="M52" s="1067"/>
      <c r="N52" s="1651">
        <f>'Phase 4 Costs'!AD52</f>
        <v>0</v>
      </c>
      <c r="O52" s="1651"/>
      <c r="P52" s="1067"/>
      <c r="Q52" s="1651">
        <f>'Phase 5 Costs'!AD52</f>
        <v>0</v>
      </c>
      <c r="R52" s="1651"/>
      <c r="S52" s="1067"/>
      <c r="T52" s="1651">
        <f>'Phase 6 Costs'!AD52</f>
        <v>0</v>
      </c>
      <c r="U52" s="1651"/>
      <c r="V52" s="1067"/>
      <c r="W52" s="1651">
        <f>E52+H52+K52+N52+Q52+T52</f>
        <v>0</v>
      </c>
      <c r="X52" s="1651"/>
      <c r="Y52" s="960"/>
    </row>
    <row r="53" spans="1:46" ht="15" customHeight="1" x14ac:dyDescent="0.25">
      <c r="A53" s="960"/>
      <c r="B53" s="1668" t="str">
        <f>'Phase 1 Costs'!A53</f>
        <v>Insert line(s) for other types of ODCs</v>
      </c>
      <c r="C53" s="1668"/>
      <c r="D53" s="1078"/>
      <c r="E53" s="1651">
        <f>'Phase 1 Costs'!AD53</f>
        <v>0</v>
      </c>
      <c r="F53" s="1651"/>
      <c r="G53" s="1067"/>
      <c r="H53" s="1651">
        <f>'Phase 2 Costs '!AD53</f>
        <v>0</v>
      </c>
      <c r="I53" s="1651"/>
      <c r="J53" s="1067"/>
      <c r="K53" s="1651">
        <f>'Phase 3 Costs'!AD53</f>
        <v>0</v>
      </c>
      <c r="L53" s="1651"/>
      <c r="M53" s="1067"/>
      <c r="N53" s="1651">
        <f>'Phase 4 Costs'!AD53</f>
        <v>0</v>
      </c>
      <c r="O53" s="1651"/>
      <c r="P53" s="1067"/>
      <c r="Q53" s="1651">
        <f>'Phase 5 Costs'!AD53</f>
        <v>0</v>
      </c>
      <c r="R53" s="1651"/>
      <c r="S53" s="1067"/>
      <c r="T53" s="1651">
        <f>'Phase 6 Costs'!AD53</f>
        <v>0</v>
      </c>
      <c r="U53" s="1651"/>
      <c r="V53" s="1067"/>
      <c r="W53" s="1651">
        <f>E53+H53+K53+N53+Q53+T53</f>
        <v>0</v>
      </c>
      <c r="X53" s="1651"/>
      <c r="Y53" s="960"/>
    </row>
    <row r="54" spans="1:46" ht="19" customHeight="1" x14ac:dyDescent="0.25">
      <c r="A54" s="960"/>
      <c r="B54" s="1687" t="s">
        <v>256</v>
      </c>
      <c r="C54" s="1687"/>
      <c r="D54" s="1040"/>
      <c r="E54" s="1658">
        <f>'Phase 1 Costs'!AD54</f>
        <v>0</v>
      </c>
      <c r="F54" s="1658"/>
      <c r="G54" s="1068"/>
      <c r="H54" s="1658">
        <f>'Phase 2 Costs '!AD54</f>
        <v>0</v>
      </c>
      <c r="I54" s="1658"/>
      <c r="J54" s="1068"/>
      <c r="K54" s="1658">
        <f>'Phase 3 Costs'!AD54</f>
        <v>0</v>
      </c>
      <c r="L54" s="1658"/>
      <c r="M54" s="1068"/>
      <c r="N54" s="1658">
        <f>'Phase 4 Costs'!AD54</f>
        <v>0</v>
      </c>
      <c r="O54" s="1658"/>
      <c r="P54" s="1068"/>
      <c r="Q54" s="1658">
        <f>'Phase 5 Costs'!AD54</f>
        <v>0</v>
      </c>
      <c r="R54" s="1658"/>
      <c r="S54" s="1068"/>
      <c r="T54" s="1658">
        <f>'Phase 6 Costs'!AD54</f>
        <v>0</v>
      </c>
      <c r="U54" s="1658"/>
      <c r="V54" s="1068"/>
      <c r="W54" s="1658">
        <f>E54+H54+K54+N54+Q54+T54</f>
        <v>0</v>
      </c>
      <c r="X54" s="1658"/>
      <c r="Y54" s="960"/>
    </row>
    <row r="55" spans="1:46" ht="15" customHeight="1" x14ac:dyDescent="0.25">
      <c r="A55" s="960"/>
      <c r="B55" s="1083"/>
      <c r="C55" s="1092"/>
      <c r="D55" s="1040"/>
      <c r="E55" s="1073"/>
      <c r="F55" s="1068"/>
      <c r="G55" s="1068"/>
      <c r="H55" s="1073"/>
      <c r="I55" s="1068"/>
      <c r="J55" s="1068"/>
      <c r="K55" s="1073"/>
      <c r="L55" s="1068"/>
      <c r="M55" s="1068"/>
      <c r="N55" s="1073"/>
      <c r="O55" s="1068"/>
      <c r="P55" s="1068"/>
      <c r="Q55" s="1073"/>
      <c r="R55" s="1068"/>
      <c r="S55" s="1068"/>
      <c r="T55" s="1073"/>
      <c r="U55" s="1068"/>
      <c r="V55" s="1068"/>
      <c r="W55" s="1068"/>
      <c r="X55" s="1068"/>
      <c r="Y55" s="960"/>
    </row>
    <row r="56" spans="1:46" ht="22.5" customHeight="1" x14ac:dyDescent="0.25">
      <c r="A56" s="960"/>
      <c r="B56" s="1688" t="s">
        <v>362</v>
      </c>
      <c r="C56" s="1688"/>
      <c r="D56" s="1040"/>
      <c r="E56" s="1656" t="s">
        <v>584</v>
      </c>
      <c r="F56" s="1656"/>
      <c r="G56" s="1067"/>
      <c r="H56" s="1656" t="s">
        <v>585</v>
      </c>
      <c r="I56" s="1656"/>
      <c r="J56" s="1067"/>
      <c r="K56" s="1656" t="s">
        <v>586</v>
      </c>
      <c r="L56" s="1656"/>
      <c r="M56" s="1071"/>
      <c r="N56" s="1656" t="s">
        <v>587</v>
      </c>
      <c r="O56" s="1656"/>
      <c r="P56" s="1067"/>
      <c r="Q56" s="1656" t="s">
        <v>588</v>
      </c>
      <c r="R56" s="1656"/>
      <c r="S56" s="1067"/>
      <c r="T56" s="1656" t="s">
        <v>589</v>
      </c>
      <c r="U56" s="1656"/>
      <c r="V56" s="1071"/>
      <c r="W56" s="1656" t="s">
        <v>590</v>
      </c>
      <c r="X56" s="1656"/>
      <c r="Y56" s="960"/>
      <c r="AS56" s="812" t="s">
        <v>15</v>
      </c>
      <c r="AT56" s="813" t="s">
        <v>363</v>
      </c>
    </row>
    <row r="57" spans="1:46" ht="15" customHeight="1" x14ac:dyDescent="0.25">
      <c r="A57" s="960"/>
      <c r="B57" s="1668" t="str">
        <f>'Phase 1 Costs'!A57</f>
        <v>Insert M/H O/H rate title</v>
      </c>
      <c r="C57" s="1668"/>
      <c r="D57" s="1078"/>
      <c r="E57" s="1651">
        <f>'Phase 1 Costs'!AD57</f>
        <v>0</v>
      </c>
      <c r="F57" s="1651"/>
      <c r="G57" s="1067"/>
      <c r="H57" s="1651">
        <f>'Phase 2 Costs '!AD57</f>
        <v>0</v>
      </c>
      <c r="I57" s="1651"/>
      <c r="J57" s="1067"/>
      <c r="K57" s="1651">
        <f>'Phase 3 Costs'!AD57</f>
        <v>0</v>
      </c>
      <c r="L57" s="1651"/>
      <c r="M57" s="1067"/>
      <c r="N57" s="1651">
        <f>'Phase 4 Costs'!AD57</f>
        <v>0</v>
      </c>
      <c r="O57" s="1651"/>
      <c r="P57" s="1067"/>
      <c r="Q57" s="1651">
        <f>'Phase 5 Costs'!AD57</f>
        <v>0</v>
      </c>
      <c r="R57" s="1651"/>
      <c r="S57" s="1067"/>
      <c r="T57" s="1651">
        <f>'Phase 6 Costs'!AD57</f>
        <v>0</v>
      </c>
      <c r="U57" s="1651"/>
      <c r="V57" s="1067"/>
      <c r="W57" s="1651">
        <f>E57+H57+K57+N57+Q57+T57</f>
        <v>0</v>
      </c>
      <c r="X57" s="1651"/>
      <c r="Y57" s="960"/>
    </row>
    <row r="58" spans="1:46" ht="15" customHeight="1" x14ac:dyDescent="0.25">
      <c r="A58" s="960"/>
      <c r="B58" s="1668" t="str">
        <f>'Phase 1 Costs'!A58</f>
        <v>Insert line(s) &amp; title(s) for other M/H O/H rates</v>
      </c>
      <c r="C58" s="1668"/>
      <c r="D58" s="1078"/>
      <c r="E58" s="1651">
        <f>'Phase 1 Costs'!AD58</f>
        <v>0</v>
      </c>
      <c r="F58" s="1651"/>
      <c r="G58" s="1067"/>
      <c r="H58" s="1651">
        <f>'Phase 2 Costs '!AD58</f>
        <v>0</v>
      </c>
      <c r="I58" s="1651"/>
      <c r="J58" s="1067"/>
      <c r="K58" s="1651">
        <f>'Phase 3 Costs'!AD58</f>
        <v>0</v>
      </c>
      <c r="L58" s="1651"/>
      <c r="M58" s="1067"/>
      <c r="N58" s="1651">
        <f>'Phase 4 Costs'!AD58</f>
        <v>0</v>
      </c>
      <c r="O58" s="1651"/>
      <c r="P58" s="1067"/>
      <c r="Q58" s="1651">
        <f>'Phase 5 Costs'!AD58</f>
        <v>0</v>
      </c>
      <c r="R58" s="1651"/>
      <c r="S58" s="1067"/>
      <c r="T58" s="1651">
        <f>'Phase 6 Costs'!AD58</f>
        <v>0</v>
      </c>
      <c r="U58" s="1651"/>
      <c r="V58" s="1067"/>
      <c r="W58" s="1651">
        <f>E58+H58+K58+N58+Q58+T58</f>
        <v>0</v>
      </c>
      <c r="X58" s="1651"/>
      <c r="Y58" s="960"/>
    </row>
    <row r="59" spans="1:46" ht="19" customHeight="1" x14ac:dyDescent="0.25">
      <c r="A59" s="960"/>
      <c r="B59" s="1685" t="s">
        <v>590</v>
      </c>
      <c r="C59" s="1685"/>
      <c r="D59" s="1040"/>
      <c r="E59" s="1656">
        <f>'Phase 1 Costs'!AD59</f>
        <v>0</v>
      </c>
      <c r="F59" s="1656"/>
      <c r="G59" s="1068"/>
      <c r="H59" s="1656">
        <f>'Phase 2 Costs '!AD59</f>
        <v>0</v>
      </c>
      <c r="I59" s="1656"/>
      <c r="J59" s="1068"/>
      <c r="K59" s="1656">
        <f>'Phase 3 Costs'!AD59</f>
        <v>0</v>
      </c>
      <c r="L59" s="1656"/>
      <c r="M59" s="1068"/>
      <c r="N59" s="1659">
        <f>'Phase 4 Costs'!AD59</f>
        <v>0</v>
      </c>
      <c r="O59" s="1659"/>
      <c r="P59" s="1068"/>
      <c r="Q59" s="1659">
        <f>'Phase 5 Costs'!AD59</f>
        <v>0</v>
      </c>
      <c r="R59" s="1659"/>
      <c r="S59" s="1068"/>
      <c r="T59" s="1659">
        <f>'Phase 6 Costs'!AD59</f>
        <v>0</v>
      </c>
      <c r="U59" s="1659"/>
      <c r="V59" s="1068"/>
      <c r="W59" s="1656">
        <f>E59+H59+K59+N59+Q59+T59</f>
        <v>0</v>
      </c>
      <c r="X59" s="1656"/>
      <c r="Y59" s="960"/>
    </row>
    <row r="60" spans="1:46" x14ac:dyDescent="0.25">
      <c r="A60" s="960"/>
      <c r="B60" s="1135"/>
      <c r="C60" s="1135"/>
      <c r="D60" s="1040"/>
      <c r="E60" s="960"/>
      <c r="F60" s="1068"/>
      <c r="G60" s="1068"/>
      <c r="H60" s="960"/>
      <c r="I60" s="1068"/>
      <c r="J60" s="1068"/>
      <c r="K60" s="960"/>
      <c r="L60" s="1068"/>
      <c r="M60" s="1068"/>
      <c r="N60" s="960"/>
      <c r="O60" s="1068"/>
      <c r="P60" s="1068"/>
      <c r="Q60" s="960"/>
      <c r="R60" s="1068"/>
      <c r="S60" s="1068"/>
      <c r="T60" s="960"/>
      <c r="U60" s="1068"/>
      <c r="V60" s="1068"/>
      <c r="W60" s="960"/>
      <c r="X60" s="1146"/>
      <c r="Y60" s="960"/>
    </row>
    <row r="61" spans="1:46" ht="19.5" customHeight="1" x14ac:dyDescent="0.25">
      <c r="A61" s="960"/>
      <c r="B61" s="1689" t="s">
        <v>368</v>
      </c>
      <c r="C61" s="1689"/>
      <c r="D61" s="1040"/>
      <c r="E61" s="1294" t="s">
        <v>591</v>
      </c>
      <c r="F61" s="1294"/>
      <c r="G61" s="1068"/>
      <c r="H61" s="1294" t="s">
        <v>591</v>
      </c>
      <c r="I61" s="1294"/>
      <c r="J61" s="1068"/>
      <c r="K61" s="1294" t="s">
        <v>591</v>
      </c>
      <c r="L61" s="1294"/>
      <c r="M61" s="1068"/>
      <c r="N61" s="1294" t="s">
        <v>591</v>
      </c>
      <c r="O61" s="1294"/>
      <c r="P61" s="1068"/>
      <c r="Q61" s="1294" t="s">
        <v>591</v>
      </c>
      <c r="R61" s="1294"/>
      <c r="S61" s="1068"/>
      <c r="T61" s="1294" t="s">
        <v>591</v>
      </c>
      <c r="U61" s="1294"/>
      <c r="V61" s="1068"/>
      <c r="W61" s="1654" t="s">
        <v>592</v>
      </c>
      <c r="X61" s="1654"/>
      <c r="Y61" s="960"/>
    </row>
    <row r="62" spans="1:46" s="613" customFormat="1" ht="21" customHeight="1" x14ac:dyDescent="0.25">
      <c r="A62" s="1073"/>
      <c r="B62" s="1689"/>
      <c r="C62" s="1689"/>
      <c r="D62" s="962"/>
      <c r="E62" s="1655">
        <f>'Phase 1 Costs'!AD63</f>
        <v>0</v>
      </c>
      <c r="F62" s="1655"/>
      <c r="G62" s="1068"/>
      <c r="H62" s="1655">
        <f>'Phase 2 Costs '!AD63</f>
        <v>0</v>
      </c>
      <c r="I62" s="1655"/>
      <c r="J62" s="1068"/>
      <c r="K62" s="1655">
        <f>'Phase 3 Costs'!AD63</f>
        <v>0</v>
      </c>
      <c r="L62" s="1655"/>
      <c r="M62" s="1068"/>
      <c r="N62" s="1655">
        <f>'Phase 4 Costs'!AD63</f>
        <v>0</v>
      </c>
      <c r="O62" s="1655"/>
      <c r="P62" s="1068"/>
      <c r="Q62" s="1655">
        <f>'Phase 5 Costs'!AD63</f>
        <v>0</v>
      </c>
      <c r="R62" s="1655"/>
      <c r="S62" s="1068"/>
      <c r="T62" s="1655">
        <f>'Phase 6 Costs'!AD63</f>
        <v>0</v>
      </c>
      <c r="U62" s="1655"/>
      <c r="V62" s="1068"/>
      <c r="W62" s="1655">
        <f>E62+H62+K62+N62+Q62+T62</f>
        <v>0</v>
      </c>
      <c r="X62" s="1655"/>
      <c r="Y62" s="1073"/>
    </row>
    <row r="63" spans="1:46" s="613" customFormat="1" x14ac:dyDescent="0.25">
      <c r="A63" s="1073"/>
      <c r="B63" s="1083"/>
      <c r="C63" s="1083"/>
      <c r="D63" s="1040"/>
      <c r="E63" s="1040"/>
      <c r="F63" s="1068"/>
      <c r="G63" s="1068"/>
      <c r="H63" s="1040"/>
      <c r="I63" s="1068"/>
      <c r="J63" s="1068"/>
      <c r="K63" s="1040"/>
      <c r="L63" s="1068"/>
      <c r="M63" s="1068"/>
      <c r="N63" s="1040"/>
      <c r="O63" s="1068"/>
      <c r="P63" s="1068"/>
      <c r="Q63" s="1040"/>
      <c r="R63" s="1068"/>
      <c r="S63" s="1068"/>
      <c r="T63" s="1040"/>
      <c r="U63" s="1068"/>
      <c r="V63" s="1068"/>
      <c r="W63" s="1068"/>
      <c r="X63" s="1068"/>
      <c r="Y63" s="1073"/>
    </row>
    <row r="64" spans="1:46" ht="15" customHeight="1" x14ac:dyDescent="0.25">
      <c r="A64" s="960"/>
      <c r="B64" s="1686" t="s">
        <v>369</v>
      </c>
      <c r="C64" s="1686"/>
      <c r="D64" s="1080"/>
      <c r="E64" s="1653" t="s">
        <v>593</v>
      </c>
      <c r="F64" s="1653"/>
      <c r="G64" s="1067"/>
      <c r="H64" s="1653" t="s">
        <v>594</v>
      </c>
      <c r="I64" s="1653"/>
      <c r="J64" s="1067"/>
      <c r="K64" s="1653" t="s">
        <v>595</v>
      </c>
      <c r="L64" s="1653"/>
      <c r="M64" s="1071"/>
      <c r="N64" s="1653" t="s">
        <v>596</v>
      </c>
      <c r="O64" s="1653"/>
      <c r="P64" s="1067"/>
      <c r="Q64" s="1653" t="s">
        <v>597</v>
      </c>
      <c r="R64" s="1653"/>
      <c r="S64" s="1067"/>
      <c r="T64" s="1653" t="s">
        <v>598</v>
      </c>
      <c r="U64" s="1653"/>
      <c r="V64" s="1071"/>
      <c r="W64" s="1653" t="s">
        <v>370</v>
      </c>
      <c r="X64" s="1653"/>
      <c r="Y64" s="960"/>
      <c r="AS64" s="812" t="s">
        <v>15</v>
      </c>
      <c r="AT64" s="813" t="s">
        <v>363</v>
      </c>
    </row>
    <row r="65" spans="1:46" ht="15" customHeight="1" x14ac:dyDescent="0.25">
      <c r="A65" s="960"/>
      <c r="B65" s="1668" t="str">
        <f>'Phase 1 Costs'!A66</f>
        <v>G&amp;A</v>
      </c>
      <c r="C65" s="1668"/>
      <c r="D65" s="1078"/>
      <c r="E65" s="1651">
        <f>'Phase 1 Costs'!AD66</f>
        <v>0</v>
      </c>
      <c r="F65" s="1651"/>
      <c r="G65" s="1067"/>
      <c r="H65" s="1651">
        <f>'Phase 2 Costs '!AD66</f>
        <v>0</v>
      </c>
      <c r="I65" s="1651"/>
      <c r="J65" s="1067"/>
      <c r="K65" s="1651">
        <f>'Phase 3 Costs'!AD66</f>
        <v>0</v>
      </c>
      <c r="L65" s="1651"/>
      <c r="M65" s="1067"/>
      <c r="N65" s="1651">
        <f>'Phase 4 Costs'!AD66</f>
        <v>0</v>
      </c>
      <c r="O65" s="1651"/>
      <c r="P65" s="1067"/>
      <c r="Q65" s="1651">
        <f>'Phase 5 Costs'!AD66</f>
        <v>0</v>
      </c>
      <c r="R65" s="1651"/>
      <c r="S65" s="1067"/>
      <c r="T65" s="1651">
        <f>'Phase 6 Costs'!AD66</f>
        <v>0</v>
      </c>
      <c r="U65" s="1651"/>
      <c r="V65" s="1067"/>
      <c r="W65" s="1651">
        <f>E65+H65+K65+N65+Q65+T65</f>
        <v>0</v>
      </c>
      <c r="X65" s="1651"/>
      <c r="Y65" s="960"/>
    </row>
    <row r="66" spans="1:46" ht="15" customHeight="1" x14ac:dyDescent="0.25">
      <c r="A66" s="960"/>
      <c r="B66" s="1668" t="str">
        <f>'Phase 1 Costs'!A67</f>
        <v>Insert line(s) &amp; title(s) for other G&amp;A rates</v>
      </c>
      <c r="C66" s="1668"/>
      <c r="D66" s="1078"/>
      <c r="E66" s="1651">
        <f>'Phase 1 Costs'!AD67</f>
        <v>0</v>
      </c>
      <c r="F66" s="1651"/>
      <c r="G66" s="1067"/>
      <c r="H66" s="1651">
        <f>'Phase 2 Costs '!AD67</f>
        <v>0</v>
      </c>
      <c r="I66" s="1651"/>
      <c r="J66" s="1067"/>
      <c r="K66" s="1651">
        <f>'Phase 3 Costs'!AD67</f>
        <v>0</v>
      </c>
      <c r="L66" s="1651"/>
      <c r="M66" s="1067"/>
      <c r="N66" s="1651">
        <f>'Phase 4 Costs'!AD67</f>
        <v>0</v>
      </c>
      <c r="O66" s="1651"/>
      <c r="P66" s="1067"/>
      <c r="Q66" s="1651">
        <f>'Phase 5 Costs'!AD67</f>
        <v>0</v>
      </c>
      <c r="R66" s="1651"/>
      <c r="S66" s="1067"/>
      <c r="T66" s="1651">
        <f>'Phase 6 Costs'!AD67</f>
        <v>0</v>
      </c>
      <c r="U66" s="1651"/>
      <c r="V66" s="1067"/>
      <c r="W66" s="1651">
        <f>E66+H66+K66+N66+Q66+T66</f>
        <v>0</v>
      </c>
      <c r="X66" s="1651"/>
      <c r="Y66" s="960"/>
    </row>
    <row r="67" spans="1:46" ht="15" customHeight="1" x14ac:dyDescent="0.25">
      <c r="A67" s="960"/>
      <c r="B67" s="1666" t="s">
        <v>370</v>
      </c>
      <c r="C67" s="1666"/>
      <c r="D67" s="1040"/>
      <c r="E67" s="1653">
        <f>'Phase 1 Costs'!AD68</f>
        <v>0</v>
      </c>
      <c r="F67" s="1653"/>
      <c r="G67" s="1068"/>
      <c r="H67" s="1653">
        <f>'Phase 2 Costs '!AD68</f>
        <v>0</v>
      </c>
      <c r="I67" s="1653"/>
      <c r="J67" s="1068"/>
      <c r="K67" s="1653">
        <f>'Phase 3 Costs'!AD68</f>
        <v>0</v>
      </c>
      <c r="L67" s="1653"/>
      <c r="M67" s="1068"/>
      <c r="N67" s="1653">
        <f>'Phase 4 Costs'!AD68</f>
        <v>0</v>
      </c>
      <c r="O67" s="1653"/>
      <c r="P67" s="1068"/>
      <c r="Q67" s="1653">
        <f>'Phase 5 Costs'!AD68</f>
        <v>0</v>
      </c>
      <c r="R67" s="1653"/>
      <c r="S67" s="1068"/>
      <c r="T67" s="1653">
        <f>'Phase 6 Costs'!AD68</f>
        <v>0</v>
      </c>
      <c r="U67" s="1653"/>
      <c r="V67" s="1068"/>
      <c r="W67" s="1653">
        <f>E67+H67+K67+N67+Q67+T67</f>
        <v>0</v>
      </c>
      <c r="X67" s="1653"/>
      <c r="Y67" s="960"/>
    </row>
    <row r="68" spans="1:46" x14ac:dyDescent="0.25">
      <c r="A68" s="960"/>
      <c r="B68" s="1093"/>
      <c r="C68" s="1091"/>
      <c r="D68" s="1040"/>
      <c r="E68" s="960"/>
      <c r="F68" s="1068"/>
      <c r="G68" s="1068"/>
      <c r="H68" s="960"/>
      <c r="I68" s="1068"/>
      <c r="J68" s="1068"/>
      <c r="K68" s="960"/>
      <c r="L68" s="1068"/>
      <c r="M68" s="1068"/>
      <c r="N68" s="960"/>
      <c r="O68" s="1068"/>
      <c r="P68" s="1068"/>
      <c r="Q68" s="960"/>
      <c r="R68" s="1068"/>
      <c r="S68" s="1068"/>
      <c r="T68" s="960"/>
      <c r="U68" s="1068"/>
      <c r="V68" s="1068"/>
      <c r="W68" s="960"/>
      <c r="X68" s="1146"/>
      <c r="Y68" s="960"/>
    </row>
    <row r="69" spans="1:46" ht="20.149999999999999" customHeight="1" x14ac:dyDescent="0.25">
      <c r="A69" s="960"/>
      <c r="B69" s="1690" t="s">
        <v>375</v>
      </c>
      <c r="C69" s="1691"/>
      <c r="D69" s="1040"/>
      <c r="E69" s="1654" t="s">
        <v>599</v>
      </c>
      <c r="F69" s="1654"/>
      <c r="G69" s="1068"/>
      <c r="H69" s="1654" t="s">
        <v>599</v>
      </c>
      <c r="I69" s="1654"/>
      <c r="J69" s="1068"/>
      <c r="K69" s="1654" t="s">
        <v>599</v>
      </c>
      <c r="L69" s="1654"/>
      <c r="M69" s="1068"/>
      <c r="N69" s="1654" t="s">
        <v>599</v>
      </c>
      <c r="O69" s="1654"/>
      <c r="P69" s="1068"/>
      <c r="Q69" s="1654" t="s">
        <v>599</v>
      </c>
      <c r="R69" s="1654"/>
      <c r="S69" s="1068"/>
      <c r="T69" s="1654" t="s">
        <v>599</v>
      </c>
      <c r="U69" s="1654"/>
      <c r="V69" s="1068"/>
      <c r="W69" s="1654" t="s">
        <v>600</v>
      </c>
      <c r="X69" s="1654"/>
      <c r="Y69" s="960"/>
    </row>
    <row r="70" spans="1:46" s="613" customFormat="1" ht="15" customHeight="1" x14ac:dyDescent="0.25">
      <c r="A70" s="1073"/>
      <c r="B70" s="1692"/>
      <c r="C70" s="1693"/>
      <c r="D70" s="1040"/>
      <c r="E70" s="1655">
        <f>'Phase 1 Costs'!AD72</f>
        <v>0</v>
      </c>
      <c r="F70" s="1655"/>
      <c r="G70" s="1068"/>
      <c r="H70" s="1655">
        <f>'Phase 2 Costs '!AD72</f>
        <v>0</v>
      </c>
      <c r="I70" s="1655"/>
      <c r="J70" s="1068"/>
      <c r="K70" s="1655">
        <f>'Phase 3 Costs'!AD72</f>
        <v>0</v>
      </c>
      <c r="L70" s="1655"/>
      <c r="M70" s="1068"/>
      <c r="N70" s="1655">
        <f>'Phase 4 Costs'!AD72</f>
        <v>0</v>
      </c>
      <c r="O70" s="1655"/>
      <c r="P70" s="1068"/>
      <c r="Q70" s="1655">
        <f>'Phase 5 Costs'!AD72</f>
        <v>0</v>
      </c>
      <c r="R70" s="1655"/>
      <c r="S70" s="1068"/>
      <c r="T70" s="1655">
        <f>'Phase 6 Costs'!AD72</f>
        <v>0</v>
      </c>
      <c r="U70" s="1655"/>
      <c r="V70" s="1068"/>
      <c r="W70" s="1655">
        <f>X32+W39+X47+W54+W59+W67</f>
        <v>0</v>
      </c>
      <c r="X70" s="1655"/>
      <c r="Y70" s="1073"/>
    </row>
    <row r="71" spans="1:46" s="613" customFormat="1" ht="15" customHeight="1" x14ac:dyDescent="0.25">
      <c r="A71" s="1073"/>
      <c r="B71" s="1083"/>
      <c r="C71" s="1083"/>
      <c r="D71" s="1040"/>
      <c r="E71" s="1040"/>
      <c r="F71" s="1068"/>
      <c r="G71" s="1068"/>
      <c r="H71" s="1040"/>
      <c r="I71" s="1068"/>
      <c r="J71" s="1068"/>
      <c r="K71" s="1040"/>
      <c r="L71" s="1068"/>
      <c r="M71" s="1068"/>
      <c r="N71" s="1040"/>
      <c r="O71" s="1068"/>
      <c r="P71" s="1068"/>
      <c r="Q71" s="1040"/>
      <c r="R71" s="1068"/>
      <c r="S71" s="1068"/>
      <c r="T71" s="1040"/>
      <c r="U71" s="1068"/>
      <c r="V71" s="1068"/>
      <c r="W71" s="960"/>
      <c r="X71" s="1068"/>
      <c r="Y71" s="1073"/>
    </row>
    <row r="72" spans="1:46" ht="15" customHeight="1" x14ac:dyDescent="0.25">
      <c r="A72" s="960"/>
      <c r="B72" s="1667" t="s">
        <v>376</v>
      </c>
      <c r="C72" s="1667"/>
      <c r="D72" s="1080"/>
      <c r="E72" s="1652" t="s">
        <v>601</v>
      </c>
      <c r="F72" s="1652"/>
      <c r="G72" s="1067"/>
      <c r="H72" s="1652" t="s">
        <v>602</v>
      </c>
      <c r="I72" s="1652"/>
      <c r="J72" s="1067"/>
      <c r="K72" s="1652" t="s">
        <v>603</v>
      </c>
      <c r="L72" s="1652"/>
      <c r="M72" s="1071"/>
      <c r="N72" s="1652" t="s">
        <v>604</v>
      </c>
      <c r="O72" s="1652"/>
      <c r="P72" s="1067"/>
      <c r="Q72" s="1652" t="s">
        <v>605</v>
      </c>
      <c r="R72" s="1652"/>
      <c r="S72" s="1067"/>
      <c r="T72" s="1652" t="s">
        <v>606</v>
      </c>
      <c r="U72" s="1652"/>
      <c r="V72" s="1071"/>
      <c r="W72" s="1652" t="s">
        <v>377</v>
      </c>
      <c r="X72" s="1652"/>
      <c r="Y72" s="960"/>
      <c r="AS72" s="812" t="s">
        <v>15</v>
      </c>
      <c r="AT72" s="813" t="s">
        <v>363</v>
      </c>
    </row>
    <row r="73" spans="1:46" ht="15" customHeight="1" x14ac:dyDescent="0.25">
      <c r="A73" s="960"/>
      <c r="B73" s="1668" t="str">
        <f>'Phase 1 Costs'!A75</f>
        <v>Insert FCCM rate title</v>
      </c>
      <c r="C73" s="1668"/>
      <c r="D73" s="1078"/>
      <c r="E73" s="1651">
        <f>'Phase 1 Costs'!AD75</f>
        <v>0</v>
      </c>
      <c r="F73" s="1651"/>
      <c r="G73" s="1067"/>
      <c r="H73" s="1651">
        <f>'Phase 2 Costs '!AD75</f>
        <v>0</v>
      </c>
      <c r="I73" s="1651"/>
      <c r="J73" s="1067"/>
      <c r="K73" s="1651">
        <f>'Phase 3 Costs'!AD75</f>
        <v>0</v>
      </c>
      <c r="L73" s="1651"/>
      <c r="M73" s="1067"/>
      <c r="N73" s="1651">
        <f>'Phase 4 Costs'!AD75</f>
        <v>0</v>
      </c>
      <c r="O73" s="1651"/>
      <c r="P73" s="1067"/>
      <c r="Q73" s="1651">
        <f>'Phase 5 Costs'!AD75</f>
        <v>0</v>
      </c>
      <c r="R73" s="1651"/>
      <c r="S73" s="1067"/>
      <c r="T73" s="1651">
        <f>'Phase 6 Costs'!AD75</f>
        <v>0</v>
      </c>
      <c r="U73" s="1651"/>
      <c r="V73" s="1067"/>
      <c r="W73" s="1651">
        <f>E73+H73+K73+N73+Q73+T73</f>
        <v>0</v>
      </c>
      <c r="X73" s="1651"/>
      <c r="Y73" s="960"/>
    </row>
    <row r="74" spans="1:46" ht="15" customHeight="1" x14ac:dyDescent="0.25">
      <c r="A74" s="960"/>
      <c r="B74" s="1668" t="str">
        <f>'Phase 1 Costs'!A76</f>
        <v>Insert line(s) &amp; title(s) for any other FCCM rates</v>
      </c>
      <c r="C74" s="1668"/>
      <c r="D74" s="1078"/>
      <c r="E74" s="1651">
        <f>'Phase 1 Costs'!AD76</f>
        <v>0</v>
      </c>
      <c r="F74" s="1651"/>
      <c r="G74" s="1067"/>
      <c r="H74" s="1651">
        <f>'Phase 2 Costs '!AD76</f>
        <v>0</v>
      </c>
      <c r="I74" s="1651"/>
      <c r="J74" s="1067"/>
      <c r="K74" s="1651">
        <f>'Phase 3 Costs'!AD76</f>
        <v>0</v>
      </c>
      <c r="L74" s="1651"/>
      <c r="M74" s="1067"/>
      <c r="N74" s="1651">
        <f>'Phase 4 Costs'!AD76</f>
        <v>0</v>
      </c>
      <c r="O74" s="1651"/>
      <c r="P74" s="1067"/>
      <c r="Q74" s="1651">
        <f>'Phase 5 Costs'!AD76</f>
        <v>0</v>
      </c>
      <c r="R74" s="1651"/>
      <c r="S74" s="1067"/>
      <c r="T74" s="1651">
        <f>'Phase 6 Costs'!AD76</f>
        <v>0</v>
      </c>
      <c r="U74" s="1651"/>
      <c r="V74" s="1067"/>
      <c r="W74" s="1651">
        <f>E74+H74+K74+N74+Q74+T74</f>
        <v>0</v>
      </c>
      <c r="X74" s="1651"/>
      <c r="Y74" s="960"/>
    </row>
    <row r="75" spans="1:46" ht="15" customHeight="1" x14ac:dyDescent="0.25">
      <c r="A75" s="960"/>
      <c r="B75" s="1684" t="s">
        <v>377</v>
      </c>
      <c r="C75" s="1684"/>
      <c r="D75" s="1040"/>
      <c r="E75" s="1652">
        <f>'Phase 1 Costs'!AD77</f>
        <v>0</v>
      </c>
      <c r="F75" s="1652"/>
      <c r="G75" s="1068"/>
      <c r="H75" s="1652">
        <f>'Phase 2 Costs '!AD77</f>
        <v>0</v>
      </c>
      <c r="I75" s="1652"/>
      <c r="J75" s="1068"/>
      <c r="K75" s="1660">
        <f>'Phase 3 Costs'!AD77</f>
        <v>0</v>
      </c>
      <c r="L75" s="1660"/>
      <c r="M75" s="1068"/>
      <c r="N75" s="1660">
        <f>'Phase 4 Costs'!AD77</f>
        <v>0</v>
      </c>
      <c r="O75" s="1660"/>
      <c r="P75" s="1068"/>
      <c r="Q75" s="1660">
        <f>'Phase 5 Costs'!AD77</f>
        <v>0</v>
      </c>
      <c r="R75" s="1660"/>
      <c r="S75" s="1068"/>
      <c r="T75" s="1660">
        <f>'Phase 6 Costs'!AD77</f>
        <v>0</v>
      </c>
      <c r="U75" s="1660"/>
      <c r="V75" s="1068"/>
      <c r="W75" s="1652">
        <f>E75+H75+K75+N75+Q75+T75</f>
        <v>0</v>
      </c>
      <c r="X75" s="1652"/>
      <c r="Y75" s="960"/>
    </row>
    <row r="76" spans="1:46" x14ac:dyDescent="0.25">
      <c r="A76" s="960"/>
      <c r="B76" s="1040"/>
      <c r="C76" s="1040"/>
      <c r="D76" s="1040"/>
      <c r="E76" s="960"/>
      <c r="F76" s="1068"/>
      <c r="G76" s="1068"/>
      <c r="H76" s="960"/>
      <c r="I76" s="1068"/>
      <c r="J76" s="1068"/>
      <c r="K76" s="960"/>
      <c r="L76" s="1068"/>
      <c r="M76" s="1068"/>
      <c r="N76" s="960"/>
      <c r="O76" s="1068"/>
      <c r="P76" s="1068"/>
      <c r="Q76" s="960"/>
      <c r="R76" s="1068"/>
      <c r="S76" s="1068"/>
      <c r="T76" s="960"/>
      <c r="U76" s="1068"/>
      <c r="V76" s="1068"/>
      <c r="W76" s="960"/>
      <c r="X76" s="1068"/>
      <c r="Y76" s="960"/>
    </row>
    <row r="77" spans="1:46" ht="26.5" customHeight="1" x14ac:dyDescent="0.25">
      <c r="A77" s="960"/>
      <c r="B77" s="1694" t="s">
        <v>459</v>
      </c>
      <c r="C77" s="1694"/>
      <c r="D77" s="1182"/>
      <c r="E77" s="1661" t="s">
        <v>607</v>
      </c>
      <c r="F77" s="1661"/>
      <c r="G77" s="1068"/>
      <c r="H77" s="1661" t="s">
        <v>608</v>
      </c>
      <c r="I77" s="1661"/>
      <c r="J77" s="1068"/>
      <c r="K77" s="1661" t="s">
        <v>609</v>
      </c>
      <c r="L77" s="1661"/>
      <c r="M77" s="1068"/>
      <c r="N77" s="1661" t="s">
        <v>610</v>
      </c>
      <c r="O77" s="1661"/>
      <c r="P77" s="1068"/>
      <c r="Q77" s="1661" t="s">
        <v>611</v>
      </c>
      <c r="R77" s="1661"/>
      <c r="S77" s="1068"/>
      <c r="T77" s="1661" t="s">
        <v>612</v>
      </c>
      <c r="U77" s="1661"/>
      <c r="V77" s="1068"/>
      <c r="W77" s="1198" t="s">
        <v>388</v>
      </c>
      <c r="X77" s="1199" t="s">
        <v>613</v>
      </c>
      <c r="Y77" s="960"/>
    </row>
    <row r="78" spans="1:46" ht="20.5" customHeight="1" x14ac:dyDescent="0.25">
      <c r="A78" s="960"/>
      <c r="B78" s="1694"/>
      <c r="C78" s="1694"/>
      <c r="D78" s="1040"/>
      <c r="E78" s="1662">
        <f>'Phase 1 Costs'!AD80</f>
        <v>0</v>
      </c>
      <c r="F78" s="1662"/>
      <c r="G78" s="1068"/>
      <c r="H78" s="1662">
        <f>'Phase 2 Costs '!AD86</f>
        <v>0</v>
      </c>
      <c r="I78" s="1662"/>
      <c r="J78" s="1068"/>
      <c r="K78" s="1662">
        <f>'Phase 3 Costs'!AD86</f>
        <v>0</v>
      </c>
      <c r="L78" s="1662"/>
      <c r="M78" s="1068"/>
      <c r="N78" s="1662">
        <f>'Phase 4 Costs'!AD86</f>
        <v>0</v>
      </c>
      <c r="O78" s="1662"/>
      <c r="P78" s="1068"/>
      <c r="Q78" s="1662">
        <f>'Phase 5 Costs'!AD86</f>
        <v>0</v>
      </c>
      <c r="R78" s="1662"/>
      <c r="S78" s="1068"/>
      <c r="T78" s="1662">
        <f>'Phase 6 Costs'!AD86</f>
        <v>0</v>
      </c>
      <c r="U78" s="1662"/>
      <c r="V78" s="1068"/>
      <c r="W78" s="1152">
        <f>W47+W32</f>
        <v>0</v>
      </c>
      <c r="X78" s="1132">
        <f>E78+H78+K78+N78+Q78+T78</f>
        <v>0</v>
      </c>
      <c r="Y78" s="960"/>
    </row>
    <row r="79" spans="1:46" x14ac:dyDescent="0.25">
      <c r="A79" s="960"/>
      <c r="B79" s="960"/>
      <c r="C79" s="960"/>
      <c r="D79" s="960"/>
      <c r="E79" s="960"/>
      <c r="F79" s="960"/>
      <c r="G79" s="960"/>
      <c r="H79" s="960"/>
      <c r="I79" s="960"/>
      <c r="J79" s="960"/>
      <c r="K79" s="960"/>
      <c r="L79" s="960"/>
      <c r="M79" s="960"/>
      <c r="N79" s="960"/>
      <c r="O79" s="960"/>
      <c r="P79" s="960"/>
      <c r="Q79" s="960"/>
      <c r="R79" s="960"/>
      <c r="S79" s="960"/>
      <c r="T79" s="960"/>
      <c r="U79" s="960"/>
      <c r="V79" s="960"/>
      <c r="W79" s="960"/>
      <c r="X79" s="960"/>
      <c r="Y79" s="960"/>
    </row>
    <row r="80" spans="1:46" ht="26" x14ac:dyDescent="0.25">
      <c r="A80" s="960"/>
      <c r="B80" s="960"/>
      <c r="C80" s="960"/>
      <c r="D80" s="960"/>
      <c r="E80" s="1193" t="s">
        <v>614</v>
      </c>
      <c r="F80" s="1193" t="s">
        <v>615</v>
      </c>
      <c r="G80" s="1040"/>
      <c r="H80" s="1193" t="s">
        <v>614</v>
      </c>
      <c r="I80" s="1193" t="s">
        <v>615</v>
      </c>
      <c r="J80" s="1040"/>
      <c r="K80" s="1193" t="s">
        <v>614</v>
      </c>
      <c r="L80" s="1193" t="s">
        <v>615</v>
      </c>
      <c r="M80" s="1040"/>
      <c r="N80" s="1193" t="s">
        <v>614</v>
      </c>
      <c r="O80" s="1193" t="s">
        <v>615</v>
      </c>
      <c r="P80" s="1040"/>
      <c r="Q80" s="1193" t="s">
        <v>614</v>
      </c>
      <c r="R80" s="1193" t="s">
        <v>615</v>
      </c>
      <c r="S80" s="1040"/>
      <c r="T80" s="1193" t="s">
        <v>614</v>
      </c>
      <c r="U80" s="1193" t="s">
        <v>615</v>
      </c>
      <c r="V80" s="1040"/>
      <c r="W80" s="1193" t="s">
        <v>614</v>
      </c>
      <c r="X80" s="1193" t="s">
        <v>615</v>
      </c>
      <c r="Y80" s="960"/>
    </row>
    <row r="81" spans="1:25" ht="19" customHeight="1" x14ac:dyDescent="0.25">
      <c r="A81" s="960"/>
      <c r="B81" s="1683" t="s">
        <v>616</v>
      </c>
      <c r="C81" s="1196" t="s">
        <v>393</v>
      </c>
      <c r="D81" s="960"/>
      <c r="E81" s="1163">
        <f>'Phase 1 Costs'!AC84</f>
        <v>0</v>
      </c>
      <c r="F81" s="819">
        <f>'Phase 1 Costs'!AD84</f>
        <v>0</v>
      </c>
      <c r="G81" s="960"/>
      <c r="H81" s="1163">
        <f>'Phase 2 Costs '!AC90</f>
        <v>0</v>
      </c>
      <c r="I81" s="819">
        <f>'Phase 2 Costs '!AD90</f>
        <v>0</v>
      </c>
      <c r="J81" s="960"/>
      <c r="K81" s="1163">
        <f>'Phase 3 Costs'!AC90</f>
        <v>0</v>
      </c>
      <c r="L81" s="819">
        <f>'Phase 3 Costs'!AD90</f>
        <v>0</v>
      </c>
      <c r="M81" s="960"/>
      <c r="N81" s="1163">
        <f>'Phase 4 Costs'!AC90</f>
        <v>0</v>
      </c>
      <c r="O81" s="819">
        <f>'Phase 4 Costs'!AD90</f>
        <v>0</v>
      </c>
      <c r="P81" s="960"/>
      <c r="Q81" s="1163">
        <f>'Phase 5 Costs'!AC90</f>
        <v>0</v>
      </c>
      <c r="R81" s="819">
        <f>'Phase 5 Costs'!AD90</f>
        <v>0</v>
      </c>
      <c r="S81" s="960"/>
      <c r="T81" s="1163">
        <f>'Phase 6 Costs'!AC90</f>
        <v>0</v>
      </c>
      <c r="U81" s="819">
        <f>'Phase 6 Costs'!AD90</f>
        <v>0</v>
      </c>
      <c r="V81" s="960"/>
      <c r="W81" s="1159">
        <f>AVERAGE(T81,Q81,N81,K81,H81,E81)</f>
        <v>0</v>
      </c>
      <c r="X81" s="819">
        <f>U81+R81+O81+L81+I81+F81</f>
        <v>0</v>
      </c>
      <c r="Y81" s="960"/>
    </row>
    <row r="82" spans="1:25" ht="23.15" customHeight="1" x14ac:dyDescent="0.25">
      <c r="A82" s="960"/>
      <c r="B82" s="1683"/>
      <c r="C82" s="1196" t="s">
        <v>394</v>
      </c>
      <c r="D82" s="960"/>
      <c r="E82" s="1163">
        <f>'Phase 1 Costs'!AC85</f>
        <v>0</v>
      </c>
      <c r="F82" s="819">
        <f>'Phase 1 Costs'!AD85</f>
        <v>0</v>
      </c>
      <c r="G82" s="960"/>
      <c r="H82" s="1163">
        <f>'Phase 2 Costs '!AC91</f>
        <v>0</v>
      </c>
      <c r="I82" s="819">
        <f>'Phase 2 Costs '!AD91</f>
        <v>0</v>
      </c>
      <c r="J82" s="960"/>
      <c r="K82" s="1163">
        <f>'Phase 3 Costs'!AC91</f>
        <v>0</v>
      </c>
      <c r="L82" s="819">
        <f>'Phase 3 Costs'!AD91</f>
        <v>0</v>
      </c>
      <c r="M82" s="960"/>
      <c r="N82" s="1163">
        <f>'Phase 4 Costs'!AC91</f>
        <v>0</v>
      </c>
      <c r="O82" s="819">
        <f>'Phase 4 Costs'!AD91</f>
        <v>0</v>
      </c>
      <c r="P82" s="960"/>
      <c r="Q82" s="1163">
        <f>'Phase 5 Costs'!AC91</f>
        <v>0</v>
      </c>
      <c r="R82" s="819">
        <f>'Phase 5 Costs'!AD91</f>
        <v>0</v>
      </c>
      <c r="S82" s="960"/>
      <c r="T82" s="1163">
        <f>'Phase 6 Costs'!AC91</f>
        <v>0</v>
      </c>
      <c r="U82" s="819">
        <f>'Phase 6 Costs'!AD91</f>
        <v>0</v>
      </c>
      <c r="V82" s="960"/>
      <c r="W82" s="1159">
        <f>AVERAGE(T82,Q82,N82,K82,H82,E82)</f>
        <v>0</v>
      </c>
      <c r="X82" s="819">
        <f>U82+R82+O82+L82+I82+F82</f>
        <v>0</v>
      </c>
      <c r="Y82" s="960"/>
    </row>
    <row r="83" spans="1:25" x14ac:dyDescent="0.25">
      <c r="A83" s="960"/>
      <c r="B83" s="960"/>
      <c r="C83" s="960"/>
      <c r="D83" s="960"/>
      <c r="E83" s="960"/>
      <c r="F83" s="960"/>
      <c r="G83" s="960"/>
      <c r="H83" s="960"/>
      <c r="I83" s="960"/>
      <c r="J83" s="960"/>
      <c r="K83" s="960"/>
      <c r="L83" s="960"/>
      <c r="M83" s="960"/>
      <c r="N83" s="960"/>
      <c r="O83" s="960"/>
      <c r="P83" s="960"/>
      <c r="Q83" s="960"/>
      <c r="R83" s="960"/>
      <c r="S83" s="960"/>
      <c r="T83" s="960"/>
      <c r="U83" s="960"/>
      <c r="V83" s="960"/>
      <c r="W83" s="960"/>
      <c r="X83" s="960"/>
      <c r="Y83" s="960"/>
    </row>
    <row r="84" spans="1:25" x14ac:dyDescent="0.25">
      <c r="A84" s="960"/>
      <c r="B84" s="960"/>
      <c r="C84" s="960"/>
      <c r="D84" s="960"/>
      <c r="E84" s="960"/>
      <c r="F84" s="960"/>
      <c r="G84" s="960"/>
      <c r="H84" s="960"/>
      <c r="I84" s="960"/>
      <c r="J84" s="960"/>
      <c r="K84" s="960"/>
      <c r="L84" s="960"/>
      <c r="M84" s="960"/>
      <c r="N84" s="960"/>
      <c r="O84" s="960"/>
      <c r="P84" s="960"/>
      <c r="Q84" s="960"/>
      <c r="R84" s="960"/>
      <c r="S84" s="960"/>
      <c r="T84" s="960"/>
      <c r="U84" s="960"/>
      <c r="V84" s="960"/>
      <c r="W84" s="960"/>
      <c r="X84" s="960"/>
      <c r="Y84" s="960"/>
    </row>
    <row r="85" spans="1:25" x14ac:dyDescent="0.25">
      <c r="A85" s="960"/>
      <c r="B85" s="960"/>
      <c r="C85" s="960"/>
      <c r="D85" s="960"/>
      <c r="E85" s="960"/>
      <c r="F85" s="960"/>
      <c r="G85" s="960"/>
      <c r="H85" s="960"/>
      <c r="I85" s="960"/>
      <c r="J85" s="960"/>
      <c r="K85" s="960"/>
      <c r="L85" s="960"/>
      <c r="M85" s="960"/>
      <c r="N85" s="960"/>
      <c r="O85" s="960"/>
      <c r="P85" s="960"/>
      <c r="Q85" s="960"/>
      <c r="R85" s="960"/>
      <c r="S85" s="960"/>
      <c r="T85" s="960"/>
      <c r="U85" s="960"/>
      <c r="V85" s="960"/>
      <c r="W85" s="960"/>
      <c r="X85" s="960"/>
      <c r="Y85" s="960"/>
    </row>
    <row r="86" spans="1:25" x14ac:dyDescent="0.25">
      <c r="A86" s="960"/>
      <c r="B86" s="960"/>
      <c r="C86" s="960"/>
      <c r="D86" s="960"/>
      <c r="E86" s="960"/>
      <c r="F86" s="960"/>
      <c r="G86" s="960"/>
      <c r="H86" s="960"/>
      <c r="I86" s="960"/>
      <c r="J86" s="960"/>
      <c r="K86" s="960"/>
      <c r="L86" s="960"/>
      <c r="M86" s="960"/>
      <c r="N86" s="960"/>
      <c r="O86" s="960"/>
      <c r="P86" s="960"/>
      <c r="Q86" s="960"/>
      <c r="R86" s="960"/>
      <c r="S86" s="960"/>
      <c r="T86" s="960"/>
      <c r="U86" s="960"/>
      <c r="V86" s="960"/>
      <c r="W86" s="960"/>
      <c r="X86" s="960"/>
      <c r="Y86" s="960"/>
    </row>
    <row r="87" spans="1:25" x14ac:dyDescent="0.25">
      <c r="A87" s="960"/>
      <c r="B87" s="960"/>
      <c r="C87" s="960"/>
      <c r="D87" s="960"/>
      <c r="E87" s="960"/>
      <c r="F87" s="960"/>
      <c r="G87" s="960"/>
      <c r="H87" s="960"/>
      <c r="I87" s="960"/>
      <c r="J87" s="960"/>
      <c r="K87" s="960"/>
      <c r="L87" s="960"/>
      <c r="M87" s="960"/>
      <c r="N87" s="960"/>
      <c r="O87" s="960"/>
      <c r="P87" s="960"/>
      <c r="Q87" s="960"/>
      <c r="R87" s="960"/>
      <c r="S87" s="960"/>
      <c r="T87" s="960"/>
      <c r="U87" s="960"/>
      <c r="V87" s="960"/>
      <c r="W87" s="960"/>
      <c r="X87" s="960"/>
      <c r="Y87" s="960"/>
    </row>
    <row r="88" spans="1:25" x14ac:dyDescent="0.25">
      <c r="A88" s="960"/>
      <c r="B88" s="960"/>
      <c r="C88" s="960"/>
      <c r="D88" s="960"/>
      <c r="E88" s="960"/>
      <c r="F88" s="960"/>
      <c r="G88" s="960"/>
      <c r="H88" s="960"/>
      <c r="I88" s="960"/>
      <c r="J88" s="960"/>
      <c r="K88" s="960"/>
      <c r="L88" s="960"/>
      <c r="M88" s="960"/>
      <c r="N88" s="960"/>
      <c r="O88" s="960"/>
      <c r="P88" s="960"/>
      <c r="Q88" s="960"/>
      <c r="R88" s="960"/>
      <c r="S88" s="960"/>
      <c r="T88" s="960"/>
      <c r="U88" s="960"/>
      <c r="V88" s="960"/>
      <c r="W88" s="960"/>
      <c r="X88" s="960"/>
      <c r="Y88" s="960"/>
    </row>
    <row r="89" spans="1:25" x14ac:dyDescent="0.25">
      <c r="C89" s="630"/>
      <c r="D89" s="630"/>
      <c r="E89" s="630"/>
    </row>
    <row r="94" spans="1:25" x14ac:dyDescent="0.25">
      <c r="C94" s="656"/>
      <c r="D94" s="656"/>
    </row>
  </sheetData>
  <mergeCells count="272">
    <mergeCell ref="B81:B82"/>
    <mergeCell ref="B75:C75"/>
    <mergeCell ref="B44:C44"/>
    <mergeCell ref="B45:C45"/>
    <mergeCell ref="B46:C46"/>
    <mergeCell ref="B59:C59"/>
    <mergeCell ref="B64:C64"/>
    <mergeCell ref="B65:C65"/>
    <mergeCell ref="B66:C66"/>
    <mergeCell ref="B53:C53"/>
    <mergeCell ref="B54:C54"/>
    <mergeCell ref="B56:C56"/>
    <mergeCell ref="B57:C57"/>
    <mergeCell ref="B61:C62"/>
    <mergeCell ref="B69:C70"/>
    <mergeCell ref="B77:C78"/>
    <mergeCell ref="K2:N2"/>
    <mergeCell ref="B35:C35"/>
    <mergeCell ref="B36:C36"/>
    <mergeCell ref="B34:C34"/>
    <mergeCell ref="E6:F6"/>
    <mergeCell ref="H6:I6"/>
    <mergeCell ref="K6:L6"/>
    <mergeCell ref="N6:O6"/>
    <mergeCell ref="Q6:R6"/>
    <mergeCell ref="E4:F4"/>
    <mergeCell ref="H4:I4"/>
    <mergeCell ref="K4:L4"/>
    <mergeCell ref="N4:O4"/>
    <mergeCell ref="Q4:R4"/>
    <mergeCell ref="B32:C32"/>
    <mergeCell ref="W5:X5"/>
    <mergeCell ref="B67:C67"/>
    <mergeCell ref="B72:C72"/>
    <mergeCell ref="B73:C73"/>
    <mergeCell ref="B74:C74"/>
    <mergeCell ref="W6:X6"/>
    <mergeCell ref="E5:F5"/>
    <mergeCell ref="H5:I5"/>
    <mergeCell ref="K5:L5"/>
    <mergeCell ref="N5:O5"/>
    <mergeCell ref="Q5:R5"/>
    <mergeCell ref="T5:U5"/>
    <mergeCell ref="T6:U6"/>
    <mergeCell ref="B37:C37"/>
    <mergeCell ref="B38:C38"/>
    <mergeCell ref="B39:C39"/>
    <mergeCell ref="B58:C58"/>
    <mergeCell ref="B47:C47"/>
    <mergeCell ref="B49:C49"/>
    <mergeCell ref="B50:C50"/>
    <mergeCell ref="B51:C51"/>
    <mergeCell ref="B52:C52"/>
    <mergeCell ref="B41:C42"/>
    <mergeCell ref="B43:C43"/>
    <mergeCell ref="T4:U4"/>
    <mergeCell ref="B5:C6"/>
    <mergeCell ref="T41:U41"/>
    <mergeCell ref="Q41:R41"/>
    <mergeCell ref="N41:O41"/>
    <mergeCell ref="K41:L41"/>
    <mergeCell ref="H41:I41"/>
    <mergeCell ref="E41:F41"/>
    <mergeCell ref="K37:L37"/>
    <mergeCell ref="K36:L36"/>
    <mergeCell ref="K35:L35"/>
    <mergeCell ref="K34:L34"/>
    <mergeCell ref="H34:I34"/>
    <mergeCell ref="H35:I35"/>
    <mergeCell ref="H36:I36"/>
    <mergeCell ref="H37:I37"/>
    <mergeCell ref="H38:I38"/>
    <mergeCell ref="H39:I39"/>
    <mergeCell ref="E34:F34"/>
    <mergeCell ref="E35:F35"/>
    <mergeCell ref="E36:F36"/>
    <mergeCell ref="E37:F37"/>
    <mergeCell ref="E38:F38"/>
    <mergeCell ref="E39:F39"/>
    <mergeCell ref="N77:O77"/>
    <mergeCell ref="N78:O78"/>
    <mergeCell ref="Q77:R77"/>
    <mergeCell ref="Q78:R78"/>
    <mergeCell ref="T77:U77"/>
    <mergeCell ref="T78:U78"/>
    <mergeCell ref="E77:F77"/>
    <mergeCell ref="E78:F78"/>
    <mergeCell ref="H77:I77"/>
    <mergeCell ref="H78:I78"/>
    <mergeCell ref="K77:L77"/>
    <mergeCell ref="K78:L78"/>
    <mergeCell ref="E75:F75"/>
    <mergeCell ref="E74:F74"/>
    <mergeCell ref="E73:F73"/>
    <mergeCell ref="E72:F72"/>
    <mergeCell ref="E70:F70"/>
    <mergeCell ref="H75:I75"/>
    <mergeCell ref="E62:F62"/>
    <mergeCell ref="E61:F61"/>
    <mergeCell ref="E59:F59"/>
    <mergeCell ref="H70:I70"/>
    <mergeCell ref="H72:I72"/>
    <mergeCell ref="H73:I73"/>
    <mergeCell ref="H74:I74"/>
    <mergeCell ref="E58:F58"/>
    <mergeCell ref="E57:F57"/>
    <mergeCell ref="E69:F69"/>
    <mergeCell ref="E67:F67"/>
    <mergeCell ref="E66:F66"/>
    <mergeCell ref="E65:F65"/>
    <mergeCell ref="E64:F64"/>
    <mergeCell ref="H57:I57"/>
    <mergeCell ref="E50:F50"/>
    <mergeCell ref="H69:I69"/>
    <mergeCell ref="H65:I65"/>
    <mergeCell ref="H66:I66"/>
    <mergeCell ref="H67:I67"/>
    <mergeCell ref="E49:F49"/>
    <mergeCell ref="H49:I49"/>
    <mergeCell ref="H50:I50"/>
    <mergeCell ref="H51:I51"/>
    <mergeCell ref="E56:F56"/>
    <mergeCell ref="E54:F54"/>
    <mergeCell ref="E53:F53"/>
    <mergeCell ref="E52:F52"/>
    <mergeCell ref="E51:F51"/>
    <mergeCell ref="K38:L38"/>
    <mergeCell ref="K57:L57"/>
    <mergeCell ref="K56:L56"/>
    <mergeCell ref="K54:L54"/>
    <mergeCell ref="K53:L53"/>
    <mergeCell ref="K52:L52"/>
    <mergeCell ref="K64:L64"/>
    <mergeCell ref="K62:L62"/>
    <mergeCell ref="K61:L61"/>
    <mergeCell ref="K59:L59"/>
    <mergeCell ref="K58:L58"/>
    <mergeCell ref="K51:L51"/>
    <mergeCell ref="K50:L50"/>
    <mergeCell ref="K49:L49"/>
    <mergeCell ref="K39:L39"/>
    <mergeCell ref="K67:L67"/>
    <mergeCell ref="K66:L66"/>
    <mergeCell ref="K65:L65"/>
    <mergeCell ref="H58:I58"/>
    <mergeCell ref="H59:I59"/>
    <mergeCell ref="H61:I61"/>
    <mergeCell ref="H62:I62"/>
    <mergeCell ref="H64:I64"/>
    <mergeCell ref="H52:I52"/>
    <mergeCell ref="H53:I53"/>
    <mergeCell ref="H54:I54"/>
    <mergeCell ref="H56:I56"/>
    <mergeCell ref="Q75:R75"/>
    <mergeCell ref="T75:U75"/>
    <mergeCell ref="T74:U74"/>
    <mergeCell ref="T73:U73"/>
    <mergeCell ref="T72:U72"/>
    <mergeCell ref="K70:L70"/>
    <mergeCell ref="K69:L69"/>
    <mergeCell ref="N75:O75"/>
    <mergeCell ref="N74:O74"/>
    <mergeCell ref="N73:O73"/>
    <mergeCell ref="N72:O72"/>
    <mergeCell ref="T70:U70"/>
    <mergeCell ref="T69:U69"/>
    <mergeCell ref="Q70:R70"/>
    <mergeCell ref="Q69:R69"/>
    <mergeCell ref="N70:O70"/>
    <mergeCell ref="N69:O69"/>
    <mergeCell ref="Q72:R72"/>
    <mergeCell ref="Q73:R73"/>
    <mergeCell ref="Q74:R74"/>
    <mergeCell ref="K75:L75"/>
    <mergeCell ref="K74:L74"/>
    <mergeCell ref="K73:L73"/>
    <mergeCell ref="K72:L72"/>
    <mergeCell ref="N67:O67"/>
    <mergeCell ref="N66:O66"/>
    <mergeCell ref="N65:O65"/>
    <mergeCell ref="N64:O64"/>
    <mergeCell ref="T62:U62"/>
    <mergeCell ref="Q62:R62"/>
    <mergeCell ref="N62:O62"/>
    <mergeCell ref="T67:U67"/>
    <mergeCell ref="T66:U66"/>
    <mergeCell ref="T65:U65"/>
    <mergeCell ref="T64:U64"/>
    <mergeCell ref="Q64:R64"/>
    <mergeCell ref="Q65:R65"/>
    <mergeCell ref="Q66:R66"/>
    <mergeCell ref="Q67:R67"/>
    <mergeCell ref="N61:O61"/>
    <mergeCell ref="N59:O59"/>
    <mergeCell ref="N58:O58"/>
    <mergeCell ref="N57:O57"/>
    <mergeCell ref="N56:O56"/>
    <mergeCell ref="Q56:R56"/>
    <mergeCell ref="Q57:R57"/>
    <mergeCell ref="Q58:R58"/>
    <mergeCell ref="Q59:R59"/>
    <mergeCell ref="Q61:R61"/>
    <mergeCell ref="Q49:R49"/>
    <mergeCell ref="Q50:R50"/>
    <mergeCell ref="Q51:R51"/>
    <mergeCell ref="Q52:R52"/>
    <mergeCell ref="N54:O54"/>
    <mergeCell ref="N53:O53"/>
    <mergeCell ref="N52:O52"/>
    <mergeCell ref="N51:O51"/>
    <mergeCell ref="N50:O50"/>
    <mergeCell ref="Q53:R53"/>
    <mergeCell ref="Q54:R54"/>
    <mergeCell ref="N49:O49"/>
    <mergeCell ref="T51:U51"/>
    <mergeCell ref="T50:U50"/>
    <mergeCell ref="T49:U49"/>
    <mergeCell ref="W49:X49"/>
    <mergeCell ref="W50:X50"/>
    <mergeCell ref="W51:X51"/>
    <mergeCell ref="T61:U61"/>
    <mergeCell ref="T59:U59"/>
    <mergeCell ref="T58:U58"/>
    <mergeCell ref="T57:U57"/>
    <mergeCell ref="T56:U56"/>
    <mergeCell ref="T54:U54"/>
    <mergeCell ref="T53:U53"/>
    <mergeCell ref="T52:U52"/>
    <mergeCell ref="W34:X34"/>
    <mergeCell ref="W35:X35"/>
    <mergeCell ref="W36:X36"/>
    <mergeCell ref="W37:X37"/>
    <mergeCell ref="W38:X38"/>
    <mergeCell ref="W39:X39"/>
    <mergeCell ref="W41:X41"/>
    <mergeCell ref="W72:X72"/>
    <mergeCell ref="W73:X73"/>
    <mergeCell ref="W64:X64"/>
    <mergeCell ref="W52:X52"/>
    <mergeCell ref="W53:X53"/>
    <mergeCell ref="W54:X54"/>
    <mergeCell ref="W56:X56"/>
    <mergeCell ref="W57:X57"/>
    <mergeCell ref="W74:X74"/>
    <mergeCell ref="W75:X75"/>
    <mergeCell ref="W65:X65"/>
    <mergeCell ref="W66:X66"/>
    <mergeCell ref="W67:X67"/>
    <mergeCell ref="W69:X69"/>
    <mergeCell ref="W70:X70"/>
    <mergeCell ref="W58:X58"/>
    <mergeCell ref="W59:X59"/>
    <mergeCell ref="W61:X61"/>
    <mergeCell ref="W62:X62"/>
    <mergeCell ref="T39:U39"/>
    <mergeCell ref="N34:O34"/>
    <mergeCell ref="N35:O35"/>
    <mergeCell ref="N36:O36"/>
    <mergeCell ref="N37:O37"/>
    <mergeCell ref="N38:O38"/>
    <mergeCell ref="N39:O39"/>
    <mergeCell ref="Q34:R34"/>
    <mergeCell ref="Q35:R35"/>
    <mergeCell ref="Q36:R36"/>
    <mergeCell ref="Q37:R37"/>
    <mergeCell ref="Q38:R38"/>
    <mergeCell ref="Q39:R39"/>
    <mergeCell ref="T34:U34"/>
    <mergeCell ref="T35:U35"/>
    <mergeCell ref="T36:U36"/>
    <mergeCell ref="T37:U37"/>
    <mergeCell ref="T38:U38"/>
  </mergeCells>
  <phoneticPr fontId="20" type="noConversion"/>
  <pageMargins left="0.25" right="0.25" top="0.75" bottom="0.75" header="0.3" footer="0.3"/>
  <pageSetup scale="39" fitToHeight="3"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0">
    <pageSetUpPr fitToPage="1"/>
  </sheetPr>
  <dimension ref="A1:Q27"/>
  <sheetViews>
    <sheetView view="pageBreakPreview" zoomScaleNormal="100" zoomScaleSheetLayoutView="100" workbookViewId="0">
      <selection activeCell="A2" sqref="A2"/>
    </sheetView>
  </sheetViews>
  <sheetFormatPr defaultColWidth="8.453125" defaultRowHeight="13" x14ac:dyDescent="0.3"/>
  <cols>
    <col min="1" max="1" width="4.81640625" style="936" customWidth="1"/>
    <col min="2" max="5" width="8.453125" style="936"/>
    <col min="6" max="6" width="11.453125" style="936" customWidth="1"/>
    <col min="7" max="9" width="8.453125" style="936"/>
    <col min="10" max="10" width="10.81640625" style="936" customWidth="1"/>
    <col min="11" max="13" width="8.453125" style="936"/>
    <col min="14" max="14" width="12.81640625" style="936" customWidth="1"/>
    <col min="15" max="15" width="11.1796875" style="936" customWidth="1"/>
    <col min="16" max="16" width="12.81640625" style="936" customWidth="1"/>
    <col min="17" max="17" width="5.26953125" style="936" customWidth="1"/>
    <col min="18" max="18" width="11.81640625" style="936" customWidth="1"/>
    <col min="19" max="16384" width="8.453125" style="936"/>
  </cols>
  <sheetData>
    <row r="1" spans="1:17" ht="13.5" thickBot="1" x14ac:dyDescent="0.35">
      <c r="A1" s="933"/>
      <c r="B1" s="934"/>
      <c r="C1" s="934"/>
      <c r="D1" s="934"/>
      <c r="E1" s="934"/>
      <c r="F1" s="934"/>
      <c r="G1" s="934"/>
      <c r="H1" s="934"/>
      <c r="I1" s="934"/>
      <c r="J1" s="934"/>
      <c r="K1" s="934"/>
      <c r="L1" s="934"/>
      <c r="M1" s="934"/>
      <c r="N1" s="934"/>
      <c r="O1" s="934"/>
      <c r="P1" s="934"/>
      <c r="Q1" s="935"/>
    </row>
    <row r="2" spans="1:17" s="857" customFormat="1" ht="39" customHeight="1" thickBot="1" x14ac:dyDescent="0.3">
      <c r="A2" s="937"/>
      <c r="B2" s="1700" t="s">
        <v>617</v>
      </c>
      <c r="C2" s="1701"/>
      <c r="D2" s="1701"/>
      <c r="E2" s="1702"/>
      <c r="F2" s="938"/>
      <c r="G2" s="1705" t="str">
        <f>General!D4</f>
        <v>Name</v>
      </c>
      <c r="H2" s="1705"/>
      <c r="I2" s="1705"/>
      <c r="J2" s="1705"/>
      <c r="K2" s="1705"/>
      <c r="L2" s="1705"/>
      <c r="M2" s="938"/>
      <c r="N2" s="938"/>
      <c r="O2" s="938"/>
      <c r="P2" s="938"/>
      <c r="Q2" s="939"/>
    </row>
    <row r="3" spans="1:17" ht="50.25" customHeight="1" x14ac:dyDescent="0.3">
      <c r="A3" s="940"/>
      <c r="B3" s="1703" t="s">
        <v>618</v>
      </c>
      <c r="C3" s="1703"/>
      <c r="D3" s="1703"/>
      <c r="E3" s="1703"/>
      <c r="F3" s="1704"/>
      <c r="G3" s="1704"/>
      <c r="H3" s="1704"/>
      <c r="I3" s="1704"/>
      <c r="J3" s="1704"/>
      <c r="K3" s="1704"/>
      <c r="L3" s="1704"/>
      <c r="M3" s="1704"/>
      <c r="N3" s="1704"/>
      <c r="O3" s="1704"/>
      <c r="P3" s="1704"/>
      <c r="Q3" s="941"/>
    </row>
    <row r="4" spans="1:17" ht="15.5" x14ac:dyDescent="0.35">
      <c r="A4" s="940"/>
      <c r="B4" s="1698"/>
      <c r="C4" s="1698"/>
      <c r="D4" s="1698"/>
      <c r="E4" s="1698"/>
      <c r="F4" s="1698"/>
      <c r="G4" s="1698"/>
      <c r="H4" s="1698"/>
      <c r="I4" s="1698"/>
      <c r="J4" s="1698"/>
      <c r="K4" s="1698"/>
      <c r="L4" s="1698"/>
      <c r="M4" s="1698"/>
      <c r="N4" s="1698"/>
      <c r="O4" s="1698"/>
      <c r="P4" s="1698"/>
      <c r="Q4" s="941"/>
    </row>
    <row r="5" spans="1:17" x14ac:dyDescent="0.3">
      <c r="A5" s="940"/>
      <c r="B5" s="1697" t="s">
        <v>619</v>
      </c>
      <c r="C5" s="1697"/>
      <c r="D5" s="1697"/>
      <c r="E5" s="1697"/>
      <c r="F5" s="1697"/>
      <c r="G5" s="1697"/>
      <c r="H5" s="1697"/>
      <c r="I5" s="1697"/>
      <c r="J5" s="1697"/>
      <c r="K5" s="1697"/>
      <c r="L5" s="1697"/>
      <c r="M5" s="1697"/>
      <c r="N5" s="1697"/>
      <c r="O5" s="1697"/>
      <c r="P5" s="1697"/>
      <c r="Q5" s="941"/>
    </row>
    <row r="6" spans="1:17" ht="75.650000000000006" customHeight="1" x14ac:dyDescent="0.3">
      <c r="A6" s="940"/>
      <c r="B6" s="1697"/>
      <c r="C6" s="1697"/>
      <c r="D6" s="1697"/>
      <c r="E6" s="1697"/>
      <c r="F6" s="1697"/>
      <c r="G6" s="1697"/>
      <c r="H6" s="1697"/>
      <c r="I6" s="1697"/>
      <c r="J6" s="1697"/>
      <c r="K6" s="1697"/>
      <c r="L6" s="1697"/>
      <c r="M6" s="1697"/>
      <c r="N6" s="1697"/>
      <c r="O6" s="1697"/>
      <c r="P6" s="1697"/>
      <c r="Q6" s="941"/>
    </row>
    <row r="7" spans="1:17" ht="14.15" customHeight="1" x14ac:dyDescent="0.35">
      <c r="A7" s="940"/>
      <c r="B7" s="1699"/>
      <c r="C7" s="1699"/>
      <c r="D7" s="1699"/>
      <c r="E7" s="1699"/>
      <c r="F7" s="1699"/>
      <c r="G7" s="1699"/>
      <c r="H7" s="1699"/>
      <c r="I7" s="1699"/>
      <c r="J7" s="1699"/>
      <c r="K7" s="1699"/>
      <c r="L7" s="1699"/>
      <c r="M7" s="1699"/>
      <c r="N7" s="1699"/>
      <c r="O7" s="1699"/>
      <c r="P7" s="1699"/>
      <c r="Q7" s="941"/>
    </row>
    <row r="8" spans="1:17" ht="62.25" customHeight="1" x14ac:dyDescent="0.3">
      <c r="A8" s="940"/>
      <c r="B8" s="1706" t="s">
        <v>620</v>
      </c>
      <c r="C8" s="1706"/>
      <c r="D8" s="1706"/>
      <c r="E8" s="1706"/>
      <c r="F8" s="1706"/>
      <c r="G8" s="1696" t="s">
        <v>621</v>
      </c>
      <c r="H8" s="1696"/>
      <c r="I8" s="1696" t="s">
        <v>622</v>
      </c>
      <c r="J8" s="1696"/>
      <c r="K8" s="1696" t="s">
        <v>623</v>
      </c>
      <c r="L8" s="1696"/>
      <c r="M8" s="1696" t="s">
        <v>624</v>
      </c>
      <c r="N8" s="1696"/>
      <c r="O8" s="1696" t="s">
        <v>625</v>
      </c>
      <c r="P8" s="1696"/>
      <c r="Q8" s="941"/>
    </row>
    <row r="9" spans="1:17" ht="12.75" customHeight="1" x14ac:dyDescent="0.3">
      <c r="A9" s="940"/>
      <c r="B9" s="1695"/>
      <c r="C9" s="1695"/>
      <c r="D9" s="1695"/>
      <c r="E9" s="1695"/>
      <c r="F9" s="1695"/>
      <c r="G9" s="1695"/>
      <c r="H9" s="1695"/>
      <c r="I9" s="1695"/>
      <c r="J9" s="1695"/>
      <c r="K9" s="1695"/>
      <c r="L9" s="1695"/>
      <c r="M9" s="1695"/>
      <c r="N9" s="1695"/>
      <c r="O9" s="1695"/>
      <c r="P9" s="1695"/>
      <c r="Q9" s="941"/>
    </row>
    <row r="10" spans="1:17" x14ac:dyDescent="0.3">
      <c r="A10" s="940"/>
      <c r="B10" s="1695"/>
      <c r="C10" s="1695"/>
      <c r="D10" s="1695"/>
      <c r="E10" s="1695"/>
      <c r="F10" s="1695"/>
      <c r="G10" s="1695"/>
      <c r="H10" s="1695"/>
      <c r="I10" s="1695"/>
      <c r="J10" s="1695"/>
      <c r="K10" s="1695"/>
      <c r="L10" s="1695"/>
      <c r="M10" s="1695"/>
      <c r="N10" s="1695"/>
      <c r="O10" s="1695"/>
      <c r="P10" s="1695"/>
      <c r="Q10" s="941"/>
    </row>
    <row r="11" spans="1:17" x14ac:dyDescent="0.3">
      <c r="A11" s="940"/>
      <c r="B11" s="1695"/>
      <c r="C11" s="1695"/>
      <c r="D11" s="1695"/>
      <c r="E11" s="1695"/>
      <c r="F11" s="1695"/>
      <c r="G11" s="1695"/>
      <c r="H11" s="1695"/>
      <c r="I11" s="1695"/>
      <c r="J11" s="1695"/>
      <c r="K11" s="1695"/>
      <c r="L11" s="1695"/>
      <c r="M11" s="1695"/>
      <c r="N11" s="1695"/>
      <c r="O11" s="1695"/>
      <c r="P11" s="1695"/>
      <c r="Q11" s="941"/>
    </row>
    <row r="12" spans="1:17" x14ac:dyDescent="0.3">
      <c r="A12" s="940"/>
      <c r="B12" s="1695"/>
      <c r="C12" s="1695"/>
      <c r="D12" s="1695"/>
      <c r="E12" s="1695"/>
      <c r="F12" s="1695"/>
      <c r="G12" s="1695"/>
      <c r="H12" s="1695"/>
      <c r="I12" s="1695"/>
      <c r="J12" s="1695"/>
      <c r="K12" s="1695"/>
      <c r="L12" s="1695"/>
      <c r="M12" s="1695"/>
      <c r="N12" s="1695"/>
      <c r="O12" s="1695"/>
      <c r="P12" s="1695"/>
      <c r="Q12" s="941"/>
    </row>
    <row r="13" spans="1:17" x14ac:dyDescent="0.3">
      <c r="A13" s="940"/>
      <c r="B13" s="1695"/>
      <c r="C13" s="1695"/>
      <c r="D13" s="1695"/>
      <c r="E13" s="1695"/>
      <c r="F13" s="1695"/>
      <c r="G13" s="1695"/>
      <c r="H13" s="1695"/>
      <c r="I13" s="1695"/>
      <c r="J13" s="1695"/>
      <c r="K13" s="1695"/>
      <c r="L13" s="1695"/>
      <c r="M13" s="1695"/>
      <c r="N13" s="1695"/>
      <c r="O13" s="1695"/>
      <c r="P13" s="1695"/>
      <c r="Q13" s="941"/>
    </row>
    <row r="14" spans="1:17" x14ac:dyDescent="0.3">
      <c r="A14" s="940"/>
      <c r="B14" s="1695"/>
      <c r="C14" s="1695"/>
      <c r="D14" s="1695"/>
      <c r="E14" s="1695"/>
      <c r="F14" s="1695"/>
      <c r="G14" s="1695"/>
      <c r="H14" s="1695"/>
      <c r="I14" s="1695"/>
      <c r="J14" s="1695"/>
      <c r="K14" s="1695"/>
      <c r="L14" s="1695"/>
      <c r="M14" s="1695"/>
      <c r="N14" s="1695"/>
      <c r="O14" s="1695"/>
      <c r="P14" s="1695"/>
      <c r="Q14" s="941"/>
    </row>
    <row r="15" spans="1:17" x14ac:dyDescent="0.3">
      <c r="A15" s="940"/>
      <c r="B15" s="1695"/>
      <c r="C15" s="1695"/>
      <c r="D15" s="1695"/>
      <c r="E15" s="1695"/>
      <c r="F15" s="1695"/>
      <c r="G15" s="1695"/>
      <c r="H15" s="1695"/>
      <c r="I15" s="1695"/>
      <c r="J15" s="1695"/>
      <c r="K15" s="1695"/>
      <c r="L15" s="1695"/>
      <c r="M15" s="1695"/>
      <c r="N15" s="1695"/>
      <c r="O15" s="1695"/>
      <c r="P15" s="1695"/>
      <c r="Q15" s="941"/>
    </row>
    <row r="16" spans="1:17" x14ac:dyDescent="0.3">
      <c r="A16" s="940"/>
      <c r="B16" s="1695"/>
      <c r="C16" s="1695"/>
      <c r="D16" s="1695"/>
      <c r="E16" s="1695"/>
      <c r="F16" s="1695"/>
      <c r="G16" s="1695"/>
      <c r="H16" s="1695"/>
      <c r="I16" s="1695"/>
      <c r="J16" s="1695"/>
      <c r="K16" s="1695"/>
      <c r="L16" s="1695"/>
      <c r="M16" s="1695"/>
      <c r="N16" s="1695"/>
      <c r="O16" s="1695"/>
      <c r="P16" s="1695"/>
      <c r="Q16" s="941"/>
    </row>
    <row r="17" spans="1:17" x14ac:dyDescent="0.3">
      <c r="A17" s="940"/>
      <c r="B17" s="1695"/>
      <c r="C17" s="1695"/>
      <c r="D17" s="1695"/>
      <c r="E17" s="1695"/>
      <c r="F17" s="1695"/>
      <c r="G17" s="1695"/>
      <c r="H17" s="1695"/>
      <c r="I17" s="1695"/>
      <c r="J17" s="1695"/>
      <c r="K17" s="1695"/>
      <c r="L17" s="1695"/>
      <c r="M17" s="1695"/>
      <c r="N17" s="1695"/>
      <c r="O17" s="1695"/>
      <c r="P17" s="1695"/>
      <c r="Q17" s="941"/>
    </row>
    <row r="18" spans="1:17" ht="16" thickBot="1" x14ac:dyDescent="0.35">
      <c r="A18" s="942"/>
      <c r="B18" s="943"/>
      <c r="C18" s="943"/>
      <c r="D18" s="944"/>
      <c r="E18" s="943"/>
      <c r="F18" s="943"/>
      <c r="G18" s="943"/>
      <c r="H18" s="943"/>
      <c r="I18" s="943"/>
      <c r="J18" s="943"/>
      <c r="K18" s="943"/>
      <c r="L18" s="943"/>
      <c r="M18" s="943"/>
      <c r="N18" s="943"/>
      <c r="O18" s="943"/>
      <c r="P18" s="943"/>
      <c r="Q18" s="945"/>
    </row>
    <row r="27" spans="1:17" x14ac:dyDescent="0.3">
      <c r="K27" s="946"/>
    </row>
  </sheetData>
  <mergeCells count="66">
    <mergeCell ref="O16:P16"/>
    <mergeCell ref="O17:P17"/>
    <mergeCell ref="O11:P11"/>
    <mergeCell ref="O12:P12"/>
    <mergeCell ref="O13:P13"/>
    <mergeCell ref="O14:P14"/>
    <mergeCell ref="O15:P15"/>
    <mergeCell ref="G16:H16"/>
    <mergeCell ref="G17:H17"/>
    <mergeCell ref="M9:N9"/>
    <mergeCell ref="M10:N10"/>
    <mergeCell ref="M11:N11"/>
    <mergeCell ref="M12:N12"/>
    <mergeCell ref="G11:H11"/>
    <mergeCell ref="G12:H12"/>
    <mergeCell ref="G13:H13"/>
    <mergeCell ref="G14:H14"/>
    <mergeCell ref="G15:H15"/>
    <mergeCell ref="K11:L11"/>
    <mergeCell ref="K12:L12"/>
    <mergeCell ref="I13:J13"/>
    <mergeCell ref="I14:J14"/>
    <mergeCell ref="I15:J15"/>
    <mergeCell ref="O8:P8"/>
    <mergeCell ref="B8:F8"/>
    <mergeCell ref="B9:F9"/>
    <mergeCell ref="B10:F10"/>
    <mergeCell ref="O9:P9"/>
    <mergeCell ref="O10:P10"/>
    <mergeCell ref="K9:L9"/>
    <mergeCell ref="K10:L10"/>
    <mergeCell ref="K8:L8"/>
    <mergeCell ref="G8:H8"/>
    <mergeCell ref="I8:J8"/>
    <mergeCell ref="G9:H9"/>
    <mergeCell ref="G10:H10"/>
    <mergeCell ref="I9:J9"/>
    <mergeCell ref="I10:J10"/>
    <mergeCell ref="B5:P6"/>
    <mergeCell ref="B4:P4"/>
    <mergeCell ref="B7:P7"/>
    <mergeCell ref="B2:E2"/>
    <mergeCell ref="B3:P3"/>
    <mergeCell ref="G2:L2"/>
    <mergeCell ref="B15:F15"/>
    <mergeCell ref="B16:F16"/>
    <mergeCell ref="B17:F17"/>
    <mergeCell ref="B11:F11"/>
    <mergeCell ref="B12:F12"/>
    <mergeCell ref="B13:F13"/>
    <mergeCell ref="B14:F14"/>
    <mergeCell ref="I12:J12"/>
    <mergeCell ref="I11:J11"/>
    <mergeCell ref="M8:N8"/>
    <mergeCell ref="M17:N17"/>
    <mergeCell ref="M13:N13"/>
    <mergeCell ref="M16:N16"/>
    <mergeCell ref="M14:N14"/>
    <mergeCell ref="M15:N15"/>
    <mergeCell ref="K17:L17"/>
    <mergeCell ref="I16:J16"/>
    <mergeCell ref="I17:J17"/>
    <mergeCell ref="K13:L13"/>
    <mergeCell ref="K14:L14"/>
    <mergeCell ref="K15:L15"/>
    <mergeCell ref="K16:L16"/>
  </mergeCells>
  <phoneticPr fontId="4" type="noConversion"/>
  <printOptions horizontalCentered="1"/>
  <pageMargins left="0.5" right="0.5" top="0.5" bottom="0.5" header="0.25" footer="0.25"/>
  <pageSetup scale="83" orientation="landscape" r:id="rId1"/>
  <headerFooter alignWithMargins="0">
    <oddHeader>&amp;C&amp;"Arial,Bold"&amp;12&amp;A</oddHeader>
    <oddFooter>&amp;LOfferor: &amp;CPage &amp;P of &amp;N Pages&amp;R&amp;F</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pageSetUpPr fitToPage="1"/>
  </sheetPr>
  <dimension ref="A1:M55"/>
  <sheetViews>
    <sheetView zoomScale="85" zoomScaleNormal="85" zoomScaleSheetLayoutView="85" workbookViewId="0">
      <selection activeCell="A2" sqref="A2"/>
    </sheetView>
  </sheetViews>
  <sheetFormatPr defaultColWidth="8.453125" defaultRowHeight="13" x14ac:dyDescent="0.25"/>
  <cols>
    <col min="1" max="1" width="4.81640625" style="292" customWidth="1"/>
    <col min="2" max="2" width="12" style="292" customWidth="1"/>
    <col min="3" max="3" width="52.453125" style="292" customWidth="1"/>
    <col min="4" max="4" width="11" style="292" customWidth="1"/>
    <col min="5" max="5" width="15.7265625" style="292" customWidth="1"/>
    <col min="6" max="6" width="14.81640625" style="292" customWidth="1"/>
    <col min="7" max="7" width="16.7265625" style="292" customWidth="1"/>
    <col min="8" max="8" width="14.81640625" style="292" customWidth="1"/>
    <col min="9" max="9" width="16.453125" style="292" customWidth="1"/>
    <col min="10" max="10" width="37.81640625" style="292" customWidth="1"/>
    <col min="11" max="11" width="30.453125" style="292" customWidth="1"/>
    <col min="12" max="12" width="23.26953125" style="292" customWidth="1"/>
    <col min="13" max="16384" width="8.453125" style="292"/>
  </cols>
  <sheetData>
    <row r="1" spans="1:13" ht="13.5" thickBot="1" x14ac:dyDescent="0.3">
      <c r="A1" s="538"/>
      <c r="B1" s="538"/>
      <c r="C1" s="538"/>
      <c r="D1" s="538"/>
      <c r="E1" s="538"/>
      <c r="F1" s="538"/>
      <c r="G1" s="538"/>
      <c r="H1" s="538"/>
      <c r="I1" s="538"/>
      <c r="J1" s="538"/>
      <c r="K1" s="538"/>
      <c r="L1" s="538"/>
      <c r="M1" s="538"/>
    </row>
    <row r="2" spans="1:13" ht="51" customHeight="1" thickBot="1" x14ac:dyDescent="0.3">
      <c r="A2" s="538"/>
      <c r="B2" s="1713" t="s">
        <v>626</v>
      </c>
      <c r="C2" s="1714"/>
      <c r="D2" s="538"/>
      <c r="E2" s="1715" t="str">
        <f>General!D4</f>
        <v>Name</v>
      </c>
      <c r="F2" s="1716"/>
      <c r="G2" s="1716"/>
      <c r="H2" s="1716"/>
      <c r="I2" s="1716"/>
      <c r="J2" s="1717"/>
      <c r="K2" s="538"/>
      <c r="L2" s="538"/>
      <c r="M2" s="538"/>
    </row>
    <row r="3" spans="1:13" x14ac:dyDescent="0.25">
      <c r="A3" s="538"/>
      <c r="B3" s="542"/>
      <c r="C3" s="538"/>
      <c r="D3" s="538"/>
      <c r="E3" s="538"/>
      <c r="F3" s="538"/>
      <c r="G3" s="538"/>
      <c r="H3" s="538"/>
      <c r="I3" s="538"/>
      <c r="J3" s="538"/>
      <c r="K3" s="538"/>
      <c r="L3" s="538"/>
      <c r="M3" s="538"/>
    </row>
    <row r="4" spans="1:13" x14ac:dyDescent="0.25">
      <c r="A4" s="538"/>
      <c r="B4" s="542"/>
      <c r="C4" s="538"/>
      <c r="D4" s="538"/>
      <c r="E4" s="538"/>
      <c r="F4" s="538"/>
      <c r="G4" s="538"/>
      <c r="H4" s="538"/>
      <c r="I4" s="538"/>
      <c r="J4" s="538"/>
      <c r="K4" s="538"/>
      <c r="L4" s="538"/>
      <c r="M4" s="538"/>
    </row>
    <row r="5" spans="1:13" ht="32.5" customHeight="1" x14ac:dyDescent="0.25">
      <c r="A5" s="538"/>
      <c r="B5" s="686" t="s">
        <v>292</v>
      </c>
      <c r="C5" s="1712" t="s">
        <v>627</v>
      </c>
      <c r="D5" s="1712"/>
      <c r="E5" s="1712"/>
      <c r="F5" s="1712"/>
      <c r="G5" s="1712"/>
      <c r="H5" s="1712"/>
      <c r="I5" s="1712"/>
      <c r="J5" s="1712"/>
      <c r="K5" s="1712"/>
      <c r="L5" s="1712"/>
      <c r="M5" s="538"/>
    </row>
    <row r="6" spans="1:13" ht="24.65" customHeight="1" x14ac:dyDescent="0.25">
      <c r="A6" s="538"/>
      <c r="B6" s="663" t="s">
        <v>294</v>
      </c>
      <c r="C6" s="1711" t="s">
        <v>628</v>
      </c>
      <c r="D6" s="1711"/>
      <c r="E6" s="1711"/>
      <c r="F6" s="1711"/>
      <c r="G6" s="1711"/>
      <c r="H6" s="1711"/>
      <c r="I6" s="1711"/>
      <c r="J6" s="1711"/>
      <c r="K6" s="1711"/>
      <c r="L6" s="1711"/>
      <c r="M6" s="538"/>
    </row>
    <row r="7" spans="1:13" ht="25" customHeight="1" x14ac:dyDescent="0.25">
      <c r="A7" s="538"/>
      <c r="B7" s="663" t="s">
        <v>296</v>
      </c>
      <c r="C7" s="1711" t="s">
        <v>629</v>
      </c>
      <c r="D7" s="1711"/>
      <c r="E7" s="1711"/>
      <c r="F7" s="1711"/>
      <c r="G7" s="1711"/>
      <c r="H7" s="1711"/>
      <c r="I7" s="1711"/>
      <c r="J7" s="1711"/>
      <c r="K7" s="1711"/>
      <c r="L7" s="1711"/>
      <c r="M7" s="538"/>
    </row>
    <row r="8" spans="1:13" x14ac:dyDescent="0.25">
      <c r="A8" s="538"/>
      <c r="B8" s="542"/>
      <c r="C8" s="538"/>
      <c r="D8" s="538"/>
      <c r="E8" s="538"/>
      <c r="F8" s="538"/>
      <c r="G8" s="538"/>
      <c r="H8" s="538"/>
      <c r="I8" s="538"/>
      <c r="J8" s="538"/>
      <c r="K8" s="538"/>
      <c r="L8" s="538"/>
      <c r="M8" s="538"/>
    </row>
    <row r="9" spans="1:13" ht="13.5" thickBot="1" x14ac:dyDescent="0.3">
      <c r="A9" s="538"/>
      <c r="B9" s="542"/>
      <c r="C9" s="538"/>
      <c r="D9" s="538"/>
      <c r="E9" s="538"/>
      <c r="F9" s="538"/>
      <c r="G9" s="538"/>
      <c r="H9" s="538"/>
      <c r="I9" s="538"/>
      <c r="J9" s="538"/>
      <c r="K9" s="538"/>
      <c r="L9" s="538"/>
      <c r="M9" s="538"/>
    </row>
    <row r="10" spans="1:13" ht="83.15" customHeight="1" x14ac:dyDescent="0.25">
      <c r="A10" s="538"/>
      <c r="B10" s="675" t="s">
        <v>196</v>
      </c>
      <c r="C10" s="676" t="s">
        <v>630</v>
      </c>
      <c r="D10" s="676" t="s">
        <v>631</v>
      </c>
      <c r="E10" s="676" t="s">
        <v>343</v>
      </c>
      <c r="F10" s="676" t="s">
        <v>632</v>
      </c>
      <c r="G10" s="676" t="s">
        <v>633</v>
      </c>
      <c r="H10" s="676" t="s">
        <v>634</v>
      </c>
      <c r="I10" s="676" t="s">
        <v>345</v>
      </c>
      <c r="J10" s="676" t="s">
        <v>635</v>
      </c>
      <c r="K10" s="676" t="s">
        <v>636</v>
      </c>
      <c r="L10" s="677" t="s">
        <v>637</v>
      </c>
      <c r="M10" s="538"/>
    </row>
    <row r="11" spans="1:13" ht="27" customHeight="1" x14ac:dyDescent="0.25">
      <c r="A11" s="538"/>
      <c r="B11" s="1718" t="s">
        <v>551</v>
      </c>
      <c r="C11" s="543"/>
      <c r="D11" s="543"/>
      <c r="E11" s="544"/>
      <c r="F11" s="678">
        <f>D11*E11</f>
        <v>0</v>
      </c>
      <c r="G11" s="544"/>
      <c r="H11" s="545"/>
      <c r="I11" s="681">
        <f>F11+G11+H11</f>
        <v>0</v>
      </c>
      <c r="J11" s="544"/>
      <c r="K11"/>
      <c r="L11" s="551"/>
      <c r="M11" s="538"/>
    </row>
    <row r="12" spans="1:13" ht="27.65" customHeight="1" x14ac:dyDescent="0.25">
      <c r="A12" s="538"/>
      <c r="B12" s="1709"/>
      <c r="C12" s="543"/>
      <c r="D12" s="543"/>
      <c r="E12" s="544"/>
      <c r="F12" s="678">
        <f t="shared" ref="F12:F21" si="0">D12*E12</f>
        <v>0</v>
      </c>
      <c r="G12" s="544"/>
      <c r="H12" s="545"/>
      <c r="I12" s="681">
        <f t="shared" ref="I12:I21" si="1">F12+G12+H12</f>
        <v>0</v>
      </c>
      <c r="J12" s="544"/>
      <c r="K12" s="632"/>
      <c r="L12" s="551"/>
      <c r="M12" s="538"/>
    </row>
    <row r="13" spans="1:13" ht="27.65" customHeight="1" thickBot="1" x14ac:dyDescent="0.3">
      <c r="A13" s="538"/>
      <c r="B13" s="1710"/>
      <c r="C13" s="553"/>
      <c r="D13" s="555"/>
      <c r="E13" s="555"/>
      <c r="F13" s="679">
        <f t="shared" si="0"/>
        <v>0</v>
      </c>
      <c r="G13" s="637"/>
      <c r="H13" s="637"/>
      <c r="I13" s="682">
        <f t="shared" si="1"/>
        <v>0</v>
      </c>
      <c r="J13" s="554"/>
      <c r="K13" s="638"/>
      <c r="L13" s="556"/>
      <c r="M13" s="538"/>
    </row>
    <row r="14" spans="1:13" ht="28" customHeight="1" x14ac:dyDescent="0.25">
      <c r="A14" s="538"/>
      <c r="B14" s="633"/>
      <c r="C14" s="1201"/>
      <c r="D14" s="633"/>
      <c r="E14" s="633"/>
      <c r="F14" s="680">
        <f>SUM(F11:F13)</f>
        <v>0</v>
      </c>
      <c r="G14" s="680">
        <f>SUM(G11:G13)</f>
        <v>0</v>
      </c>
      <c r="H14" s="680">
        <f>SUM(H11:H13)</f>
        <v>0</v>
      </c>
      <c r="I14" s="683">
        <f>SUM(I11:I13)</f>
        <v>0</v>
      </c>
      <c r="J14" s="636"/>
      <c r="K14" s="631"/>
      <c r="L14" s="1201"/>
      <c r="M14" s="538"/>
    </row>
    <row r="15" spans="1:13" x14ac:dyDescent="0.25">
      <c r="A15" s="538"/>
      <c r="B15" s="633"/>
      <c r="C15" s="1201"/>
      <c r="D15" s="633"/>
      <c r="E15" s="633"/>
      <c r="F15" s="634"/>
      <c r="G15" s="635"/>
      <c r="H15" s="635"/>
      <c r="I15" s="636"/>
      <c r="J15" s="636"/>
      <c r="K15" s="631"/>
      <c r="L15" s="1201"/>
      <c r="M15" s="538"/>
    </row>
    <row r="16" spans="1:13" ht="13.5" thickBot="1" x14ac:dyDescent="0.3">
      <c r="A16" s="538"/>
      <c r="B16" s="633"/>
      <c r="C16" s="1201"/>
      <c r="D16" s="633"/>
      <c r="E16" s="633"/>
      <c r="F16" s="634"/>
      <c r="G16" s="635"/>
      <c r="H16" s="635"/>
      <c r="I16" s="636"/>
      <c r="J16" s="636"/>
      <c r="K16" s="631"/>
      <c r="L16" s="1201"/>
      <c r="M16" s="538"/>
    </row>
    <row r="17" spans="1:13" ht="27.65" customHeight="1" x14ac:dyDescent="0.25">
      <c r="A17" s="538"/>
      <c r="B17" s="1708" t="s">
        <v>552</v>
      </c>
      <c r="C17" s="639"/>
      <c r="D17" s="640"/>
      <c r="E17" s="640"/>
      <c r="F17" s="684">
        <f t="shared" si="0"/>
        <v>0</v>
      </c>
      <c r="G17" s="641"/>
      <c r="H17" s="641"/>
      <c r="I17" s="685">
        <f t="shared" si="1"/>
        <v>0</v>
      </c>
      <c r="J17" s="642"/>
      <c r="K17" s="643"/>
      <c r="L17" s="644"/>
      <c r="M17" s="538"/>
    </row>
    <row r="18" spans="1:13" ht="22" customHeight="1" x14ac:dyDescent="0.25">
      <c r="A18" s="538"/>
      <c r="B18" s="1709"/>
      <c r="C18" s="543"/>
      <c r="D18" s="543"/>
      <c r="E18" s="544"/>
      <c r="F18" s="678">
        <f t="shared" si="0"/>
        <v>0</v>
      </c>
      <c r="G18" s="544"/>
      <c r="H18" s="545"/>
      <c r="I18" s="681">
        <f t="shared" si="1"/>
        <v>0</v>
      </c>
      <c r="J18" s="544"/>
      <c r="K18" s="632"/>
      <c r="L18" s="551"/>
      <c r="M18" s="538"/>
    </row>
    <row r="19" spans="1:13" ht="22" customHeight="1" x14ac:dyDescent="0.25">
      <c r="A19" s="538"/>
      <c r="B19" s="1709"/>
      <c r="C19" s="543"/>
      <c r="D19" s="546"/>
      <c r="E19" s="546"/>
      <c r="F19" s="678">
        <f t="shared" si="0"/>
        <v>0</v>
      </c>
      <c r="G19" s="547"/>
      <c r="H19" s="547"/>
      <c r="I19" s="681">
        <f t="shared" si="1"/>
        <v>0</v>
      </c>
      <c r="J19" s="544"/>
      <c r="K19" s="632"/>
      <c r="L19" s="552"/>
      <c r="M19" s="538"/>
    </row>
    <row r="20" spans="1:13" ht="22" customHeight="1" x14ac:dyDescent="0.25">
      <c r="A20" s="538"/>
      <c r="B20" s="1709"/>
      <c r="C20" s="543"/>
      <c r="D20" s="548"/>
      <c r="E20" s="546"/>
      <c r="F20" s="678">
        <f t="shared" si="0"/>
        <v>0</v>
      </c>
      <c r="G20" s="547"/>
      <c r="H20" s="547"/>
      <c r="I20" s="681">
        <f t="shared" si="1"/>
        <v>0</v>
      </c>
      <c r="J20" s="544"/>
      <c r="K20" s="632"/>
      <c r="L20" s="552"/>
      <c r="M20" s="538"/>
    </row>
    <row r="21" spans="1:13" ht="22" customHeight="1" thickBot="1" x14ac:dyDescent="0.3">
      <c r="A21" s="538"/>
      <c r="B21" s="1710"/>
      <c r="C21" s="553"/>
      <c r="D21" s="553"/>
      <c r="E21" s="553"/>
      <c r="F21" s="679">
        <f t="shared" si="0"/>
        <v>0</v>
      </c>
      <c r="G21" s="553"/>
      <c r="H21" s="553"/>
      <c r="I21" s="682">
        <f t="shared" si="1"/>
        <v>0</v>
      </c>
      <c r="J21" s="554"/>
      <c r="K21" s="638"/>
      <c r="L21" s="556"/>
      <c r="M21" s="538"/>
    </row>
    <row r="22" spans="1:13" ht="26.5" customHeight="1" x14ac:dyDescent="0.25">
      <c r="A22" s="538"/>
      <c r="B22" s="1707"/>
      <c r="C22" s="1707"/>
      <c r="D22" s="1707"/>
      <c r="E22" s="549"/>
      <c r="F22" s="680">
        <f>SUM(F17:F21)</f>
        <v>0</v>
      </c>
      <c r="G22" s="680">
        <f>SUM(G17:G21)</f>
        <v>0</v>
      </c>
      <c r="H22" s="680">
        <f>SUM(H17:H21)</f>
        <v>0</v>
      </c>
      <c r="I22" s="680">
        <f>SUM(I17:I21)</f>
        <v>0</v>
      </c>
      <c r="J22" s="550"/>
      <c r="K22" s="550"/>
      <c r="L22" s="1201"/>
      <c r="M22" s="538"/>
    </row>
    <row r="23" spans="1:13" x14ac:dyDescent="0.25">
      <c r="A23" s="538"/>
      <c r="B23" s="538"/>
      <c r="C23" s="538"/>
      <c r="D23" s="538"/>
      <c r="E23" s="538"/>
      <c r="F23" s="538"/>
      <c r="G23" s="538"/>
      <c r="H23" s="538"/>
      <c r="I23" s="538"/>
      <c r="J23" s="538"/>
      <c r="K23" s="538"/>
      <c r="L23" s="538"/>
      <c r="M23" s="538"/>
    </row>
    <row r="24" spans="1:13" ht="13.5" thickBot="1" x14ac:dyDescent="0.3">
      <c r="A24" s="538"/>
      <c r="B24" s="538"/>
      <c r="C24" s="538"/>
      <c r="D24" s="538"/>
      <c r="E24" s="538"/>
      <c r="F24" s="538"/>
      <c r="G24" s="538"/>
      <c r="H24" s="538"/>
      <c r="I24" s="538"/>
      <c r="J24" s="538"/>
      <c r="K24" s="538"/>
      <c r="L24" s="538"/>
      <c r="M24" s="538"/>
    </row>
    <row r="25" spans="1:13" ht="22" customHeight="1" x14ac:dyDescent="0.25">
      <c r="A25" s="538"/>
      <c r="B25" s="1708" t="s">
        <v>553</v>
      </c>
      <c r="C25" s="639"/>
      <c r="D25" s="640"/>
      <c r="E25" s="640"/>
      <c r="F25" s="684">
        <f t="shared" ref="F25:F29" si="2">D25*E25</f>
        <v>0</v>
      </c>
      <c r="G25" s="641"/>
      <c r="H25" s="641"/>
      <c r="I25" s="685">
        <f t="shared" ref="I25:I29" si="3">F25+G25+H25</f>
        <v>0</v>
      </c>
      <c r="J25" s="642"/>
      <c r="K25" s="643"/>
      <c r="L25" s="644"/>
      <c r="M25" s="538"/>
    </row>
    <row r="26" spans="1:13" ht="22" customHeight="1" x14ac:dyDescent="0.25">
      <c r="A26" s="538"/>
      <c r="B26" s="1709"/>
      <c r="C26" s="543"/>
      <c r="D26" s="543"/>
      <c r="E26" s="544"/>
      <c r="F26" s="678">
        <f t="shared" si="2"/>
        <v>0</v>
      </c>
      <c r="G26" s="544"/>
      <c r="H26" s="545"/>
      <c r="I26" s="681">
        <f t="shared" si="3"/>
        <v>0</v>
      </c>
      <c r="J26" s="544"/>
      <c r="K26" s="632"/>
      <c r="L26" s="551"/>
      <c r="M26" s="538"/>
    </row>
    <row r="27" spans="1:13" ht="22" customHeight="1" x14ac:dyDescent="0.25">
      <c r="A27" s="538"/>
      <c r="B27" s="1709"/>
      <c r="C27" s="543"/>
      <c r="D27" s="546"/>
      <c r="E27" s="546"/>
      <c r="F27" s="678">
        <f t="shared" si="2"/>
        <v>0</v>
      </c>
      <c r="G27" s="547"/>
      <c r="H27" s="547"/>
      <c r="I27" s="681">
        <f t="shared" si="3"/>
        <v>0</v>
      </c>
      <c r="J27" s="544"/>
      <c r="K27" s="632"/>
      <c r="L27" s="552"/>
      <c r="M27" s="538"/>
    </row>
    <row r="28" spans="1:13" ht="22" customHeight="1" x14ac:dyDescent="0.25">
      <c r="A28" s="538"/>
      <c r="B28" s="1709"/>
      <c r="C28" s="543"/>
      <c r="D28" s="548"/>
      <c r="E28" s="546"/>
      <c r="F28" s="678">
        <f t="shared" si="2"/>
        <v>0</v>
      </c>
      <c r="G28" s="547"/>
      <c r="H28" s="547"/>
      <c r="I28" s="681">
        <f t="shared" si="3"/>
        <v>0</v>
      </c>
      <c r="J28" s="544"/>
      <c r="K28" s="632"/>
      <c r="L28" s="552"/>
      <c r="M28" s="538"/>
    </row>
    <row r="29" spans="1:13" ht="22" customHeight="1" thickBot="1" x14ac:dyDescent="0.3">
      <c r="A29" s="538"/>
      <c r="B29" s="1710"/>
      <c r="C29" s="553"/>
      <c r="D29" s="553"/>
      <c r="E29" s="553"/>
      <c r="F29" s="679">
        <f t="shared" si="2"/>
        <v>0</v>
      </c>
      <c r="G29" s="553"/>
      <c r="H29" s="553"/>
      <c r="I29" s="682">
        <f t="shared" si="3"/>
        <v>0</v>
      </c>
      <c r="J29" s="554"/>
      <c r="K29" s="638"/>
      <c r="L29" s="556"/>
      <c r="M29" s="538"/>
    </row>
    <row r="30" spans="1:13" ht="22" customHeight="1" x14ac:dyDescent="0.25">
      <c r="A30" s="538"/>
      <c r="B30" s="1707"/>
      <c r="C30" s="1707"/>
      <c r="D30" s="1707"/>
      <c r="E30" s="549"/>
      <c r="F30" s="680">
        <f>SUM(F25:F29)</f>
        <v>0</v>
      </c>
      <c r="G30" s="680">
        <f>SUM(G25:G29)</f>
        <v>0</v>
      </c>
      <c r="H30" s="680">
        <f>SUM(H25:H29)</f>
        <v>0</v>
      </c>
      <c r="I30" s="680">
        <f>SUM(I25:I29)</f>
        <v>0</v>
      </c>
      <c r="J30" s="550"/>
      <c r="K30" s="550"/>
      <c r="L30" s="1201"/>
      <c r="M30" s="538"/>
    </row>
    <row r="31" spans="1:13" x14ac:dyDescent="0.25">
      <c r="A31" s="538"/>
      <c r="B31" s="538"/>
      <c r="C31" s="538"/>
      <c r="D31" s="538"/>
      <c r="E31" s="538"/>
      <c r="F31" s="538"/>
      <c r="G31" s="538"/>
      <c r="H31" s="538"/>
      <c r="I31" s="538"/>
      <c r="J31" s="538"/>
      <c r="K31" s="538"/>
      <c r="L31" s="538"/>
      <c r="M31" s="538"/>
    </row>
    <row r="32" spans="1:13" ht="13.5" thickBot="1" x14ac:dyDescent="0.3">
      <c r="A32" s="538"/>
      <c r="B32" s="538"/>
      <c r="C32" s="538"/>
      <c r="D32" s="538"/>
      <c r="E32" s="538"/>
      <c r="F32" s="538"/>
      <c r="G32" s="538"/>
      <c r="H32" s="538"/>
      <c r="I32" s="538"/>
      <c r="J32" s="538"/>
      <c r="K32" s="538"/>
      <c r="L32" s="538"/>
      <c r="M32" s="538"/>
    </row>
    <row r="33" spans="1:13" ht="22" customHeight="1" x14ac:dyDescent="0.25">
      <c r="A33" s="538"/>
      <c r="B33" s="1708" t="s">
        <v>554</v>
      </c>
      <c r="C33" s="639"/>
      <c r="D33" s="640"/>
      <c r="E33" s="640"/>
      <c r="F33" s="684">
        <f t="shared" ref="F33:F37" si="4">D33*E33</f>
        <v>0</v>
      </c>
      <c r="G33" s="641"/>
      <c r="H33" s="641"/>
      <c r="I33" s="685">
        <f t="shared" ref="I33:I37" si="5">F33+G33+H33</f>
        <v>0</v>
      </c>
      <c r="J33" s="642"/>
      <c r="K33" s="643"/>
      <c r="L33" s="644"/>
      <c r="M33" s="538"/>
    </row>
    <row r="34" spans="1:13" ht="22" customHeight="1" x14ac:dyDescent="0.25">
      <c r="A34" s="538"/>
      <c r="B34" s="1709"/>
      <c r="C34" s="543"/>
      <c r="D34" s="543"/>
      <c r="E34" s="544"/>
      <c r="F34" s="678">
        <f t="shared" si="4"/>
        <v>0</v>
      </c>
      <c r="G34" s="544"/>
      <c r="H34" s="545"/>
      <c r="I34" s="681">
        <f t="shared" si="5"/>
        <v>0</v>
      </c>
      <c r="J34" s="544"/>
      <c r="K34" s="632"/>
      <c r="L34" s="551"/>
      <c r="M34" s="538"/>
    </row>
    <row r="35" spans="1:13" ht="22" customHeight="1" x14ac:dyDescent="0.25">
      <c r="A35" s="538"/>
      <c r="B35" s="1709"/>
      <c r="C35" s="543"/>
      <c r="D35" s="546"/>
      <c r="E35" s="546"/>
      <c r="F35" s="678">
        <f t="shared" si="4"/>
        <v>0</v>
      </c>
      <c r="G35" s="547"/>
      <c r="H35" s="547"/>
      <c r="I35" s="681">
        <f t="shared" si="5"/>
        <v>0</v>
      </c>
      <c r="J35" s="544"/>
      <c r="K35" s="632"/>
      <c r="L35" s="552"/>
      <c r="M35" s="538"/>
    </row>
    <row r="36" spans="1:13" ht="22" customHeight="1" x14ac:dyDescent="0.25">
      <c r="A36" s="538"/>
      <c r="B36" s="1709"/>
      <c r="C36" s="543"/>
      <c r="D36" s="548"/>
      <c r="E36" s="546"/>
      <c r="F36" s="678">
        <f t="shared" si="4"/>
        <v>0</v>
      </c>
      <c r="G36" s="547"/>
      <c r="H36" s="547"/>
      <c r="I36" s="681">
        <f t="shared" si="5"/>
        <v>0</v>
      </c>
      <c r="J36" s="544"/>
      <c r="K36" s="632"/>
      <c r="L36" s="552"/>
      <c r="M36" s="538"/>
    </row>
    <row r="37" spans="1:13" ht="22" customHeight="1" thickBot="1" x14ac:dyDescent="0.3">
      <c r="A37" s="538"/>
      <c r="B37" s="1710"/>
      <c r="C37" s="553"/>
      <c r="D37" s="553"/>
      <c r="E37" s="553"/>
      <c r="F37" s="679">
        <f t="shared" si="4"/>
        <v>0</v>
      </c>
      <c r="G37" s="553"/>
      <c r="H37" s="553"/>
      <c r="I37" s="682">
        <f t="shared" si="5"/>
        <v>0</v>
      </c>
      <c r="J37" s="554"/>
      <c r="K37" s="638"/>
      <c r="L37" s="556"/>
      <c r="M37" s="538"/>
    </row>
    <row r="38" spans="1:13" ht="22" customHeight="1" x14ac:dyDescent="0.25">
      <c r="A38" s="538"/>
      <c r="B38" s="1707"/>
      <c r="C38" s="1707"/>
      <c r="D38" s="1707"/>
      <c r="E38" s="549"/>
      <c r="F38" s="680">
        <f>SUM(F33:F37)</f>
        <v>0</v>
      </c>
      <c r="G38" s="680">
        <f>SUM(G33:G37)</f>
        <v>0</v>
      </c>
      <c r="H38" s="680">
        <f>SUM(H33:H37)</f>
        <v>0</v>
      </c>
      <c r="I38" s="680">
        <f>SUM(I33:I37)</f>
        <v>0</v>
      </c>
      <c r="J38" s="550"/>
      <c r="K38" s="550"/>
      <c r="L38" s="1201"/>
      <c r="M38" s="538"/>
    </row>
    <row r="39" spans="1:13" ht="13.5" thickBot="1" x14ac:dyDescent="0.3">
      <c r="A39" s="538"/>
      <c r="B39" s="538"/>
      <c r="C39" s="538"/>
      <c r="D39" s="538"/>
      <c r="E39" s="538"/>
      <c r="F39" s="538"/>
      <c r="G39" s="538"/>
      <c r="H39" s="538"/>
      <c r="I39" s="538"/>
      <c r="J39" s="538"/>
      <c r="K39" s="538"/>
      <c r="L39" s="538"/>
      <c r="M39" s="538"/>
    </row>
    <row r="40" spans="1:13" ht="22" customHeight="1" x14ac:dyDescent="0.25">
      <c r="A40" s="538"/>
      <c r="B40" s="1708" t="s">
        <v>555</v>
      </c>
      <c r="C40" s="639"/>
      <c r="D40" s="640"/>
      <c r="E40" s="640"/>
      <c r="F40" s="684">
        <f t="shared" ref="F40:F44" si="6">D40*E40</f>
        <v>0</v>
      </c>
      <c r="G40" s="641"/>
      <c r="H40" s="641"/>
      <c r="I40" s="685">
        <f t="shared" ref="I40:I44" si="7">F40+G40+H40</f>
        <v>0</v>
      </c>
      <c r="J40" s="642"/>
      <c r="K40" s="643"/>
      <c r="L40" s="644"/>
      <c r="M40" s="538"/>
    </row>
    <row r="41" spans="1:13" ht="22" customHeight="1" x14ac:dyDescent="0.25">
      <c r="A41" s="538"/>
      <c r="B41" s="1709"/>
      <c r="C41" s="543"/>
      <c r="D41" s="543"/>
      <c r="E41" s="544"/>
      <c r="F41" s="678">
        <f t="shared" si="6"/>
        <v>0</v>
      </c>
      <c r="G41" s="544"/>
      <c r="H41" s="545"/>
      <c r="I41" s="681">
        <f t="shared" si="7"/>
        <v>0</v>
      </c>
      <c r="J41" s="544"/>
      <c r="K41" s="632"/>
      <c r="L41" s="551"/>
      <c r="M41" s="538"/>
    </row>
    <row r="42" spans="1:13" ht="22" customHeight="1" x14ac:dyDescent="0.25">
      <c r="A42" s="538"/>
      <c r="B42" s="1709"/>
      <c r="C42" s="543"/>
      <c r="D42" s="546"/>
      <c r="E42" s="546"/>
      <c r="F42" s="678">
        <f t="shared" si="6"/>
        <v>0</v>
      </c>
      <c r="G42" s="547"/>
      <c r="H42" s="547"/>
      <c r="I42" s="681">
        <f t="shared" si="7"/>
        <v>0</v>
      </c>
      <c r="J42" s="544"/>
      <c r="K42" s="632"/>
      <c r="L42" s="552"/>
      <c r="M42" s="538"/>
    </row>
    <row r="43" spans="1:13" ht="22" customHeight="1" x14ac:dyDescent="0.25">
      <c r="A43" s="538"/>
      <c r="B43" s="1709"/>
      <c r="C43" s="543"/>
      <c r="D43" s="548"/>
      <c r="E43" s="546"/>
      <c r="F43" s="678">
        <f t="shared" si="6"/>
        <v>0</v>
      </c>
      <c r="G43" s="547"/>
      <c r="H43" s="547"/>
      <c r="I43" s="681">
        <f t="shared" si="7"/>
        <v>0</v>
      </c>
      <c r="J43" s="544"/>
      <c r="K43" s="632"/>
      <c r="L43" s="552"/>
      <c r="M43" s="538"/>
    </row>
    <row r="44" spans="1:13" ht="22" customHeight="1" thickBot="1" x14ac:dyDescent="0.3">
      <c r="A44" s="538"/>
      <c r="B44" s="1710"/>
      <c r="C44" s="553"/>
      <c r="D44" s="553"/>
      <c r="E44" s="553"/>
      <c r="F44" s="679">
        <f t="shared" si="6"/>
        <v>0</v>
      </c>
      <c r="G44" s="553"/>
      <c r="H44" s="553"/>
      <c r="I44" s="682">
        <f t="shared" si="7"/>
        <v>0</v>
      </c>
      <c r="J44" s="554"/>
      <c r="K44" s="638"/>
      <c r="L44" s="556"/>
      <c r="M44" s="538"/>
    </row>
    <row r="45" spans="1:13" ht="22" customHeight="1" x14ac:dyDescent="0.25">
      <c r="A45" s="538"/>
      <c r="B45" s="1707"/>
      <c r="C45" s="1707"/>
      <c r="D45" s="1707"/>
      <c r="E45" s="549"/>
      <c r="F45" s="680">
        <f>SUM(F40:F44)</f>
        <v>0</v>
      </c>
      <c r="G45" s="680">
        <f>SUM(G40:G44)</f>
        <v>0</v>
      </c>
      <c r="H45" s="680">
        <f>SUM(H40:H44)</f>
        <v>0</v>
      </c>
      <c r="I45" s="680">
        <f>SUM(I40:I44)</f>
        <v>0</v>
      </c>
      <c r="J45" s="550"/>
      <c r="K45" s="550"/>
      <c r="L45" s="1201"/>
      <c r="M45" s="538"/>
    </row>
    <row r="46" spans="1:13" x14ac:dyDescent="0.25">
      <c r="A46" s="538"/>
      <c r="B46" s="538"/>
      <c r="C46" s="538"/>
      <c r="D46" s="538"/>
      <c r="E46" s="538"/>
      <c r="F46" s="538"/>
      <c r="G46" s="538"/>
      <c r="H46" s="538"/>
      <c r="I46" s="538"/>
      <c r="J46" s="538"/>
      <c r="K46" s="538"/>
      <c r="L46" s="538"/>
      <c r="M46" s="538"/>
    </row>
    <row r="47" spans="1:13" ht="13.5" thickBot="1" x14ac:dyDescent="0.3">
      <c r="A47" s="538"/>
      <c r="B47" s="538"/>
      <c r="C47" s="538"/>
      <c r="D47" s="538"/>
      <c r="E47" s="538"/>
      <c r="F47" s="538"/>
      <c r="G47" s="538"/>
      <c r="H47" s="538"/>
      <c r="I47" s="538"/>
      <c r="J47" s="538"/>
      <c r="K47" s="538"/>
      <c r="L47" s="538"/>
      <c r="M47" s="538"/>
    </row>
    <row r="48" spans="1:13" ht="22" customHeight="1" x14ac:dyDescent="0.25">
      <c r="A48" s="538"/>
      <c r="B48" s="1708" t="s">
        <v>556</v>
      </c>
      <c r="C48" s="639"/>
      <c r="D48" s="640"/>
      <c r="E48" s="640"/>
      <c r="F48" s="684">
        <f t="shared" ref="F48:F52" si="8">D48*E48</f>
        <v>0</v>
      </c>
      <c r="G48" s="641"/>
      <c r="H48" s="641"/>
      <c r="I48" s="685">
        <f t="shared" ref="I48:I52" si="9">F48+G48+H48</f>
        <v>0</v>
      </c>
      <c r="J48" s="642"/>
      <c r="K48" s="643"/>
      <c r="L48" s="644"/>
      <c r="M48" s="538"/>
    </row>
    <row r="49" spans="1:13" ht="22" customHeight="1" x14ac:dyDescent="0.25">
      <c r="A49" s="538"/>
      <c r="B49" s="1709"/>
      <c r="C49" s="543"/>
      <c r="D49" s="543"/>
      <c r="E49" s="544"/>
      <c r="F49" s="678">
        <f t="shared" si="8"/>
        <v>0</v>
      </c>
      <c r="G49" s="544"/>
      <c r="H49" s="545"/>
      <c r="I49" s="681">
        <f t="shared" si="9"/>
        <v>0</v>
      </c>
      <c r="J49" s="544"/>
      <c r="K49" s="632"/>
      <c r="L49" s="551"/>
      <c r="M49" s="538"/>
    </row>
    <row r="50" spans="1:13" ht="22" customHeight="1" x14ac:dyDescent="0.25">
      <c r="A50" s="538"/>
      <c r="B50" s="1709"/>
      <c r="C50" s="543"/>
      <c r="D50" s="546"/>
      <c r="E50" s="546"/>
      <c r="F50" s="678">
        <f t="shared" si="8"/>
        <v>0</v>
      </c>
      <c r="G50" s="547"/>
      <c r="H50" s="547"/>
      <c r="I50" s="681">
        <f t="shared" si="9"/>
        <v>0</v>
      </c>
      <c r="J50" s="544"/>
      <c r="K50" s="632"/>
      <c r="L50" s="552"/>
      <c r="M50" s="538"/>
    </row>
    <row r="51" spans="1:13" ht="22" customHeight="1" x14ac:dyDescent="0.25">
      <c r="A51" s="538"/>
      <c r="B51" s="1709"/>
      <c r="C51" s="543"/>
      <c r="D51" s="548"/>
      <c r="E51" s="546"/>
      <c r="F51" s="678">
        <f t="shared" si="8"/>
        <v>0</v>
      </c>
      <c r="G51" s="547"/>
      <c r="H51" s="547"/>
      <c r="I51" s="681">
        <f t="shared" si="9"/>
        <v>0</v>
      </c>
      <c r="J51" s="544"/>
      <c r="K51" s="632"/>
      <c r="L51" s="552"/>
      <c r="M51" s="538"/>
    </row>
    <row r="52" spans="1:13" ht="22" customHeight="1" thickBot="1" x14ac:dyDescent="0.3">
      <c r="A52" s="538"/>
      <c r="B52" s="1710"/>
      <c r="C52" s="553"/>
      <c r="D52" s="553"/>
      <c r="E52" s="553"/>
      <c r="F52" s="679">
        <f t="shared" si="8"/>
        <v>0</v>
      </c>
      <c r="G52" s="553"/>
      <c r="H52" s="553"/>
      <c r="I52" s="682">
        <f t="shared" si="9"/>
        <v>0</v>
      </c>
      <c r="J52" s="554"/>
      <c r="K52" s="638"/>
      <c r="L52" s="556"/>
      <c r="M52" s="538"/>
    </row>
    <row r="53" spans="1:13" ht="22" customHeight="1" x14ac:dyDescent="0.25">
      <c r="A53" s="538"/>
      <c r="B53" s="1707"/>
      <c r="C53" s="1707"/>
      <c r="D53" s="1707"/>
      <c r="E53" s="549"/>
      <c r="F53" s="680">
        <f>SUM(F48:F52)</f>
        <v>0</v>
      </c>
      <c r="G53" s="680">
        <f>SUM(G48:G52)</f>
        <v>0</v>
      </c>
      <c r="H53" s="680">
        <f>SUM(H48:H52)</f>
        <v>0</v>
      </c>
      <c r="I53" s="680">
        <f>SUM(I48:I52)</f>
        <v>0</v>
      </c>
      <c r="J53" s="550"/>
      <c r="K53" s="550"/>
      <c r="L53" s="1201"/>
      <c r="M53" s="538"/>
    </row>
    <row r="54" spans="1:13" x14ac:dyDescent="0.25">
      <c r="A54" s="538"/>
      <c r="B54" s="538"/>
      <c r="C54" s="538"/>
      <c r="D54" s="538"/>
      <c r="E54" s="538"/>
      <c r="F54" s="538"/>
      <c r="G54" s="538"/>
      <c r="H54" s="538"/>
      <c r="I54" s="538"/>
      <c r="J54" s="538"/>
      <c r="K54" s="538"/>
      <c r="L54" s="538"/>
      <c r="M54" s="538"/>
    </row>
    <row r="55" spans="1:13" x14ac:dyDescent="0.25">
      <c r="A55" s="538"/>
      <c r="B55" s="538"/>
      <c r="C55" s="538"/>
      <c r="D55" s="538"/>
      <c r="E55" s="538"/>
      <c r="F55" s="538"/>
      <c r="G55" s="538"/>
      <c r="H55" s="538"/>
      <c r="I55" s="538"/>
      <c r="J55" s="538"/>
      <c r="K55" s="538"/>
      <c r="L55" s="538"/>
      <c r="M55" s="538"/>
    </row>
  </sheetData>
  <mergeCells count="16">
    <mergeCell ref="B22:D22"/>
    <mergeCell ref="C6:L6"/>
    <mergeCell ref="C7:L7"/>
    <mergeCell ref="C5:L5"/>
    <mergeCell ref="B2:C2"/>
    <mergeCell ref="E2:J2"/>
    <mergeCell ref="B11:B13"/>
    <mergeCell ref="B17:B21"/>
    <mergeCell ref="B45:D45"/>
    <mergeCell ref="B48:B52"/>
    <mergeCell ref="B53:D53"/>
    <mergeCell ref="B25:B29"/>
    <mergeCell ref="B30:D30"/>
    <mergeCell ref="B33:B37"/>
    <mergeCell ref="B38:D38"/>
    <mergeCell ref="B40:B44"/>
  </mergeCells>
  <phoneticPr fontId="4" type="noConversion"/>
  <pageMargins left="0.75" right="0.75" top="1" bottom="1" header="0.5" footer="0.5"/>
  <pageSetup scale="39" orientation="landscape" r:id="rId1"/>
  <headerFooter alignWithMargins="0"/>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EDEC9-6FD2-4EC1-BDD9-6AB6BDB37440}">
  <sheetPr codeName="Sheet30">
    <pageSetUpPr fitToPage="1"/>
  </sheetPr>
  <dimension ref="A1:AO60"/>
  <sheetViews>
    <sheetView zoomScale="85" zoomScaleNormal="85" zoomScaleSheetLayoutView="85" workbookViewId="0">
      <selection activeCell="A15" sqref="A15"/>
    </sheetView>
  </sheetViews>
  <sheetFormatPr defaultColWidth="8.81640625" defaultRowHeight="13" x14ac:dyDescent="0.25"/>
  <cols>
    <col min="1" max="1" width="3.81640625" style="292" customWidth="1"/>
    <col min="2" max="2" width="18.1796875" style="292" customWidth="1"/>
    <col min="3" max="3" width="45.81640625" style="292" customWidth="1"/>
    <col min="4" max="4" width="16.453125" style="292" customWidth="1"/>
    <col min="5" max="5" width="16" style="292" customWidth="1"/>
    <col min="6" max="6" width="5.1796875" style="292" customWidth="1"/>
    <col min="7" max="7" width="4.7265625" style="292" customWidth="1"/>
    <col min="8" max="8" width="5.81640625" style="292" customWidth="1"/>
    <col min="9" max="9" width="2.1796875" style="292" customWidth="1"/>
    <col min="10" max="10" width="11" style="292" customWidth="1"/>
    <col min="11" max="11" width="6.1796875" style="292" customWidth="1"/>
    <col min="12" max="12" width="13.54296875" style="292" bestFit="1" customWidth="1"/>
    <col min="13" max="13" width="2.7265625" style="292" customWidth="1"/>
    <col min="14" max="14" width="3.1796875" style="292" hidden="1" customWidth="1"/>
    <col min="15" max="15" width="9.81640625" style="292" customWidth="1"/>
    <col min="16" max="16" width="12.1796875" style="292" customWidth="1"/>
    <col min="17" max="17" width="2.453125" style="292" customWidth="1"/>
    <col min="18" max="18" width="8.1796875" style="292" customWidth="1"/>
    <col min="19" max="19" width="5.453125" style="292" hidden="1" customWidth="1"/>
    <col min="20" max="20" width="6.7265625" style="292" customWidth="1"/>
    <col min="21" max="21" width="12.453125" style="292" customWidth="1"/>
    <col min="22" max="22" width="2.26953125" style="292" customWidth="1"/>
    <col min="23" max="23" width="8.453125" style="292" customWidth="1"/>
    <col min="24" max="24" width="8" style="292" customWidth="1"/>
    <col min="25" max="25" width="5.1796875" style="292" customWidth="1"/>
    <col min="26" max="26" width="8.453125" style="292" hidden="1" customWidth="1"/>
    <col min="27" max="27" width="11.26953125" style="292" customWidth="1"/>
    <col min="28" max="28" width="13" style="292" customWidth="1"/>
    <col min="29" max="29" width="1.81640625" style="292" customWidth="1"/>
    <col min="30" max="30" width="11.1796875" style="292" customWidth="1"/>
    <col min="31" max="31" width="12.7265625" style="292" customWidth="1"/>
    <col min="32" max="32" width="2.453125" style="292" customWidth="1"/>
    <col min="33" max="33" width="9.54296875" style="292" customWidth="1"/>
    <col min="34" max="34" width="5.453125" style="292" hidden="1" customWidth="1"/>
    <col min="35" max="35" width="8.453125" style="292" hidden="1" customWidth="1"/>
    <col min="36" max="36" width="5.453125" style="292" hidden="1" customWidth="1"/>
    <col min="37" max="37" width="8.453125" style="292" hidden="1" customWidth="1"/>
    <col min="38" max="38" width="11.7265625" style="292" customWidth="1"/>
    <col min="39" max="39" width="2.7265625" style="292" customWidth="1"/>
    <col min="40" max="40" width="17.81640625" style="292" customWidth="1"/>
    <col min="41" max="41" width="7.1796875" style="292" customWidth="1"/>
    <col min="42" max="16384" width="8.81640625" style="292"/>
  </cols>
  <sheetData>
    <row r="1" spans="1:41" ht="13.5" thickBot="1" x14ac:dyDescent="0.3">
      <c r="A1" s="1037"/>
      <c r="B1" s="953"/>
      <c r="C1" s="953"/>
      <c r="D1" s="960"/>
      <c r="E1" s="960"/>
      <c r="F1" s="960"/>
      <c r="G1" s="960"/>
      <c r="H1" s="960"/>
      <c r="I1" s="960"/>
      <c r="J1" s="960"/>
      <c r="K1" s="960"/>
      <c r="L1" s="953"/>
      <c r="M1" s="953"/>
      <c r="N1" s="953"/>
      <c r="O1" s="953"/>
      <c r="P1" s="953"/>
      <c r="Q1" s="953"/>
      <c r="R1" s="953"/>
      <c r="S1" s="953"/>
      <c r="T1" s="953"/>
      <c r="U1" s="953"/>
      <c r="V1" s="953"/>
      <c r="W1" s="953"/>
      <c r="X1" s="953"/>
      <c r="Y1" s="953"/>
      <c r="Z1" s="953"/>
      <c r="AA1" s="953"/>
      <c r="AB1" s="953"/>
      <c r="AC1" s="953"/>
      <c r="AD1" s="953"/>
      <c r="AE1" s="953"/>
      <c r="AF1" s="953"/>
      <c r="AG1" s="953"/>
      <c r="AH1" s="953"/>
      <c r="AI1" s="953"/>
      <c r="AJ1" s="953"/>
      <c r="AK1" s="953"/>
      <c r="AL1" s="953"/>
      <c r="AM1" s="953"/>
      <c r="AN1" s="953"/>
      <c r="AO1" s="1041"/>
    </row>
    <row r="2" spans="1:41" ht="36" customHeight="1" thickBot="1" x14ac:dyDescent="0.3">
      <c r="A2" s="959"/>
      <c r="B2" s="960"/>
      <c r="C2" s="947" t="str">
        <f>General!D4</f>
        <v>Name</v>
      </c>
      <c r="D2" s="960"/>
      <c r="E2" s="1732" t="s">
        <v>638</v>
      </c>
      <c r="F2" s="1733"/>
      <c r="G2" s="1733"/>
      <c r="H2" s="1733"/>
      <c r="I2" s="1733"/>
      <c r="J2" s="1733"/>
      <c r="K2" s="1733"/>
      <c r="L2" s="1734"/>
      <c r="M2" s="960"/>
      <c r="N2" s="960"/>
      <c r="O2" s="960"/>
      <c r="P2" s="960"/>
      <c r="Q2" s="960"/>
      <c r="R2" s="960"/>
      <c r="S2" s="960"/>
      <c r="T2" s="960"/>
      <c r="U2" s="960"/>
      <c r="V2" s="960"/>
      <c r="W2" s="960"/>
      <c r="X2" s="960"/>
      <c r="Y2" s="960"/>
      <c r="Z2" s="960"/>
      <c r="AA2" s="960"/>
      <c r="AB2" s="960"/>
      <c r="AC2" s="960"/>
      <c r="AD2" s="960"/>
      <c r="AE2" s="1182"/>
      <c r="AF2" s="960"/>
      <c r="AG2" s="960"/>
      <c r="AH2" s="960"/>
      <c r="AI2" s="960"/>
      <c r="AJ2" s="960"/>
      <c r="AK2" s="960"/>
      <c r="AL2" s="960"/>
      <c r="AM2" s="960"/>
      <c r="AN2" s="960"/>
      <c r="AO2" s="967"/>
    </row>
    <row r="3" spans="1:41" ht="18" customHeight="1" x14ac:dyDescent="0.25">
      <c r="A3" s="959"/>
      <c r="B3" s="1040"/>
      <c r="C3" s="1058"/>
      <c r="D3" s="1059"/>
      <c r="E3" s="1059"/>
      <c r="F3" s="1059"/>
      <c r="G3" s="1059"/>
      <c r="H3" s="1059"/>
      <c r="I3" s="960"/>
      <c r="J3" s="960"/>
      <c r="K3" s="960"/>
      <c r="L3" s="960"/>
      <c r="M3" s="960"/>
      <c r="N3" s="960"/>
      <c r="O3" s="960"/>
      <c r="P3" s="960"/>
      <c r="Q3" s="960"/>
      <c r="R3" s="960"/>
      <c r="S3" s="960"/>
      <c r="T3" s="960"/>
      <c r="U3" s="960"/>
      <c r="V3" s="960"/>
      <c r="W3" s="960"/>
      <c r="X3" s="960"/>
      <c r="Y3" s="960"/>
      <c r="Z3" s="960"/>
      <c r="AA3" s="960"/>
      <c r="AB3" s="960"/>
      <c r="AC3" s="960"/>
      <c r="AD3" s="960"/>
      <c r="AE3" s="1182"/>
      <c r="AF3" s="960"/>
      <c r="AG3" s="960"/>
      <c r="AH3" s="960"/>
      <c r="AI3" s="960"/>
      <c r="AJ3" s="960"/>
      <c r="AK3" s="960"/>
      <c r="AL3" s="960"/>
      <c r="AM3" s="960"/>
      <c r="AN3" s="960"/>
      <c r="AO3" s="967"/>
    </row>
    <row r="4" spans="1:41" ht="42" customHeight="1" x14ac:dyDescent="0.25">
      <c r="A4" s="959"/>
      <c r="B4" s="1736" t="s">
        <v>292</v>
      </c>
      <c r="C4" s="1722" t="s">
        <v>639</v>
      </c>
      <c r="D4" s="1722"/>
      <c r="E4" s="1722"/>
      <c r="F4" s="1722"/>
      <c r="G4" s="1722"/>
      <c r="H4" s="1722"/>
      <c r="I4" s="1722"/>
      <c r="J4" s="1722"/>
      <c r="K4" s="1722"/>
      <c r="L4" s="1722"/>
      <c r="M4" s="1722"/>
      <c r="N4" s="1722"/>
      <c r="O4" s="1722"/>
      <c r="P4" s="1722"/>
      <c r="Q4" s="960"/>
      <c r="R4" s="960"/>
      <c r="S4" s="960"/>
      <c r="T4" s="960"/>
      <c r="U4" s="960"/>
      <c r="V4" s="960"/>
      <c r="W4" s="960"/>
      <c r="X4" s="960"/>
      <c r="Y4" s="960"/>
      <c r="Z4" s="960"/>
      <c r="AA4" s="960"/>
      <c r="AB4" s="960"/>
      <c r="AC4" s="960"/>
      <c r="AD4" s="960"/>
      <c r="AE4" s="1182"/>
      <c r="AF4" s="960"/>
      <c r="AG4" s="960"/>
      <c r="AH4" s="960"/>
      <c r="AI4" s="960"/>
      <c r="AJ4" s="960"/>
      <c r="AK4" s="960"/>
      <c r="AL4" s="960"/>
      <c r="AM4" s="960"/>
      <c r="AN4" s="960"/>
      <c r="AO4" s="967"/>
    </row>
    <row r="5" spans="1:41" ht="36" customHeight="1" x14ac:dyDescent="0.25">
      <c r="A5" s="959"/>
      <c r="B5" s="1736"/>
      <c r="C5" s="1722" t="s">
        <v>640</v>
      </c>
      <c r="D5" s="1722"/>
      <c r="E5" s="1722"/>
      <c r="F5" s="1722"/>
      <c r="G5" s="1722"/>
      <c r="H5" s="1722"/>
      <c r="I5" s="1722"/>
      <c r="J5" s="1722"/>
      <c r="K5" s="1722"/>
      <c r="L5" s="1722"/>
      <c r="M5" s="1722"/>
      <c r="N5" s="1722"/>
      <c r="O5" s="1722"/>
      <c r="P5" s="1722"/>
      <c r="Q5" s="960"/>
      <c r="R5" s="960"/>
      <c r="S5" s="960"/>
      <c r="T5" s="960"/>
      <c r="U5" s="960"/>
      <c r="V5" s="960"/>
      <c r="W5" s="960"/>
      <c r="X5" s="960"/>
      <c r="Y5" s="960"/>
      <c r="Z5" s="960"/>
      <c r="AA5" s="960"/>
      <c r="AB5" s="960"/>
      <c r="AC5" s="960"/>
      <c r="AD5" s="960"/>
      <c r="AE5" s="1182"/>
      <c r="AF5" s="960"/>
      <c r="AG5" s="960"/>
      <c r="AH5" s="960"/>
      <c r="AI5" s="960"/>
      <c r="AJ5" s="960"/>
      <c r="AK5" s="960"/>
      <c r="AL5" s="960"/>
      <c r="AM5" s="960"/>
      <c r="AN5" s="960"/>
      <c r="AO5" s="967"/>
    </row>
    <row r="6" spans="1:41" ht="36" customHeight="1" x14ac:dyDescent="0.25">
      <c r="A6" s="959"/>
      <c r="B6" s="1736"/>
      <c r="C6" s="1722" t="s">
        <v>641</v>
      </c>
      <c r="D6" s="1722"/>
      <c r="E6" s="1722"/>
      <c r="F6" s="1722"/>
      <c r="G6" s="1722"/>
      <c r="H6" s="1722"/>
      <c r="I6" s="1722"/>
      <c r="J6" s="1722"/>
      <c r="K6" s="1722"/>
      <c r="L6" s="1722"/>
      <c r="M6" s="1722"/>
      <c r="N6" s="1722"/>
      <c r="O6" s="1722"/>
      <c r="P6" s="1722"/>
      <c r="Q6" s="960"/>
      <c r="R6" s="960"/>
      <c r="S6" s="960"/>
      <c r="T6" s="960"/>
      <c r="U6" s="960"/>
      <c r="V6" s="960"/>
      <c r="W6" s="960"/>
      <c r="X6" s="960"/>
      <c r="Y6" s="960"/>
      <c r="Z6" s="960"/>
      <c r="AA6" s="960"/>
      <c r="AB6" s="960"/>
      <c r="AC6" s="960"/>
      <c r="AD6" s="960"/>
      <c r="AE6" s="1182"/>
      <c r="AF6" s="960"/>
      <c r="AG6" s="960"/>
      <c r="AH6" s="960"/>
      <c r="AI6" s="960"/>
      <c r="AJ6" s="960"/>
      <c r="AK6" s="960"/>
      <c r="AL6" s="960"/>
      <c r="AM6" s="960"/>
      <c r="AN6" s="960"/>
      <c r="AO6" s="967"/>
    </row>
    <row r="7" spans="1:41" ht="19.5" customHeight="1" x14ac:dyDescent="0.25">
      <c r="A7" s="959"/>
      <c r="B7" s="1736"/>
      <c r="C7" s="1722" t="s">
        <v>642</v>
      </c>
      <c r="D7" s="1722"/>
      <c r="E7" s="1722"/>
      <c r="F7" s="1722"/>
      <c r="G7" s="1722"/>
      <c r="H7" s="1722"/>
      <c r="I7" s="1722"/>
      <c r="J7" s="1722"/>
      <c r="K7" s="1722"/>
      <c r="L7" s="1722"/>
      <c r="M7" s="1722"/>
      <c r="N7" s="1722"/>
      <c r="O7" s="1722"/>
      <c r="P7" s="1722"/>
      <c r="Q7" s="960"/>
      <c r="R7" s="960"/>
      <c r="S7" s="960"/>
      <c r="T7" s="960"/>
      <c r="U7" s="960"/>
      <c r="V7" s="960"/>
      <c r="W7" s="960"/>
      <c r="X7" s="960"/>
      <c r="Y7" s="960"/>
      <c r="Z7" s="960"/>
      <c r="AA7" s="960"/>
      <c r="AB7" s="960"/>
      <c r="AC7" s="960"/>
      <c r="AD7" s="960"/>
      <c r="AE7" s="1182"/>
      <c r="AF7" s="960"/>
      <c r="AG7" s="960"/>
      <c r="AH7" s="960"/>
      <c r="AI7" s="960"/>
      <c r="AJ7" s="960"/>
      <c r="AK7" s="960"/>
      <c r="AL7" s="960"/>
      <c r="AM7" s="960"/>
      <c r="AN7" s="960"/>
      <c r="AO7" s="967"/>
    </row>
    <row r="8" spans="1:41" ht="48" customHeight="1" x14ac:dyDescent="0.25">
      <c r="A8" s="959"/>
      <c r="B8" s="1736"/>
      <c r="C8" s="1722" t="s">
        <v>643</v>
      </c>
      <c r="D8" s="1722"/>
      <c r="E8" s="1722"/>
      <c r="F8" s="1722"/>
      <c r="G8" s="1722"/>
      <c r="H8" s="1722"/>
      <c r="I8" s="1722"/>
      <c r="J8" s="1722"/>
      <c r="K8" s="1722"/>
      <c r="L8" s="1722"/>
      <c r="M8" s="1722"/>
      <c r="N8" s="1722"/>
      <c r="O8" s="1722"/>
      <c r="P8" s="1722"/>
      <c r="Q8" s="960"/>
      <c r="R8" s="960"/>
      <c r="S8" s="960"/>
      <c r="T8" s="960"/>
      <c r="U8" s="960"/>
      <c r="V8" s="960"/>
      <c r="W8" s="960"/>
      <c r="X8" s="960"/>
      <c r="Y8" s="960"/>
      <c r="Z8" s="960"/>
      <c r="AA8" s="960"/>
      <c r="AB8" s="960"/>
      <c r="AC8" s="960"/>
      <c r="AD8" s="960"/>
      <c r="AE8" s="1182"/>
      <c r="AF8" s="960"/>
      <c r="AG8" s="960"/>
      <c r="AH8" s="960"/>
      <c r="AI8" s="960"/>
      <c r="AJ8" s="960"/>
      <c r="AK8" s="960"/>
      <c r="AL8" s="960"/>
      <c r="AM8" s="960"/>
      <c r="AN8" s="960"/>
      <c r="AO8" s="967"/>
    </row>
    <row r="9" spans="1:41" ht="21.65" customHeight="1" x14ac:dyDescent="0.25">
      <c r="A9" s="959"/>
      <c r="B9" s="1736"/>
      <c r="C9" s="1722" t="s">
        <v>644</v>
      </c>
      <c r="D9" s="1722"/>
      <c r="E9" s="1722"/>
      <c r="F9" s="1722"/>
      <c r="G9" s="1722"/>
      <c r="H9" s="1722"/>
      <c r="I9" s="1722"/>
      <c r="J9" s="1722"/>
      <c r="K9" s="1722"/>
      <c r="L9" s="1722"/>
      <c r="M9" s="1722"/>
      <c r="N9" s="1722"/>
      <c r="O9" s="1722"/>
      <c r="P9" s="1722"/>
      <c r="Q9" s="960"/>
      <c r="R9" s="960"/>
      <c r="S9" s="960"/>
      <c r="T9" s="960"/>
      <c r="U9" s="960"/>
      <c r="V9" s="960"/>
      <c r="W9" s="960"/>
      <c r="X9" s="960"/>
      <c r="Y9" s="960"/>
      <c r="Z9" s="960"/>
      <c r="AA9" s="960"/>
      <c r="AB9" s="960"/>
      <c r="AC9" s="960"/>
      <c r="AD9" s="960"/>
      <c r="AE9" s="1182"/>
      <c r="AF9" s="960"/>
      <c r="AG9" s="960"/>
      <c r="AH9" s="960"/>
      <c r="AI9" s="960"/>
      <c r="AJ9" s="960"/>
      <c r="AK9" s="960"/>
      <c r="AL9" s="960"/>
      <c r="AM9" s="960"/>
      <c r="AN9" s="960"/>
      <c r="AO9" s="967"/>
    </row>
    <row r="10" spans="1:41" ht="20.149999999999999" customHeight="1" x14ac:dyDescent="0.25">
      <c r="A10" s="959"/>
      <c r="B10" s="1736"/>
      <c r="C10" s="1722" t="s">
        <v>645</v>
      </c>
      <c r="D10" s="1722"/>
      <c r="E10" s="1722"/>
      <c r="F10" s="1722"/>
      <c r="G10" s="1722"/>
      <c r="H10" s="1722"/>
      <c r="I10" s="1722"/>
      <c r="J10" s="1722"/>
      <c r="K10" s="1722"/>
      <c r="L10" s="1722"/>
      <c r="M10" s="1722"/>
      <c r="N10" s="1722"/>
      <c r="O10" s="1722"/>
      <c r="P10" s="1722"/>
      <c r="Q10" s="960"/>
      <c r="R10" s="960"/>
      <c r="S10" s="960"/>
      <c r="T10" s="960"/>
      <c r="U10" s="960"/>
      <c r="V10" s="960"/>
      <c r="W10" s="960"/>
      <c r="X10" s="960"/>
      <c r="Y10" s="960"/>
      <c r="Z10" s="960"/>
      <c r="AA10" s="960"/>
      <c r="AB10" s="960"/>
      <c r="AC10" s="960"/>
      <c r="AD10" s="960"/>
      <c r="AE10" s="1182"/>
      <c r="AF10" s="960"/>
      <c r="AG10" s="960"/>
      <c r="AH10" s="960"/>
      <c r="AI10" s="960"/>
      <c r="AJ10" s="960"/>
      <c r="AK10" s="960"/>
      <c r="AL10" s="960"/>
      <c r="AM10" s="960"/>
      <c r="AN10" s="960"/>
      <c r="AO10" s="967"/>
    </row>
    <row r="11" spans="1:41" ht="22.5" customHeight="1" x14ac:dyDescent="0.25">
      <c r="A11" s="959"/>
      <c r="B11" s="1736"/>
      <c r="C11" s="1722" t="s">
        <v>646</v>
      </c>
      <c r="D11" s="1722"/>
      <c r="E11" s="1722"/>
      <c r="F11" s="1722"/>
      <c r="G11" s="1722"/>
      <c r="H11" s="1722"/>
      <c r="I11" s="1722"/>
      <c r="J11" s="1722"/>
      <c r="K11" s="1722"/>
      <c r="L11" s="1722"/>
      <c r="M11" s="1722"/>
      <c r="N11" s="1722"/>
      <c r="O11" s="1722"/>
      <c r="P11" s="1722"/>
      <c r="Q11" s="960"/>
      <c r="R11" s="960"/>
      <c r="S11" s="960"/>
      <c r="T11" s="960"/>
      <c r="U11" s="960"/>
      <c r="V11" s="960"/>
      <c r="W11" s="960"/>
      <c r="X11" s="960"/>
      <c r="Y11" s="960"/>
      <c r="Z11" s="960"/>
      <c r="AA11" s="960"/>
      <c r="AB11" s="960"/>
      <c r="AC11" s="960"/>
      <c r="AD11" s="960"/>
      <c r="AE11" s="1182"/>
      <c r="AF11" s="960"/>
      <c r="AG11" s="960"/>
      <c r="AH11" s="960"/>
      <c r="AI11" s="960"/>
      <c r="AJ11" s="960"/>
      <c r="AK11" s="960"/>
      <c r="AL11" s="960"/>
      <c r="AM11" s="960"/>
      <c r="AN11" s="960"/>
      <c r="AO11" s="967"/>
    </row>
    <row r="12" spans="1:41" ht="22.5" customHeight="1" x14ac:dyDescent="0.25">
      <c r="A12" s="959"/>
      <c r="B12" s="697" t="s">
        <v>294</v>
      </c>
      <c r="C12" s="1722" t="s">
        <v>647</v>
      </c>
      <c r="D12" s="1722"/>
      <c r="E12" s="1722"/>
      <c r="F12" s="1722"/>
      <c r="G12" s="1722"/>
      <c r="H12" s="1722"/>
      <c r="I12" s="1722"/>
      <c r="J12" s="1722"/>
      <c r="K12" s="1722"/>
      <c r="L12" s="1722"/>
      <c r="M12" s="1722"/>
      <c r="N12" s="1722"/>
      <c r="O12" s="1722"/>
      <c r="P12" s="1722"/>
      <c r="Q12" s="1044"/>
      <c r="R12" s="960"/>
      <c r="S12" s="960"/>
      <c r="T12" s="960"/>
      <c r="U12" s="960"/>
      <c r="V12" s="960"/>
      <c r="W12" s="960"/>
      <c r="X12" s="960"/>
      <c r="Y12" s="960"/>
      <c r="Z12" s="960"/>
      <c r="AA12" s="960"/>
      <c r="AB12" s="960"/>
      <c r="AC12" s="960"/>
      <c r="AD12" s="960"/>
      <c r="AE12" s="1182"/>
      <c r="AF12" s="960"/>
      <c r="AG12" s="960"/>
      <c r="AH12" s="960"/>
      <c r="AI12" s="960"/>
      <c r="AJ12" s="960"/>
      <c r="AK12" s="960"/>
      <c r="AL12" s="960"/>
      <c r="AM12" s="960"/>
      <c r="AN12" s="960"/>
      <c r="AO12" s="967"/>
    </row>
    <row r="13" spans="1:41" ht="22.5" customHeight="1" x14ac:dyDescent="0.25">
      <c r="A13" s="959"/>
      <c r="B13" s="697" t="s">
        <v>296</v>
      </c>
      <c r="C13" s="1722" t="s">
        <v>648</v>
      </c>
      <c r="D13" s="1722"/>
      <c r="E13" s="1722"/>
      <c r="F13" s="1722"/>
      <c r="G13" s="1722"/>
      <c r="H13" s="1722"/>
      <c r="I13" s="1722"/>
      <c r="J13" s="1722"/>
      <c r="K13" s="1722"/>
      <c r="L13" s="1722"/>
      <c r="M13" s="1722"/>
      <c r="N13" s="1722"/>
      <c r="O13" s="1722"/>
      <c r="P13" s="1722"/>
      <c r="Q13" s="1044"/>
      <c r="R13" s="960"/>
      <c r="S13" s="960"/>
      <c r="T13" s="960"/>
      <c r="U13" s="960"/>
      <c r="V13" s="960"/>
      <c r="W13" s="960"/>
      <c r="X13" s="960"/>
      <c r="Y13" s="960"/>
      <c r="Z13" s="960"/>
      <c r="AA13" s="960"/>
      <c r="AB13" s="960"/>
      <c r="AC13" s="960"/>
      <c r="AD13" s="960"/>
      <c r="AE13" s="1182"/>
      <c r="AF13" s="960"/>
      <c r="AG13" s="960"/>
      <c r="AH13" s="960"/>
      <c r="AI13" s="960"/>
      <c r="AJ13" s="960"/>
      <c r="AK13" s="960"/>
      <c r="AL13" s="960"/>
      <c r="AM13" s="960"/>
      <c r="AN13" s="960"/>
      <c r="AO13" s="967"/>
    </row>
    <row r="14" spans="1:41" s="522" customFormat="1" x14ac:dyDescent="0.25">
      <c r="A14" s="1038"/>
      <c r="B14" s="1042"/>
      <c r="C14" s="1042"/>
      <c r="D14" s="1042"/>
      <c r="E14" s="1042"/>
      <c r="F14" s="1042"/>
      <c r="G14" s="1042"/>
      <c r="H14" s="1042"/>
      <c r="I14" s="1042"/>
      <c r="J14" s="960"/>
      <c r="K14" s="960"/>
      <c r="L14" s="960"/>
      <c r="M14" s="1042"/>
      <c r="N14" s="960"/>
      <c r="O14" s="960"/>
      <c r="P14" s="960"/>
      <c r="Q14" s="1042"/>
      <c r="R14" s="960"/>
      <c r="S14" s="960"/>
      <c r="T14" s="960"/>
      <c r="U14" s="960"/>
      <c r="V14" s="1042"/>
      <c r="W14" s="960"/>
      <c r="X14" s="960"/>
      <c r="Y14" s="960"/>
      <c r="Z14" s="960"/>
      <c r="AA14" s="960"/>
      <c r="AB14" s="960"/>
      <c r="AC14" s="1042"/>
      <c r="AD14" s="960"/>
      <c r="AE14" s="1182"/>
      <c r="AF14" s="1042"/>
      <c r="AG14" s="960"/>
      <c r="AH14" s="960"/>
      <c r="AI14" s="960"/>
      <c r="AJ14" s="960"/>
      <c r="AK14" s="960"/>
      <c r="AL14" s="960"/>
      <c r="AM14" s="1042"/>
      <c r="AN14" s="1042"/>
      <c r="AO14" s="1043"/>
    </row>
    <row r="15" spans="1:41" s="594" customFormat="1" ht="55.5" customHeight="1" x14ac:dyDescent="0.25">
      <c r="A15" s="1039"/>
      <c r="B15" s="1739" t="s">
        <v>649</v>
      </c>
      <c r="C15" s="1739"/>
      <c r="D15" s="1739"/>
      <c r="E15" s="1739"/>
      <c r="F15" s="1739"/>
      <c r="G15" s="1739"/>
      <c r="H15" s="1739"/>
      <c r="I15" s="1045"/>
      <c r="J15" s="1723" t="s">
        <v>650</v>
      </c>
      <c r="K15" s="1723"/>
      <c r="L15" s="1723"/>
      <c r="M15" s="1045"/>
      <c r="N15" s="538"/>
      <c r="O15" s="1678" t="s">
        <v>651</v>
      </c>
      <c r="P15" s="1678"/>
      <c r="Q15" s="1045"/>
      <c r="R15" s="1724" t="s">
        <v>652</v>
      </c>
      <c r="S15" s="1724"/>
      <c r="T15" s="1724"/>
      <c r="U15" s="1724"/>
      <c r="V15" s="1045"/>
      <c r="W15" s="1269" t="s">
        <v>653</v>
      </c>
      <c r="X15" s="1269"/>
      <c r="Y15" s="1269"/>
      <c r="Z15" s="1269"/>
      <c r="AA15" s="1269"/>
      <c r="AB15" s="1269"/>
      <c r="AC15" s="1045"/>
      <c r="AD15" s="1727" t="s">
        <v>654</v>
      </c>
      <c r="AE15" s="1727"/>
      <c r="AF15" s="1045"/>
      <c r="AG15" s="1728" t="s">
        <v>655</v>
      </c>
      <c r="AH15" s="1728"/>
      <c r="AI15" s="1728"/>
      <c r="AJ15" s="1728"/>
      <c r="AK15" s="1728"/>
      <c r="AL15" s="1728"/>
      <c r="AM15" s="1045"/>
      <c r="AN15" s="1721" t="s">
        <v>656</v>
      </c>
      <c r="AO15" s="1057"/>
    </row>
    <row r="16" spans="1:41" s="522" customFormat="1" ht="105.65" customHeight="1" x14ac:dyDescent="0.25">
      <c r="A16" s="1038"/>
      <c r="B16" s="695" t="s">
        <v>657</v>
      </c>
      <c r="C16" s="696" t="s">
        <v>658</v>
      </c>
      <c r="D16" s="696" t="s">
        <v>659</v>
      </c>
      <c r="E16" s="696" t="s">
        <v>660</v>
      </c>
      <c r="F16" s="608" t="s">
        <v>661</v>
      </c>
      <c r="G16" s="608" t="s">
        <v>662</v>
      </c>
      <c r="H16" s="608" t="s">
        <v>663</v>
      </c>
      <c r="I16" s="1042"/>
      <c r="J16" s="1101" t="s">
        <v>664</v>
      </c>
      <c r="K16" s="1101" t="s">
        <v>665</v>
      </c>
      <c r="L16" s="1106" t="s">
        <v>666</v>
      </c>
      <c r="M16" s="1046"/>
      <c r="N16" s="591" t="s">
        <v>667</v>
      </c>
      <c r="O16" s="1102" t="s">
        <v>668</v>
      </c>
      <c r="P16" s="1105" t="s">
        <v>666</v>
      </c>
      <c r="Q16" s="1046"/>
      <c r="R16" s="1103" t="s">
        <v>669</v>
      </c>
      <c r="S16" s="608" t="s">
        <v>670</v>
      </c>
      <c r="T16" s="1103" t="s">
        <v>671</v>
      </c>
      <c r="U16" s="1104" t="s">
        <v>666</v>
      </c>
      <c r="V16" s="1046"/>
      <c r="W16" s="1107" t="s">
        <v>672</v>
      </c>
      <c r="X16" s="1108" t="s">
        <v>673</v>
      </c>
      <c r="Y16" s="1108" t="s">
        <v>674</v>
      </c>
      <c r="Z16" s="1109" t="s">
        <v>675</v>
      </c>
      <c r="AA16" s="1109" t="s">
        <v>676</v>
      </c>
      <c r="AB16" s="1110" t="s">
        <v>666</v>
      </c>
      <c r="AC16" s="1056"/>
      <c r="AD16" s="1111" t="s">
        <v>677</v>
      </c>
      <c r="AE16" s="693" t="s">
        <v>666</v>
      </c>
      <c r="AF16" s="1046"/>
      <c r="AG16" s="591" t="s">
        <v>678</v>
      </c>
      <c r="AH16" s="608" t="s">
        <v>679</v>
      </c>
      <c r="AI16" s="608" t="s">
        <v>680</v>
      </c>
      <c r="AJ16" s="608" t="s">
        <v>681</v>
      </c>
      <c r="AK16" s="608" t="s">
        <v>682</v>
      </c>
      <c r="AL16" s="695" t="s">
        <v>666</v>
      </c>
      <c r="AM16" s="1046"/>
      <c r="AN16" s="1721"/>
      <c r="AO16" s="1043"/>
    </row>
    <row r="17" spans="1:41" s="522" customFormat="1" ht="17.5" customHeight="1" x14ac:dyDescent="0.25">
      <c r="A17" s="1038"/>
      <c r="B17" s="575"/>
      <c r="C17" s="575"/>
      <c r="D17" s="575"/>
      <c r="E17" s="575"/>
      <c r="F17" s="598"/>
      <c r="G17" s="595"/>
      <c r="H17" s="595"/>
      <c r="I17" s="1042"/>
      <c r="J17" s="596">
        <v>0</v>
      </c>
      <c r="K17" s="596"/>
      <c r="L17" s="1128">
        <f>J17*F17*H17</f>
        <v>0</v>
      </c>
      <c r="M17" s="1048"/>
      <c r="N17" s="605">
        <f>IF((G17&gt;0),G17-1,0)</f>
        <v>0</v>
      </c>
      <c r="O17" s="687">
        <v>0</v>
      </c>
      <c r="P17" s="602">
        <f>O17*F17*N17*H17</f>
        <v>0</v>
      </c>
      <c r="Q17" s="1047"/>
      <c r="R17" s="687">
        <v>0</v>
      </c>
      <c r="S17" s="598">
        <f>G17</f>
        <v>0</v>
      </c>
      <c r="T17" s="599"/>
      <c r="U17" s="1127">
        <f>T17*R17*S17*H17</f>
        <v>0</v>
      </c>
      <c r="V17" s="1047"/>
      <c r="W17" s="688">
        <v>0</v>
      </c>
      <c r="X17" s="599"/>
      <c r="Y17" s="599"/>
      <c r="Z17" s="600">
        <f>X17*W17*Y17</f>
        <v>0</v>
      </c>
      <c r="AA17" s="689">
        <v>0</v>
      </c>
      <c r="AB17" s="1124">
        <f>(Z17+AA17)*H17</f>
        <v>0</v>
      </c>
      <c r="AC17" s="1048"/>
      <c r="AD17" s="689">
        <v>0</v>
      </c>
      <c r="AE17" s="1125">
        <f>AD17*H17</f>
        <v>0</v>
      </c>
      <c r="AF17" s="1054"/>
      <c r="AG17" s="689">
        <v>0</v>
      </c>
      <c r="AH17" s="605">
        <f>IF(G17&lt;=2,G17,G17-AJ17)</f>
        <v>0</v>
      </c>
      <c r="AI17" s="601">
        <f t="shared" ref="AI17:AI24" si="0">(+AG17*F17*AH17)*0.75</f>
        <v>0</v>
      </c>
      <c r="AJ17" s="597">
        <f>IF(G17&gt;2,G17-2,0)</f>
        <v>0</v>
      </c>
      <c r="AK17" s="601">
        <f t="shared" ref="AK17:AK24" si="1">+AG17*F17*AJ17</f>
        <v>0</v>
      </c>
      <c r="AL17" s="1126">
        <f>(AI17+AK17)*H17</f>
        <v>0</v>
      </c>
      <c r="AM17" s="1053"/>
      <c r="AN17" s="1100">
        <f t="shared" ref="AN17:AN24" si="2">AL17+AD17+AB17+U17+P17+L17</f>
        <v>0</v>
      </c>
      <c r="AO17" s="1043"/>
    </row>
    <row r="18" spans="1:41" s="522" customFormat="1" ht="17.5" customHeight="1" x14ac:dyDescent="0.25">
      <c r="A18" s="1038"/>
      <c r="B18" s="575"/>
      <c r="C18" s="575"/>
      <c r="D18" s="575"/>
      <c r="E18" s="575"/>
      <c r="F18" s="598"/>
      <c r="G18" s="595"/>
      <c r="H18" s="595"/>
      <c r="I18" s="1042"/>
      <c r="J18" s="596">
        <v>0</v>
      </c>
      <c r="K18" s="596"/>
      <c r="L18" s="1128">
        <f t="shared" ref="L18:L24" si="3">J18*F18*H18</f>
        <v>0</v>
      </c>
      <c r="M18" s="1048"/>
      <c r="N18" s="605">
        <f t="shared" ref="N18:N24" si="4">IF((G18&gt;0),G18-1,0)</f>
        <v>0</v>
      </c>
      <c r="O18" s="687">
        <v>0</v>
      </c>
      <c r="P18" s="602">
        <f t="shared" ref="P18:P24" si="5">O18*F18*N18*H18</f>
        <v>0</v>
      </c>
      <c r="Q18" s="1047"/>
      <c r="R18" s="687">
        <v>0</v>
      </c>
      <c r="S18" s="598">
        <f t="shared" ref="S18:S24" si="6">G18</f>
        <v>0</v>
      </c>
      <c r="T18" s="599"/>
      <c r="U18" s="1127">
        <f t="shared" ref="U18:U24" si="7">T18*R18*S18*H18</f>
        <v>0</v>
      </c>
      <c r="V18" s="1047"/>
      <c r="W18" s="688">
        <v>0</v>
      </c>
      <c r="X18" s="599"/>
      <c r="Y18" s="599"/>
      <c r="Z18" s="600">
        <f t="shared" ref="Z18:Z24" si="8">X18*W18*Y18</f>
        <v>0</v>
      </c>
      <c r="AA18" s="689">
        <v>0</v>
      </c>
      <c r="AB18" s="1124">
        <f t="shared" ref="AB18:AB24" si="9">(Z18+AA18)*H18</f>
        <v>0</v>
      </c>
      <c r="AC18" s="1048"/>
      <c r="AD18" s="689">
        <v>0</v>
      </c>
      <c r="AE18" s="1125">
        <f t="shared" ref="AE18:AE24" si="10">AD18*H18</f>
        <v>0</v>
      </c>
      <c r="AF18" s="1054"/>
      <c r="AG18" s="689">
        <v>0</v>
      </c>
      <c r="AH18" s="605">
        <f t="shared" ref="AH18:AH24" si="11">IF(G18&lt;=2,G18,G18-AJ18)</f>
        <v>0</v>
      </c>
      <c r="AI18" s="601">
        <f t="shared" si="0"/>
        <v>0</v>
      </c>
      <c r="AJ18" s="597">
        <f t="shared" ref="AJ18:AJ24" si="12">IF(G18&gt;2,G18-2,0)</f>
        <v>0</v>
      </c>
      <c r="AK18" s="601">
        <f t="shared" si="1"/>
        <v>0</v>
      </c>
      <c r="AL18" s="1126">
        <f t="shared" ref="AL18:AL24" si="13">(AI18+AK18)*H18</f>
        <v>0</v>
      </c>
      <c r="AM18" s="1053"/>
      <c r="AN18" s="1100">
        <f t="shared" si="2"/>
        <v>0</v>
      </c>
      <c r="AO18" s="1043"/>
    </row>
    <row r="19" spans="1:41" s="522" customFormat="1" ht="17.5" customHeight="1" x14ac:dyDescent="0.25">
      <c r="A19" s="1038"/>
      <c r="B19" s="575"/>
      <c r="C19" s="575"/>
      <c r="D19" s="575"/>
      <c r="E19" s="575"/>
      <c r="F19" s="692"/>
      <c r="G19" s="595"/>
      <c r="H19" s="595"/>
      <c r="I19" s="1042"/>
      <c r="J19" s="596">
        <v>0</v>
      </c>
      <c r="K19" s="596"/>
      <c r="L19" s="1128">
        <f>J19*F19*H19</f>
        <v>0</v>
      </c>
      <c r="M19" s="1048"/>
      <c r="N19" s="605">
        <f t="shared" si="4"/>
        <v>0</v>
      </c>
      <c r="O19" s="687">
        <v>0</v>
      </c>
      <c r="P19" s="602">
        <f>O19*F20*N19*H19</f>
        <v>0</v>
      </c>
      <c r="Q19" s="1047"/>
      <c r="R19" s="687">
        <v>0</v>
      </c>
      <c r="S19" s="598">
        <f t="shared" si="6"/>
        <v>0</v>
      </c>
      <c r="T19" s="599"/>
      <c r="U19" s="1127">
        <f t="shared" si="7"/>
        <v>0</v>
      </c>
      <c r="V19" s="1047"/>
      <c r="W19" s="688">
        <v>0</v>
      </c>
      <c r="X19" s="599"/>
      <c r="Y19" s="599"/>
      <c r="Z19" s="600">
        <f t="shared" si="8"/>
        <v>0</v>
      </c>
      <c r="AA19" s="689">
        <v>0</v>
      </c>
      <c r="AB19" s="1124">
        <f t="shared" si="9"/>
        <v>0</v>
      </c>
      <c r="AC19" s="1048"/>
      <c r="AD19" s="689">
        <v>0</v>
      </c>
      <c r="AE19" s="1125">
        <f t="shared" si="10"/>
        <v>0</v>
      </c>
      <c r="AF19" s="1054"/>
      <c r="AG19" s="689">
        <v>0</v>
      </c>
      <c r="AH19" s="605">
        <f t="shared" si="11"/>
        <v>0</v>
      </c>
      <c r="AI19" s="601">
        <f>(+AG19*F19*AH19)*0.75</f>
        <v>0</v>
      </c>
      <c r="AJ19" s="597">
        <f t="shared" si="12"/>
        <v>0</v>
      </c>
      <c r="AK19" s="601">
        <f>+AG19*F19*AJ19</f>
        <v>0</v>
      </c>
      <c r="AL19" s="1126">
        <f t="shared" si="13"/>
        <v>0</v>
      </c>
      <c r="AM19" s="1053"/>
      <c r="AN19" s="1100">
        <f t="shared" si="2"/>
        <v>0</v>
      </c>
      <c r="AO19" s="1043"/>
    </row>
    <row r="20" spans="1:41" s="522" customFormat="1" ht="17.5" customHeight="1" x14ac:dyDescent="0.25">
      <c r="A20" s="1038"/>
      <c r="B20" s="575"/>
      <c r="C20" s="575"/>
      <c r="D20" s="575"/>
      <c r="E20" s="575"/>
      <c r="F20" s="598"/>
      <c r="G20" s="595"/>
      <c r="H20" s="595"/>
      <c r="I20" s="1042"/>
      <c r="J20" s="596">
        <v>0</v>
      </c>
      <c r="K20" s="596"/>
      <c r="L20" s="1128">
        <f>J20*F20*H20</f>
        <v>0</v>
      </c>
      <c r="M20" s="1048"/>
      <c r="N20" s="605">
        <f t="shared" si="4"/>
        <v>0</v>
      </c>
      <c r="O20" s="687">
        <v>0</v>
      </c>
      <c r="P20" s="602">
        <f>O20*F21*N20*H20</f>
        <v>0</v>
      </c>
      <c r="Q20" s="1047"/>
      <c r="R20" s="687">
        <v>0</v>
      </c>
      <c r="S20" s="598">
        <f t="shared" si="6"/>
        <v>0</v>
      </c>
      <c r="T20" s="599"/>
      <c r="U20" s="1127">
        <f t="shared" si="7"/>
        <v>0</v>
      </c>
      <c r="V20" s="1047"/>
      <c r="W20" s="688">
        <v>0</v>
      </c>
      <c r="X20" s="599"/>
      <c r="Y20" s="599"/>
      <c r="Z20" s="600">
        <f t="shared" si="8"/>
        <v>0</v>
      </c>
      <c r="AA20" s="689">
        <v>0</v>
      </c>
      <c r="AB20" s="1124">
        <f t="shared" si="9"/>
        <v>0</v>
      </c>
      <c r="AC20" s="1048"/>
      <c r="AD20" s="689">
        <v>0</v>
      </c>
      <c r="AE20" s="1125">
        <f t="shared" si="10"/>
        <v>0</v>
      </c>
      <c r="AF20" s="1054"/>
      <c r="AG20" s="689">
        <v>0</v>
      </c>
      <c r="AH20" s="605">
        <f t="shared" si="11"/>
        <v>0</v>
      </c>
      <c r="AI20" s="601">
        <f>(+AG20*F20*AH20)*0.75</f>
        <v>0</v>
      </c>
      <c r="AJ20" s="597">
        <f t="shared" si="12"/>
        <v>0</v>
      </c>
      <c r="AK20" s="601">
        <f>+AG20*F20*AJ20</f>
        <v>0</v>
      </c>
      <c r="AL20" s="1126">
        <f t="shared" si="13"/>
        <v>0</v>
      </c>
      <c r="AM20" s="1053"/>
      <c r="AN20" s="1100">
        <f t="shared" si="2"/>
        <v>0</v>
      </c>
      <c r="AO20" s="1043"/>
    </row>
    <row r="21" spans="1:41" s="522" customFormat="1" ht="17.5" customHeight="1" x14ac:dyDescent="0.25">
      <c r="A21" s="1038"/>
      <c r="B21" s="575"/>
      <c r="C21" s="575"/>
      <c r="D21" s="575"/>
      <c r="E21" s="575"/>
      <c r="F21" s="598"/>
      <c r="G21" s="595"/>
      <c r="H21" s="595"/>
      <c r="I21" s="1042"/>
      <c r="J21" s="596">
        <v>0</v>
      </c>
      <c r="K21" s="596"/>
      <c r="L21" s="1128">
        <f t="shared" si="3"/>
        <v>0</v>
      </c>
      <c r="M21" s="1048"/>
      <c r="N21" s="605">
        <f t="shared" si="4"/>
        <v>0</v>
      </c>
      <c r="O21" s="687">
        <v>0</v>
      </c>
      <c r="P21" s="602">
        <f t="shared" si="5"/>
        <v>0</v>
      </c>
      <c r="Q21" s="1047"/>
      <c r="R21" s="687">
        <v>0</v>
      </c>
      <c r="S21" s="598">
        <f t="shared" si="6"/>
        <v>0</v>
      </c>
      <c r="T21" s="599"/>
      <c r="U21" s="1127">
        <f t="shared" si="7"/>
        <v>0</v>
      </c>
      <c r="V21" s="1047"/>
      <c r="W21" s="688">
        <v>0</v>
      </c>
      <c r="X21" s="599"/>
      <c r="Y21" s="599"/>
      <c r="Z21" s="600">
        <f t="shared" si="8"/>
        <v>0</v>
      </c>
      <c r="AA21" s="689">
        <v>0</v>
      </c>
      <c r="AB21" s="1124">
        <f t="shared" si="9"/>
        <v>0</v>
      </c>
      <c r="AC21" s="1048"/>
      <c r="AD21" s="689">
        <v>0</v>
      </c>
      <c r="AE21" s="1125">
        <f t="shared" si="10"/>
        <v>0</v>
      </c>
      <c r="AF21" s="1054"/>
      <c r="AG21" s="689">
        <v>0</v>
      </c>
      <c r="AH21" s="605">
        <f t="shared" si="11"/>
        <v>0</v>
      </c>
      <c r="AI21" s="601">
        <f t="shared" si="0"/>
        <v>0</v>
      </c>
      <c r="AJ21" s="597">
        <f t="shared" si="12"/>
        <v>0</v>
      </c>
      <c r="AK21" s="601">
        <f t="shared" si="1"/>
        <v>0</v>
      </c>
      <c r="AL21" s="1126">
        <f t="shared" si="13"/>
        <v>0</v>
      </c>
      <c r="AM21" s="1053"/>
      <c r="AN21" s="1100">
        <f t="shared" si="2"/>
        <v>0</v>
      </c>
      <c r="AO21" s="1043"/>
    </row>
    <row r="22" spans="1:41" s="522" customFormat="1" ht="17.5" customHeight="1" x14ac:dyDescent="0.25">
      <c r="A22" s="1038"/>
      <c r="B22" s="575"/>
      <c r="C22" s="575"/>
      <c r="D22" s="575"/>
      <c r="E22" s="575"/>
      <c r="F22" s="598"/>
      <c r="G22" s="595"/>
      <c r="H22" s="595"/>
      <c r="I22" s="1042"/>
      <c r="J22" s="596">
        <v>0</v>
      </c>
      <c r="K22" s="596"/>
      <c r="L22" s="1128">
        <f t="shared" si="3"/>
        <v>0</v>
      </c>
      <c r="M22" s="1048"/>
      <c r="N22" s="605">
        <f t="shared" si="4"/>
        <v>0</v>
      </c>
      <c r="O22" s="687">
        <v>0</v>
      </c>
      <c r="P22" s="602">
        <f t="shared" si="5"/>
        <v>0</v>
      </c>
      <c r="Q22" s="1047"/>
      <c r="R22" s="687">
        <v>0</v>
      </c>
      <c r="S22" s="598">
        <f t="shared" si="6"/>
        <v>0</v>
      </c>
      <c r="T22" s="599"/>
      <c r="U22" s="1127">
        <f t="shared" si="7"/>
        <v>0</v>
      </c>
      <c r="V22" s="1047"/>
      <c r="W22" s="688">
        <v>0</v>
      </c>
      <c r="X22" s="599"/>
      <c r="Y22" s="599"/>
      <c r="Z22" s="600">
        <f t="shared" si="8"/>
        <v>0</v>
      </c>
      <c r="AA22" s="689">
        <v>0</v>
      </c>
      <c r="AB22" s="1124">
        <f t="shared" si="9"/>
        <v>0</v>
      </c>
      <c r="AC22" s="1048"/>
      <c r="AD22" s="689">
        <v>0</v>
      </c>
      <c r="AE22" s="1125">
        <f t="shared" si="10"/>
        <v>0</v>
      </c>
      <c r="AF22" s="1054"/>
      <c r="AG22" s="689">
        <v>0</v>
      </c>
      <c r="AH22" s="605">
        <f t="shared" si="11"/>
        <v>0</v>
      </c>
      <c r="AI22" s="601">
        <f t="shared" si="0"/>
        <v>0</v>
      </c>
      <c r="AJ22" s="597">
        <f t="shared" si="12"/>
        <v>0</v>
      </c>
      <c r="AK22" s="601">
        <f t="shared" si="1"/>
        <v>0</v>
      </c>
      <c r="AL22" s="1126">
        <f t="shared" si="13"/>
        <v>0</v>
      </c>
      <c r="AM22" s="1053"/>
      <c r="AN22" s="1100">
        <f t="shared" si="2"/>
        <v>0</v>
      </c>
      <c r="AO22" s="1043"/>
    </row>
    <row r="23" spans="1:41" s="522" customFormat="1" ht="17.5" customHeight="1" x14ac:dyDescent="0.25">
      <c r="A23" s="1038"/>
      <c r="B23" s="575"/>
      <c r="C23" s="575"/>
      <c r="D23" s="575"/>
      <c r="E23" s="575"/>
      <c r="F23" s="598"/>
      <c r="G23" s="595"/>
      <c r="H23" s="595"/>
      <c r="I23" s="1042"/>
      <c r="J23" s="596">
        <v>0</v>
      </c>
      <c r="K23" s="596"/>
      <c r="L23" s="1128">
        <f t="shared" si="3"/>
        <v>0</v>
      </c>
      <c r="M23" s="1048"/>
      <c r="N23" s="605">
        <f t="shared" si="4"/>
        <v>0</v>
      </c>
      <c r="O23" s="687">
        <v>0</v>
      </c>
      <c r="P23" s="602">
        <f t="shared" si="5"/>
        <v>0</v>
      </c>
      <c r="Q23" s="1047"/>
      <c r="R23" s="687">
        <v>0</v>
      </c>
      <c r="S23" s="598">
        <f t="shared" si="6"/>
        <v>0</v>
      </c>
      <c r="T23" s="599"/>
      <c r="U23" s="1127">
        <f t="shared" si="7"/>
        <v>0</v>
      </c>
      <c r="V23" s="1047"/>
      <c r="W23" s="688">
        <v>0</v>
      </c>
      <c r="X23" s="599"/>
      <c r="Y23" s="599"/>
      <c r="Z23" s="600">
        <f t="shared" si="8"/>
        <v>0</v>
      </c>
      <c r="AA23" s="689">
        <v>0</v>
      </c>
      <c r="AB23" s="1124">
        <f t="shared" si="9"/>
        <v>0</v>
      </c>
      <c r="AC23" s="1048"/>
      <c r="AD23" s="689">
        <v>0</v>
      </c>
      <c r="AE23" s="1125">
        <f t="shared" si="10"/>
        <v>0</v>
      </c>
      <c r="AF23" s="1054"/>
      <c r="AG23" s="689">
        <v>0</v>
      </c>
      <c r="AH23" s="605">
        <f t="shared" si="11"/>
        <v>0</v>
      </c>
      <c r="AI23" s="601">
        <f t="shared" si="0"/>
        <v>0</v>
      </c>
      <c r="AJ23" s="597">
        <f t="shared" si="12"/>
        <v>0</v>
      </c>
      <c r="AK23" s="601">
        <f t="shared" si="1"/>
        <v>0</v>
      </c>
      <c r="AL23" s="1126">
        <f t="shared" si="13"/>
        <v>0</v>
      </c>
      <c r="AM23" s="1053"/>
      <c r="AN23" s="1100">
        <f t="shared" si="2"/>
        <v>0</v>
      </c>
      <c r="AO23" s="1043"/>
    </row>
    <row r="24" spans="1:41" s="522" customFormat="1" ht="17.5" customHeight="1" x14ac:dyDescent="0.25">
      <c r="A24" s="1038"/>
      <c r="B24" s="575"/>
      <c r="C24" s="575"/>
      <c r="D24" s="575"/>
      <c r="E24" s="575"/>
      <c r="F24" s="598"/>
      <c r="G24" s="595"/>
      <c r="H24" s="595"/>
      <c r="I24" s="1042"/>
      <c r="J24" s="596">
        <v>0</v>
      </c>
      <c r="K24" s="596"/>
      <c r="L24" s="1128">
        <f t="shared" si="3"/>
        <v>0</v>
      </c>
      <c r="M24" s="1048"/>
      <c r="N24" s="605">
        <f t="shared" si="4"/>
        <v>0</v>
      </c>
      <c r="O24" s="687">
        <v>0</v>
      </c>
      <c r="P24" s="602">
        <f t="shared" si="5"/>
        <v>0</v>
      </c>
      <c r="Q24" s="1047"/>
      <c r="R24" s="687">
        <v>0</v>
      </c>
      <c r="S24" s="598">
        <f t="shared" si="6"/>
        <v>0</v>
      </c>
      <c r="T24" s="599"/>
      <c r="U24" s="1127">
        <f t="shared" si="7"/>
        <v>0</v>
      </c>
      <c r="V24" s="1047"/>
      <c r="W24" s="688">
        <v>0</v>
      </c>
      <c r="X24" s="599"/>
      <c r="Y24" s="599"/>
      <c r="Z24" s="600">
        <f t="shared" si="8"/>
        <v>0</v>
      </c>
      <c r="AA24" s="689">
        <v>0</v>
      </c>
      <c r="AB24" s="1124">
        <f t="shared" si="9"/>
        <v>0</v>
      </c>
      <c r="AC24" s="1048"/>
      <c r="AD24" s="689">
        <v>0</v>
      </c>
      <c r="AE24" s="1125">
        <f t="shared" si="10"/>
        <v>0</v>
      </c>
      <c r="AF24" s="1054"/>
      <c r="AG24" s="689">
        <v>0</v>
      </c>
      <c r="AH24" s="1061">
        <f t="shared" si="11"/>
        <v>0</v>
      </c>
      <c r="AI24" s="601">
        <f t="shared" si="0"/>
        <v>0</v>
      </c>
      <c r="AJ24" s="597">
        <f t="shared" si="12"/>
        <v>0</v>
      </c>
      <c r="AK24" s="601">
        <f t="shared" si="1"/>
        <v>0</v>
      </c>
      <c r="AL24" s="1126">
        <f t="shared" si="13"/>
        <v>0</v>
      </c>
      <c r="AM24" s="1053"/>
      <c r="AN24" s="1100">
        <f t="shared" si="2"/>
        <v>0</v>
      </c>
      <c r="AO24" s="1043"/>
    </row>
    <row r="25" spans="1:41" s="592" customFormat="1" ht="29.5" customHeight="1" x14ac:dyDescent="0.25">
      <c r="A25" s="1038"/>
      <c r="B25" s="1726" t="s">
        <v>683</v>
      </c>
      <c r="C25" s="1726"/>
      <c r="D25" s="1726"/>
      <c r="E25" s="1726"/>
      <c r="F25" s="1726"/>
      <c r="G25" s="1726"/>
      <c r="H25" s="1726"/>
      <c r="I25" s="1205"/>
      <c r="J25" s="1042"/>
      <c r="K25" s="1042"/>
      <c r="L25" s="1115">
        <f>SUM(L17:L24)</f>
        <v>0</v>
      </c>
      <c r="M25" s="1206"/>
      <c r="O25" s="1205"/>
      <c r="P25" s="1114">
        <f>SUM(P17:P24)</f>
        <v>0</v>
      </c>
      <c r="Q25" s="1206"/>
      <c r="R25" s="1725"/>
      <c r="S25" s="1725"/>
      <c r="T25" s="1725"/>
      <c r="U25" s="1116">
        <f>SUM(U17:U24)</f>
        <v>0</v>
      </c>
      <c r="V25" s="1208"/>
      <c r="W25" s="1738"/>
      <c r="X25" s="1738"/>
      <c r="Y25" s="1738"/>
      <c r="Z25" s="1060">
        <f>SUM(Z17:Z24)</f>
        <v>0</v>
      </c>
      <c r="AA25" s="606">
        <f>SUM(AA17:AA24)</f>
        <v>0</v>
      </c>
      <c r="AB25" s="1117">
        <f>SUM(AB17:AB24)</f>
        <v>0</v>
      </c>
      <c r="AC25" s="1208"/>
      <c r="AD25" s="1205"/>
      <c r="AE25" s="1119">
        <f>SUM(AE17:AE24)</f>
        <v>0</v>
      </c>
      <c r="AF25" s="1206"/>
      <c r="AG25" s="1738"/>
      <c r="AH25" s="1738"/>
      <c r="AI25" s="1060">
        <f>SUM(AI17:AI24)</f>
        <v>0</v>
      </c>
      <c r="AJ25" s="604"/>
      <c r="AK25" s="593">
        <f>SUM(AK17:AK24)</f>
        <v>0</v>
      </c>
      <c r="AL25" s="1121">
        <f>SUM(AL17:AL24)</f>
        <v>0</v>
      </c>
      <c r="AM25" s="1047"/>
      <c r="AN25" s="1112">
        <f>SUM(AN17:AN24)</f>
        <v>0</v>
      </c>
      <c r="AO25" s="1043"/>
    </row>
    <row r="26" spans="1:41" s="522" customFormat="1" ht="14.5" customHeight="1" x14ac:dyDescent="0.25">
      <c r="A26" s="1038"/>
      <c r="B26" s="1725"/>
      <c r="C26" s="1725"/>
      <c r="D26" s="1725"/>
      <c r="E26" s="1725"/>
      <c r="F26" s="1725"/>
      <c r="G26" s="1725"/>
      <c r="H26" s="1725"/>
      <c r="I26" s="1725"/>
      <c r="J26" s="1725"/>
      <c r="K26" s="1725"/>
      <c r="L26" s="1725"/>
      <c r="M26" s="1725"/>
      <c r="N26" s="1725"/>
      <c r="O26" s="1725"/>
      <c r="P26" s="1725"/>
      <c r="Q26" s="1725"/>
      <c r="R26" s="1725"/>
      <c r="S26" s="1725"/>
      <c r="T26" s="1725"/>
      <c r="U26" s="1725"/>
      <c r="V26" s="1725"/>
      <c r="W26" s="1725"/>
      <c r="X26" s="1725"/>
      <c r="Y26" s="1725"/>
      <c r="Z26" s="1725"/>
      <c r="AA26" s="1725"/>
      <c r="AB26" s="1725"/>
      <c r="AC26" s="1725"/>
      <c r="AD26" s="1725"/>
      <c r="AE26" s="1725"/>
      <c r="AF26" s="1725"/>
      <c r="AG26" s="1725"/>
      <c r="AH26" s="1725"/>
      <c r="AI26" s="1725"/>
      <c r="AJ26" s="1725"/>
      <c r="AK26" s="1725"/>
      <c r="AL26" s="1725"/>
      <c r="AM26" s="1725"/>
      <c r="AN26" s="1725"/>
      <c r="AO26" s="1737"/>
    </row>
    <row r="27" spans="1:41" s="522" customFormat="1" ht="111.65" customHeight="1" x14ac:dyDescent="0.25">
      <c r="A27" s="1038"/>
      <c r="B27" s="695" t="s">
        <v>684</v>
      </c>
      <c r="C27" s="696" t="s">
        <v>658</v>
      </c>
      <c r="D27" s="696" t="s">
        <v>659</v>
      </c>
      <c r="E27" s="696" t="s">
        <v>660</v>
      </c>
      <c r="F27" s="608" t="s">
        <v>661</v>
      </c>
      <c r="G27" s="608" t="s">
        <v>662</v>
      </c>
      <c r="H27" s="608" t="s">
        <v>663</v>
      </c>
      <c r="I27" s="1042"/>
      <c r="J27" s="1101" t="s">
        <v>664</v>
      </c>
      <c r="K27" s="1101"/>
      <c r="L27" s="1106" t="s">
        <v>666</v>
      </c>
      <c r="M27" s="1052"/>
      <c r="N27" s="591" t="s">
        <v>667</v>
      </c>
      <c r="O27" s="1102" t="s">
        <v>668</v>
      </c>
      <c r="P27" s="1105" t="s">
        <v>666</v>
      </c>
      <c r="Q27" s="1052"/>
      <c r="R27" s="1103" t="s">
        <v>669</v>
      </c>
      <c r="S27" s="608" t="s">
        <v>670</v>
      </c>
      <c r="T27" s="1103" t="s">
        <v>671</v>
      </c>
      <c r="U27" s="1104" t="s">
        <v>666</v>
      </c>
      <c r="V27" s="1052"/>
      <c r="W27" s="1107" t="s">
        <v>672</v>
      </c>
      <c r="X27" s="1108" t="s">
        <v>685</v>
      </c>
      <c r="Y27" s="1108" t="s">
        <v>674</v>
      </c>
      <c r="Z27" s="1109" t="s">
        <v>675</v>
      </c>
      <c r="AA27" s="1109" t="s">
        <v>676</v>
      </c>
      <c r="AB27" s="1110" t="s">
        <v>666</v>
      </c>
      <c r="AC27" s="1052"/>
      <c r="AD27" s="1111" t="s">
        <v>677</v>
      </c>
      <c r="AE27" s="693" t="s">
        <v>666</v>
      </c>
      <c r="AF27" s="1052"/>
      <c r="AG27" s="591" t="s">
        <v>678</v>
      </c>
      <c r="AH27" s="608" t="s">
        <v>679</v>
      </c>
      <c r="AI27" s="608" t="s">
        <v>680</v>
      </c>
      <c r="AJ27" s="608" t="s">
        <v>681</v>
      </c>
      <c r="AK27" s="608" t="s">
        <v>682</v>
      </c>
      <c r="AL27" s="695" t="s">
        <v>666</v>
      </c>
      <c r="AM27" s="1052"/>
      <c r="AN27" s="1207" t="s">
        <v>686</v>
      </c>
      <c r="AO27" s="1043"/>
    </row>
    <row r="28" spans="1:41" s="522" customFormat="1" ht="17.5" customHeight="1" x14ac:dyDescent="0.25">
      <c r="A28" s="1038"/>
      <c r="B28" s="575"/>
      <c r="C28" s="575"/>
      <c r="D28" s="575"/>
      <c r="E28" s="575"/>
      <c r="F28" s="598"/>
      <c r="G28" s="595"/>
      <c r="H28" s="595"/>
      <c r="I28" s="1042"/>
      <c r="J28" s="596">
        <v>0</v>
      </c>
      <c r="K28" s="596"/>
      <c r="L28" s="1128">
        <f>J28*F28*H28</f>
        <v>0</v>
      </c>
      <c r="M28" s="1048"/>
      <c r="N28" s="597">
        <f t="shared" ref="N28:N35" si="14">IF((G28&gt;0),G28-1,0)</f>
        <v>0</v>
      </c>
      <c r="O28" s="687">
        <v>0</v>
      </c>
      <c r="P28" s="602">
        <f t="shared" ref="P28:P35" si="15">O28*F28*N28*H28</f>
        <v>0</v>
      </c>
      <c r="Q28" s="1048"/>
      <c r="R28" s="687">
        <v>0</v>
      </c>
      <c r="S28" s="598">
        <f t="shared" ref="S28:S35" si="16">G28</f>
        <v>0</v>
      </c>
      <c r="T28" s="599"/>
      <c r="U28" s="1127">
        <f t="shared" ref="U28:U35" si="17">T28*R28*S28*H28</f>
        <v>0</v>
      </c>
      <c r="V28" s="1047"/>
      <c r="W28" s="688">
        <v>0</v>
      </c>
      <c r="X28" s="599"/>
      <c r="Y28" s="599"/>
      <c r="Z28" s="600">
        <f t="shared" ref="Z28:Z35" si="18">X28*W28*Y28</f>
        <v>0</v>
      </c>
      <c r="AA28" s="689">
        <v>0</v>
      </c>
      <c r="AB28" s="1124">
        <f t="shared" ref="AB28:AB35" si="19">(Z28+AA28)*H28</f>
        <v>0</v>
      </c>
      <c r="AC28" s="1048"/>
      <c r="AD28" s="689">
        <v>0</v>
      </c>
      <c r="AE28" s="1125">
        <f t="shared" ref="AE28:AE35" si="20">AD28*H28</f>
        <v>0</v>
      </c>
      <c r="AF28" s="1054"/>
      <c r="AG28" s="689">
        <v>0</v>
      </c>
      <c r="AH28" s="605">
        <f t="shared" ref="AH28:AH35" si="21">IF(G28&lt;=2,G28,G28-AJ28)</f>
        <v>0</v>
      </c>
      <c r="AI28" s="601">
        <f t="shared" ref="AI28:AI35" si="22">(+AG28*F28*AH28)*0.75</f>
        <v>0</v>
      </c>
      <c r="AJ28" s="597">
        <f t="shared" ref="AJ28:AJ35" si="23">IF(G28&gt;2,G28-2,0)</f>
        <v>0</v>
      </c>
      <c r="AK28" s="601">
        <f t="shared" ref="AK28:AK35" si="24">+AG28*F28*AJ28</f>
        <v>0</v>
      </c>
      <c r="AL28" s="1126">
        <f t="shared" ref="AL28:AL35" si="25">(AI28+AK28)*H28</f>
        <v>0</v>
      </c>
      <c r="AM28" s="1053"/>
      <c r="AN28" s="1100">
        <f t="shared" ref="AN28:AN35" si="26">AL28+AD28+AB28+U28+P28+L28</f>
        <v>0</v>
      </c>
      <c r="AO28" s="1043"/>
    </row>
    <row r="29" spans="1:41" s="522" customFormat="1" ht="17.5" customHeight="1" x14ac:dyDescent="0.25">
      <c r="A29" s="1038"/>
      <c r="B29" s="575"/>
      <c r="C29" s="575"/>
      <c r="D29" s="575"/>
      <c r="E29" s="575"/>
      <c r="F29" s="598"/>
      <c r="G29" s="595"/>
      <c r="H29" s="595"/>
      <c r="I29" s="1042"/>
      <c r="J29" s="596">
        <v>0</v>
      </c>
      <c r="K29" s="596"/>
      <c r="L29" s="1128">
        <f t="shared" ref="L29:L34" si="27">J29*F29*H29</f>
        <v>0</v>
      </c>
      <c r="M29" s="1048"/>
      <c r="N29" s="597">
        <f t="shared" si="14"/>
        <v>0</v>
      </c>
      <c r="O29" s="687">
        <v>0</v>
      </c>
      <c r="P29" s="602">
        <f t="shared" si="15"/>
        <v>0</v>
      </c>
      <c r="Q29" s="1048"/>
      <c r="R29" s="687">
        <v>0</v>
      </c>
      <c r="S29" s="598">
        <f t="shared" si="16"/>
        <v>0</v>
      </c>
      <c r="T29" s="599"/>
      <c r="U29" s="1127">
        <f t="shared" si="17"/>
        <v>0</v>
      </c>
      <c r="V29" s="1047"/>
      <c r="W29" s="688">
        <v>0</v>
      </c>
      <c r="X29" s="599"/>
      <c r="Y29" s="599"/>
      <c r="Z29" s="600">
        <f t="shared" si="18"/>
        <v>0</v>
      </c>
      <c r="AA29" s="689">
        <v>0</v>
      </c>
      <c r="AB29" s="1124">
        <f t="shared" si="19"/>
        <v>0</v>
      </c>
      <c r="AC29" s="1048"/>
      <c r="AD29" s="689">
        <v>0</v>
      </c>
      <c r="AE29" s="1125">
        <f t="shared" si="20"/>
        <v>0</v>
      </c>
      <c r="AF29" s="1054"/>
      <c r="AG29" s="689">
        <v>0</v>
      </c>
      <c r="AH29" s="605">
        <f t="shared" si="21"/>
        <v>0</v>
      </c>
      <c r="AI29" s="601">
        <f t="shared" si="22"/>
        <v>0</v>
      </c>
      <c r="AJ29" s="597">
        <f t="shared" si="23"/>
        <v>0</v>
      </c>
      <c r="AK29" s="601">
        <f t="shared" si="24"/>
        <v>0</v>
      </c>
      <c r="AL29" s="1126">
        <f t="shared" si="25"/>
        <v>0</v>
      </c>
      <c r="AM29" s="1053"/>
      <c r="AN29" s="1100">
        <f t="shared" si="26"/>
        <v>0</v>
      </c>
      <c r="AO29" s="1043"/>
    </row>
    <row r="30" spans="1:41" s="522" customFormat="1" ht="17.5" customHeight="1" x14ac:dyDescent="0.25">
      <c r="A30" s="1038"/>
      <c r="B30" s="575"/>
      <c r="C30" s="575"/>
      <c r="D30" s="575"/>
      <c r="E30" s="575"/>
      <c r="F30" s="598"/>
      <c r="G30" s="595"/>
      <c r="H30" s="595"/>
      <c r="I30" s="1042"/>
      <c r="J30" s="596">
        <v>0</v>
      </c>
      <c r="K30" s="596"/>
      <c r="L30" s="1128">
        <f t="shared" si="27"/>
        <v>0</v>
      </c>
      <c r="M30" s="1048"/>
      <c r="N30" s="597">
        <f t="shared" si="14"/>
        <v>0</v>
      </c>
      <c r="O30" s="687">
        <v>0</v>
      </c>
      <c r="P30" s="602">
        <f t="shared" si="15"/>
        <v>0</v>
      </c>
      <c r="Q30" s="1048"/>
      <c r="R30" s="687">
        <v>0</v>
      </c>
      <c r="S30" s="598">
        <f t="shared" si="16"/>
        <v>0</v>
      </c>
      <c r="T30" s="599"/>
      <c r="U30" s="1127">
        <f t="shared" si="17"/>
        <v>0</v>
      </c>
      <c r="V30" s="1047"/>
      <c r="W30" s="688">
        <v>0</v>
      </c>
      <c r="X30" s="599"/>
      <c r="Y30" s="599"/>
      <c r="Z30" s="600">
        <f t="shared" si="18"/>
        <v>0</v>
      </c>
      <c r="AA30" s="689">
        <v>0</v>
      </c>
      <c r="AB30" s="1124">
        <f t="shared" si="19"/>
        <v>0</v>
      </c>
      <c r="AC30" s="1048"/>
      <c r="AD30" s="689">
        <v>0</v>
      </c>
      <c r="AE30" s="1125">
        <f t="shared" si="20"/>
        <v>0</v>
      </c>
      <c r="AF30" s="1054"/>
      <c r="AG30" s="689">
        <v>0</v>
      </c>
      <c r="AH30" s="605">
        <f t="shared" si="21"/>
        <v>0</v>
      </c>
      <c r="AI30" s="601">
        <f t="shared" si="22"/>
        <v>0</v>
      </c>
      <c r="AJ30" s="597">
        <f t="shared" si="23"/>
        <v>0</v>
      </c>
      <c r="AK30" s="601">
        <f t="shared" si="24"/>
        <v>0</v>
      </c>
      <c r="AL30" s="1126">
        <f t="shared" si="25"/>
        <v>0</v>
      </c>
      <c r="AM30" s="1053"/>
      <c r="AN30" s="1100">
        <f t="shared" si="26"/>
        <v>0</v>
      </c>
      <c r="AO30" s="1043"/>
    </row>
    <row r="31" spans="1:41" s="522" customFormat="1" ht="17.5" customHeight="1" x14ac:dyDescent="0.25">
      <c r="A31" s="1038"/>
      <c r="B31" s="575"/>
      <c r="C31" s="575"/>
      <c r="D31" s="575"/>
      <c r="E31" s="575"/>
      <c r="F31" s="598"/>
      <c r="G31" s="595"/>
      <c r="H31" s="595"/>
      <c r="I31" s="1042"/>
      <c r="J31" s="596">
        <v>0</v>
      </c>
      <c r="K31" s="596"/>
      <c r="L31" s="1128">
        <f t="shared" si="27"/>
        <v>0</v>
      </c>
      <c r="M31" s="1048"/>
      <c r="N31" s="597">
        <f t="shared" si="14"/>
        <v>0</v>
      </c>
      <c r="O31" s="687">
        <v>0</v>
      </c>
      <c r="P31" s="602">
        <f t="shared" si="15"/>
        <v>0</v>
      </c>
      <c r="Q31" s="1048"/>
      <c r="R31" s="687">
        <v>0</v>
      </c>
      <c r="S31" s="598">
        <f t="shared" si="16"/>
        <v>0</v>
      </c>
      <c r="T31" s="599"/>
      <c r="U31" s="1127">
        <f t="shared" si="17"/>
        <v>0</v>
      </c>
      <c r="V31" s="1047"/>
      <c r="W31" s="688">
        <v>0</v>
      </c>
      <c r="X31" s="599"/>
      <c r="Y31" s="599"/>
      <c r="Z31" s="600">
        <f t="shared" si="18"/>
        <v>0</v>
      </c>
      <c r="AA31" s="689">
        <v>0</v>
      </c>
      <c r="AB31" s="1124">
        <f t="shared" si="19"/>
        <v>0</v>
      </c>
      <c r="AC31" s="1048"/>
      <c r="AD31" s="689">
        <v>0</v>
      </c>
      <c r="AE31" s="1125">
        <f t="shared" si="20"/>
        <v>0</v>
      </c>
      <c r="AF31" s="1054"/>
      <c r="AG31" s="689">
        <v>0</v>
      </c>
      <c r="AH31" s="605">
        <f t="shared" si="21"/>
        <v>0</v>
      </c>
      <c r="AI31" s="601">
        <f t="shared" si="22"/>
        <v>0</v>
      </c>
      <c r="AJ31" s="597">
        <f t="shared" si="23"/>
        <v>0</v>
      </c>
      <c r="AK31" s="601">
        <f t="shared" si="24"/>
        <v>0</v>
      </c>
      <c r="AL31" s="1126">
        <f t="shared" si="25"/>
        <v>0</v>
      </c>
      <c r="AM31" s="1053"/>
      <c r="AN31" s="1100">
        <f t="shared" si="26"/>
        <v>0</v>
      </c>
      <c r="AO31" s="1043"/>
    </row>
    <row r="32" spans="1:41" s="522" customFormat="1" ht="17.5" customHeight="1" x14ac:dyDescent="0.25">
      <c r="A32" s="1038"/>
      <c r="B32" s="575"/>
      <c r="C32" s="575"/>
      <c r="D32" s="575"/>
      <c r="E32" s="575"/>
      <c r="F32" s="598"/>
      <c r="G32" s="595"/>
      <c r="H32" s="595"/>
      <c r="I32" s="1042"/>
      <c r="J32" s="596">
        <v>0</v>
      </c>
      <c r="K32" s="596"/>
      <c r="L32" s="1128">
        <f t="shared" si="27"/>
        <v>0</v>
      </c>
      <c r="M32" s="1048"/>
      <c r="N32" s="597">
        <f t="shared" si="14"/>
        <v>0</v>
      </c>
      <c r="O32" s="687">
        <v>0</v>
      </c>
      <c r="P32" s="602">
        <f t="shared" si="15"/>
        <v>0</v>
      </c>
      <c r="Q32" s="1048"/>
      <c r="R32" s="687">
        <v>0</v>
      </c>
      <c r="S32" s="598">
        <f t="shared" si="16"/>
        <v>0</v>
      </c>
      <c r="T32" s="599"/>
      <c r="U32" s="1127">
        <f t="shared" si="17"/>
        <v>0</v>
      </c>
      <c r="V32" s="1047"/>
      <c r="W32" s="688">
        <v>0</v>
      </c>
      <c r="X32" s="599"/>
      <c r="Y32" s="599"/>
      <c r="Z32" s="600">
        <f t="shared" si="18"/>
        <v>0</v>
      </c>
      <c r="AA32" s="689">
        <v>0</v>
      </c>
      <c r="AB32" s="1124">
        <f t="shared" si="19"/>
        <v>0</v>
      </c>
      <c r="AC32" s="1048"/>
      <c r="AD32" s="689">
        <v>0</v>
      </c>
      <c r="AE32" s="1125">
        <f t="shared" si="20"/>
        <v>0</v>
      </c>
      <c r="AF32" s="1054"/>
      <c r="AG32" s="689">
        <v>0</v>
      </c>
      <c r="AH32" s="605">
        <f t="shared" si="21"/>
        <v>0</v>
      </c>
      <c r="AI32" s="601">
        <f t="shared" si="22"/>
        <v>0</v>
      </c>
      <c r="AJ32" s="597">
        <f t="shared" si="23"/>
        <v>0</v>
      </c>
      <c r="AK32" s="601">
        <f t="shared" si="24"/>
        <v>0</v>
      </c>
      <c r="AL32" s="1126">
        <f t="shared" si="25"/>
        <v>0</v>
      </c>
      <c r="AM32" s="1053"/>
      <c r="AN32" s="1100">
        <f t="shared" si="26"/>
        <v>0</v>
      </c>
      <c r="AO32" s="1043"/>
    </row>
    <row r="33" spans="1:41" s="522" customFormat="1" ht="17.5" customHeight="1" x14ac:dyDescent="0.25">
      <c r="A33" s="1038"/>
      <c r="B33" s="575"/>
      <c r="C33" s="575"/>
      <c r="D33" s="575"/>
      <c r="E33" s="575"/>
      <c r="F33" s="598"/>
      <c r="G33" s="595"/>
      <c r="H33" s="595"/>
      <c r="I33" s="1042"/>
      <c r="J33" s="596">
        <v>0</v>
      </c>
      <c r="K33" s="596"/>
      <c r="L33" s="1128">
        <f t="shared" si="27"/>
        <v>0</v>
      </c>
      <c r="M33" s="1048"/>
      <c r="N33" s="597">
        <f t="shared" si="14"/>
        <v>0</v>
      </c>
      <c r="O33" s="687">
        <v>0</v>
      </c>
      <c r="P33" s="602">
        <f t="shared" si="15"/>
        <v>0</v>
      </c>
      <c r="Q33" s="1048"/>
      <c r="R33" s="687">
        <v>0</v>
      </c>
      <c r="S33" s="598">
        <f t="shared" si="16"/>
        <v>0</v>
      </c>
      <c r="T33" s="599"/>
      <c r="U33" s="1127">
        <f t="shared" si="17"/>
        <v>0</v>
      </c>
      <c r="V33" s="1047"/>
      <c r="W33" s="688">
        <v>0</v>
      </c>
      <c r="X33" s="599"/>
      <c r="Y33" s="599"/>
      <c r="Z33" s="600">
        <f t="shared" si="18"/>
        <v>0</v>
      </c>
      <c r="AA33" s="689">
        <v>0</v>
      </c>
      <c r="AB33" s="1124">
        <f t="shared" si="19"/>
        <v>0</v>
      </c>
      <c r="AC33" s="1048"/>
      <c r="AD33" s="689">
        <v>0</v>
      </c>
      <c r="AE33" s="1125">
        <f t="shared" si="20"/>
        <v>0</v>
      </c>
      <c r="AF33" s="1054"/>
      <c r="AG33" s="689">
        <v>0</v>
      </c>
      <c r="AH33" s="605">
        <f t="shared" si="21"/>
        <v>0</v>
      </c>
      <c r="AI33" s="601">
        <f t="shared" si="22"/>
        <v>0</v>
      </c>
      <c r="AJ33" s="597">
        <f t="shared" si="23"/>
        <v>0</v>
      </c>
      <c r="AK33" s="601">
        <f t="shared" si="24"/>
        <v>0</v>
      </c>
      <c r="AL33" s="1126">
        <f t="shared" si="25"/>
        <v>0</v>
      </c>
      <c r="AM33" s="1053"/>
      <c r="AN33" s="1100">
        <f t="shared" si="26"/>
        <v>0</v>
      </c>
      <c r="AO33" s="1043"/>
    </row>
    <row r="34" spans="1:41" s="522" customFormat="1" ht="17.5" customHeight="1" x14ac:dyDescent="0.25">
      <c r="A34" s="1038"/>
      <c r="B34" s="575"/>
      <c r="C34" s="575"/>
      <c r="D34" s="575"/>
      <c r="E34" s="575"/>
      <c r="F34" s="598"/>
      <c r="G34" s="595"/>
      <c r="H34" s="595"/>
      <c r="I34" s="1042"/>
      <c r="J34" s="596">
        <v>0</v>
      </c>
      <c r="K34" s="596"/>
      <c r="L34" s="1128">
        <f t="shared" si="27"/>
        <v>0</v>
      </c>
      <c r="M34" s="1048"/>
      <c r="N34" s="597">
        <f t="shared" si="14"/>
        <v>0</v>
      </c>
      <c r="O34" s="687">
        <v>0</v>
      </c>
      <c r="P34" s="602">
        <f t="shared" si="15"/>
        <v>0</v>
      </c>
      <c r="Q34" s="1048"/>
      <c r="R34" s="687">
        <v>0</v>
      </c>
      <c r="S34" s="598">
        <f t="shared" si="16"/>
        <v>0</v>
      </c>
      <c r="T34" s="599"/>
      <c r="U34" s="1127">
        <f t="shared" si="17"/>
        <v>0</v>
      </c>
      <c r="V34" s="1047"/>
      <c r="W34" s="688">
        <v>0</v>
      </c>
      <c r="X34" s="599"/>
      <c r="Y34" s="599"/>
      <c r="Z34" s="600">
        <f t="shared" si="18"/>
        <v>0</v>
      </c>
      <c r="AA34" s="689">
        <v>0</v>
      </c>
      <c r="AB34" s="1124">
        <f t="shared" si="19"/>
        <v>0</v>
      </c>
      <c r="AC34" s="1048"/>
      <c r="AD34" s="689">
        <v>0</v>
      </c>
      <c r="AE34" s="1125">
        <f t="shared" si="20"/>
        <v>0</v>
      </c>
      <c r="AF34" s="1054"/>
      <c r="AG34" s="689">
        <v>0</v>
      </c>
      <c r="AH34" s="605">
        <f t="shared" si="21"/>
        <v>0</v>
      </c>
      <c r="AI34" s="601">
        <f t="shared" si="22"/>
        <v>0</v>
      </c>
      <c r="AJ34" s="597">
        <f t="shared" si="23"/>
        <v>0</v>
      </c>
      <c r="AK34" s="601">
        <f t="shared" si="24"/>
        <v>0</v>
      </c>
      <c r="AL34" s="1126">
        <f t="shared" si="25"/>
        <v>0</v>
      </c>
      <c r="AM34" s="1053"/>
      <c r="AN34" s="1100">
        <f t="shared" si="26"/>
        <v>0</v>
      </c>
      <c r="AO34" s="1043"/>
    </row>
    <row r="35" spans="1:41" s="522" customFormat="1" ht="17.5" customHeight="1" x14ac:dyDescent="0.25">
      <c r="A35" s="1038"/>
      <c r="B35" s="575"/>
      <c r="C35" s="575"/>
      <c r="D35" s="575"/>
      <c r="E35" s="575"/>
      <c r="F35" s="598"/>
      <c r="G35" s="595"/>
      <c r="H35" s="595"/>
      <c r="I35" s="1042"/>
      <c r="J35" s="596">
        <v>0</v>
      </c>
      <c r="K35" s="596"/>
      <c r="L35" s="1128">
        <f>J35*F35</f>
        <v>0</v>
      </c>
      <c r="M35" s="1048"/>
      <c r="N35" s="607">
        <f t="shared" si="14"/>
        <v>0</v>
      </c>
      <c r="O35" s="687">
        <v>0</v>
      </c>
      <c r="P35" s="602">
        <f t="shared" si="15"/>
        <v>0</v>
      </c>
      <c r="Q35" s="1048"/>
      <c r="R35" s="687">
        <v>0</v>
      </c>
      <c r="S35" s="598">
        <f t="shared" si="16"/>
        <v>0</v>
      </c>
      <c r="T35" s="599"/>
      <c r="U35" s="1127">
        <f t="shared" si="17"/>
        <v>0</v>
      </c>
      <c r="V35" s="1047"/>
      <c r="W35" s="688">
        <v>0</v>
      </c>
      <c r="X35" s="599"/>
      <c r="Y35" s="599"/>
      <c r="Z35" s="600">
        <f t="shared" si="18"/>
        <v>0</v>
      </c>
      <c r="AA35" s="689">
        <v>0</v>
      </c>
      <c r="AB35" s="1124">
        <f t="shared" si="19"/>
        <v>0</v>
      </c>
      <c r="AC35" s="1048"/>
      <c r="AD35" s="689">
        <v>0</v>
      </c>
      <c r="AE35" s="1125">
        <f t="shared" si="20"/>
        <v>0</v>
      </c>
      <c r="AF35" s="1054"/>
      <c r="AG35" s="689">
        <v>0</v>
      </c>
      <c r="AH35" s="1061">
        <f t="shared" si="21"/>
        <v>0</v>
      </c>
      <c r="AI35" s="601">
        <f t="shared" si="22"/>
        <v>0</v>
      </c>
      <c r="AJ35" s="597">
        <f t="shared" si="23"/>
        <v>0</v>
      </c>
      <c r="AK35" s="601">
        <f t="shared" si="24"/>
        <v>0</v>
      </c>
      <c r="AL35" s="1126">
        <f t="shared" si="25"/>
        <v>0</v>
      </c>
      <c r="AM35" s="1053"/>
      <c r="AN35" s="1100">
        <f t="shared" si="26"/>
        <v>0</v>
      </c>
      <c r="AO35" s="1043"/>
    </row>
    <row r="36" spans="1:41" s="522" customFormat="1" ht="22" customHeight="1" x14ac:dyDescent="0.25">
      <c r="A36" s="1038"/>
      <c r="B36" s="1726" t="s">
        <v>687</v>
      </c>
      <c r="C36" s="1726"/>
      <c r="D36" s="1726"/>
      <c r="E36" s="1726"/>
      <c r="F36" s="1726"/>
      <c r="G36" s="1726"/>
      <c r="H36" s="1726"/>
      <c r="I36" s="1042"/>
      <c r="J36" s="1725"/>
      <c r="K36" s="1725"/>
      <c r="L36" s="1123">
        <f>SUM(L28:L35)</f>
        <v>0</v>
      </c>
      <c r="M36" s="1055"/>
      <c r="O36" s="1042"/>
      <c r="P36" s="1114">
        <f>SUM(P28:P35)</f>
        <v>0</v>
      </c>
      <c r="Q36" s="1055"/>
      <c r="R36" s="1725"/>
      <c r="S36" s="1725"/>
      <c r="T36" s="1725"/>
      <c r="U36" s="1116">
        <f>SUM(U28:U35)</f>
        <v>0</v>
      </c>
      <c r="V36" s="1055"/>
      <c r="W36" s="1719"/>
      <c r="X36" s="1719"/>
      <c r="Y36" s="1719"/>
      <c r="Z36" s="1062">
        <f>SUM(Z28:Z35)</f>
        <v>0</v>
      </c>
      <c r="AA36" s="1063">
        <f>SUM(AA28:AA35)</f>
        <v>0</v>
      </c>
      <c r="AB36" s="1118">
        <f>SUM(AB28:AB35)</f>
        <v>0</v>
      </c>
      <c r="AC36" s="1055"/>
      <c r="AD36" s="1042"/>
      <c r="AE36" s="1120">
        <f>SUM(AE28:AE35)</f>
        <v>0</v>
      </c>
      <c r="AF36" s="1055"/>
      <c r="AG36" s="1719"/>
      <c r="AH36" s="1719"/>
      <c r="AI36" s="1060">
        <f>SUM(AI28:AI35)</f>
        <v>0</v>
      </c>
      <c r="AJ36" s="610"/>
      <c r="AK36" s="593">
        <f>SUM(AK28:AK35)</f>
        <v>0</v>
      </c>
      <c r="AL36" s="1122">
        <f>SUM(AL28:AL35)</f>
        <v>0</v>
      </c>
      <c r="AM36" s="1208"/>
      <c r="AN36" s="1113">
        <f>SUM(AN28:AN35)</f>
        <v>0</v>
      </c>
      <c r="AO36" s="1043"/>
    </row>
    <row r="37" spans="1:41" s="522" customFormat="1" ht="22" customHeight="1" x14ac:dyDescent="0.25">
      <c r="A37" s="1038"/>
      <c r="B37" s="1042"/>
      <c r="C37" s="1042"/>
      <c r="D37" s="1042"/>
      <c r="E37" s="1042"/>
      <c r="F37" s="1042"/>
      <c r="G37" s="1042"/>
      <c r="H37" s="1042"/>
      <c r="I37" s="1042"/>
      <c r="J37" s="1042"/>
      <c r="K37" s="1042"/>
      <c r="L37" s="1042"/>
      <c r="M37" s="1042"/>
      <c r="N37" s="1042"/>
      <c r="O37" s="1042"/>
      <c r="P37" s="1042"/>
      <c r="Q37" s="1042"/>
      <c r="R37" s="1042"/>
      <c r="S37" s="1042"/>
      <c r="T37" s="1042"/>
      <c r="U37" s="1042"/>
      <c r="V37" s="1042"/>
      <c r="W37" s="1042"/>
      <c r="X37" s="1042"/>
      <c r="Y37" s="1042"/>
      <c r="Z37" s="1042"/>
      <c r="AA37" s="1042"/>
      <c r="AB37" s="1042"/>
      <c r="AC37" s="1042"/>
      <c r="AD37" s="1042"/>
      <c r="AE37" s="1042"/>
      <c r="AF37" s="1042"/>
      <c r="AG37" s="1042"/>
      <c r="AH37" s="1042"/>
      <c r="AI37" s="1042"/>
      <c r="AJ37" s="1042"/>
      <c r="AK37" s="1042"/>
      <c r="AL37" s="1042"/>
      <c r="AM37" s="1042"/>
      <c r="AN37" s="1042"/>
      <c r="AO37" s="1043"/>
    </row>
    <row r="38" spans="1:41" ht="29.15" customHeight="1" x14ac:dyDescent="0.25">
      <c r="A38" s="959"/>
      <c r="B38" s="1724" t="s">
        <v>688</v>
      </c>
      <c r="C38" s="1724"/>
      <c r="D38" s="1724"/>
      <c r="E38" s="1724"/>
      <c r="F38" s="1724"/>
      <c r="G38" s="1724"/>
      <c r="H38" s="1724"/>
      <c r="I38" s="960"/>
      <c r="J38" s="1657">
        <f>L36+L25</f>
        <v>0</v>
      </c>
      <c r="K38" s="1657"/>
      <c r="L38" s="1720"/>
      <c r="M38" s="960"/>
      <c r="O38" s="1657">
        <f>P36+P25</f>
        <v>0</v>
      </c>
      <c r="P38" s="1720"/>
      <c r="Q38" s="960"/>
      <c r="R38" s="1657">
        <f>U36+U25</f>
        <v>0</v>
      </c>
      <c r="S38" s="1720"/>
      <c r="T38" s="1720"/>
      <c r="U38" s="1720"/>
      <c r="V38" s="960"/>
      <c r="W38" s="1657">
        <f>AB36+AB25</f>
        <v>0</v>
      </c>
      <c r="X38" s="1720"/>
      <c r="Y38" s="1720"/>
      <c r="Z38" s="1720"/>
      <c r="AA38" s="1720"/>
      <c r="AB38" s="1720"/>
      <c r="AC38" s="960"/>
      <c r="AD38" s="1657">
        <f>AE36+AE25</f>
        <v>0</v>
      </c>
      <c r="AE38" s="1657"/>
      <c r="AF38" s="960"/>
      <c r="AG38" s="1657">
        <f>AL36+AL25</f>
        <v>0</v>
      </c>
      <c r="AH38" s="1720"/>
      <c r="AI38" s="1720"/>
      <c r="AJ38" s="1720"/>
      <c r="AK38" s="1720"/>
      <c r="AL38" s="1720"/>
      <c r="AM38" s="960"/>
      <c r="AN38" s="694" t="s">
        <v>689</v>
      </c>
      <c r="AO38" s="967"/>
    </row>
    <row r="39" spans="1:41" ht="22" customHeight="1" x14ac:dyDescent="0.25">
      <c r="A39" s="959"/>
      <c r="B39" s="960"/>
      <c r="C39" s="960"/>
      <c r="D39" s="960"/>
      <c r="E39" s="960"/>
      <c r="F39" s="960"/>
      <c r="G39" s="960"/>
      <c r="H39" s="960"/>
      <c r="I39" s="960"/>
      <c r="J39" s="960"/>
      <c r="K39" s="960"/>
      <c r="L39" s="960"/>
      <c r="M39" s="960"/>
      <c r="N39" s="538"/>
      <c r="O39" s="960"/>
      <c r="P39" s="960"/>
      <c r="Q39" s="960"/>
      <c r="R39" s="960"/>
      <c r="S39" s="960"/>
      <c r="T39" s="960"/>
      <c r="U39" s="960"/>
      <c r="V39" s="960"/>
      <c r="W39" s="960"/>
      <c r="X39" s="960"/>
      <c r="Y39" s="960"/>
      <c r="Z39" s="960"/>
      <c r="AA39" s="960"/>
      <c r="AB39" s="960"/>
      <c r="AC39" s="960"/>
      <c r="AD39" s="960"/>
      <c r="AE39" s="960"/>
      <c r="AF39" s="960"/>
      <c r="AG39" s="960"/>
      <c r="AH39" s="960"/>
      <c r="AI39" s="960"/>
      <c r="AJ39" s="960"/>
      <c r="AK39" s="960"/>
      <c r="AL39" s="960"/>
      <c r="AM39" s="960"/>
      <c r="AN39" s="1064">
        <f>AN25+AN36</f>
        <v>0</v>
      </c>
      <c r="AO39" s="967"/>
    </row>
    <row r="40" spans="1:41" ht="20.5" customHeight="1" x14ac:dyDescent="0.25">
      <c r="A40" s="959"/>
      <c r="B40" s="1197" t="s">
        <v>690</v>
      </c>
      <c r="C40" s="1204" t="s">
        <v>691</v>
      </c>
      <c r="D40" s="1735" t="s">
        <v>692</v>
      </c>
      <c r="E40" s="1735"/>
      <c r="F40" s="1735"/>
      <c r="G40" s="1735"/>
      <c r="H40" s="1735"/>
      <c r="I40" s="1049"/>
      <c r="J40" s="1049"/>
      <c r="K40" s="1049"/>
      <c r="L40" s="1049"/>
      <c r="M40" s="1049"/>
      <c r="N40" s="690"/>
      <c r="O40" s="1049"/>
      <c r="P40" s="1049"/>
      <c r="Q40" s="960"/>
      <c r="R40" s="960"/>
      <c r="S40" s="960"/>
      <c r="T40" s="960"/>
      <c r="U40" s="960"/>
      <c r="V40" s="960"/>
      <c r="W40" s="960"/>
      <c r="X40" s="960"/>
      <c r="Y40" s="960"/>
      <c r="Z40" s="960"/>
      <c r="AA40" s="960"/>
      <c r="AB40" s="960"/>
      <c r="AC40" s="960"/>
      <c r="AD40" s="960"/>
      <c r="AE40" s="960"/>
      <c r="AF40" s="960"/>
      <c r="AG40" s="960"/>
      <c r="AH40" s="960"/>
      <c r="AI40" s="960"/>
      <c r="AJ40" s="960"/>
      <c r="AK40" s="960"/>
      <c r="AL40" s="960"/>
      <c r="AM40" s="960"/>
      <c r="AN40" s="960"/>
      <c r="AO40" s="967"/>
    </row>
    <row r="41" spans="1:41" ht="20.5" customHeight="1" x14ac:dyDescent="0.25">
      <c r="A41" s="959"/>
      <c r="B41" s="691"/>
      <c r="C41" s="1203"/>
      <c r="D41" s="1729"/>
      <c r="E41" s="1730"/>
      <c r="F41" s="1730"/>
      <c r="G41" s="1730"/>
      <c r="H41" s="1731"/>
      <c r="I41" s="1049"/>
      <c r="J41" s="1049"/>
      <c r="K41" s="1049"/>
      <c r="L41" s="1049"/>
      <c r="M41" s="1049"/>
      <c r="N41" s="690"/>
      <c r="O41" s="1049"/>
      <c r="P41" s="1049"/>
      <c r="Q41" s="960"/>
      <c r="R41" s="960"/>
      <c r="S41" s="960"/>
      <c r="T41" s="960"/>
      <c r="U41" s="960"/>
      <c r="V41" s="960"/>
      <c r="W41" s="960"/>
      <c r="X41" s="960"/>
      <c r="Y41" s="960"/>
      <c r="Z41" s="960"/>
      <c r="AA41" s="960"/>
      <c r="AB41" s="960"/>
      <c r="AC41" s="960"/>
      <c r="AD41" s="960"/>
      <c r="AE41" s="960"/>
      <c r="AF41" s="960"/>
      <c r="AG41" s="960"/>
      <c r="AH41" s="960"/>
      <c r="AI41" s="960"/>
      <c r="AJ41" s="960"/>
      <c r="AK41" s="960"/>
      <c r="AL41" s="960"/>
      <c r="AM41" s="960"/>
      <c r="AN41" s="960"/>
      <c r="AO41" s="967"/>
    </row>
    <row r="42" spans="1:41" ht="20.5" customHeight="1" x14ac:dyDescent="0.25">
      <c r="A42" s="959"/>
      <c r="B42" s="691"/>
      <c r="C42" s="1203"/>
      <c r="D42" s="1729"/>
      <c r="E42" s="1730"/>
      <c r="F42" s="1730"/>
      <c r="G42" s="1730"/>
      <c r="H42" s="1731"/>
      <c r="I42" s="1049"/>
      <c r="J42" s="1049"/>
      <c r="K42" s="1049"/>
      <c r="L42" s="1049"/>
      <c r="M42" s="1049"/>
      <c r="N42" s="690"/>
      <c r="O42" s="1049"/>
      <c r="P42" s="1049"/>
      <c r="Q42" s="960"/>
      <c r="R42" s="960"/>
      <c r="S42" s="960"/>
      <c r="T42" s="960"/>
      <c r="U42" s="960"/>
      <c r="V42" s="960"/>
      <c r="W42" s="960"/>
      <c r="X42" s="960"/>
      <c r="Y42" s="960"/>
      <c r="Z42" s="960"/>
      <c r="AA42" s="960"/>
      <c r="AB42" s="960"/>
      <c r="AC42" s="960"/>
      <c r="AD42" s="960"/>
      <c r="AE42" s="960"/>
      <c r="AF42" s="960"/>
      <c r="AG42" s="960"/>
      <c r="AH42" s="960"/>
      <c r="AI42" s="960"/>
      <c r="AJ42" s="960"/>
      <c r="AK42" s="960"/>
      <c r="AL42" s="960"/>
      <c r="AM42" s="960"/>
      <c r="AN42" s="960"/>
      <c r="AO42" s="967"/>
    </row>
    <row r="43" spans="1:41" ht="20.5" customHeight="1" x14ac:dyDescent="0.25">
      <c r="A43" s="959"/>
      <c r="B43" s="691"/>
      <c r="C43" s="1203"/>
      <c r="D43" s="1729"/>
      <c r="E43" s="1730"/>
      <c r="F43" s="1730"/>
      <c r="G43" s="1730"/>
      <c r="H43" s="1731"/>
      <c r="I43" s="1049"/>
      <c r="J43" s="1049"/>
      <c r="K43" s="1049"/>
      <c r="L43" s="1049"/>
      <c r="M43" s="1049"/>
      <c r="N43" s="690"/>
      <c r="O43" s="1049"/>
      <c r="P43" s="1049"/>
      <c r="Q43" s="960"/>
      <c r="R43" s="960"/>
      <c r="S43" s="960"/>
      <c r="T43" s="960"/>
      <c r="U43" s="960"/>
      <c r="V43" s="960"/>
      <c r="W43" s="960"/>
      <c r="X43" s="960"/>
      <c r="Y43" s="960"/>
      <c r="Z43" s="960"/>
      <c r="AA43" s="960"/>
      <c r="AB43" s="960"/>
      <c r="AC43" s="960"/>
      <c r="AD43" s="960"/>
      <c r="AE43" s="960"/>
      <c r="AF43" s="960"/>
      <c r="AG43" s="960"/>
      <c r="AH43" s="960"/>
      <c r="AI43" s="960"/>
      <c r="AJ43" s="960"/>
      <c r="AK43" s="960"/>
      <c r="AL43" s="960"/>
      <c r="AM43" s="960"/>
      <c r="AN43" s="960"/>
      <c r="AO43" s="967"/>
    </row>
    <row r="44" spans="1:41" ht="20.5" customHeight="1" x14ac:dyDescent="0.25">
      <c r="A44" s="959"/>
      <c r="B44" s="691"/>
      <c r="C44" s="1203"/>
      <c r="D44" s="1729"/>
      <c r="E44" s="1730"/>
      <c r="F44" s="1730"/>
      <c r="G44" s="1730"/>
      <c r="H44" s="1731"/>
      <c r="I44" s="1049"/>
      <c r="J44" s="1049"/>
      <c r="K44" s="1049"/>
      <c r="L44" s="1049"/>
      <c r="M44" s="1049"/>
      <c r="N44" s="690"/>
      <c r="O44" s="1049"/>
      <c r="P44" s="1049"/>
      <c r="Q44" s="960"/>
      <c r="R44" s="960"/>
      <c r="S44" s="960"/>
      <c r="T44" s="960"/>
      <c r="U44" s="960"/>
      <c r="V44" s="960"/>
      <c r="W44" s="960"/>
      <c r="X44" s="960"/>
      <c r="Y44" s="960"/>
      <c r="Z44" s="960"/>
      <c r="AA44" s="960"/>
      <c r="AB44" s="960"/>
      <c r="AC44" s="960"/>
      <c r="AD44" s="960"/>
      <c r="AE44" s="960"/>
      <c r="AF44" s="960"/>
      <c r="AG44" s="960"/>
      <c r="AH44" s="960"/>
      <c r="AI44" s="960"/>
      <c r="AJ44" s="960"/>
      <c r="AK44" s="960"/>
      <c r="AL44" s="960"/>
      <c r="AM44" s="960"/>
      <c r="AN44" s="960"/>
      <c r="AO44" s="967"/>
    </row>
    <row r="45" spans="1:41" ht="20.5" customHeight="1" thickBot="1" x14ac:dyDescent="0.3">
      <c r="A45" s="968"/>
      <c r="B45" s="1051"/>
      <c r="C45" s="1050"/>
      <c r="D45" s="1050"/>
      <c r="E45" s="1050"/>
      <c r="F45" s="1050"/>
      <c r="G45" s="1050"/>
      <c r="H45" s="1050"/>
      <c r="I45" s="1050"/>
      <c r="J45" s="1050"/>
      <c r="K45" s="1050"/>
      <c r="L45" s="1050"/>
      <c r="M45" s="1050"/>
      <c r="N45" s="1050"/>
      <c r="O45" s="1050"/>
      <c r="P45" s="1050"/>
      <c r="Q45" s="966"/>
      <c r="R45" s="966"/>
      <c r="S45" s="966"/>
      <c r="T45" s="966"/>
      <c r="U45" s="966"/>
      <c r="V45" s="966"/>
      <c r="W45" s="966"/>
      <c r="X45" s="966"/>
      <c r="Y45" s="966"/>
      <c r="Z45" s="966"/>
      <c r="AA45" s="966"/>
      <c r="AB45" s="966"/>
      <c r="AC45" s="966"/>
      <c r="AD45" s="966"/>
      <c r="AE45" s="966"/>
      <c r="AF45" s="966"/>
      <c r="AG45" s="966"/>
      <c r="AH45" s="966"/>
      <c r="AI45" s="966"/>
      <c r="AJ45" s="966"/>
      <c r="AK45" s="966"/>
      <c r="AL45" s="966"/>
      <c r="AM45" s="966"/>
      <c r="AN45" s="966"/>
      <c r="AO45" s="970"/>
    </row>
    <row r="47" spans="1:41" ht="22.5" customHeight="1" x14ac:dyDescent="0.25"/>
    <row r="48" spans="1:41" ht="29.15" customHeight="1" x14ac:dyDescent="0.25"/>
    <row r="49" spans="2:37" ht="20.149999999999999" customHeight="1" x14ac:dyDescent="0.25"/>
    <row r="55" spans="2:37" ht="12.65" customHeight="1" x14ac:dyDescent="0.25"/>
    <row r="60" spans="2:37" x14ac:dyDescent="0.25">
      <c r="B60" s="613"/>
      <c r="C60" s="613"/>
      <c r="D60" s="613"/>
      <c r="E60" s="613"/>
      <c r="F60" s="613"/>
      <c r="G60" s="613"/>
      <c r="H60" s="613"/>
      <c r="J60" s="613"/>
      <c r="K60" s="613"/>
      <c r="L60" s="613"/>
      <c r="M60" s="613"/>
      <c r="N60" s="613"/>
      <c r="O60" s="613"/>
      <c r="P60" s="613"/>
      <c r="Q60" s="613"/>
      <c r="AG60" s="613"/>
      <c r="AH60" s="613"/>
      <c r="AI60" s="613"/>
      <c r="AJ60" s="613"/>
      <c r="AK60" s="613"/>
    </row>
  </sheetData>
  <mergeCells count="42">
    <mergeCell ref="D44:H44"/>
    <mergeCell ref="C12:P12"/>
    <mergeCell ref="C13:P13"/>
    <mergeCell ref="E2:L2"/>
    <mergeCell ref="D40:H40"/>
    <mergeCell ref="D41:H41"/>
    <mergeCell ref="D42:H42"/>
    <mergeCell ref="D43:H43"/>
    <mergeCell ref="B36:H36"/>
    <mergeCell ref="B38:H38"/>
    <mergeCell ref="J38:L38"/>
    <mergeCell ref="B4:B11"/>
    <mergeCell ref="B26:AO26"/>
    <mergeCell ref="AG25:AH25"/>
    <mergeCell ref="W25:Y25"/>
    <mergeCell ref="B15:H15"/>
    <mergeCell ref="B25:H25"/>
    <mergeCell ref="C5:P5"/>
    <mergeCell ref="W15:AB15"/>
    <mergeCell ref="AD15:AE15"/>
    <mergeCell ref="AG15:AL15"/>
    <mergeCell ref="AN15:AN16"/>
    <mergeCell ref="R38:U38"/>
    <mergeCell ref="O38:P38"/>
    <mergeCell ref="C4:P4"/>
    <mergeCell ref="J15:L15"/>
    <mergeCell ref="O15:P15"/>
    <mergeCell ref="C6:P6"/>
    <mergeCell ref="C7:P7"/>
    <mergeCell ref="C8:P8"/>
    <mergeCell ref="C9:P9"/>
    <mergeCell ref="C10:P10"/>
    <mergeCell ref="C11:P11"/>
    <mergeCell ref="R15:U15"/>
    <mergeCell ref="R36:T36"/>
    <mergeCell ref="R25:T25"/>
    <mergeCell ref="J36:K36"/>
    <mergeCell ref="AD38:AE38"/>
    <mergeCell ref="W36:Y36"/>
    <mergeCell ref="AG36:AH36"/>
    <mergeCell ref="W38:AB38"/>
    <mergeCell ref="AG38:AL38"/>
  </mergeCells>
  <pageMargins left="0.75" right="0.75" top="1" bottom="1" header="0.5" footer="0.5"/>
  <pageSetup scale="38" orientation="landscape" horizontalDpi="1200" verticalDpi="1200" r:id="rId1"/>
  <headerFooter alignWithMargins="0"/>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2">
    <pageSetUpPr fitToPage="1"/>
  </sheetPr>
  <dimension ref="A1:M31"/>
  <sheetViews>
    <sheetView workbookViewId="0"/>
  </sheetViews>
  <sheetFormatPr defaultColWidth="8.453125" defaultRowHeight="13" x14ac:dyDescent="0.25"/>
  <cols>
    <col min="1" max="1" width="5" style="292" customWidth="1"/>
    <col min="2" max="2" width="16.1796875" style="292" customWidth="1"/>
    <col min="3" max="3" width="38.1796875" style="292" customWidth="1"/>
    <col min="4" max="4" width="13" style="292" customWidth="1"/>
    <col min="5" max="5" width="15" style="292" customWidth="1"/>
    <col min="6" max="7" width="15.453125" style="292" customWidth="1"/>
    <col min="8" max="8" width="26.1796875" style="292" customWidth="1"/>
    <col min="9" max="9" width="24.1796875" style="292" customWidth="1"/>
    <col min="10" max="10" width="20" style="292" customWidth="1"/>
    <col min="11" max="11" width="21.7265625" style="292" customWidth="1"/>
    <col min="12" max="12" width="4.26953125" style="292" customWidth="1"/>
    <col min="13" max="16384" width="8.453125" style="292"/>
  </cols>
  <sheetData>
    <row r="1" spans="1:12" ht="13.5" thickBot="1" x14ac:dyDescent="0.3">
      <c r="A1" s="581"/>
      <c r="B1" s="582"/>
      <c r="C1" s="582"/>
      <c r="D1" s="582"/>
      <c r="E1" s="582"/>
      <c r="F1" s="582"/>
      <c r="G1" s="582"/>
      <c r="H1" s="582"/>
      <c r="I1" s="582"/>
      <c r="J1" s="582"/>
      <c r="K1" s="582"/>
      <c r="L1" s="583"/>
    </row>
    <row r="2" spans="1:12" ht="34.5" customHeight="1" thickBot="1" x14ac:dyDescent="0.3">
      <c r="A2" s="584"/>
      <c r="B2" s="1743" t="s">
        <v>693</v>
      </c>
      <c r="C2" s="1744"/>
      <c r="D2" s="664"/>
      <c r="E2" s="1740" t="str">
        <f>General!D4</f>
        <v>Name</v>
      </c>
      <c r="F2" s="1741"/>
      <c r="G2" s="1741"/>
      <c r="H2" s="1742"/>
      <c r="I2" s="664"/>
      <c r="J2" s="664"/>
      <c r="K2" s="664"/>
      <c r="L2" s="585"/>
    </row>
    <row r="3" spans="1:12" x14ac:dyDescent="0.25">
      <c r="A3" s="584"/>
      <c r="B3" s="603"/>
      <c r="C3" s="603"/>
      <c r="D3" s="603"/>
      <c r="E3" s="603"/>
      <c r="F3" s="603"/>
      <c r="G3" s="603"/>
      <c r="H3" s="603"/>
      <c r="I3" s="603"/>
      <c r="J3" s="665"/>
      <c r="K3" s="665"/>
      <c r="L3" s="585"/>
    </row>
    <row r="4" spans="1:12" ht="52" x14ac:dyDescent="0.25">
      <c r="A4" s="584"/>
      <c r="B4" s="669" t="s">
        <v>694</v>
      </c>
      <c r="C4" s="670" t="s">
        <v>695</v>
      </c>
      <c r="D4" s="670" t="s">
        <v>696</v>
      </c>
      <c r="E4" s="670" t="s">
        <v>697</v>
      </c>
      <c r="F4" s="670" t="s">
        <v>698</v>
      </c>
      <c r="G4" s="669" t="s">
        <v>699</v>
      </c>
      <c r="H4" s="669" t="s">
        <v>700</v>
      </c>
      <c r="I4" s="671" t="s">
        <v>701</v>
      </c>
      <c r="J4" s="672" t="s">
        <v>702</v>
      </c>
      <c r="K4" s="672" t="s">
        <v>637</v>
      </c>
      <c r="L4" s="585"/>
    </row>
    <row r="5" spans="1:12" x14ac:dyDescent="0.25">
      <c r="A5" s="584"/>
      <c r="B5" s="649" t="s">
        <v>703</v>
      </c>
      <c r="C5" s="645"/>
      <c r="D5" s="646"/>
      <c r="E5" s="647"/>
      <c r="F5" s="673">
        <f>D5*E5</f>
        <v>0</v>
      </c>
      <c r="G5" s="648"/>
      <c r="H5" s="649"/>
      <c r="I5" s="649"/>
      <c r="J5" s="546"/>
      <c r="K5" s="546"/>
      <c r="L5" s="585"/>
    </row>
    <row r="6" spans="1:12" x14ac:dyDescent="0.25">
      <c r="A6" s="584"/>
      <c r="B6" s="649" t="s">
        <v>704</v>
      </c>
      <c r="C6" s="645"/>
      <c r="D6" s="646"/>
      <c r="E6" s="647"/>
      <c r="F6" s="673">
        <f t="shared" ref="F6:F16" si="0">D6*E6</f>
        <v>0</v>
      </c>
      <c r="G6" s="648"/>
      <c r="H6" s="649"/>
      <c r="I6" s="662"/>
      <c r="J6" s="546"/>
      <c r="K6" s="546"/>
      <c r="L6" s="585"/>
    </row>
    <row r="7" spans="1:12" x14ac:dyDescent="0.25">
      <c r="A7" s="584"/>
      <c r="B7" s="649" t="s">
        <v>705</v>
      </c>
      <c r="C7" s="645"/>
      <c r="D7" s="646"/>
      <c r="E7" s="647"/>
      <c r="F7" s="673">
        <f t="shared" si="0"/>
        <v>0</v>
      </c>
      <c r="G7" s="648"/>
      <c r="H7" s="649"/>
      <c r="I7" s="649"/>
      <c r="J7" s="546"/>
      <c r="K7" s="546"/>
      <c r="L7" s="585"/>
    </row>
    <row r="8" spans="1:12" x14ac:dyDescent="0.25">
      <c r="A8" s="584"/>
      <c r="B8" s="768" t="s">
        <v>706</v>
      </c>
      <c r="C8" s="645"/>
      <c r="D8" s="646"/>
      <c r="E8" s="647"/>
      <c r="F8" s="673">
        <f t="shared" si="0"/>
        <v>0</v>
      </c>
      <c r="G8" s="648"/>
      <c r="H8" s="649"/>
      <c r="I8" s="649"/>
      <c r="J8" s="546"/>
      <c r="K8" s="546"/>
      <c r="L8" s="585"/>
    </row>
    <row r="9" spans="1:12" x14ac:dyDescent="0.25">
      <c r="A9" s="584"/>
      <c r="B9" s="657"/>
      <c r="C9" s="658"/>
      <c r="D9" s="659"/>
      <c r="E9" s="668" t="s">
        <v>707</v>
      </c>
      <c r="F9" s="674">
        <f>SUM(F5:F8)</f>
        <v>0</v>
      </c>
      <c r="G9" s="661"/>
      <c r="H9" s="657"/>
      <c r="I9" s="657"/>
      <c r="J9" s="633"/>
      <c r="K9" s="633"/>
      <c r="L9" s="585"/>
    </row>
    <row r="10" spans="1:12" x14ac:dyDescent="0.25">
      <c r="A10" s="584"/>
      <c r="B10" s="657"/>
      <c r="C10" s="658"/>
      <c r="D10" s="659"/>
      <c r="E10" s="660"/>
      <c r="F10" s="661"/>
      <c r="G10" s="661"/>
      <c r="H10" s="657"/>
      <c r="I10" s="657"/>
      <c r="J10" s="633"/>
      <c r="K10" s="633"/>
      <c r="L10" s="585"/>
    </row>
    <row r="11" spans="1:12" ht="16" customHeight="1" x14ac:dyDescent="0.25">
      <c r="A11" s="584"/>
      <c r="B11" s="763" t="s">
        <v>708</v>
      </c>
      <c r="C11" s="658"/>
      <c r="D11" s="659"/>
      <c r="E11" s="660"/>
      <c r="F11" s="661"/>
      <c r="G11" s="661"/>
      <c r="H11" s="657"/>
      <c r="I11" s="657"/>
      <c r="J11" s="633"/>
      <c r="K11" s="633"/>
      <c r="L11" s="585"/>
    </row>
    <row r="12" spans="1:12" x14ac:dyDescent="0.25">
      <c r="A12" s="584"/>
      <c r="B12" s="1209"/>
      <c r="C12" s="645"/>
      <c r="D12" s="646"/>
      <c r="E12" s="647"/>
      <c r="F12" s="673">
        <f t="shared" si="0"/>
        <v>0</v>
      </c>
      <c r="G12" s="648"/>
      <c r="H12" s="649"/>
      <c r="I12" s="649"/>
      <c r="J12" s="546"/>
      <c r="K12" s="546"/>
      <c r="L12" s="585"/>
    </row>
    <row r="13" spans="1:12" x14ac:dyDescent="0.25">
      <c r="A13" s="584"/>
      <c r="B13" s="649"/>
      <c r="C13" s="645"/>
      <c r="D13" s="646"/>
      <c r="E13" s="647"/>
      <c r="F13" s="673">
        <f t="shared" si="0"/>
        <v>0</v>
      </c>
      <c r="G13" s="648"/>
      <c r="H13" s="649"/>
      <c r="I13" s="649"/>
      <c r="J13" s="546"/>
      <c r="K13" s="546"/>
      <c r="L13" s="585"/>
    </row>
    <row r="14" spans="1:12" x14ac:dyDescent="0.25">
      <c r="A14" s="584"/>
      <c r="B14" s="649"/>
      <c r="C14" s="645"/>
      <c r="D14" s="646"/>
      <c r="E14" s="647"/>
      <c r="F14" s="673">
        <f t="shared" si="0"/>
        <v>0</v>
      </c>
      <c r="G14" s="648"/>
      <c r="H14" s="649"/>
      <c r="I14" s="649"/>
      <c r="J14" s="546"/>
      <c r="K14" s="546"/>
      <c r="L14" s="585"/>
    </row>
    <row r="15" spans="1:12" x14ac:dyDescent="0.25">
      <c r="A15" s="584"/>
      <c r="B15" s="649"/>
      <c r="C15" s="645"/>
      <c r="D15" s="646"/>
      <c r="E15" s="647"/>
      <c r="F15" s="673">
        <f t="shared" si="0"/>
        <v>0</v>
      </c>
      <c r="G15" s="648"/>
      <c r="H15" s="649"/>
      <c r="I15" s="649"/>
      <c r="J15" s="546"/>
      <c r="K15" s="546"/>
      <c r="L15" s="585"/>
    </row>
    <row r="16" spans="1:12" x14ac:dyDescent="0.25">
      <c r="A16" s="584"/>
      <c r="B16" s="649"/>
      <c r="C16" s="645"/>
      <c r="D16" s="650"/>
      <c r="E16" s="647"/>
      <c r="F16" s="673">
        <f t="shared" si="0"/>
        <v>0</v>
      </c>
      <c r="G16" s="651"/>
      <c r="H16" s="652"/>
      <c r="I16" s="653"/>
      <c r="J16" s="546"/>
      <c r="K16" s="654"/>
      <c r="L16" s="585"/>
    </row>
    <row r="17" spans="1:13" ht="24.65" customHeight="1" x14ac:dyDescent="0.25">
      <c r="A17" s="584"/>
      <c r="B17" s="657"/>
      <c r="C17" s="666"/>
      <c r="D17" s="667"/>
      <c r="E17" s="668" t="s">
        <v>707</v>
      </c>
      <c r="F17" s="674">
        <f>SUM(F12:F16)</f>
        <v>0</v>
      </c>
      <c r="G17" s="655"/>
      <c r="H17" s="589"/>
      <c r="I17" s="538"/>
      <c r="J17" s="538"/>
      <c r="K17" s="538"/>
      <c r="L17" s="585"/>
    </row>
    <row r="18" spans="1:13" x14ac:dyDescent="0.25">
      <c r="A18" s="584"/>
      <c r="B18" s="538"/>
      <c r="C18" s="538"/>
      <c r="D18" s="538"/>
      <c r="E18" s="538"/>
      <c r="F18" s="589"/>
      <c r="G18" s="538"/>
      <c r="H18" s="538"/>
      <c r="I18" s="538"/>
      <c r="J18" s="538"/>
      <c r="K18" s="538"/>
      <c r="L18" s="585"/>
    </row>
    <row r="19" spans="1:13" ht="28" customHeight="1" x14ac:dyDescent="0.25">
      <c r="A19" s="584"/>
      <c r="B19" s="1675" t="s">
        <v>292</v>
      </c>
      <c r="C19" s="1668" t="s">
        <v>709</v>
      </c>
      <c r="D19" s="1668"/>
      <c r="E19" s="1668"/>
      <c r="F19" s="1668"/>
      <c r="G19" s="1668"/>
      <c r="H19" s="1668"/>
      <c r="I19" s="1668"/>
      <c r="J19" s="1668"/>
      <c r="K19" s="1668"/>
      <c r="L19" s="585"/>
      <c r="M19" s="656"/>
    </row>
    <row r="20" spans="1:13" ht="19" customHeight="1" x14ac:dyDescent="0.25">
      <c r="A20" s="584"/>
      <c r="B20" s="1675"/>
      <c r="C20" s="1668" t="s">
        <v>710</v>
      </c>
      <c r="D20" s="1668"/>
      <c r="E20" s="1668"/>
      <c r="F20" s="1668"/>
      <c r="G20" s="1668"/>
      <c r="H20" s="1668"/>
      <c r="I20" s="1668"/>
      <c r="J20" s="1668"/>
      <c r="K20" s="1668"/>
      <c r="L20" s="585"/>
      <c r="M20" s="656"/>
    </row>
    <row r="21" spans="1:13" ht="22.5" customHeight="1" x14ac:dyDescent="0.25">
      <c r="A21" s="584"/>
      <c r="B21" s="1675"/>
      <c r="C21" s="1668" t="s">
        <v>711</v>
      </c>
      <c r="D21" s="1668"/>
      <c r="E21" s="1668"/>
      <c r="F21" s="1668"/>
      <c r="G21" s="1668"/>
      <c r="H21" s="1668"/>
      <c r="I21" s="1668"/>
      <c r="J21" s="1668"/>
      <c r="K21" s="1668"/>
      <c r="L21" s="585"/>
      <c r="M21" s="656"/>
    </row>
    <row r="22" spans="1:13" ht="30.65" customHeight="1" x14ac:dyDescent="0.25">
      <c r="A22" s="584"/>
      <c r="B22" s="1675"/>
      <c r="C22" s="1668" t="s">
        <v>712</v>
      </c>
      <c r="D22" s="1668"/>
      <c r="E22" s="1668"/>
      <c r="F22" s="1668"/>
      <c r="G22" s="1668"/>
      <c r="H22" s="1668"/>
      <c r="I22" s="1668"/>
      <c r="J22" s="1668"/>
      <c r="K22" s="1668"/>
      <c r="L22" s="585"/>
      <c r="M22" s="656"/>
    </row>
    <row r="23" spans="1:13" ht="47.15" customHeight="1" x14ac:dyDescent="0.25">
      <c r="A23" s="584"/>
      <c r="B23" s="1675"/>
      <c r="C23" s="1668" t="s">
        <v>713</v>
      </c>
      <c r="D23" s="1668"/>
      <c r="E23" s="1668"/>
      <c r="F23" s="1668"/>
      <c r="G23" s="1668"/>
      <c r="H23" s="1668"/>
      <c r="I23" s="1668"/>
      <c r="J23" s="1668"/>
      <c r="K23" s="1668"/>
      <c r="L23" s="585"/>
      <c r="M23" s="656"/>
    </row>
    <row r="24" spans="1:13" ht="23.15" customHeight="1" x14ac:dyDescent="0.25">
      <c r="A24" s="584"/>
      <c r="B24" s="1675"/>
      <c r="C24" s="1668" t="s">
        <v>714</v>
      </c>
      <c r="D24" s="1668"/>
      <c r="E24" s="1668"/>
      <c r="F24" s="1668"/>
      <c r="G24" s="1668"/>
      <c r="H24" s="1668"/>
      <c r="I24" s="1668"/>
      <c r="J24" s="1668"/>
      <c r="K24" s="1668"/>
      <c r="L24" s="585"/>
      <c r="M24" s="656"/>
    </row>
    <row r="25" spans="1:13" ht="32.15" customHeight="1" x14ac:dyDescent="0.25">
      <c r="A25" s="584"/>
      <c r="B25" s="1675"/>
      <c r="C25" s="1668" t="s">
        <v>715</v>
      </c>
      <c r="D25" s="1668"/>
      <c r="E25" s="1668"/>
      <c r="F25" s="1668"/>
      <c r="G25" s="1668"/>
      <c r="H25" s="1668"/>
      <c r="I25" s="1668"/>
      <c r="J25" s="1668"/>
      <c r="K25" s="1668"/>
      <c r="L25" s="585"/>
      <c r="M25" s="656"/>
    </row>
    <row r="26" spans="1:13" x14ac:dyDescent="0.25">
      <c r="A26" s="584"/>
      <c r="B26" s="1746"/>
      <c r="C26" s="1746"/>
      <c r="D26" s="1746"/>
      <c r="E26" s="1746"/>
      <c r="F26" s="1746"/>
      <c r="G26" s="1746"/>
      <c r="H26" s="1746"/>
      <c r="I26" s="1746"/>
      <c r="J26" s="1746"/>
      <c r="K26" s="1746"/>
      <c r="L26" s="585"/>
    </row>
    <row r="27" spans="1:13" ht="33.65" customHeight="1" x14ac:dyDescent="0.25">
      <c r="A27" s="584"/>
      <c r="B27" s="1194" t="s">
        <v>294</v>
      </c>
      <c r="C27" s="1668" t="s">
        <v>716</v>
      </c>
      <c r="D27" s="1668"/>
      <c r="E27" s="1668"/>
      <c r="F27" s="1668"/>
      <c r="G27" s="1668"/>
      <c r="H27" s="1668"/>
      <c r="I27" s="1668"/>
      <c r="J27" s="1668"/>
      <c r="K27" s="1668"/>
      <c r="L27" s="585"/>
    </row>
    <row r="28" spans="1:13" ht="23.15" customHeight="1" x14ac:dyDescent="0.25">
      <c r="A28" s="584"/>
      <c r="B28" s="1194" t="s">
        <v>296</v>
      </c>
      <c r="C28" s="1745" t="s">
        <v>717</v>
      </c>
      <c r="D28" s="1745"/>
      <c r="E28" s="1745"/>
      <c r="F28" s="1745"/>
      <c r="G28" s="1745"/>
      <c r="H28" s="1745"/>
      <c r="I28" s="1745"/>
      <c r="J28" s="1745"/>
      <c r="K28" s="1745"/>
      <c r="L28" s="585"/>
    </row>
    <row r="29" spans="1:13" ht="28.5" customHeight="1" x14ac:dyDescent="0.25">
      <c r="A29" s="584"/>
      <c r="B29" s="1194" t="s">
        <v>465</v>
      </c>
      <c r="C29" s="1668" t="s">
        <v>718</v>
      </c>
      <c r="D29" s="1668"/>
      <c r="E29" s="1668"/>
      <c r="F29" s="1668"/>
      <c r="G29" s="1668"/>
      <c r="H29" s="1668"/>
      <c r="I29" s="1668"/>
      <c r="J29" s="1668"/>
      <c r="K29" s="1668"/>
      <c r="L29" s="585"/>
    </row>
    <row r="30" spans="1:13" x14ac:dyDescent="0.25">
      <c r="A30" s="584"/>
      <c r="B30" s="538"/>
      <c r="C30" s="538"/>
      <c r="D30" s="538"/>
      <c r="E30" s="538"/>
      <c r="F30" s="538"/>
      <c r="G30" s="538"/>
      <c r="H30" s="538"/>
      <c r="I30" s="538"/>
      <c r="J30" s="538"/>
      <c r="K30" s="538"/>
      <c r="L30" s="585"/>
    </row>
    <row r="31" spans="1:13" ht="13.5" thickBot="1" x14ac:dyDescent="0.3">
      <c r="A31" s="586"/>
      <c r="B31" s="587"/>
      <c r="C31" s="587"/>
      <c r="D31" s="587"/>
      <c r="E31" s="587"/>
      <c r="F31" s="587"/>
      <c r="G31" s="587"/>
      <c r="H31" s="587"/>
      <c r="I31" s="587"/>
      <c r="J31" s="587"/>
      <c r="K31" s="587"/>
      <c r="L31" s="588"/>
    </row>
  </sheetData>
  <mergeCells count="14">
    <mergeCell ref="C29:K29"/>
    <mergeCell ref="C27:K27"/>
    <mergeCell ref="C28:K28"/>
    <mergeCell ref="C19:K19"/>
    <mergeCell ref="C23:K23"/>
    <mergeCell ref="C24:K24"/>
    <mergeCell ref="C25:K25"/>
    <mergeCell ref="B26:K26"/>
    <mergeCell ref="E2:H2"/>
    <mergeCell ref="B2:C2"/>
    <mergeCell ref="C20:K20"/>
    <mergeCell ref="C21:K21"/>
    <mergeCell ref="C22:K22"/>
    <mergeCell ref="B19:B25"/>
  </mergeCells>
  <phoneticPr fontId="4" type="noConversion"/>
  <dataValidations count="1">
    <dataValidation type="list" showInputMessage="1" showErrorMessage="1" sqref="J5:J16" xr:uid="{00000000-0002-0000-1000-000000000000}">
      <formula1>$L$5:$L$6</formula1>
    </dataValidation>
  </dataValidations>
  <pageMargins left="0.75" right="0.75" top="1" bottom="1" header="0.5" footer="0.5"/>
  <pageSetup scale="80" orientation="landscape" horizontalDpi="1200" verticalDpi="120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3">
    <pageSetUpPr fitToPage="1"/>
  </sheetPr>
  <dimension ref="A1:Q96"/>
  <sheetViews>
    <sheetView zoomScale="85" zoomScaleNormal="85" workbookViewId="0"/>
  </sheetViews>
  <sheetFormatPr defaultColWidth="8.453125" defaultRowHeight="13" x14ac:dyDescent="0.25"/>
  <cols>
    <col min="1" max="1" width="8.453125" style="292"/>
    <col min="2" max="2" width="16.453125" style="292" customWidth="1"/>
    <col min="3" max="3" width="39.81640625" style="292" customWidth="1"/>
    <col min="4" max="4" width="33.7265625" style="292" customWidth="1"/>
    <col min="5" max="5" width="25.453125" style="292" customWidth="1"/>
    <col min="6" max="6" width="29.1796875" style="292" customWidth="1"/>
    <col min="7" max="7" width="7.453125" style="292" customWidth="1"/>
    <col min="8" max="8" width="10.81640625" style="292" customWidth="1"/>
    <col min="9" max="9" width="11.453125" style="292" customWidth="1"/>
    <col min="10" max="10" width="17" style="292" customWidth="1"/>
    <col min="11" max="11" width="30.54296875" style="292" customWidth="1"/>
    <col min="12" max="12" width="25.54296875" style="292" customWidth="1"/>
    <col min="13" max="13" width="19.81640625" style="292" customWidth="1"/>
    <col min="14" max="14" width="19" style="292" customWidth="1"/>
    <col min="15" max="15" width="7.1796875" style="292" customWidth="1"/>
    <col min="16" max="16384" width="8.453125" style="292"/>
  </cols>
  <sheetData>
    <row r="1" spans="1:15" ht="22.5" customHeight="1" thickBot="1" x14ac:dyDescent="0.3">
      <c r="A1" s="581"/>
      <c r="B1" s="582"/>
      <c r="C1" s="582"/>
      <c r="D1" s="582"/>
      <c r="E1" s="582"/>
      <c r="F1" s="582"/>
      <c r="G1" s="582"/>
      <c r="H1" s="582"/>
      <c r="I1" s="582"/>
      <c r="J1" s="582"/>
      <c r="K1" s="582"/>
      <c r="L1" s="582"/>
      <c r="M1" s="582"/>
      <c r="N1" s="582"/>
      <c r="O1" s="583"/>
    </row>
    <row r="2" spans="1:15" ht="46.5" customHeight="1" thickBot="1" x14ac:dyDescent="0.3">
      <c r="A2" s="584"/>
      <c r="B2" s="1747" t="s">
        <v>719</v>
      </c>
      <c r="C2" s="1748"/>
      <c r="D2" s="538"/>
      <c r="E2" s="1749" t="str">
        <f>General!D4</f>
        <v>Name</v>
      </c>
      <c r="F2" s="1750"/>
      <c r="G2" s="1751"/>
      <c r="H2" s="538"/>
      <c r="I2" s="538"/>
      <c r="J2" s="538"/>
      <c r="K2" s="538"/>
      <c r="L2" s="538"/>
      <c r="M2" s="538"/>
      <c r="N2" s="538"/>
      <c r="O2" s="585"/>
    </row>
    <row r="3" spans="1:15" ht="18.5" thickBot="1" x14ac:dyDescent="0.3">
      <c r="A3" s="584"/>
      <c r="B3" s="705"/>
      <c r="C3" s="538"/>
      <c r="D3" s="538"/>
      <c r="E3" s="538"/>
      <c r="F3" s="538"/>
      <c r="G3" s="538"/>
      <c r="H3" s="538"/>
      <c r="I3" s="538"/>
      <c r="J3" s="538"/>
      <c r="K3" s="538"/>
      <c r="L3" s="538"/>
      <c r="M3" s="538"/>
      <c r="N3" s="538"/>
      <c r="O3" s="585"/>
    </row>
    <row r="4" spans="1:15" ht="73" thickBot="1" x14ac:dyDescent="0.3">
      <c r="A4" s="584"/>
      <c r="B4" s="764" t="s">
        <v>551</v>
      </c>
      <c r="C4" s="724" t="s">
        <v>720</v>
      </c>
      <c r="D4" s="725" t="s">
        <v>721</v>
      </c>
      <c r="E4" s="725" t="s">
        <v>722</v>
      </c>
      <c r="F4" s="725" t="s">
        <v>723</v>
      </c>
      <c r="G4" s="725" t="s">
        <v>696</v>
      </c>
      <c r="H4" s="725" t="s">
        <v>724</v>
      </c>
      <c r="I4" s="725" t="s">
        <v>697</v>
      </c>
      <c r="J4" s="726" t="s">
        <v>725</v>
      </c>
      <c r="K4" s="725" t="s">
        <v>726</v>
      </c>
      <c r="L4" s="725" t="s">
        <v>727</v>
      </c>
      <c r="M4" s="725" t="s">
        <v>728</v>
      </c>
      <c r="N4" s="727" t="s">
        <v>637</v>
      </c>
      <c r="O4" s="585"/>
    </row>
    <row r="5" spans="1:15" ht="15.5" x14ac:dyDescent="0.25">
      <c r="A5" s="584"/>
      <c r="B5" s="769" t="s">
        <v>729</v>
      </c>
      <c r="C5" s="706"/>
      <c r="D5" s="539"/>
      <c r="E5" s="541"/>
      <c r="F5" s="539"/>
      <c r="G5" s="541"/>
      <c r="H5" s="541"/>
      <c r="I5" s="576"/>
      <c r="J5" s="698">
        <f>G5*I5</f>
        <v>0</v>
      </c>
      <c r="K5" s="541"/>
      <c r="L5" s="539"/>
      <c r="M5" s="541"/>
      <c r="N5" s="715"/>
      <c r="O5" s="585"/>
    </row>
    <row r="6" spans="1:15" ht="15.5" x14ac:dyDescent="0.25">
      <c r="A6" s="584"/>
      <c r="B6" s="770" t="s">
        <v>730</v>
      </c>
      <c r="C6" s="706"/>
      <c r="D6" s="539"/>
      <c r="E6" s="541"/>
      <c r="F6" s="539"/>
      <c r="G6" s="541"/>
      <c r="H6" s="541"/>
      <c r="I6" s="576"/>
      <c r="J6" s="698">
        <f t="shared" ref="J6:J9" si="0">G6*I6</f>
        <v>0</v>
      </c>
      <c r="K6" s="541"/>
      <c r="L6" s="539"/>
      <c r="M6" s="541"/>
      <c r="N6" s="715"/>
      <c r="O6" s="585"/>
    </row>
    <row r="7" spans="1:15" ht="15.5" x14ac:dyDescent="0.25">
      <c r="A7" s="584"/>
      <c r="B7" s="770" t="s">
        <v>731</v>
      </c>
      <c r="C7" s="706"/>
      <c r="D7" s="539"/>
      <c r="E7" s="541"/>
      <c r="F7" s="539"/>
      <c r="G7" s="541"/>
      <c r="H7" s="541"/>
      <c r="I7" s="576"/>
      <c r="J7" s="698">
        <f t="shared" si="0"/>
        <v>0</v>
      </c>
      <c r="K7" s="541"/>
      <c r="L7" s="539"/>
      <c r="M7" s="541"/>
      <c r="N7" s="715"/>
      <c r="O7" s="585"/>
    </row>
    <row r="8" spans="1:15" ht="15.5" x14ac:dyDescent="0.25">
      <c r="A8" s="584"/>
      <c r="B8" s="770" t="s">
        <v>732</v>
      </c>
      <c r="C8" s="706"/>
      <c r="D8" s="539"/>
      <c r="E8" s="541"/>
      <c r="F8" s="539"/>
      <c r="G8" s="541"/>
      <c r="H8" s="541"/>
      <c r="I8" s="576"/>
      <c r="J8" s="698">
        <f t="shared" si="0"/>
        <v>0</v>
      </c>
      <c r="K8" s="541"/>
      <c r="L8" s="539"/>
      <c r="M8" s="541"/>
      <c r="N8" s="715"/>
      <c r="O8" s="585"/>
    </row>
    <row r="9" spans="1:15" ht="16" thickBot="1" x14ac:dyDescent="0.3">
      <c r="A9" s="584"/>
      <c r="B9" s="771" t="s">
        <v>733</v>
      </c>
      <c r="C9" s="717"/>
      <c r="D9" s="718"/>
      <c r="E9" s="719"/>
      <c r="F9" s="718"/>
      <c r="G9" s="719"/>
      <c r="H9" s="719"/>
      <c r="I9" s="720"/>
      <c r="J9" s="721">
        <f t="shared" si="0"/>
        <v>0</v>
      </c>
      <c r="K9" s="719"/>
      <c r="L9" s="718"/>
      <c r="M9" s="719"/>
      <c r="N9" s="722"/>
      <c r="O9" s="585"/>
    </row>
    <row r="10" spans="1:15" ht="24.65" customHeight="1" thickBot="1" x14ac:dyDescent="0.3">
      <c r="A10" s="584"/>
      <c r="B10" s="702"/>
      <c r="C10" s="703"/>
      <c r="D10" s="703"/>
      <c r="E10" s="702"/>
      <c r="F10" s="703"/>
      <c r="G10" s="702"/>
      <c r="H10" s="1756" t="s">
        <v>734</v>
      </c>
      <c r="I10" s="1757"/>
      <c r="J10" s="723">
        <f>SUM(J5:J9)</f>
        <v>0</v>
      </c>
      <c r="K10" s="702"/>
      <c r="L10" s="703"/>
      <c r="M10" s="702"/>
      <c r="N10" s="702"/>
      <c r="O10" s="585"/>
    </row>
    <row r="11" spans="1:15" ht="26.5" customHeight="1" thickBot="1" x14ac:dyDescent="0.3">
      <c r="A11" s="584"/>
      <c r="B11" s="762" t="s">
        <v>708</v>
      </c>
      <c r="C11" s="703"/>
      <c r="D11" s="703"/>
      <c r="E11" s="702"/>
      <c r="F11" s="703"/>
      <c r="G11" s="702"/>
      <c r="H11" s="702"/>
      <c r="I11" s="704"/>
      <c r="J11" s="704"/>
      <c r="K11" s="702"/>
      <c r="L11" s="703"/>
      <c r="M11" s="702"/>
      <c r="N11" s="702"/>
      <c r="O11" s="585"/>
    </row>
    <row r="12" spans="1:15" ht="15.5" x14ac:dyDescent="0.25">
      <c r="A12" s="584"/>
      <c r="B12" s="765"/>
      <c r="C12" s="709"/>
      <c r="D12" s="710"/>
      <c r="E12" s="711"/>
      <c r="F12" s="710"/>
      <c r="G12" s="711"/>
      <c r="H12" s="711"/>
      <c r="I12" s="712"/>
      <c r="J12" s="713">
        <f t="shared" ref="J12:J16" si="1">G12*I12</f>
        <v>0</v>
      </c>
      <c r="K12" s="711"/>
      <c r="L12" s="710"/>
      <c r="M12" s="711"/>
      <c r="N12" s="714"/>
      <c r="O12" s="585"/>
    </row>
    <row r="13" spans="1:15" ht="15.5" x14ac:dyDescent="0.25">
      <c r="A13" s="584"/>
      <c r="B13" s="766"/>
      <c r="C13" s="706"/>
      <c r="D13" s="539"/>
      <c r="E13" s="541"/>
      <c r="F13" s="539"/>
      <c r="G13" s="541"/>
      <c r="H13" s="541"/>
      <c r="I13" s="540"/>
      <c r="J13" s="698">
        <f t="shared" si="1"/>
        <v>0</v>
      </c>
      <c r="K13" s="541"/>
      <c r="L13" s="539"/>
      <c r="M13" s="541"/>
      <c r="N13" s="715"/>
      <c r="O13" s="585"/>
    </row>
    <row r="14" spans="1:15" ht="15.5" x14ac:dyDescent="0.25">
      <c r="A14" s="584"/>
      <c r="B14" s="766"/>
      <c r="C14" s="707"/>
      <c r="D14" s="699"/>
      <c r="E14" s="700"/>
      <c r="F14" s="699"/>
      <c r="G14" s="700"/>
      <c r="H14" s="700"/>
      <c r="I14" s="701"/>
      <c r="J14" s="698">
        <f t="shared" si="1"/>
        <v>0</v>
      </c>
      <c r="K14" s="700"/>
      <c r="L14" s="699"/>
      <c r="M14" s="700"/>
      <c r="N14" s="716"/>
      <c r="O14" s="585"/>
    </row>
    <row r="15" spans="1:15" ht="15.5" x14ac:dyDescent="0.25">
      <c r="A15" s="584"/>
      <c r="B15" s="766"/>
      <c r="C15" s="707"/>
      <c r="D15" s="699"/>
      <c r="E15" s="700"/>
      <c r="F15" s="699"/>
      <c r="G15" s="700"/>
      <c r="H15" s="700"/>
      <c r="I15" s="701"/>
      <c r="J15" s="698">
        <f t="shared" si="1"/>
        <v>0</v>
      </c>
      <c r="K15" s="700"/>
      <c r="L15" s="699"/>
      <c r="M15" s="700"/>
      <c r="N15" s="716"/>
      <c r="O15" s="585"/>
    </row>
    <row r="16" spans="1:15" ht="16" thickBot="1" x14ac:dyDescent="0.3">
      <c r="A16" s="584"/>
      <c r="B16" s="767"/>
      <c r="C16" s="717"/>
      <c r="D16" s="718"/>
      <c r="E16" s="719"/>
      <c r="F16" s="718"/>
      <c r="G16" s="719"/>
      <c r="H16" s="719"/>
      <c r="I16" s="720"/>
      <c r="J16" s="721">
        <f t="shared" si="1"/>
        <v>0</v>
      </c>
      <c r="K16" s="719"/>
      <c r="L16" s="718"/>
      <c r="M16" s="719"/>
      <c r="N16" s="722"/>
      <c r="O16" s="585"/>
    </row>
    <row r="17" spans="1:16" ht="25" customHeight="1" thickBot="1" x14ac:dyDescent="0.3">
      <c r="A17" s="584"/>
      <c r="B17" s="703"/>
      <c r="C17" s="703"/>
      <c r="D17" s="703"/>
      <c r="E17" s="703"/>
      <c r="F17" s="703"/>
      <c r="G17" s="703"/>
      <c r="H17" s="1756" t="s">
        <v>734</v>
      </c>
      <c r="I17" s="1757"/>
      <c r="J17" s="708">
        <f>SUM(J12:J16)</f>
        <v>0</v>
      </c>
      <c r="K17" s="703"/>
      <c r="L17" s="703"/>
      <c r="M17" s="703"/>
      <c r="N17" s="703"/>
      <c r="O17" s="585"/>
    </row>
    <row r="18" spans="1:16" ht="13.5" thickBot="1" x14ac:dyDescent="0.3">
      <c r="A18" s="584"/>
      <c r="B18" s="538"/>
      <c r="C18" s="538"/>
      <c r="D18" s="538"/>
      <c r="E18" s="538"/>
      <c r="F18" s="538"/>
      <c r="G18" s="538"/>
      <c r="H18" s="538"/>
      <c r="I18" s="538"/>
      <c r="J18" s="538"/>
      <c r="K18" s="538"/>
      <c r="L18" s="538"/>
      <c r="M18" s="538"/>
      <c r="N18" s="538"/>
      <c r="O18" s="585"/>
    </row>
    <row r="19" spans="1:16" ht="35.15" customHeight="1" x14ac:dyDescent="0.25">
      <c r="A19" s="584"/>
      <c r="B19" s="1753" t="s">
        <v>292</v>
      </c>
      <c r="C19" s="1752" t="s">
        <v>709</v>
      </c>
      <c r="D19" s="1712"/>
      <c r="E19" s="1712"/>
      <c r="F19" s="1712"/>
      <c r="G19" s="1712"/>
      <c r="H19" s="1712"/>
      <c r="I19" s="1712"/>
      <c r="J19" s="1712"/>
      <c r="K19" s="1712"/>
      <c r="L19" s="1712"/>
      <c r="M19" s="1712"/>
      <c r="N19" s="1712"/>
      <c r="O19" s="585"/>
    </row>
    <row r="20" spans="1:16" ht="24.65" customHeight="1" x14ac:dyDescent="0.25">
      <c r="A20" s="584"/>
      <c r="B20" s="1754"/>
      <c r="C20" s="1752" t="s">
        <v>735</v>
      </c>
      <c r="D20" s="1712"/>
      <c r="E20" s="1712"/>
      <c r="F20" s="1712"/>
      <c r="G20" s="1712"/>
      <c r="H20" s="1712"/>
      <c r="I20" s="1712"/>
      <c r="J20" s="1712"/>
      <c r="K20" s="1712"/>
      <c r="L20" s="1712"/>
      <c r="M20" s="1712"/>
      <c r="N20" s="1712"/>
      <c r="O20" s="585"/>
      <c r="P20" s="530"/>
    </row>
    <row r="21" spans="1:16" ht="24" customHeight="1" x14ac:dyDescent="0.25">
      <c r="A21" s="584"/>
      <c r="B21" s="1754"/>
      <c r="C21" s="1752" t="s">
        <v>736</v>
      </c>
      <c r="D21" s="1712"/>
      <c r="E21" s="1712"/>
      <c r="F21" s="1712"/>
      <c r="G21" s="1712"/>
      <c r="H21" s="1712"/>
      <c r="I21" s="1712"/>
      <c r="J21" s="1712"/>
      <c r="K21" s="1712"/>
      <c r="L21" s="1712"/>
      <c r="M21" s="1712"/>
      <c r="N21" s="1712"/>
      <c r="O21" s="585"/>
      <c r="P21" s="530"/>
    </row>
    <row r="22" spans="1:16" ht="36" customHeight="1" x14ac:dyDescent="0.25">
      <c r="A22" s="584"/>
      <c r="B22" s="1754"/>
      <c r="C22" s="1752" t="s">
        <v>737</v>
      </c>
      <c r="D22" s="1712"/>
      <c r="E22" s="1712"/>
      <c r="F22" s="1712"/>
      <c r="G22" s="1712"/>
      <c r="H22" s="1712"/>
      <c r="I22" s="1712"/>
      <c r="J22" s="1712"/>
      <c r="K22" s="1712"/>
      <c r="L22" s="1712"/>
      <c r="M22" s="1712"/>
      <c r="N22" s="1712"/>
      <c r="O22" s="585"/>
      <c r="P22" s="530"/>
    </row>
    <row r="23" spans="1:16" ht="42" customHeight="1" x14ac:dyDescent="0.25">
      <c r="A23" s="584"/>
      <c r="B23" s="1754"/>
      <c r="C23" s="1752" t="s">
        <v>738</v>
      </c>
      <c r="D23" s="1712"/>
      <c r="E23" s="1712"/>
      <c r="F23" s="1712"/>
      <c r="G23" s="1712"/>
      <c r="H23" s="1712"/>
      <c r="I23" s="1712"/>
      <c r="J23" s="1712"/>
      <c r="K23" s="1712"/>
      <c r="L23" s="1712"/>
      <c r="M23" s="1712"/>
      <c r="N23" s="1712"/>
      <c r="O23" s="585"/>
      <c r="P23" s="530"/>
    </row>
    <row r="24" spans="1:16" ht="63" customHeight="1" x14ac:dyDescent="0.25">
      <c r="A24" s="584"/>
      <c r="B24" s="1754"/>
      <c r="C24" s="1752" t="s">
        <v>739</v>
      </c>
      <c r="D24" s="1712"/>
      <c r="E24" s="1712"/>
      <c r="F24" s="1712"/>
      <c r="G24" s="1712"/>
      <c r="H24" s="1712"/>
      <c r="I24" s="1712"/>
      <c r="J24" s="1712"/>
      <c r="K24" s="1712"/>
      <c r="L24" s="1712"/>
      <c r="M24" s="1712"/>
      <c r="N24" s="1712"/>
      <c r="O24" s="585"/>
      <c r="P24" s="530"/>
    </row>
    <row r="25" spans="1:16" ht="26.15" customHeight="1" x14ac:dyDescent="0.25">
      <c r="A25" s="584"/>
      <c r="B25" s="1754"/>
      <c r="C25" s="1752" t="s">
        <v>740</v>
      </c>
      <c r="D25" s="1712"/>
      <c r="E25" s="1712"/>
      <c r="F25" s="1712"/>
      <c r="G25" s="1712"/>
      <c r="H25" s="1712"/>
      <c r="I25" s="1712"/>
      <c r="J25" s="1712"/>
      <c r="K25" s="1712"/>
      <c r="L25" s="1712"/>
      <c r="M25" s="1712"/>
      <c r="N25" s="1712"/>
      <c r="O25" s="585"/>
      <c r="P25" s="530"/>
    </row>
    <row r="26" spans="1:16" ht="45" customHeight="1" thickBot="1" x14ac:dyDescent="0.3">
      <c r="A26" s="584"/>
      <c r="B26" s="1755"/>
      <c r="C26" s="1752" t="s">
        <v>741</v>
      </c>
      <c r="D26" s="1712"/>
      <c r="E26" s="1712"/>
      <c r="F26" s="1712"/>
      <c r="G26" s="1712"/>
      <c r="H26" s="1712"/>
      <c r="I26" s="1712"/>
      <c r="J26" s="1712"/>
      <c r="K26" s="1712"/>
      <c r="L26" s="1712"/>
      <c r="M26" s="1712"/>
      <c r="N26" s="1712"/>
      <c r="O26" s="585"/>
      <c r="P26" s="530"/>
    </row>
    <row r="27" spans="1:16" ht="42.65" customHeight="1" thickBot="1" x14ac:dyDescent="0.3">
      <c r="A27" s="584"/>
      <c r="B27" s="728" t="s">
        <v>742</v>
      </c>
      <c r="C27" s="1758" t="s">
        <v>743</v>
      </c>
      <c r="D27" s="1267"/>
      <c r="E27" s="1267"/>
      <c r="F27" s="1267"/>
      <c r="G27" s="1267"/>
      <c r="H27" s="1267"/>
      <c r="I27" s="1267"/>
      <c r="J27" s="1267"/>
      <c r="K27" s="1267"/>
      <c r="L27" s="1267"/>
      <c r="M27" s="1267"/>
      <c r="N27" s="1267"/>
      <c r="O27" s="585"/>
      <c r="P27" s="530"/>
    </row>
    <row r="28" spans="1:16" ht="16" thickBot="1" x14ac:dyDescent="0.3">
      <c r="A28" s="586"/>
      <c r="B28" s="587"/>
      <c r="C28" s="587"/>
      <c r="D28" s="587"/>
      <c r="E28" s="587"/>
      <c r="F28" s="587"/>
      <c r="G28" s="587"/>
      <c r="H28" s="587"/>
      <c r="I28" s="587"/>
      <c r="J28" s="587"/>
      <c r="K28" s="587"/>
      <c r="L28" s="587"/>
      <c r="M28" s="587"/>
      <c r="N28" s="587"/>
      <c r="O28" s="588"/>
      <c r="P28" s="530"/>
    </row>
    <row r="29" spans="1:16" ht="15.5" x14ac:dyDescent="0.25">
      <c r="P29" s="530"/>
    </row>
    <row r="30" spans="1:16" ht="15.5" x14ac:dyDescent="0.25">
      <c r="P30" s="530"/>
    </row>
    <row r="31" spans="1:16" ht="15.5" x14ac:dyDescent="0.25">
      <c r="P31" s="530"/>
    </row>
    <row r="32" spans="1:16" ht="15.5" x14ac:dyDescent="0.25">
      <c r="P32" s="530"/>
    </row>
    <row r="33" spans="16:16" ht="15.5" x14ac:dyDescent="0.25">
      <c r="P33" s="530"/>
    </row>
    <row r="34" spans="16:16" ht="15.5" x14ac:dyDescent="0.25">
      <c r="P34" s="530"/>
    </row>
    <row r="35" spans="16:16" ht="15.5" x14ac:dyDescent="0.25">
      <c r="P35" s="530"/>
    </row>
    <row r="36" spans="16:16" ht="15.5" x14ac:dyDescent="0.25">
      <c r="P36" s="530"/>
    </row>
    <row r="37" spans="16:16" ht="15.5" x14ac:dyDescent="0.25">
      <c r="P37" s="530"/>
    </row>
    <row r="38" spans="16:16" ht="15.5" x14ac:dyDescent="0.25">
      <c r="P38" s="530"/>
    </row>
    <row r="39" spans="16:16" ht="15.5" x14ac:dyDescent="0.25">
      <c r="P39" s="530"/>
    </row>
    <row r="40" spans="16:16" ht="15.5" x14ac:dyDescent="0.25">
      <c r="P40" s="530"/>
    </row>
    <row r="41" spans="16:16" ht="15.5" x14ac:dyDescent="0.25">
      <c r="P41" s="530"/>
    </row>
    <row r="42" spans="16:16" ht="15.5" x14ac:dyDescent="0.25">
      <c r="P42" s="530"/>
    </row>
    <row r="43" spans="16:16" ht="15.5" x14ac:dyDescent="0.25">
      <c r="P43" s="530"/>
    </row>
    <row r="44" spans="16:16" ht="15.5" x14ac:dyDescent="0.25">
      <c r="P44" s="530"/>
    </row>
    <row r="45" spans="16:16" ht="15.5" x14ac:dyDescent="0.25">
      <c r="P45" s="530"/>
    </row>
    <row r="46" spans="16:16" ht="15.5" x14ac:dyDescent="0.25">
      <c r="P46" s="530"/>
    </row>
    <row r="47" spans="16:16" ht="15.5" x14ac:dyDescent="0.25">
      <c r="P47" s="530"/>
    </row>
    <row r="48" spans="16:16" ht="15.5" x14ac:dyDescent="0.25">
      <c r="P48" s="530"/>
    </row>
    <row r="49" spans="16:16" ht="15.5" x14ac:dyDescent="0.25">
      <c r="P49" s="530"/>
    </row>
    <row r="50" spans="16:16" ht="15.5" x14ac:dyDescent="0.25">
      <c r="P50" s="530"/>
    </row>
    <row r="51" spans="16:16" ht="15.5" x14ac:dyDescent="0.25">
      <c r="P51" s="530"/>
    </row>
    <row r="52" spans="16:16" ht="15.5" x14ac:dyDescent="0.25">
      <c r="P52" s="530"/>
    </row>
    <row r="53" spans="16:16" ht="15.5" x14ac:dyDescent="0.25">
      <c r="P53" s="530"/>
    </row>
    <row r="54" spans="16:16" ht="15.5" x14ac:dyDescent="0.25">
      <c r="P54" s="530"/>
    </row>
    <row r="55" spans="16:16" ht="15.5" x14ac:dyDescent="0.25">
      <c r="P55" s="530"/>
    </row>
    <row r="56" spans="16:16" ht="15.5" x14ac:dyDescent="0.25">
      <c r="P56" s="530"/>
    </row>
    <row r="57" spans="16:16" ht="15.5" x14ac:dyDescent="0.25">
      <c r="P57" s="530"/>
    </row>
    <row r="58" spans="16:16" ht="15.5" x14ac:dyDescent="0.25">
      <c r="P58" s="530"/>
    </row>
    <row r="59" spans="16:16" ht="15.5" x14ac:dyDescent="0.25">
      <c r="P59" s="530"/>
    </row>
    <row r="60" spans="16:16" ht="15.5" x14ac:dyDescent="0.25">
      <c r="P60" s="530"/>
    </row>
    <row r="61" spans="16:16" ht="15.5" x14ac:dyDescent="0.25">
      <c r="P61" s="530"/>
    </row>
    <row r="62" spans="16:16" ht="15.5" x14ac:dyDescent="0.25">
      <c r="P62" s="530"/>
    </row>
    <row r="63" spans="16:16" ht="15.5" x14ac:dyDescent="0.25">
      <c r="P63" s="530"/>
    </row>
    <row r="64" spans="16:16" ht="15.5" x14ac:dyDescent="0.25">
      <c r="P64" s="530"/>
    </row>
    <row r="65" spans="2:16" ht="15.5" x14ac:dyDescent="0.25">
      <c r="P65" s="530"/>
    </row>
    <row r="66" spans="2:16" ht="15.75" customHeight="1" x14ac:dyDescent="0.25">
      <c r="B66" s="613" t="s">
        <v>294</v>
      </c>
      <c r="C66" s="1759" t="s">
        <v>744</v>
      </c>
      <c r="D66" s="1759"/>
      <c r="E66" s="1759"/>
      <c r="F66" s="1759"/>
      <c r="G66" s="1759"/>
      <c r="H66" s="1759"/>
      <c r="I66" s="1759"/>
      <c r="J66" s="1759"/>
      <c r="K66" s="1759"/>
      <c r="L66" s="1759"/>
      <c r="M66" s="1759"/>
      <c r="N66" s="1759"/>
      <c r="O66" s="577"/>
      <c r="P66" s="519"/>
    </row>
    <row r="67" spans="2:16" ht="37.5" customHeight="1" x14ac:dyDescent="0.25">
      <c r="C67" s="1759"/>
      <c r="D67" s="1759"/>
      <c r="E67" s="1759"/>
      <c r="F67" s="1759"/>
      <c r="G67" s="1759"/>
      <c r="H67" s="1759"/>
      <c r="I67" s="1759"/>
      <c r="J67" s="1759"/>
      <c r="K67" s="1759"/>
      <c r="L67" s="1759"/>
      <c r="M67" s="1759"/>
      <c r="N67" s="1759"/>
      <c r="O67" s="577"/>
      <c r="P67" s="578"/>
    </row>
    <row r="68" spans="2:16" ht="14.25" customHeight="1" x14ac:dyDescent="0.25">
      <c r="C68" s="579"/>
      <c r="D68" s="579"/>
      <c r="E68" s="579"/>
      <c r="F68" s="579"/>
      <c r="G68" s="579"/>
      <c r="H68" s="579"/>
      <c r="I68" s="579"/>
      <c r="J68" s="579"/>
      <c r="K68" s="579"/>
      <c r="L68" s="579"/>
      <c r="M68" s="579"/>
      <c r="N68" s="577"/>
      <c r="O68" s="577"/>
      <c r="P68" s="519"/>
    </row>
    <row r="69" spans="2:16" ht="15.5" x14ac:dyDescent="0.25">
      <c r="B69" s="613" t="s">
        <v>745</v>
      </c>
      <c r="C69" s="1761" t="s">
        <v>746</v>
      </c>
      <c r="D69" s="1761"/>
      <c r="E69" s="1761"/>
      <c r="F69" s="1761"/>
      <c r="G69" s="1761"/>
      <c r="H69" s="1761"/>
      <c r="I69" s="1761"/>
      <c r="J69" s="1761"/>
      <c r="K69" s="1761"/>
      <c r="L69" s="519"/>
      <c r="M69" s="519"/>
      <c r="N69" s="519"/>
      <c r="O69" s="519"/>
      <c r="P69" s="519"/>
    </row>
    <row r="70" spans="2:16" ht="15.5" x14ac:dyDescent="0.25">
      <c r="B70" s="519"/>
      <c r="C70" s="519"/>
      <c r="D70" s="519"/>
      <c r="E70" s="519"/>
      <c r="F70" s="519"/>
      <c r="G70" s="519"/>
      <c r="H70" s="519"/>
      <c r="I70" s="519"/>
      <c r="J70" s="519"/>
      <c r="K70" s="519"/>
      <c r="L70" s="519"/>
      <c r="M70" s="519"/>
      <c r="N70" s="519"/>
      <c r="O70" s="519"/>
      <c r="P70" s="519"/>
    </row>
    <row r="71" spans="2:16" ht="15.5" x14ac:dyDescent="0.25">
      <c r="B71" s="613" t="s">
        <v>465</v>
      </c>
      <c r="C71" s="1761" t="s">
        <v>747</v>
      </c>
      <c r="D71" s="1761"/>
      <c r="E71" s="1761"/>
      <c r="F71" s="1761"/>
      <c r="G71" s="1761"/>
      <c r="H71" s="1761"/>
      <c r="I71" s="1761"/>
      <c r="J71" s="1761"/>
      <c r="K71" s="1761"/>
      <c r="L71" s="1761"/>
      <c r="M71" s="519"/>
      <c r="N71" s="519"/>
      <c r="O71" s="519"/>
      <c r="P71" s="578"/>
    </row>
    <row r="72" spans="2:16" ht="15.75" customHeight="1" x14ac:dyDescent="0.25">
      <c r="B72" s="613"/>
      <c r="C72" s="1759" t="s">
        <v>748</v>
      </c>
      <c r="D72" s="1759"/>
      <c r="E72" s="1759"/>
      <c r="F72" s="1759"/>
      <c r="G72" s="1759"/>
      <c r="H72" s="1759"/>
      <c r="I72" s="1759"/>
      <c r="J72" s="1759"/>
      <c r="K72" s="1759"/>
      <c r="L72" s="1759"/>
      <c r="M72" s="1759"/>
      <c r="N72" s="1759"/>
      <c r="O72" s="519"/>
    </row>
    <row r="73" spans="2:16" ht="24.75" customHeight="1" x14ac:dyDescent="0.25">
      <c r="B73" s="613"/>
      <c r="C73" s="1759"/>
      <c r="D73" s="1759"/>
      <c r="E73" s="1759"/>
      <c r="F73" s="1759"/>
      <c r="G73" s="1759"/>
      <c r="H73" s="1759"/>
      <c r="I73" s="1759"/>
      <c r="J73" s="1759"/>
      <c r="K73" s="1759"/>
      <c r="L73" s="1759"/>
      <c r="M73" s="1759"/>
      <c r="N73" s="1759"/>
      <c r="O73" s="519"/>
    </row>
    <row r="74" spans="2:16" ht="15.75" customHeight="1" x14ac:dyDescent="0.25">
      <c r="B74" s="613"/>
      <c r="C74" s="1210"/>
      <c r="D74" s="1210"/>
      <c r="E74" s="1210"/>
      <c r="F74" s="1210"/>
      <c r="G74" s="1210"/>
      <c r="H74" s="1210"/>
      <c r="I74" s="1210"/>
      <c r="J74" s="1210"/>
      <c r="K74" s="1210"/>
      <c r="L74" s="1210"/>
      <c r="M74" s="579"/>
      <c r="N74" s="519"/>
      <c r="O74" s="519"/>
    </row>
    <row r="75" spans="2:16" ht="15.5" x14ac:dyDescent="0.25">
      <c r="B75" s="613"/>
      <c r="C75" s="1759" t="s">
        <v>749</v>
      </c>
      <c r="D75" s="1759"/>
      <c r="E75" s="1759"/>
      <c r="F75" s="1759"/>
      <c r="G75" s="1759"/>
      <c r="H75" s="1759"/>
      <c r="I75" s="1759"/>
      <c r="J75" s="1759"/>
      <c r="K75" s="1759"/>
      <c r="L75" s="1759"/>
      <c r="M75" s="1759"/>
      <c r="N75" s="1759"/>
      <c r="O75" s="519"/>
    </row>
    <row r="76" spans="2:16" ht="15.5" x14ac:dyDescent="0.25">
      <c r="B76" s="613"/>
      <c r="C76" s="1759"/>
      <c r="D76" s="1759"/>
      <c r="E76" s="1759"/>
      <c r="F76" s="1759"/>
      <c r="G76" s="1759"/>
      <c r="H76" s="1759"/>
      <c r="I76" s="1759"/>
      <c r="J76" s="1759"/>
      <c r="K76" s="1759"/>
      <c r="L76" s="1759"/>
      <c r="M76" s="1759"/>
      <c r="N76" s="1759"/>
      <c r="O76" s="519"/>
    </row>
    <row r="77" spans="2:16" ht="8.25" customHeight="1" x14ac:dyDescent="0.25">
      <c r="B77" s="613"/>
      <c r="C77" s="1759"/>
      <c r="D77" s="1759"/>
      <c r="E77" s="1759"/>
      <c r="F77" s="1759"/>
      <c r="G77" s="1759"/>
      <c r="H77" s="1759"/>
      <c r="I77" s="1759"/>
      <c r="J77" s="1759"/>
      <c r="K77" s="1759"/>
      <c r="L77" s="1759"/>
      <c r="M77" s="1759"/>
      <c r="N77" s="1759"/>
      <c r="O77" s="519"/>
    </row>
    <row r="78" spans="2:16" ht="15.5" x14ac:dyDescent="0.25">
      <c r="B78" s="519"/>
      <c r="C78" s="579"/>
      <c r="D78" s="579"/>
      <c r="E78" s="579"/>
      <c r="F78" s="579"/>
      <c r="G78" s="579"/>
      <c r="H78" s="579"/>
      <c r="I78" s="579"/>
      <c r="J78" s="579"/>
      <c r="K78" s="579"/>
      <c r="L78" s="579"/>
      <c r="M78" s="579"/>
      <c r="N78" s="519"/>
      <c r="O78" s="519"/>
    </row>
    <row r="79" spans="2:16" ht="15.5" x14ac:dyDescent="0.25">
      <c r="B79" s="519"/>
      <c r="C79" s="1759" t="s">
        <v>750</v>
      </c>
      <c r="D79" s="1759"/>
      <c r="E79" s="1759"/>
      <c r="F79" s="1759"/>
      <c r="G79" s="1759"/>
      <c r="H79" s="1759"/>
      <c r="I79" s="1759"/>
      <c r="J79" s="1759"/>
      <c r="K79" s="1759"/>
      <c r="L79" s="1759"/>
      <c r="M79" s="1759"/>
      <c r="N79" s="1759"/>
      <c r="O79" s="519"/>
    </row>
    <row r="80" spans="2:16" ht="12.75" customHeight="1" x14ac:dyDescent="0.25">
      <c r="B80" s="519"/>
      <c r="C80" s="1759"/>
      <c r="D80" s="1759"/>
      <c r="E80" s="1759"/>
      <c r="F80" s="1759"/>
      <c r="G80" s="1759"/>
      <c r="H80" s="1759"/>
      <c r="I80" s="1759"/>
      <c r="J80" s="1759"/>
      <c r="K80" s="1759"/>
      <c r="L80" s="1759"/>
      <c r="M80" s="1759"/>
      <c r="N80" s="1759"/>
      <c r="O80" s="519"/>
    </row>
    <row r="81" spans="2:17" ht="15.5" x14ac:dyDescent="0.25">
      <c r="B81" s="519"/>
      <c r="C81" s="579"/>
      <c r="D81" s="579"/>
      <c r="E81" s="579"/>
      <c r="F81" s="579"/>
      <c r="G81" s="579"/>
      <c r="H81" s="579"/>
      <c r="I81" s="579"/>
      <c r="J81" s="579"/>
      <c r="K81" s="579"/>
      <c r="L81" s="519"/>
      <c r="M81" s="519"/>
      <c r="N81" s="519"/>
      <c r="O81" s="519"/>
    </row>
    <row r="82" spans="2:17" ht="32.25" customHeight="1" x14ac:dyDescent="0.25">
      <c r="B82" s="613" t="s">
        <v>467</v>
      </c>
      <c r="C82" s="1760" t="s">
        <v>718</v>
      </c>
      <c r="D82" s="1760"/>
      <c r="E82" s="1760"/>
      <c r="F82" s="1760"/>
      <c r="G82" s="1760"/>
      <c r="H82" s="1760"/>
      <c r="I82" s="1760"/>
      <c r="J82" s="1760"/>
      <c r="K82" s="1760"/>
      <c r="L82" s="1760"/>
      <c r="M82" s="1760"/>
      <c r="N82" s="1760"/>
      <c r="O82" s="519"/>
      <c r="P82" s="519"/>
      <c r="Q82" s="519"/>
    </row>
    <row r="83" spans="2:17" ht="15.5" x14ac:dyDescent="0.25">
      <c r="C83" s="530"/>
    </row>
    <row r="84" spans="2:17" ht="15.5" x14ac:dyDescent="0.25">
      <c r="C84" s="530"/>
    </row>
    <row r="85" spans="2:17" ht="15.5" x14ac:dyDescent="0.25">
      <c r="C85" s="530"/>
    </row>
    <row r="86" spans="2:17" ht="15.5" x14ac:dyDescent="0.25">
      <c r="C86" s="530"/>
    </row>
    <row r="87" spans="2:17" ht="15.5" x14ac:dyDescent="0.25">
      <c r="C87" s="530"/>
    </row>
    <row r="88" spans="2:17" ht="15.5" x14ac:dyDescent="0.25">
      <c r="C88" s="530"/>
    </row>
    <row r="89" spans="2:17" ht="15.5" x14ac:dyDescent="0.25">
      <c r="C89" s="530"/>
    </row>
    <row r="90" spans="2:17" ht="15.5" x14ac:dyDescent="0.25">
      <c r="B90" s="580"/>
      <c r="C90" s="530"/>
    </row>
    <row r="91" spans="2:17" ht="15.5" x14ac:dyDescent="0.25">
      <c r="C91" s="530"/>
    </row>
    <row r="92" spans="2:17" x14ac:dyDescent="0.25">
      <c r="B92" s="580"/>
    </row>
    <row r="94" spans="2:17" x14ac:dyDescent="0.25">
      <c r="B94" s="580"/>
    </row>
    <row r="96" spans="2:17" x14ac:dyDescent="0.25">
      <c r="B96" s="580"/>
    </row>
  </sheetData>
  <mergeCells count="21">
    <mergeCell ref="C27:N27"/>
    <mergeCell ref="C79:N80"/>
    <mergeCell ref="C82:N82"/>
    <mergeCell ref="C71:L71"/>
    <mergeCell ref="C66:N67"/>
    <mergeCell ref="C72:N73"/>
    <mergeCell ref="C75:N77"/>
    <mergeCell ref="C69:K69"/>
    <mergeCell ref="B2:C2"/>
    <mergeCell ref="E2:G2"/>
    <mergeCell ref="C20:N20"/>
    <mergeCell ref="C21:N21"/>
    <mergeCell ref="C22:N22"/>
    <mergeCell ref="B19:B26"/>
    <mergeCell ref="C19:N19"/>
    <mergeCell ref="C23:N23"/>
    <mergeCell ref="C24:N24"/>
    <mergeCell ref="C25:N25"/>
    <mergeCell ref="C26:N26"/>
    <mergeCell ref="H10:I10"/>
    <mergeCell ref="H17:I17"/>
  </mergeCells>
  <phoneticPr fontId="4" type="noConversion"/>
  <dataValidations count="1">
    <dataValidation type="list" showInputMessage="1" showErrorMessage="1" sqref="M5:M16" xr:uid="{00000000-0002-0000-1100-000000000000}">
      <formula1>$O$5:$O$8</formula1>
    </dataValidation>
  </dataValidations>
  <pageMargins left="0.75" right="0.75" top="1" bottom="1" header="0.5" footer="0.5"/>
  <pageSetup scale="67" orientation="landscape"/>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5">
    <pageSetUpPr fitToPage="1"/>
  </sheetPr>
  <dimension ref="A1:O35"/>
  <sheetViews>
    <sheetView view="pageBreakPreview" zoomScale="85" zoomScaleNormal="100" zoomScaleSheetLayoutView="85" workbookViewId="0"/>
  </sheetViews>
  <sheetFormatPr defaultColWidth="8.453125" defaultRowHeight="14.5" x14ac:dyDescent="0.25"/>
  <cols>
    <col min="1" max="1" width="4.54296875" style="511" customWidth="1"/>
    <col min="2" max="2" width="14.1796875" style="511" customWidth="1"/>
    <col min="3" max="3" width="39.1796875" style="511" customWidth="1"/>
    <col min="4" max="4" width="8.81640625" style="511" customWidth="1"/>
    <col min="5" max="5" width="11.453125" style="511" customWidth="1"/>
    <col min="6" max="6" width="15.453125" style="511" customWidth="1"/>
    <col min="7" max="7" width="17.54296875" style="511" customWidth="1"/>
    <col min="8" max="8" width="31.1796875" style="511" customWidth="1"/>
    <col min="9" max="9" width="30.54296875" style="511" customWidth="1"/>
    <col min="10" max="10" width="21" style="511" customWidth="1"/>
    <col min="11" max="11" width="5.81640625" style="511" customWidth="1"/>
    <col min="12" max="16384" width="8.453125" style="511"/>
  </cols>
  <sheetData>
    <row r="1" spans="1:11" ht="15" thickBot="1" x14ac:dyDescent="0.3">
      <c r="A1" s="531"/>
      <c r="B1" s="531"/>
      <c r="C1" s="531"/>
      <c r="D1" s="531"/>
      <c r="E1" s="531"/>
      <c r="F1" s="531"/>
      <c r="G1" s="531"/>
      <c r="H1" s="531"/>
      <c r="I1" s="531"/>
      <c r="J1" s="531"/>
      <c r="K1" s="531"/>
    </row>
    <row r="2" spans="1:11" ht="39" customHeight="1" thickBot="1" x14ac:dyDescent="0.3">
      <c r="A2" s="531"/>
      <c r="B2" s="531"/>
      <c r="C2" s="1763" t="s">
        <v>751</v>
      </c>
      <c r="D2" s="1764"/>
      <c r="E2" s="1765"/>
      <c r="F2" s="531"/>
      <c r="G2" s="1766" t="str">
        <f>General!D4</f>
        <v>Name</v>
      </c>
      <c r="H2" s="1767"/>
      <c r="I2" s="1767"/>
      <c r="J2" s="1768"/>
      <c r="K2" s="531"/>
    </row>
    <row r="3" spans="1:11" ht="15" thickBot="1" x14ac:dyDescent="0.3">
      <c r="A3" s="531"/>
      <c r="B3" s="531"/>
      <c r="C3" s="532"/>
      <c r="D3" s="531"/>
      <c r="E3" s="531"/>
      <c r="F3" s="531"/>
      <c r="G3" s="531"/>
      <c r="H3" s="531"/>
      <c r="I3" s="531"/>
      <c r="J3" s="531"/>
      <c r="K3" s="531"/>
    </row>
    <row r="4" spans="1:11" ht="43.5" x14ac:dyDescent="0.25">
      <c r="A4" s="531"/>
      <c r="B4" s="1769" t="s">
        <v>551</v>
      </c>
      <c r="C4" s="676" t="s">
        <v>752</v>
      </c>
      <c r="D4" s="676" t="s">
        <v>696</v>
      </c>
      <c r="E4" s="676" t="s">
        <v>724</v>
      </c>
      <c r="F4" s="676" t="s">
        <v>697</v>
      </c>
      <c r="G4" s="676" t="s">
        <v>725</v>
      </c>
      <c r="H4" s="676" t="s">
        <v>753</v>
      </c>
      <c r="I4" s="676" t="s">
        <v>754</v>
      </c>
      <c r="J4" s="677" t="s">
        <v>637</v>
      </c>
      <c r="K4" s="531"/>
    </row>
    <row r="5" spans="1:11" ht="23.15" customHeight="1" x14ac:dyDescent="0.25">
      <c r="A5" s="531"/>
      <c r="B5" s="1770"/>
      <c r="C5" s="1202"/>
      <c r="D5" s="734"/>
      <c r="E5" s="734"/>
      <c r="F5" s="732"/>
      <c r="G5" s="738">
        <f t="shared" ref="G5:G21" si="0">D5*F5</f>
        <v>0</v>
      </c>
      <c r="H5" s="734"/>
      <c r="I5" s="734"/>
      <c r="J5" s="740"/>
      <c r="K5" s="531"/>
    </row>
    <row r="6" spans="1:11" x14ac:dyDescent="0.25">
      <c r="A6" s="531"/>
      <c r="B6" s="1770"/>
      <c r="C6" s="735"/>
      <c r="D6" s="734"/>
      <c r="E6" s="734"/>
      <c r="F6" s="732"/>
      <c r="G6" s="738">
        <f t="shared" si="0"/>
        <v>0</v>
      </c>
      <c r="H6" s="734"/>
      <c r="I6" s="734"/>
      <c r="J6" s="740"/>
      <c r="K6" s="531"/>
    </row>
    <row r="7" spans="1:11" x14ac:dyDescent="0.25">
      <c r="A7" s="531"/>
      <c r="B7" s="1770"/>
      <c r="C7" s="735"/>
      <c r="D7" s="734"/>
      <c r="E7" s="734"/>
      <c r="F7" s="733"/>
      <c r="G7" s="738">
        <f t="shared" si="0"/>
        <v>0</v>
      </c>
      <c r="H7" s="734"/>
      <c r="I7" s="734"/>
      <c r="J7" s="740"/>
      <c r="K7" s="531"/>
    </row>
    <row r="8" spans="1:11" x14ac:dyDescent="0.25">
      <c r="A8" s="531"/>
      <c r="B8" s="1770"/>
      <c r="C8" s="735"/>
      <c r="D8" s="734"/>
      <c r="E8" s="734"/>
      <c r="F8" s="733"/>
      <c r="G8" s="738">
        <f t="shared" si="0"/>
        <v>0</v>
      </c>
      <c r="H8" s="734"/>
      <c r="I8" s="734"/>
      <c r="J8" s="740"/>
      <c r="K8" s="531"/>
    </row>
    <row r="9" spans="1:11" x14ac:dyDescent="0.25">
      <c r="A9" s="531"/>
      <c r="B9" s="1770"/>
      <c r="C9" s="735"/>
      <c r="D9" s="734"/>
      <c r="E9" s="734"/>
      <c r="F9" s="733"/>
      <c r="G9" s="738">
        <f t="shared" si="0"/>
        <v>0</v>
      </c>
      <c r="H9" s="734"/>
      <c r="I9" s="734"/>
      <c r="J9" s="740"/>
      <c r="K9" s="531"/>
    </row>
    <row r="10" spans="1:11" x14ac:dyDescent="0.25">
      <c r="A10" s="531"/>
      <c r="B10" s="1770"/>
      <c r="C10" s="735"/>
      <c r="D10" s="734"/>
      <c r="E10" s="734"/>
      <c r="F10" s="733"/>
      <c r="G10" s="738">
        <f t="shared" si="0"/>
        <v>0</v>
      </c>
      <c r="H10" s="734"/>
      <c r="I10" s="734"/>
      <c r="J10" s="740"/>
      <c r="K10" s="531"/>
    </row>
    <row r="11" spans="1:11" x14ac:dyDescent="0.25">
      <c r="A11" s="531"/>
      <c r="B11" s="1770"/>
      <c r="C11" s="735"/>
      <c r="D11" s="734"/>
      <c r="E11" s="734"/>
      <c r="F11" s="733"/>
      <c r="G11" s="738">
        <f t="shared" si="0"/>
        <v>0</v>
      </c>
      <c r="H11" s="734"/>
      <c r="I11" s="734"/>
      <c r="J11" s="740"/>
      <c r="K11" s="531"/>
    </row>
    <row r="12" spans="1:11" ht="15" thickBot="1" x14ac:dyDescent="0.3">
      <c r="A12" s="531"/>
      <c r="B12" s="1771"/>
      <c r="C12" s="741"/>
      <c r="D12" s="742"/>
      <c r="E12" s="742"/>
      <c r="F12" s="743"/>
      <c r="G12" s="744">
        <f t="shared" si="0"/>
        <v>0</v>
      </c>
      <c r="H12" s="742"/>
      <c r="I12" s="742"/>
      <c r="J12" s="745"/>
      <c r="K12" s="531"/>
    </row>
    <row r="13" spans="1:11" ht="15" thickBot="1" x14ac:dyDescent="0.3">
      <c r="A13" s="531"/>
      <c r="B13" s="531"/>
      <c r="C13" s="729"/>
      <c r="D13" s="730"/>
      <c r="E13" s="730"/>
      <c r="F13" s="737" t="s">
        <v>734</v>
      </c>
      <c r="G13" s="752">
        <f>SUM(G5:G12)</f>
        <v>0</v>
      </c>
      <c r="H13" s="730"/>
      <c r="I13" s="730"/>
      <c r="J13" s="730"/>
      <c r="K13" s="531"/>
    </row>
    <row r="14" spans="1:11" ht="15" thickBot="1" x14ac:dyDescent="0.3">
      <c r="A14" s="531"/>
      <c r="B14" s="531"/>
      <c r="C14" s="729"/>
      <c r="D14" s="730"/>
      <c r="E14" s="730"/>
      <c r="F14" s="731"/>
      <c r="G14" s="731"/>
      <c r="H14" s="730"/>
      <c r="I14" s="730"/>
      <c r="J14" s="730"/>
      <c r="K14" s="531"/>
    </row>
    <row r="15" spans="1:11" ht="19" customHeight="1" x14ac:dyDescent="0.25">
      <c r="A15" s="531"/>
      <c r="B15" s="1769" t="s">
        <v>708</v>
      </c>
      <c r="C15" s="747"/>
      <c r="D15" s="748"/>
      <c r="E15" s="748"/>
      <c r="F15" s="749"/>
      <c r="G15" s="750">
        <f t="shared" si="0"/>
        <v>0</v>
      </c>
      <c r="H15" s="748"/>
      <c r="I15" s="748"/>
      <c r="J15" s="751"/>
      <c r="K15" s="531"/>
    </row>
    <row r="16" spans="1:11" x14ac:dyDescent="0.25">
      <c r="A16" s="531"/>
      <c r="B16" s="1770"/>
      <c r="C16" s="735"/>
      <c r="D16" s="734"/>
      <c r="E16" s="734"/>
      <c r="F16" s="733"/>
      <c r="G16" s="738">
        <f t="shared" si="0"/>
        <v>0</v>
      </c>
      <c r="H16" s="734"/>
      <c r="I16" s="734"/>
      <c r="J16" s="740"/>
      <c r="K16" s="531"/>
    </row>
    <row r="17" spans="1:15" x14ac:dyDescent="0.25">
      <c r="A17" s="531"/>
      <c r="B17" s="1770"/>
      <c r="C17" s="735"/>
      <c r="D17" s="734"/>
      <c r="E17" s="734"/>
      <c r="F17" s="733"/>
      <c r="G17" s="738">
        <f t="shared" si="0"/>
        <v>0</v>
      </c>
      <c r="H17" s="734"/>
      <c r="I17" s="734"/>
      <c r="J17" s="740"/>
      <c r="K17" s="531"/>
    </row>
    <row r="18" spans="1:15" x14ac:dyDescent="0.25">
      <c r="A18" s="531"/>
      <c r="B18" s="1770"/>
      <c r="C18" s="735"/>
      <c r="D18" s="734"/>
      <c r="E18" s="734"/>
      <c r="F18" s="733"/>
      <c r="G18" s="738">
        <f t="shared" si="0"/>
        <v>0</v>
      </c>
      <c r="H18" s="734"/>
      <c r="I18" s="734"/>
      <c r="J18" s="740"/>
      <c r="K18" s="531"/>
    </row>
    <row r="19" spans="1:15" x14ac:dyDescent="0.25">
      <c r="A19" s="531"/>
      <c r="B19" s="1770"/>
      <c r="C19" s="735"/>
      <c r="D19" s="734"/>
      <c r="E19" s="734"/>
      <c r="F19" s="733"/>
      <c r="G19" s="738">
        <f t="shared" si="0"/>
        <v>0</v>
      </c>
      <c r="H19" s="734"/>
      <c r="I19" s="734"/>
      <c r="J19" s="740"/>
      <c r="K19" s="531"/>
    </row>
    <row r="20" spans="1:15" x14ac:dyDescent="0.25">
      <c r="A20" s="531"/>
      <c r="B20" s="1770"/>
      <c r="C20" s="735"/>
      <c r="D20" s="734"/>
      <c r="E20" s="734"/>
      <c r="F20" s="733"/>
      <c r="G20" s="738">
        <f t="shared" si="0"/>
        <v>0</v>
      </c>
      <c r="H20" s="734"/>
      <c r="I20" s="734"/>
      <c r="J20" s="740"/>
      <c r="K20" s="531"/>
    </row>
    <row r="21" spans="1:15" ht="15" thickBot="1" x14ac:dyDescent="0.3">
      <c r="A21" s="531"/>
      <c r="B21" s="1771"/>
      <c r="C21" s="741"/>
      <c r="D21" s="742"/>
      <c r="E21" s="742"/>
      <c r="F21" s="743"/>
      <c r="G21" s="744">
        <f t="shared" si="0"/>
        <v>0</v>
      </c>
      <c r="H21" s="742"/>
      <c r="I21" s="742"/>
      <c r="J21" s="745"/>
      <c r="K21" s="531"/>
    </row>
    <row r="22" spans="1:15" ht="16.5" customHeight="1" thickBot="1" x14ac:dyDescent="0.3">
      <c r="A22" s="531"/>
      <c r="B22" s="531"/>
      <c r="C22" s="533"/>
      <c r="D22" s="531"/>
      <c r="E22" s="531"/>
      <c r="F22" s="737" t="s">
        <v>734</v>
      </c>
      <c r="G22" s="746">
        <f>SUM(G15:G21)</f>
        <v>0</v>
      </c>
      <c r="H22" s="534"/>
      <c r="I22" s="534"/>
      <c r="J22" s="531"/>
      <c r="K22" s="531"/>
    </row>
    <row r="23" spans="1:15" x14ac:dyDescent="0.25">
      <c r="A23" s="531"/>
      <c r="B23" s="531"/>
      <c r="C23" s="531"/>
      <c r="D23" s="531"/>
      <c r="E23" s="531"/>
      <c r="F23" s="531"/>
      <c r="G23" s="531"/>
      <c r="H23" s="531"/>
      <c r="I23" s="531"/>
      <c r="J23" s="531"/>
      <c r="K23" s="531"/>
    </row>
    <row r="24" spans="1:15" s="536" customFormat="1" ht="33" customHeight="1" x14ac:dyDescent="0.25">
      <c r="A24" s="535"/>
      <c r="B24" s="1762" t="s">
        <v>292</v>
      </c>
      <c r="C24" s="1722" t="s">
        <v>755</v>
      </c>
      <c r="D24" s="1722"/>
      <c r="E24" s="1722"/>
      <c r="F24" s="1722"/>
      <c r="G24" s="1722"/>
      <c r="H24" s="1722"/>
      <c r="I24" s="1722"/>
      <c r="J24" s="1722"/>
      <c r="K24" s="531"/>
      <c r="L24" s="511"/>
      <c r="M24" s="511"/>
      <c r="N24" s="511"/>
      <c r="O24" s="511"/>
    </row>
    <row r="25" spans="1:15" ht="18.649999999999999" customHeight="1" x14ac:dyDescent="0.25">
      <c r="A25" s="531"/>
      <c r="B25" s="1762"/>
      <c r="C25" s="1712" t="s">
        <v>756</v>
      </c>
      <c r="D25" s="1712"/>
      <c r="E25" s="1712"/>
      <c r="F25" s="1712"/>
      <c r="G25" s="1712"/>
      <c r="H25" s="1712"/>
      <c r="I25" s="1712"/>
      <c r="J25" s="1712"/>
      <c r="K25" s="531"/>
    </row>
    <row r="26" spans="1:15" ht="39.65" customHeight="1" x14ac:dyDescent="0.25">
      <c r="A26" s="531"/>
      <c r="B26" s="1762"/>
      <c r="C26" s="1722" t="s">
        <v>757</v>
      </c>
      <c r="D26" s="1722"/>
      <c r="E26" s="1722"/>
      <c r="F26" s="1722"/>
      <c r="G26" s="1722"/>
      <c r="H26" s="1722"/>
      <c r="I26" s="1722"/>
      <c r="J26" s="1722"/>
      <c r="K26" s="531"/>
    </row>
    <row r="27" spans="1:15" ht="64" customHeight="1" x14ac:dyDescent="0.25">
      <c r="A27" s="531"/>
      <c r="B27" s="1762"/>
      <c r="C27" s="1722" t="s">
        <v>758</v>
      </c>
      <c r="D27" s="1722"/>
      <c r="E27" s="1722"/>
      <c r="F27" s="1722"/>
      <c r="G27" s="1722"/>
      <c r="H27" s="1722"/>
      <c r="I27" s="1722"/>
      <c r="J27" s="1722"/>
      <c r="K27" s="535"/>
      <c r="L27" s="536"/>
      <c r="M27" s="536"/>
      <c r="N27" s="536"/>
      <c r="O27" s="536"/>
    </row>
    <row r="28" spans="1:15" ht="24" customHeight="1" x14ac:dyDescent="0.25">
      <c r="A28" s="531"/>
      <c r="B28" s="1762"/>
      <c r="C28" s="1722" t="s">
        <v>759</v>
      </c>
      <c r="D28" s="1722"/>
      <c r="E28" s="1722"/>
      <c r="F28" s="1722"/>
      <c r="G28" s="1722"/>
      <c r="H28" s="1722"/>
      <c r="I28" s="1722"/>
      <c r="J28" s="1722"/>
      <c r="K28" s="531"/>
    </row>
    <row r="29" spans="1:15" ht="69.650000000000006" customHeight="1" x14ac:dyDescent="0.25">
      <c r="A29" s="531"/>
      <c r="B29" s="1762"/>
      <c r="C29" s="1722" t="s">
        <v>760</v>
      </c>
      <c r="D29" s="1722"/>
      <c r="E29" s="1722"/>
      <c r="F29" s="1722"/>
      <c r="G29" s="1722"/>
      <c r="H29" s="1722"/>
      <c r="I29" s="1722"/>
      <c r="J29" s="1722"/>
      <c r="K29" s="531"/>
    </row>
    <row r="30" spans="1:15" ht="15" customHeight="1" x14ac:dyDescent="0.25">
      <c r="A30" s="531"/>
      <c r="B30" s="531"/>
      <c r="C30" s="531"/>
      <c r="D30" s="531"/>
      <c r="E30" s="531"/>
      <c r="F30" s="531"/>
      <c r="G30" s="531"/>
      <c r="H30" s="531"/>
      <c r="I30" s="531"/>
      <c r="J30" s="531"/>
      <c r="K30" s="531"/>
    </row>
    <row r="31" spans="1:15" ht="26.5" customHeight="1" x14ac:dyDescent="0.25">
      <c r="A31" s="531"/>
      <c r="B31" s="736" t="s">
        <v>294</v>
      </c>
      <c r="C31" s="1722" t="s">
        <v>761</v>
      </c>
      <c r="D31" s="1722"/>
      <c r="E31" s="1722"/>
      <c r="F31" s="1722"/>
      <c r="G31" s="1722"/>
      <c r="H31" s="1722"/>
      <c r="I31" s="1722"/>
      <c r="J31" s="1722"/>
      <c r="K31" s="739"/>
    </row>
    <row r="32" spans="1:15" ht="23.5" customHeight="1" x14ac:dyDescent="0.25">
      <c r="A32" s="531"/>
      <c r="B32" s="736" t="s">
        <v>296</v>
      </c>
      <c r="C32" s="1722" t="s">
        <v>762</v>
      </c>
      <c r="D32" s="1722"/>
      <c r="E32" s="1722"/>
      <c r="F32" s="1722"/>
      <c r="G32" s="1722"/>
      <c r="H32" s="1722"/>
      <c r="I32" s="1722"/>
      <c r="J32" s="1722"/>
      <c r="K32" s="739"/>
    </row>
    <row r="33" spans="1:11" ht="34" customHeight="1" x14ac:dyDescent="0.25">
      <c r="A33" s="531"/>
      <c r="B33" s="736" t="s">
        <v>465</v>
      </c>
      <c r="C33" s="1722" t="s">
        <v>743</v>
      </c>
      <c r="D33" s="1722"/>
      <c r="E33" s="1722"/>
      <c r="F33" s="1722"/>
      <c r="G33" s="1722"/>
      <c r="H33" s="1722"/>
      <c r="I33" s="1722"/>
      <c r="J33" s="1722"/>
      <c r="K33" s="739"/>
    </row>
    <row r="34" spans="1:11" x14ac:dyDescent="0.25">
      <c r="A34" s="531"/>
      <c r="B34" s="531"/>
      <c r="C34" s="531"/>
      <c r="D34" s="531"/>
      <c r="E34" s="531"/>
      <c r="F34" s="531"/>
      <c r="G34" s="531"/>
      <c r="H34" s="531"/>
      <c r="I34" s="531"/>
      <c r="J34" s="531"/>
      <c r="K34" s="531"/>
    </row>
    <row r="35" spans="1:11" x14ac:dyDescent="0.25">
      <c r="A35" s="531"/>
      <c r="B35" s="531"/>
      <c r="C35" s="537"/>
      <c r="D35" s="531"/>
      <c r="E35" s="531"/>
      <c r="F35" s="531"/>
      <c r="G35" s="531"/>
      <c r="H35" s="531"/>
      <c r="I35" s="531"/>
      <c r="J35" s="531"/>
      <c r="K35" s="531"/>
    </row>
  </sheetData>
  <mergeCells count="14">
    <mergeCell ref="C33:J33"/>
    <mergeCell ref="B24:B29"/>
    <mergeCell ref="C2:E2"/>
    <mergeCell ref="G2:J2"/>
    <mergeCell ref="B15:B21"/>
    <mergeCell ref="B4:B12"/>
    <mergeCell ref="C31:J31"/>
    <mergeCell ref="C32:J32"/>
    <mergeCell ref="C24:J24"/>
    <mergeCell ref="C25:J25"/>
    <mergeCell ref="C26:J26"/>
    <mergeCell ref="C27:J27"/>
    <mergeCell ref="C28:J28"/>
    <mergeCell ref="C29:J29"/>
  </mergeCells>
  <phoneticPr fontId="4" type="noConversion"/>
  <dataValidations count="1">
    <dataValidation type="list" showInputMessage="1" showErrorMessage="1" sqref="I5:I21" xr:uid="{00000000-0002-0000-1300-000000000000}">
      <formula1>$K$5:$K$6</formula1>
    </dataValidation>
  </dataValidations>
  <pageMargins left="0.75" right="0.75" top="1" bottom="1" header="0.5" footer="0.5"/>
  <pageSetup paperSize="5" scale="45" orientation="portrait" horizontalDpi="1200" verticalDpi="1200"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5A38C-912C-4B6B-8F60-ABF1B2042858}">
  <sheetPr codeName="Sheet31">
    <pageSetUpPr fitToPage="1"/>
  </sheetPr>
  <dimension ref="A1:O29"/>
  <sheetViews>
    <sheetView zoomScaleNormal="100" workbookViewId="0"/>
  </sheetViews>
  <sheetFormatPr defaultColWidth="10.1796875" defaultRowHeight="15.5" x14ac:dyDescent="0.25"/>
  <cols>
    <col min="1" max="1" width="9.7265625" style="524" customWidth="1"/>
    <col min="2" max="2" width="16.1796875" style="527" customWidth="1"/>
    <col min="3" max="3" width="18.26953125" style="527" customWidth="1"/>
    <col min="4" max="4" width="17.54296875" style="527" customWidth="1"/>
    <col min="5" max="5" width="16.453125" style="527" customWidth="1"/>
    <col min="6" max="6" width="16.1796875" style="527" customWidth="1"/>
    <col min="7" max="7" width="16.453125" style="527" customWidth="1"/>
    <col min="8" max="8" width="17.1796875" style="527" customWidth="1"/>
    <col min="9" max="9" width="16" style="527" customWidth="1"/>
    <col min="10" max="10" width="15.7265625" style="527" customWidth="1"/>
    <col min="11" max="12" width="15.453125" style="527" customWidth="1"/>
    <col min="13" max="13" width="16" style="527" customWidth="1"/>
    <col min="14" max="14" width="19.54296875" style="528" customWidth="1"/>
    <col min="15" max="15" width="5.1796875" style="524" customWidth="1"/>
    <col min="16" max="16384" width="10.1796875" style="524"/>
  </cols>
  <sheetData>
    <row r="1" spans="1:15" x14ac:dyDescent="0.25">
      <c r="A1" s="557"/>
      <c r="B1" s="558"/>
      <c r="C1" s="558"/>
      <c r="D1" s="558"/>
      <c r="E1" s="558"/>
      <c r="F1" s="558"/>
      <c r="G1" s="558"/>
      <c r="H1" s="558"/>
      <c r="I1" s="558"/>
      <c r="J1" s="558"/>
      <c r="K1" s="558"/>
      <c r="L1" s="558"/>
      <c r="M1" s="558"/>
      <c r="N1" s="559"/>
      <c r="O1" s="560"/>
    </row>
    <row r="2" spans="1:15" s="523" customFormat="1" ht="26.15" customHeight="1" x14ac:dyDescent="0.25">
      <c r="A2" s="561"/>
      <c r="B2" s="1785" t="s">
        <v>763</v>
      </c>
      <c r="C2" s="1786"/>
      <c r="D2" s="1786"/>
      <c r="E2" s="1787"/>
      <c r="F2" s="562"/>
      <c r="G2" s="1784" t="s">
        <v>764</v>
      </c>
      <c r="H2" s="1784"/>
      <c r="I2" s="1784"/>
      <c r="J2" s="562"/>
      <c r="K2" s="562"/>
      <c r="L2" s="563"/>
      <c r="M2" s="564"/>
      <c r="N2" s="564"/>
      <c r="O2" s="565"/>
    </row>
    <row r="3" spans="1:15" s="523" customFormat="1" ht="26.15" customHeight="1" x14ac:dyDescent="0.25">
      <c r="A3" s="561"/>
      <c r="B3" s="1785" t="s">
        <v>765</v>
      </c>
      <c r="C3" s="1786"/>
      <c r="D3" s="1786"/>
      <c r="E3" s="1787"/>
      <c r="F3" s="566"/>
      <c r="G3" s="566"/>
      <c r="H3" s="566"/>
      <c r="I3" s="566"/>
      <c r="J3" s="566"/>
      <c r="K3" s="562"/>
      <c r="L3" s="563"/>
      <c r="M3" s="564"/>
      <c r="N3" s="564"/>
      <c r="O3" s="565"/>
    </row>
    <row r="4" spans="1:15" x14ac:dyDescent="0.25">
      <c r="A4" s="567"/>
      <c r="B4" s="568"/>
      <c r="C4" s="568"/>
      <c r="D4" s="568"/>
      <c r="E4" s="568"/>
      <c r="F4" s="568"/>
      <c r="G4" s="568"/>
      <c r="H4" s="568"/>
      <c r="I4" s="568"/>
      <c r="J4" s="568"/>
      <c r="K4" s="568"/>
      <c r="L4" s="568"/>
      <c r="M4" s="568"/>
      <c r="N4" s="569"/>
      <c r="O4" s="570"/>
    </row>
    <row r="5" spans="1:15" ht="23.15" customHeight="1" x14ac:dyDescent="0.25">
      <c r="A5" s="567"/>
      <c r="B5" s="760" t="s">
        <v>551</v>
      </c>
      <c r="C5" s="1775"/>
      <c r="D5" s="1776"/>
      <c r="E5" s="1776"/>
      <c r="F5" s="1776"/>
      <c r="G5" s="1776"/>
      <c r="H5" s="1776"/>
      <c r="I5" s="1776"/>
      <c r="J5" s="1776"/>
      <c r="K5" s="1776"/>
      <c r="L5" s="1776"/>
      <c r="M5" s="1776"/>
      <c r="N5" s="1777"/>
      <c r="O5" s="570"/>
    </row>
    <row r="6" spans="1:15" x14ac:dyDescent="0.25">
      <c r="A6" s="567"/>
      <c r="B6" s="525" t="s">
        <v>766</v>
      </c>
      <c r="C6" s="757"/>
      <c r="D6" s="529"/>
      <c r="E6" s="529"/>
      <c r="F6" s="529"/>
      <c r="G6" s="529"/>
      <c r="H6" s="529"/>
      <c r="I6" s="529"/>
      <c r="J6" s="529"/>
      <c r="K6" s="529"/>
      <c r="L6" s="529"/>
      <c r="M6" s="529"/>
      <c r="N6" s="529"/>
      <c r="O6" s="570"/>
    </row>
    <row r="7" spans="1:15" x14ac:dyDescent="0.25">
      <c r="A7" s="567"/>
      <c r="B7" s="756" t="s">
        <v>767</v>
      </c>
      <c r="C7" s="756" t="s">
        <v>768</v>
      </c>
      <c r="D7" s="756" t="s">
        <v>769</v>
      </c>
      <c r="E7" s="756" t="s">
        <v>770</v>
      </c>
      <c r="F7" s="756" t="s">
        <v>771</v>
      </c>
      <c r="G7" s="756" t="s">
        <v>772</v>
      </c>
      <c r="H7" s="756" t="s">
        <v>773</v>
      </c>
      <c r="I7" s="756" t="s">
        <v>774</v>
      </c>
      <c r="J7" s="756" t="s">
        <v>775</v>
      </c>
      <c r="K7" s="756" t="s">
        <v>776</v>
      </c>
      <c r="L7" s="756" t="s">
        <v>777</v>
      </c>
      <c r="M7" s="756" t="s">
        <v>778</v>
      </c>
      <c r="N7" s="756" t="s">
        <v>689</v>
      </c>
      <c r="O7" s="570"/>
    </row>
    <row r="8" spans="1:15" x14ac:dyDescent="0.25">
      <c r="A8" s="1129" t="s">
        <v>779</v>
      </c>
      <c r="B8" s="526"/>
      <c r="C8" s="526"/>
      <c r="D8" s="526"/>
      <c r="E8" s="526"/>
      <c r="F8" s="526"/>
      <c r="G8" s="526"/>
      <c r="H8" s="526"/>
      <c r="I8" s="526"/>
      <c r="J8" s="526"/>
      <c r="K8" s="526"/>
      <c r="L8" s="526"/>
      <c r="M8" s="526"/>
      <c r="N8" s="755">
        <f>SUM(B8:M8)</f>
        <v>0</v>
      </c>
      <c r="O8" s="570"/>
    </row>
    <row r="9" spans="1:15" x14ac:dyDescent="0.25">
      <c r="A9" s="1129" t="s">
        <v>780</v>
      </c>
      <c r="B9" s="526"/>
      <c r="C9" s="526"/>
      <c r="D9" s="526"/>
      <c r="E9" s="526"/>
      <c r="F9" s="526"/>
      <c r="G9" s="526"/>
      <c r="H9" s="526"/>
      <c r="I9" s="526"/>
      <c r="J9" s="526"/>
      <c r="K9" s="526"/>
      <c r="L9" s="526"/>
      <c r="M9" s="526"/>
      <c r="N9" s="755">
        <f>SUM(B9:M9)</f>
        <v>0</v>
      </c>
      <c r="O9" s="570"/>
    </row>
    <row r="10" spans="1:15" x14ac:dyDescent="0.25">
      <c r="A10" s="1129" t="s">
        <v>780</v>
      </c>
      <c r="B10" s="526"/>
      <c r="C10" s="526"/>
      <c r="D10" s="526"/>
      <c r="E10" s="526"/>
      <c r="F10" s="526"/>
      <c r="G10" s="526"/>
      <c r="H10" s="526"/>
      <c r="I10" s="526"/>
      <c r="J10" s="526"/>
      <c r="K10" s="526"/>
      <c r="L10" s="526"/>
      <c r="M10" s="526"/>
      <c r="N10" s="755">
        <f>SUM(B10:M10)</f>
        <v>0</v>
      </c>
      <c r="O10" s="570"/>
    </row>
    <row r="11" spans="1:15" x14ac:dyDescent="0.25">
      <c r="A11" s="567"/>
      <c r="B11" s="1772" t="s">
        <v>345</v>
      </c>
      <c r="C11" s="1773"/>
      <c r="D11" s="1773"/>
      <c r="E11" s="1773"/>
      <c r="F11" s="1773"/>
      <c r="G11" s="1773"/>
      <c r="H11" s="1773"/>
      <c r="I11" s="1773"/>
      <c r="J11" s="1773"/>
      <c r="K11" s="1773"/>
      <c r="L11" s="1773"/>
      <c r="M11" s="1774"/>
      <c r="N11" s="761">
        <f>SUM(N8:N10)</f>
        <v>0</v>
      </c>
      <c r="O11" s="570"/>
    </row>
    <row r="12" spans="1:15" x14ac:dyDescent="0.25">
      <c r="A12" s="567"/>
      <c r="B12" s="568"/>
      <c r="C12" s="568"/>
      <c r="D12" s="568"/>
      <c r="E12" s="568"/>
      <c r="F12" s="568"/>
      <c r="G12" s="568"/>
      <c r="H12" s="568"/>
      <c r="I12" s="568"/>
      <c r="J12" s="568"/>
      <c r="K12" s="568"/>
      <c r="L12" s="568"/>
      <c r="M12" s="568"/>
      <c r="N12" s="569"/>
      <c r="O12" s="570"/>
    </row>
    <row r="13" spans="1:15" ht="21.65" customHeight="1" x14ac:dyDescent="0.25">
      <c r="A13" s="567"/>
      <c r="B13" s="759" t="s">
        <v>552</v>
      </c>
      <c r="C13" s="1778"/>
      <c r="D13" s="1779"/>
      <c r="E13" s="1779"/>
      <c r="F13" s="1779"/>
      <c r="G13" s="1779"/>
      <c r="H13" s="1779"/>
      <c r="I13" s="1779"/>
      <c r="J13" s="1779"/>
      <c r="K13" s="1779"/>
      <c r="L13" s="1779"/>
      <c r="M13" s="1779"/>
      <c r="N13" s="1780"/>
      <c r="O13" s="570"/>
    </row>
    <row r="14" spans="1:15" x14ac:dyDescent="0.25">
      <c r="A14" s="567"/>
      <c r="B14" s="525" t="s">
        <v>766</v>
      </c>
      <c r="C14" s="757"/>
      <c r="D14" s="529"/>
      <c r="E14" s="529"/>
      <c r="F14" s="529"/>
      <c r="G14" s="529"/>
      <c r="H14" s="529"/>
      <c r="I14" s="529"/>
      <c r="J14" s="529"/>
      <c r="K14" s="529"/>
      <c r="L14" s="529"/>
      <c r="M14" s="529"/>
      <c r="N14" s="529"/>
      <c r="O14" s="570"/>
    </row>
    <row r="15" spans="1:15" x14ac:dyDescent="0.25">
      <c r="A15" s="567"/>
      <c r="B15" s="756" t="s">
        <v>767</v>
      </c>
      <c r="C15" s="756" t="s">
        <v>768</v>
      </c>
      <c r="D15" s="756" t="s">
        <v>769</v>
      </c>
      <c r="E15" s="756" t="s">
        <v>770</v>
      </c>
      <c r="F15" s="756" t="s">
        <v>771</v>
      </c>
      <c r="G15" s="756" t="s">
        <v>772</v>
      </c>
      <c r="H15" s="756" t="s">
        <v>773</v>
      </c>
      <c r="I15" s="756" t="s">
        <v>774</v>
      </c>
      <c r="J15" s="756" t="s">
        <v>775</v>
      </c>
      <c r="K15" s="756" t="s">
        <v>776</v>
      </c>
      <c r="L15" s="756" t="s">
        <v>777</v>
      </c>
      <c r="M15" s="756" t="s">
        <v>778</v>
      </c>
      <c r="N15" s="756" t="s">
        <v>689</v>
      </c>
      <c r="O15" s="570"/>
    </row>
    <row r="16" spans="1:15" x14ac:dyDescent="0.25">
      <c r="A16" s="1129" t="s">
        <v>779</v>
      </c>
      <c r="B16" s="526"/>
      <c r="C16" s="526"/>
      <c r="D16" s="526"/>
      <c r="E16" s="526"/>
      <c r="F16" s="526"/>
      <c r="G16" s="526"/>
      <c r="H16" s="526"/>
      <c r="I16" s="526"/>
      <c r="J16" s="526"/>
      <c r="K16" s="526"/>
      <c r="L16" s="526"/>
      <c r="M16" s="526"/>
      <c r="N16" s="755">
        <f>SUM(B16:M16)</f>
        <v>0</v>
      </c>
      <c r="O16" s="570"/>
    </row>
    <row r="17" spans="1:15" x14ac:dyDescent="0.25">
      <c r="A17" s="1129" t="s">
        <v>780</v>
      </c>
      <c r="B17" s="526"/>
      <c r="C17" s="526"/>
      <c r="D17" s="526"/>
      <c r="E17" s="526"/>
      <c r="F17" s="526"/>
      <c r="G17" s="526"/>
      <c r="H17" s="526"/>
      <c r="I17" s="526"/>
      <c r="J17" s="526"/>
      <c r="K17" s="526"/>
      <c r="L17" s="526"/>
      <c r="M17" s="526"/>
      <c r="N17" s="755">
        <f>SUM(B17:M17)</f>
        <v>0</v>
      </c>
      <c r="O17" s="570"/>
    </row>
    <row r="18" spans="1:15" x14ac:dyDescent="0.25">
      <c r="A18" s="1129" t="s">
        <v>780</v>
      </c>
      <c r="B18" s="526"/>
      <c r="C18" s="526"/>
      <c r="D18" s="526"/>
      <c r="E18" s="526"/>
      <c r="F18" s="526"/>
      <c r="G18" s="526"/>
      <c r="H18" s="526"/>
      <c r="I18" s="526"/>
      <c r="J18" s="526"/>
      <c r="K18" s="526"/>
      <c r="L18" s="526"/>
      <c r="M18" s="526"/>
      <c r="N18" s="755">
        <f>SUM(B18:M18)</f>
        <v>0</v>
      </c>
      <c r="O18" s="570"/>
    </row>
    <row r="19" spans="1:15" x14ac:dyDescent="0.25">
      <c r="A19" s="567"/>
      <c r="B19" s="1772" t="s">
        <v>345</v>
      </c>
      <c r="C19" s="1773"/>
      <c r="D19" s="1773"/>
      <c r="E19" s="1773"/>
      <c r="F19" s="1773"/>
      <c r="G19" s="1773"/>
      <c r="H19" s="1773"/>
      <c r="I19" s="1773"/>
      <c r="J19" s="1773"/>
      <c r="K19" s="1773"/>
      <c r="L19" s="1773"/>
      <c r="M19" s="1774"/>
      <c r="N19" s="753">
        <f>SUM(N16:N18)</f>
        <v>0</v>
      </c>
      <c r="O19" s="570"/>
    </row>
    <row r="20" spans="1:15" x14ac:dyDescent="0.25">
      <c r="A20" s="567"/>
      <c r="B20" s="568"/>
      <c r="C20" s="568"/>
      <c r="D20" s="568"/>
      <c r="E20" s="568"/>
      <c r="F20" s="568"/>
      <c r="G20" s="568"/>
      <c r="H20" s="568"/>
      <c r="I20" s="568"/>
      <c r="J20" s="568"/>
      <c r="K20" s="568"/>
      <c r="L20" s="568"/>
      <c r="M20" s="568"/>
      <c r="N20" s="569"/>
      <c r="O20" s="570"/>
    </row>
    <row r="21" spans="1:15" ht="27.65" customHeight="1" x14ac:dyDescent="0.25">
      <c r="A21" s="567"/>
      <c r="B21" s="758" t="s">
        <v>553</v>
      </c>
      <c r="C21" s="1781"/>
      <c r="D21" s="1782"/>
      <c r="E21" s="1782"/>
      <c r="F21" s="1782"/>
      <c r="G21" s="1782"/>
      <c r="H21" s="1782"/>
      <c r="I21" s="1782"/>
      <c r="J21" s="1782"/>
      <c r="K21" s="1782"/>
      <c r="L21" s="1782"/>
      <c r="M21" s="1782"/>
      <c r="N21" s="1783"/>
      <c r="O21" s="570"/>
    </row>
    <row r="22" spans="1:15" x14ac:dyDescent="0.25">
      <c r="A22" s="567"/>
      <c r="B22" s="525" t="s">
        <v>766</v>
      </c>
      <c r="C22" s="757"/>
      <c r="D22" s="529"/>
      <c r="E22" s="529"/>
      <c r="F22" s="529"/>
      <c r="G22" s="529"/>
      <c r="H22" s="529"/>
      <c r="I22" s="529"/>
      <c r="J22" s="529"/>
      <c r="K22" s="529"/>
      <c r="L22" s="529"/>
      <c r="M22" s="529"/>
      <c r="N22" s="529"/>
      <c r="O22" s="570"/>
    </row>
    <row r="23" spans="1:15" x14ac:dyDescent="0.25">
      <c r="A23" s="567"/>
      <c r="B23" s="756" t="s">
        <v>767</v>
      </c>
      <c r="C23" s="756" t="s">
        <v>768</v>
      </c>
      <c r="D23" s="756" t="s">
        <v>769</v>
      </c>
      <c r="E23" s="756" t="s">
        <v>770</v>
      </c>
      <c r="F23" s="756" t="s">
        <v>771</v>
      </c>
      <c r="G23" s="756" t="s">
        <v>772</v>
      </c>
      <c r="H23" s="756" t="s">
        <v>773</v>
      </c>
      <c r="I23" s="756" t="s">
        <v>774</v>
      </c>
      <c r="J23" s="756" t="s">
        <v>775</v>
      </c>
      <c r="K23" s="756" t="s">
        <v>776</v>
      </c>
      <c r="L23" s="756" t="s">
        <v>777</v>
      </c>
      <c r="M23" s="756" t="s">
        <v>778</v>
      </c>
      <c r="N23" s="756" t="s">
        <v>689</v>
      </c>
      <c r="O23" s="570"/>
    </row>
    <row r="24" spans="1:15" x14ac:dyDescent="0.25">
      <c r="A24" s="1129" t="s">
        <v>779</v>
      </c>
      <c r="B24" s="526"/>
      <c r="C24" s="526"/>
      <c r="D24" s="526"/>
      <c r="E24" s="526"/>
      <c r="F24" s="526"/>
      <c r="G24" s="526"/>
      <c r="H24" s="526"/>
      <c r="I24" s="526"/>
      <c r="J24" s="526"/>
      <c r="K24" s="526"/>
      <c r="L24" s="526"/>
      <c r="M24" s="526"/>
      <c r="N24" s="755">
        <f>SUM(B24:M24)</f>
        <v>0</v>
      </c>
      <c r="O24" s="570"/>
    </row>
    <row r="25" spans="1:15" x14ac:dyDescent="0.25">
      <c r="A25" s="1129" t="s">
        <v>780</v>
      </c>
      <c r="B25" s="526"/>
      <c r="C25" s="526"/>
      <c r="D25" s="526"/>
      <c r="E25" s="526"/>
      <c r="F25" s="526"/>
      <c r="G25" s="526"/>
      <c r="H25" s="526"/>
      <c r="I25" s="526"/>
      <c r="J25" s="526"/>
      <c r="K25" s="526"/>
      <c r="L25" s="526"/>
      <c r="M25" s="526"/>
      <c r="N25" s="755">
        <f>SUM(B25:M25)</f>
        <v>0</v>
      </c>
      <c r="O25" s="570"/>
    </row>
    <row r="26" spans="1:15" x14ac:dyDescent="0.25">
      <c r="A26" s="1129" t="s">
        <v>780</v>
      </c>
      <c r="B26" s="526"/>
      <c r="C26" s="526"/>
      <c r="D26" s="526"/>
      <c r="E26" s="526"/>
      <c r="F26" s="526"/>
      <c r="G26" s="526"/>
      <c r="H26" s="526"/>
      <c r="I26" s="526"/>
      <c r="J26" s="526"/>
      <c r="K26" s="526"/>
      <c r="L26" s="526"/>
      <c r="M26" s="526"/>
      <c r="N26" s="755">
        <f>SUM(B26:M26)</f>
        <v>0</v>
      </c>
      <c r="O26" s="570"/>
    </row>
    <row r="27" spans="1:15" x14ac:dyDescent="0.25">
      <c r="A27" s="567"/>
      <c r="B27" s="1772" t="s">
        <v>345</v>
      </c>
      <c r="C27" s="1773"/>
      <c r="D27" s="1773"/>
      <c r="E27" s="1773"/>
      <c r="F27" s="1773"/>
      <c r="G27" s="1773"/>
      <c r="H27" s="1773"/>
      <c r="I27" s="1773"/>
      <c r="J27" s="1773"/>
      <c r="K27" s="1773"/>
      <c r="L27" s="1773"/>
      <c r="M27" s="1774"/>
      <c r="N27" s="754">
        <f>SUM(N24:N26)</f>
        <v>0</v>
      </c>
      <c r="O27" s="570"/>
    </row>
    <row r="28" spans="1:15" x14ac:dyDescent="0.25">
      <c r="A28" s="567"/>
      <c r="B28" s="568"/>
      <c r="C28" s="568"/>
      <c r="D28" s="568"/>
      <c r="E28" s="568"/>
      <c r="F28" s="568"/>
      <c r="G28" s="568"/>
      <c r="H28" s="568"/>
      <c r="I28" s="568"/>
      <c r="J28" s="568"/>
      <c r="K28" s="568"/>
      <c r="L28" s="568"/>
      <c r="M28" s="568"/>
      <c r="N28" s="569"/>
      <c r="O28" s="570"/>
    </row>
    <row r="29" spans="1:15" ht="16" thickBot="1" x14ac:dyDescent="0.3">
      <c r="A29" s="571"/>
      <c r="B29" s="572"/>
      <c r="C29" s="572"/>
      <c r="D29" s="572"/>
      <c r="E29" s="572"/>
      <c r="F29" s="572"/>
      <c r="G29" s="572"/>
      <c r="H29" s="572"/>
      <c r="I29" s="572"/>
      <c r="J29" s="572"/>
      <c r="K29" s="572"/>
      <c r="L29" s="572"/>
      <c r="M29" s="572"/>
      <c r="N29" s="573"/>
      <c r="O29" s="574"/>
    </row>
  </sheetData>
  <mergeCells count="9">
    <mergeCell ref="B27:M27"/>
    <mergeCell ref="C5:N5"/>
    <mergeCell ref="C13:N13"/>
    <mergeCell ref="C21:N21"/>
    <mergeCell ref="G2:I2"/>
    <mergeCell ref="B2:E2"/>
    <mergeCell ref="B3:E3"/>
    <mergeCell ref="B11:M11"/>
    <mergeCell ref="B19:M19"/>
  </mergeCells>
  <pageMargins left="0.7" right="0.7" top="0.75" bottom="0.75" header="0.3" footer="0.3"/>
  <pageSetup paperSize="5" scale="87"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32">
    <pageSetUpPr fitToPage="1"/>
  </sheetPr>
  <dimension ref="A1:O10"/>
  <sheetViews>
    <sheetView zoomScaleNormal="100" workbookViewId="0">
      <selection activeCell="A2" sqref="A2"/>
    </sheetView>
  </sheetViews>
  <sheetFormatPr defaultColWidth="10.453125" defaultRowHeight="13" x14ac:dyDescent="0.3"/>
  <cols>
    <col min="1" max="1" width="10.453125" style="244"/>
    <col min="2" max="2" width="15.453125" style="244" bestFit="1" customWidth="1"/>
    <col min="3" max="4" width="10.453125" style="244"/>
    <col min="5" max="5" width="1.453125" style="244" customWidth="1"/>
    <col min="6" max="6" width="10.453125" style="244"/>
    <col min="7" max="7" width="15.453125" style="244" bestFit="1" customWidth="1"/>
    <col min="8" max="9" width="10.453125" style="244"/>
    <col min="10" max="10" width="1.453125" style="244" customWidth="1"/>
    <col min="11" max="11" width="10.453125" style="244"/>
    <col min="12" max="12" width="15.453125" style="244" bestFit="1" customWidth="1"/>
    <col min="13" max="14" width="10.453125" style="244"/>
    <col min="15" max="15" width="1.453125" style="244" customWidth="1"/>
    <col min="16" max="16384" width="10.453125" style="244"/>
  </cols>
  <sheetData>
    <row r="1" spans="1:15" ht="23.5" x14ac:dyDescent="0.3">
      <c r="A1" s="238" t="s">
        <v>781</v>
      </c>
      <c r="B1" s="239"/>
      <c r="C1" s="239"/>
      <c r="D1" s="240"/>
      <c r="E1" s="241"/>
      <c r="F1" s="242"/>
      <c r="G1" s="243"/>
      <c r="H1" s="243"/>
      <c r="I1" s="241"/>
      <c r="J1" s="241"/>
      <c r="K1" s="242"/>
      <c r="L1" s="243"/>
      <c r="M1" s="243"/>
      <c r="N1" s="241"/>
      <c r="O1" s="241"/>
    </row>
    <row r="2" spans="1:15" ht="23.5" x14ac:dyDescent="0.3">
      <c r="A2" s="238" t="s">
        <v>782</v>
      </c>
      <c r="B2" s="239"/>
      <c r="C2" s="239"/>
      <c r="D2" s="240"/>
      <c r="E2" s="241"/>
      <c r="F2" s="242"/>
      <c r="G2" s="243"/>
      <c r="H2" s="243"/>
      <c r="I2" s="241"/>
      <c r="J2" s="241"/>
      <c r="K2" s="242"/>
      <c r="L2" s="243"/>
      <c r="M2" s="243"/>
      <c r="N2" s="241"/>
      <c r="O2" s="241"/>
    </row>
    <row r="3" spans="1:15" ht="23.5" x14ac:dyDescent="0.3">
      <c r="A3" s="245" t="s">
        <v>783</v>
      </c>
      <c r="B3" s="243"/>
      <c r="C3" s="243"/>
      <c r="D3" s="241"/>
      <c r="E3" s="241"/>
      <c r="F3" s="245"/>
      <c r="G3" s="243"/>
      <c r="H3" s="243"/>
      <c r="I3" s="241"/>
      <c r="J3" s="241"/>
      <c r="K3" s="245"/>
      <c r="L3" s="243"/>
      <c r="M3" s="243"/>
      <c r="N3" s="241"/>
      <c r="O3" s="241"/>
    </row>
    <row r="4" spans="1:15" ht="23.5" x14ac:dyDescent="0.3">
      <c r="A4" s="245"/>
      <c r="B4" s="243"/>
      <c r="C4" s="243"/>
      <c r="D4" s="241"/>
      <c r="E4" s="241"/>
      <c r="F4" s="245"/>
      <c r="G4" s="243"/>
      <c r="H4" s="243"/>
      <c r="I4" s="241"/>
      <c r="J4" s="241"/>
      <c r="K4" s="245"/>
      <c r="L4" s="243"/>
      <c r="M4" s="243"/>
      <c r="N4" s="241"/>
      <c r="O4" s="241"/>
    </row>
    <row r="5" spans="1:15" ht="15.5" x14ac:dyDescent="0.3">
      <c r="A5" s="1788" t="s">
        <v>784</v>
      </c>
      <c r="B5" s="1789"/>
      <c r="C5" s="1789"/>
      <c r="D5" s="1790"/>
      <c r="E5" s="246"/>
      <c r="F5" s="1791" t="s">
        <v>785</v>
      </c>
      <c r="G5" s="1792"/>
      <c r="H5" s="1792"/>
      <c r="I5" s="1793"/>
      <c r="J5" s="246"/>
      <c r="K5" s="1794" t="s">
        <v>786</v>
      </c>
      <c r="L5" s="1795"/>
      <c r="M5" s="1795"/>
      <c r="N5" s="1796"/>
      <c r="O5" s="246"/>
    </row>
    <row r="6" spans="1:15" ht="31" x14ac:dyDescent="0.3">
      <c r="A6" s="247" t="s">
        <v>787</v>
      </c>
      <c r="B6" s="247" t="s">
        <v>788</v>
      </c>
      <c r="C6" s="248" t="s">
        <v>789</v>
      </c>
      <c r="D6" s="248" t="s">
        <v>790</v>
      </c>
      <c r="E6" s="246"/>
      <c r="F6" s="247" t="s">
        <v>787</v>
      </c>
      <c r="G6" s="247" t="s">
        <v>788</v>
      </c>
      <c r="H6" s="248" t="s">
        <v>789</v>
      </c>
      <c r="I6" s="248" t="s">
        <v>790</v>
      </c>
      <c r="J6" s="246"/>
      <c r="K6" s="247" t="s">
        <v>787</v>
      </c>
      <c r="L6" s="247" t="s">
        <v>788</v>
      </c>
      <c r="M6" s="248" t="s">
        <v>789</v>
      </c>
      <c r="N6" s="248" t="s">
        <v>790</v>
      </c>
      <c r="O6" s="246"/>
    </row>
    <row r="7" spans="1:15" ht="15.5" x14ac:dyDescent="0.3">
      <c r="A7" s="249">
        <v>1</v>
      </c>
      <c r="B7" s="250" t="s">
        <v>791</v>
      </c>
      <c r="C7" s="251"/>
      <c r="D7" s="251"/>
      <c r="E7" s="252"/>
      <c r="F7" s="249">
        <v>1</v>
      </c>
      <c r="G7" s="250" t="s">
        <v>791</v>
      </c>
      <c r="H7" s="251"/>
      <c r="I7" s="251"/>
      <c r="J7" s="252"/>
      <c r="K7" s="249">
        <v>1</v>
      </c>
      <c r="L7" s="250" t="s">
        <v>791</v>
      </c>
      <c r="M7" s="251"/>
      <c r="N7" s="251"/>
      <c r="O7" s="252"/>
    </row>
    <row r="8" spans="1:15" ht="15.5" x14ac:dyDescent="0.3">
      <c r="A8" s="253">
        <v>2</v>
      </c>
      <c r="B8" s="250" t="s">
        <v>792</v>
      </c>
      <c r="C8" s="251"/>
      <c r="D8" s="251"/>
      <c r="E8" s="252"/>
      <c r="F8" s="253">
        <v>2</v>
      </c>
      <c r="G8" s="250" t="s">
        <v>792</v>
      </c>
      <c r="H8" s="251"/>
      <c r="I8" s="251"/>
      <c r="J8" s="252"/>
      <c r="K8" s="253">
        <v>2</v>
      </c>
      <c r="L8" s="250" t="s">
        <v>792</v>
      </c>
      <c r="M8" s="251"/>
      <c r="N8" s="251"/>
      <c r="O8" s="252"/>
    </row>
    <row r="10" spans="1:15" x14ac:dyDescent="0.3">
      <c r="A10" s="244" t="s">
        <v>793</v>
      </c>
    </row>
  </sheetData>
  <mergeCells count="3">
    <mergeCell ref="A5:D5"/>
    <mergeCell ref="F5:I5"/>
    <mergeCell ref="K5:N5"/>
  </mergeCells>
  <conditionalFormatting sqref="C5:D5">
    <cfRule type="containsText" dxfId="7" priority="5" operator="containsText" text="N">
      <formula>NOT(ISERROR(SEARCH("N",C5)))</formula>
    </cfRule>
    <cfRule type="containsText" dxfId="6" priority="6" operator="containsText" text="Y">
      <formula>NOT(ISERROR(SEARCH("Y",C5)))</formula>
    </cfRule>
  </conditionalFormatting>
  <conditionalFormatting sqref="C7:E8 H7:J8 M7:O8">
    <cfRule type="containsText" dxfId="5" priority="7" operator="containsText" text="N">
      <formula>NOT(ISERROR(SEARCH("N",C7)))</formula>
    </cfRule>
    <cfRule type="containsText" dxfId="4" priority="8" operator="containsText" text="Y">
      <formula>NOT(ISERROR(SEARCH("Y",C7)))</formula>
    </cfRule>
  </conditionalFormatting>
  <conditionalFormatting sqref="H5:I5">
    <cfRule type="containsText" dxfId="3" priority="3" operator="containsText" text="N">
      <formula>NOT(ISERROR(SEARCH("N",H5)))</formula>
    </cfRule>
    <cfRule type="containsText" dxfId="2" priority="4" operator="containsText" text="Y">
      <formula>NOT(ISERROR(SEARCH("Y",H5)))</formula>
    </cfRule>
  </conditionalFormatting>
  <conditionalFormatting sqref="M5:N5">
    <cfRule type="containsText" dxfId="1" priority="1" operator="containsText" text="N">
      <formula>NOT(ISERROR(SEARCH("N",M5)))</formula>
    </cfRule>
    <cfRule type="containsText" dxfId="0" priority="2" operator="containsText" text="Y">
      <formula>NOT(ISERROR(SEARCH("Y",M5)))</formula>
    </cfRule>
  </conditionalFormatting>
  <pageMargins left="0.7" right="0.7" top="0.75" bottom="0.75" header="0.3" footer="0.3"/>
  <pageSetup paperSize="5" scale="85"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3">
    <pageSetUpPr fitToPage="1"/>
  </sheetPr>
  <dimension ref="A1:O24"/>
  <sheetViews>
    <sheetView workbookViewId="0">
      <selection activeCell="D1" sqref="D1"/>
    </sheetView>
  </sheetViews>
  <sheetFormatPr defaultColWidth="8.453125" defaultRowHeight="12.5" x14ac:dyDescent="0.25"/>
  <cols>
    <col min="1" max="1" width="12" customWidth="1"/>
    <col min="2" max="2" width="23.453125" customWidth="1"/>
    <col min="3" max="3" width="13" customWidth="1"/>
    <col min="4" max="4" width="15" customWidth="1"/>
    <col min="5" max="5" width="35.453125" customWidth="1"/>
    <col min="6" max="6" width="15.453125" customWidth="1"/>
    <col min="7" max="7" width="16.453125" customWidth="1"/>
    <col min="8" max="8" width="14.453125" customWidth="1"/>
    <col min="9" max="9" width="15.453125" customWidth="1"/>
    <col min="10" max="10" width="14.453125" customWidth="1"/>
    <col min="11" max="11" width="16.453125" hidden="1" customWidth="1"/>
  </cols>
  <sheetData>
    <row r="1" spans="1:15" ht="15.5" x14ac:dyDescent="0.35">
      <c r="A1" s="49" t="s">
        <v>794</v>
      </c>
      <c r="B1" s="50"/>
      <c r="C1" s="50"/>
      <c r="D1" s="58" t="str">
        <f>General!D4</f>
        <v>Name</v>
      </c>
      <c r="E1" s="58"/>
      <c r="F1" s="50"/>
      <c r="G1" s="50"/>
      <c r="H1" s="50"/>
      <c r="I1" s="50"/>
      <c r="J1" s="50"/>
      <c r="K1" s="290"/>
      <c r="L1" s="290"/>
      <c r="M1" s="290"/>
      <c r="N1" s="290"/>
      <c r="O1" s="290"/>
    </row>
    <row r="2" spans="1:15" ht="15.5" x14ac:dyDescent="0.35">
      <c r="A2" s="1797"/>
      <c r="B2" s="1797"/>
      <c r="C2" s="1797"/>
      <c r="D2" s="1797"/>
      <c r="E2" s="1797"/>
      <c r="F2" s="1797"/>
      <c r="G2" s="1797"/>
      <c r="H2" s="1797"/>
      <c r="I2" s="1211"/>
      <c r="J2" s="1211"/>
      <c r="K2" s="290"/>
      <c r="L2" s="290"/>
      <c r="M2" s="290"/>
      <c r="N2" s="290"/>
      <c r="O2" s="290"/>
    </row>
    <row r="3" spans="1:15" ht="62" x14ac:dyDescent="0.35">
      <c r="A3" s="52" t="s">
        <v>795</v>
      </c>
      <c r="B3" s="52" t="s">
        <v>796</v>
      </c>
      <c r="C3" s="51" t="s">
        <v>696</v>
      </c>
      <c r="D3" s="51" t="s">
        <v>697</v>
      </c>
      <c r="E3" s="52" t="s">
        <v>797</v>
      </c>
      <c r="F3" s="51" t="s">
        <v>698</v>
      </c>
      <c r="G3" s="52" t="s">
        <v>700</v>
      </c>
      <c r="H3" s="53" t="s">
        <v>798</v>
      </c>
      <c r="I3" s="48" t="s">
        <v>799</v>
      </c>
      <c r="J3" s="48" t="s">
        <v>637</v>
      </c>
      <c r="L3" s="290"/>
      <c r="M3" s="290"/>
      <c r="N3" s="290"/>
      <c r="O3" s="290"/>
    </row>
    <row r="4" spans="1:15" ht="15.5" x14ac:dyDescent="0.35">
      <c r="A4" s="33" t="s">
        <v>15</v>
      </c>
      <c r="B4" s="254"/>
      <c r="C4" s="255"/>
      <c r="D4" s="256"/>
      <c r="E4" s="256"/>
      <c r="F4" s="35">
        <f>C4*D4</f>
        <v>0</v>
      </c>
      <c r="G4" s="34"/>
      <c r="H4" s="44"/>
      <c r="I4" s="46"/>
      <c r="J4" s="46"/>
      <c r="K4" s="55" t="s">
        <v>800</v>
      </c>
      <c r="L4" s="290"/>
      <c r="M4" s="290"/>
      <c r="N4" s="290"/>
      <c r="O4" s="290"/>
    </row>
    <row r="5" spans="1:15" ht="15.5" x14ac:dyDescent="0.35">
      <c r="A5" s="34">
        <v>1</v>
      </c>
      <c r="B5" s="254"/>
      <c r="C5" s="255"/>
      <c r="D5" s="256"/>
      <c r="E5" s="256"/>
      <c r="F5" s="35">
        <f t="shared" ref="F5:F18" si="0">C5*D5</f>
        <v>0</v>
      </c>
      <c r="G5" s="34"/>
      <c r="H5" s="45"/>
      <c r="I5" s="46"/>
      <c r="J5" s="46"/>
      <c r="K5" s="55" t="s">
        <v>801</v>
      </c>
      <c r="L5" s="290"/>
      <c r="M5" s="290"/>
      <c r="N5" s="290"/>
      <c r="O5" s="290"/>
    </row>
    <row r="6" spans="1:15" ht="15.5" x14ac:dyDescent="0.35">
      <c r="A6" s="34">
        <v>2</v>
      </c>
      <c r="B6" s="254"/>
      <c r="C6" s="255"/>
      <c r="D6" s="256"/>
      <c r="E6" s="256"/>
      <c r="F6" s="35">
        <f t="shared" si="0"/>
        <v>0</v>
      </c>
      <c r="G6" s="34"/>
      <c r="H6" s="44"/>
      <c r="I6" s="46"/>
      <c r="J6" s="46"/>
      <c r="L6" s="290"/>
      <c r="M6" s="290"/>
      <c r="N6" s="290"/>
      <c r="O6" s="290"/>
    </row>
    <row r="7" spans="1:15" ht="15.5" x14ac:dyDescent="0.35">
      <c r="A7" s="34">
        <v>3</v>
      </c>
      <c r="B7" s="254"/>
      <c r="C7" s="255"/>
      <c r="D7" s="256"/>
      <c r="E7" s="256"/>
      <c r="F7" s="35">
        <f t="shared" si="0"/>
        <v>0</v>
      </c>
      <c r="G7" s="34"/>
      <c r="H7" s="44"/>
      <c r="I7" s="46"/>
      <c r="J7" s="46"/>
      <c r="L7" s="290"/>
      <c r="M7" s="290"/>
      <c r="N7" s="290"/>
      <c r="O7" s="290"/>
    </row>
    <row r="8" spans="1:15" ht="15.5" x14ac:dyDescent="0.35">
      <c r="A8" s="34">
        <v>4</v>
      </c>
      <c r="B8" s="254"/>
      <c r="C8" s="255"/>
      <c r="D8" s="256"/>
      <c r="E8" s="256"/>
      <c r="F8" s="35">
        <f t="shared" si="0"/>
        <v>0</v>
      </c>
      <c r="G8" s="34"/>
      <c r="H8" s="44"/>
      <c r="I8" s="46"/>
      <c r="J8" s="46"/>
      <c r="L8" s="290"/>
      <c r="M8" s="290"/>
      <c r="N8" s="290"/>
      <c r="O8" s="290"/>
    </row>
    <row r="9" spans="1:15" ht="15.5" x14ac:dyDescent="0.35">
      <c r="A9" s="33" t="s">
        <v>802</v>
      </c>
      <c r="B9" s="254"/>
      <c r="C9" s="255"/>
      <c r="D9" s="256"/>
      <c r="E9" s="256"/>
      <c r="F9" s="35">
        <f t="shared" si="0"/>
        <v>0</v>
      </c>
      <c r="G9" s="34"/>
      <c r="H9" s="44"/>
      <c r="I9" s="46"/>
      <c r="J9" s="46"/>
      <c r="L9" s="290"/>
      <c r="M9" s="290"/>
      <c r="N9" s="290"/>
      <c r="O9" s="290"/>
    </row>
    <row r="10" spans="1:15" ht="15.5" x14ac:dyDescent="0.35">
      <c r="A10" s="34">
        <v>5</v>
      </c>
      <c r="B10" s="254"/>
      <c r="C10" s="255"/>
      <c r="D10" s="256"/>
      <c r="E10" s="256"/>
      <c r="F10" s="35">
        <f t="shared" si="0"/>
        <v>0</v>
      </c>
      <c r="G10" s="34"/>
      <c r="H10" s="44"/>
      <c r="I10" s="46"/>
      <c r="J10" s="46"/>
      <c r="L10" s="290"/>
      <c r="M10" s="290"/>
      <c r="N10" s="290"/>
      <c r="O10" s="290"/>
    </row>
    <row r="11" spans="1:15" ht="15.5" x14ac:dyDescent="0.35">
      <c r="A11" s="34">
        <v>6</v>
      </c>
      <c r="B11" s="254"/>
      <c r="C11" s="255"/>
      <c r="D11" s="256"/>
      <c r="E11" s="256"/>
      <c r="F11" s="35">
        <f t="shared" si="0"/>
        <v>0</v>
      </c>
      <c r="G11" s="34"/>
      <c r="H11" s="44"/>
      <c r="I11" s="46"/>
      <c r="J11" s="46"/>
      <c r="L11" s="290"/>
      <c r="M11" s="290"/>
      <c r="N11" s="290"/>
      <c r="O11" s="290"/>
    </row>
    <row r="12" spans="1:15" ht="15.5" x14ac:dyDescent="0.35">
      <c r="A12" s="34">
        <v>7</v>
      </c>
      <c r="B12" s="254"/>
      <c r="C12" s="255"/>
      <c r="D12" s="256"/>
      <c r="E12" s="256"/>
      <c r="F12" s="35">
        <f t="shared" si="0"/>
        <v>0</v>
      </c>
      <c r="G12" s="34"/>
      <c r="H12" s="44"/>
      <c r="I12" s="46"/>
      <c r="J12" s="46"/>
      <c r="L12" s="290"/>
      <c r="M12" s="290"/>
      <c r="N12" s="290"/>
      <c r="O12" s="290"/>
    </row>
    <row r="13" spans="1:15" ht="15.5" x14ac:dyDescent="0.35">
      <c r="A13" s="34">
        <v>8</v>
      </c>
      <c r="B13" s="254"/>
      <c r="C13" s="257"/>
      <c r="D13" s="256"/>
      <c r="E13" s="256"/>
      <c r="F13" s="35">
        <f t="shared" si="0"/>
        <v>0</v>
      </c>
      <c r="G13" s="36"/>
      <c r="H13" s="37"/>
      <c r="I13" s="46"/>
      <c r="J13" s="47"/>
      <c r="L13" s="290"/>
      <c r="M13" s="290"/>
      <c r="N13" s="290"/>
      <c r="O13" s="290"/>
    </row>
    <row r="14" spans="1:15" ht="15.5" x14ac:dyDescent="0.35">
      <c r="A14" s="33" t="s">
        <v>803</v>
      </c>
      <c r="B14" s="254"/>
      <c r="C14" s="255"/>
      <c r="D14" s="256"/>
      <c r="E14" s="256"/>
      <c r="F14" s="35">
        <f t="shared" si="0"/>
        <v>0</v>
      </c>
      <c r="G14" s="34"/>
      <c r="H14" s="44"/>
      <c r="I14" s="46"/>
      <c r="J14" s="46"/>
      <c r="L14" s="290"/>
      <c r="M14" s="290"/>
      <c r="N14" s="290"/>
      <c r="O14" s="290"/>
    </row>
    <row r="15" spans="1:15" ht="15.5" x14ac:dyDescent="0.35">
      <c r="A15" s="34">
        <v>9</v>
      </c>
      <c r="B15" s="254"/>
      <c r="C15" s="255"/>
      <c r="D15" s="256"/>
      <c r="E15" s="256"/>
      <c r="F15" s="35">
        <f t="shared" si="0"/>
        <v>0</v>
      </c>
      <c r="G15" s="34"/>
      <c r="H15" s="44"/>
      <c r="I15" s="46"/>
      <c r="J15" s="46"/>
      <c r="L15" s="290"/>
      <c r="M15" s="290"/>
      <c r="N15" s="290"/>
      <c r="O15" s="290"/>
    </row>
    <row r="16" spans="1:15" ht="15.5" x14ac:dyDescent="0.35">
      <c r="A16" s="34">
        <v>10</v>
      </c>
      <c r="B16" s="254"/>
      <c r="C16" s="255"/>
      <c r="D16" s="256"/>
      <c r="E16" s="256"/>
      <c r="F16" s="35">
        <f t="shared" si="0"/>
        <v>0</v>
      </c>
      <c r="G16" s="34"/>
      <c r="H16" s="44"/>
      <c r="I16" s="46"/>
      <c r="J16" s="46"/>
      <c r="L16" s="290"/>
      <c r="M16" s="290"/>
      <c r="N16" s="290"/>
      <c r="O16" s="290"/>
    </row>
    <row r="17" spans="1:15" ht="15.5" x14ac:dyDescent="0.35">
      <c r="A17" s="34">
        <v>11</v>
      </c>
      <c r="B17" s="254"/>
      <c r="C17" s="255"/>
      <c r="D17" s="256"/>
      <c r="E17" s="256"/>
      <c r="F17" s="35">
        <f t="shared" si="0"/>
        <v>0</v>
      </c>
      <c r="G17" s="34"/>
      <c r="H17" s="44"/>
      <c r="I17" s="46"/>
      <c r="J17" s="46"/>
      <c r="L17" s="290"/>
      <c r="M17" s="290"/>
      <c r="N17" s="290"/>
      <c r="O17" s="290"/>
    </row>
    <row r="18" spans="1:15" ht="15.5" x14ac:dyDescent="0.35">
      <c r="A18" s="34">
        <v>12</v>
      </c>
      <c r="B18" s="254"/>
      <c r="C18" s="257"/>
      <c r="D18" s="256"/>
      <c r="E18" s="256"/>
      <c r="F18" s="35">
        <f t="shared" si="0"/>
        <v>0</v>
      </c>
      <c r="G18" s="36"/>
      <c r="H18" s="37"/>
      <c r="I18" s="46"/>
      <c r="J18" s="47"/>
      <c r="L18" s="290"/>
      <c r="M18" s="290"/>
      <c r="N18" s="290"/>
      <c r="O18" s="290"/>
    </row>
    <row r="19" spans="1:15" ht="15.5" x14ac:dyDescent="0.35">
      <c r="A19" s="38"/>
      <c r="B19" s="39"/>
      <c r="C19" s="40"/>
      <c r="D19" s="41" t="s">
        <v>707</v>
      </c>
      <c r="E19" s="41"/>
      <c r="F19" s="59">
        <f>SUM(F4:F18)</f>
        <v>0</v>
      </c>
      <c r="G19" s="43"/>
      <c r="H19" s="290"/>
      <c r="I19" s="290"/>
      <c r="J19" s="290"/>
      <c r="K19" s="290"/>
      <c r="L19" s="290"/>
      <c r="M19" s="290"/>
      <c r="N19" s="290"/>
      <c r="O19" s="290"/>
    </row>
    <row r="20" spans="1:15" ht="15.5" x14ac:dyDescent="0.35">
      <c r="A20" s="290"/>
      <c r="B20" s="290"/>
      <c r="C20" s="290"/>
      <c r="D20" s="290"/>
      <c r="E20" s="290"/>
      <c r="F20" s="42"/>
      <c r="H20" s="290"/>
      <c r="I20" s="290"/>
      <c r="J20" s="290"/>
      <c r="K20" s="290"/>
      <c r="L20" s="290"/>
      <c r="M20" s="290"/>
      <c r="N20" s="290"/>
      <c r="O20" s="290"/>
    </row>
    <row r="21" spans="1:15" ht="15.75" customHeight="1" x14ac:dyDescent="0.35">
      <c r="A21" s="60"/>
      <c r="B21" s="289"/>
      <c r="C21" s="289"/>
      <c r="D21" s="289"/>
      <c r="E21" s="289"/>
      <c r="F21" s="289"/>
      <c r="G21" s="289"/>
      <c r="H21" s="289"/>
      <c r="I21" s="289"/>
      <c r="J21" s="289"/>
      <c r="K21" s="290"/>
      <c r="L21" s="62"/>
      <c r="M21" s="290"/>
      <c r="N21" s="290"/>
      <c r="O21" s="290"/>
    </row>
    <row r="22" spans="1:15" ht="128.15" customHeight="1" x14ac:dyDescent="0.35">
      <c r="A22" s="60" t="s">
        <v>292</v>
      </c>
      <c r="B22" s="1798" t="s">
        <v>804</v>
      </c>
      <c r="C22" s="1799"/>
      <c r="D22" s="1799"/>
      <c r="E22" s="1799"/>
      <c r="F22" s="1799"/>
      <c r="G22" s="1799"/>
      <c r="H22" s="1799"/>
      <c r="I22" s="1799"/>
      <c r="J22" s="1799"/>
      <c r="K22" s="290"/>
      <c r="L22" s="61"/>
      <c r="M22" s="290"/>
      <c r="N22" s="290"/>
      <c r="O22" s="290"/>
    </row>
    <row r="23" spans="1:15" ht="15.5" x14ac:dyDescent="0.35">
      <c r="A23" s="24"/>
      <c r="B23" s="24"/>
      <c r="C23" s="24"/>
      <c r="D23" s="24"/>
      <c r="E23" s="24"/>
      <c r="F23" s="24"/>
      <c r="G23" s="24"/>
      <c r="H23" s="24"/>
      <c r="I23" s="24"/>
      <c r="J23" s="24"/>
      <c r="K23" s="290"/>
      <c r="L23" s="290"/>
      <c r="M23" s="290"/>
      <c r="N23" s="290"/>
      <c r="O23" s="290"/>
    </row>
    <row r="24" spans="1:15" x14ac:dyDescent="0.25">
      <c r="B24" s="55"/>
    </row>
  </sheetData>
  <mergeCells count="2">
    <mergeCell ref="A2:H2"/>
    <mergeCell ref="B22:J22"/>
  </mergeCells>
  <dataValidations count="1">
    <dataValidation type="list" showInputMessage="1" showErrorMessage="1" sqref="I4:I18" xr:uid="{00000000-0002-0000-1500-000000000000}">
      <formula1>$K$4:$K$5</formula1>
    </dataValidation>
  </dataValidations>
  <pageMargins left="0.75" right="0.75" top="1" bottom="1" header="0.5" footer="0.5"/>
  <pageSetup scale="80" orientation="landscape" horizontalDpi="1200" verticalDpi="1200"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4">
    <pageSetUpPr fitToPage="1"/>
  </sheetPr>
  <dimension ref="A1:O24"/>
  <sheetViews>
    <sheetView workbookViewId="0">
      <selection activeCell="D1" sqref="D1"/>
    </sheetView>
  </sheetViews>
  <sheetFormatPr defaultColWidth="8.453125" defaultRowHeight="12.5" x14ac:dyDescent="0.25"/>
  <cols>
    <col min="1" max="1" width="12" customWidth="1"/>
    <col min="2" max="2" width="23.453125" customWidth="1"/>
    <col min="3" max="3" width="13" customWidth="1"/>
    <col min="4" max="4" width="15" customWidth="1"/>
    <col min="5" max="5" width="35.453125" customWidth="1"/>
    <col min="6" max="6" width="15.453125" customWidth="1"/>
    <col min="7" max="7" width="16.453125" customWidth="1"/>
    <col min="8" max="8" width="14.453125" customWidth="1"/>
    <col min="9" max="9" width="15.453125" customWidth="1"/>
    <col min="10" max="10" width="14.453125" customWidth="1"/>
    <col min="11" max="11" width="16.453125" hidden="1" customWidth="1"/>
  </cols>
  <sheetData>
    <row r="1" spans="1:15" ht="15.5" x14ac:dyDescent="0.35">
      <c r="A1" s="49" t="s">
        <v>805</v>
      </c>
      <c r="B1" s="50"/>
      <c r="C1" s="50"/>
      <c r="D1" s="58" t="str">
        <f>General!D4</f>
        <v>Name</v>
      </c>
      <c r="E1" s="58"/>
      <c r="F1" s="50"/>
      <c r="G1" s="50"/>
      <c r="H1" s="50"/>
      <c r="I1" s="50"/>
      <c r="J1" s="50"/>
      <c r="K1" s="290"/>
      <c r="L1" s="290"/>
      <c r="M1" s="290"/>
      <c r="N1" s="290"/>
      <c r="O1" s="290"/>
    </row>
    <row r="2" spans="1:15" ht="15.5" x14ac:dyDescent="0.35">
      <c r="A2" s="1797"/>
      <c r="B2" s="1797"/>
      <c r="C2" s="1797"/>
      <c r="D2" s="1797"/>
      <c r="E2" s="1797"/>
      <c r="F2" s="1797"/>
      <c r="G2" s="1797"/>
      <c r="H2" s="1797"/>
      <c r="I2" s="1211"/>
      <c r="J2" s="1211"/>
      <c r="K2" s="290"/>
      <c r="L2" s="290"/>
      <c r="M2" s="290"/>
      <c r="N2" s="290"/>
      <c r="O2" s="290"/>
    </row>
    <row r="3" spans="1:15" ht="77.5" x14ac:dyDescent="0.35">
      <c r="A3" s="52" t="s">
        <v>795</v>
      </c>
      <c r="B3" s="52" t="s">
        <v>806</v>
      </c>
      <c r="C3" s="51" t="s">
        <v>696</v>
      </c>
      <c r="D3" s="51" t="s">
        <v>697</v>
      </c>
      <c r="E3" s="52" t="s">
        <v>807</v>
      </c>
      <c r="F3" s="51" t="s">
        <v>698</v>
      </c>
      <c r="G3" s="52" t="s">
        <v>700</v>
      </c>
      <c r="H3" s="53" t="s">
        <v>798</v>
      </c>
      <c r="I3" s="48" t="s">
        <v>799</v>
      </c>
      <c r="J3" s="48" t="s">
        <v>637</v>
      </c>
      <c r="L3" s="290"/>
      <c r="M3" s="290"/>
      <c r="N3" s="290"/>
      <c r="O3" s="290"/>
    </row>
    <row r="4" spans="1:15" ht="15.5" x14ac:dyDescent="0.35">
      <c r="A4" s="33" t="s">
        <v>15</v>
      </c>
      <c r="B4" s="254"/>
      <c r="C4" s="255"/>
      <c r="D4" s="256"/>
      <c r="E4" s="256"/>
      <c r="F4" s="35">
        <f>C4*D4</f>
        <v>0</v>
      </c>
      <c r="G4" s="34"/>
      <c r="H4" s="44"/>
      <c r="I4" s="46"/>
      <c r="J4" s="46"/>
      <c r="K4" s="55" t="s">
        <v>800</v>
      </c>
      <c r="L4" s="290"/>
      <c r="M4" s="290"/>
      <c r="N4" s="290"/>
      <c r="O4" s="290"/>
    </row>
    <row r="5" spans="1:15" ht="15.5" x14ac:dyDescent="0.35">
      <c r="A5" s="34">
        <v>1</v>
      </c>
      <c r="B5" s="254"/>
      <c r="C5" s="255"/>
      <c r="D5" s="256"/>
      <c r="E5" s="256"/>
      <c r="F5" s="35">
        <f t="shared" ref="F5:F18" si="0">C5*D5</f>
        <v>0</v>
      </c>
      <c r="G5" s="34"/>
      <c r="H5" s="45"/>
      <c r="I5" s="46"/>
      <c r="J5" s="46"/>
      <c r="K5" s="55" t="s">
        <v>801</v>
      </c>
      <c r="L5" s="290"/>
      <c r="M5" s="290"/>
      <c r="N5" s="290"/>
      <c r="O5" s="290"/>
    </row>
    <row r="6" spans="1:15" ht="15.5" x14ac:dyDescent="0.35">
      <c r="A6" s="34">
        <v>2</v>
      </c>
      <c r="B6" s="254"/>
      <c r="C6" s="255"/>
      <c r="D6" s="256"/>
      <c r="E6" s="256"/>
      <c r="F6" s="35">
        <f t="shared" si="0"/>
        <v>0</v>
      </c>
      <c r="G6" s="34"/>
      <c r="H6" s="44"/>
      <c r="I6" s="46"/>
      <c r="J6" s="46"/>
      <c r="L6" s="290"/>
      <c r="M6" s="290"/>
      <c r="N6" s="290"/>
      <c r="O6" s="290"/>
    </row>
    <row r="7" spans="1:15" ht="15.5" x14ac:dyDescent="0.35">
      <c r="A7" s="34">
        <v>3</v>
      </c>
      <c r="B7" s="254"/>
      <c r="C7" s="255"/>
      <c r="D7" s="256"/>
      <c r="E7" s="256"/>
      <c r="F7" s="35">
        <f t="shared" si="0"/>
        <v>0</v>
      </c>
      <c r="G7" s="34"/>
      <c r="H7" s="44"/>
      <c r="I7" s="46"/>
      <c r="J7" s="46"/>
      <c r="L7" s="290"/>
      <c r="M7" s="290"/>
      <c r="N7" s="290"/>
      <c r="O7" s="290"/>
    </row>
    <row r="8" spans="1:15" ht="15.5" x14ac:dyDescent="0.35">
      <c r="A8" s="34">
        <v>4</v>
      </c>
      <c r="B8" s="254"/>
      <c r="C8" s="255"/>
      <c r="D8" s="256"/>
      <c r="E8" s="256"/>
      <c r="F8" s="35">
        <f t="shared" si="0"/>
        <v>0</v>
      </c>
      <c r="G8" s="34"/>
      <c r="H8" s="44"/>
      <c r="I8" s="46"/>
      <c r="J8" s="46"/>
      <c r="L8" s="290"/>
      <c r="M8" s="290"/>
      <c r="N8" s="290"/>
      <c r="O8" s="290"/>
    </row>
    <row r="9" spans="1:15" ht="15.5" x14ac:dyDescent="0.35">
      <c r="A9" s="33" t="s">
        <v>802</v>
      </c>
      <c r="B9" s="254"/>
      <c r="C9" s="255"/>
      <c r="D9" s="256"/>
      <c r="E9" s="256"/>
      <c r="F9" s="35">
        <f t="shared" si="0"/>
        <v>0</v>
      </c>
      <c r="G9" s="34"/>
      <c r="H9" s="44"/>
      <c r="I9" s="46"/>
      <c r="J9" s="46"/>
      <c r="L9" s="290"/>
      <c r="M9" s="290"/>
      <c r="N9" s="290"/>
      <c r="O9" s="290"/>
    </row>
    <row r="10" spans="1:15" ht="15.5" x14ac:dyDescent="0.35">
      <c r="A10" s="34">
        <v>5</v>
      </c>
      <c r="B10" s="254"/>
      <c r="C10" s="255"/>
      <c r="D10" s="256"/>
      <c r="E10" s="256"/>
      <c r="F10" s="35">
        <f t="shared" si="0"/>
        <v>0</v>
      </c>
      <c r="G10" s="34"/>
      <c r="H10" s="44"/>
      <c r="I10" s="46"/>
      <c r="J10" s="46"/>
      <c r="L10" s="290"/>
      <c r="M10" s="290"/>
      <c r="N10" s="290"/>
      <c r="O10" s="290"/>
    </row>
    <row r="11" spans="1:15" ht="15.5" x14ac:dyDescent="0.35">
      <c r="A11" s="34">
        <v>6</v>
      </c>
      <c r="B11" s="254"/>
      <c r="C11" s="255"/>
      <c r="D11" s="256"/>
      <c r="E11" s="256"/>
      <c r="F11" s="35">
        <f t="shared" si="0"/>
        <v>0</v>
      </c>
      <c r="G11" s="34"/>
      <c r="H11" s="44"/>
      <c r="I11" s="46"/>
      <c r="J11" s="46"/>
      <c r="L11" s="290"/>
      <c r="M11" s="290"/>
      <c r="N11" s="290"/>
      <c r="O11" s="290"/>
    </row>
    <row r="12" spans="1:15" ht="15.5" x14ac:dyDescent="0.35">
      <c r="A12" s="34">
        <v>7</v>
      </c>
      <c r="B12" s="254"/>
      <c r="C12" s="255"/>
      <c r="D12" s="256"/>
      <c r="E12" s="256"/>
      <c r="F12" s="35">
        <f t="shared" si="0"/>
        <v>0</v>
      </c>
      <c r="G12" s="34"/>
      <c r="H12" s="44"/>
      <c r="I12" s="46"/>
      <c r="J12" s="46"/>
      <c r="L12" s="290"/>
      <c r="M12" s="290"/>
      <c r="N12" s="290"/>
      <c r="O12" s="290"/>
    </row>
    <row r="13" spans="1:15" ht="15.5" x14ac:dyDescent="0.35">
      <c r="A13" s="34">
        <v>8</v>
      </c>
      <c r="B13" s="254"/>
      <c r="C13" s="257"/>
      <c r="D13" s="256"/>
      <c r="E13" s="256"/>
      <c r="F13" s="35">
        <f t="shared" si="0"/>
        <v>0</v>
      </c>
      <c r="G13" s="36"/>
      <c r="H13" s="37"/>
      <c r="I13" s="46"/>
      <c r="J13" s="47"/>
      <c r="L13" s="290"/>
      <c r="M13" s="290"/>
      <c r="N13" s="290"/>
      <c r="O13" s="290"/>
    </row>
    <row r="14" spans="1:15" ht="15.5" x14ac:dyDescent="0.35">
      <c r="A14" s="33" t="s">
        <v>803</v>
      </c>
      <c r="B14" s="254"/>
      <c r="C14" s="255"/>
      <c r="D14" s="256"/>
      <c r="E14" s="256"/>
      <c r="F14" s="35">
        <f t="shared" si="0"/>
        <v>0</v>
      </c>
      <c r="G14" s="34"/>
      <c r="H14" s="44"/>
      <c r="I14" s="46"/>
      <c r="J14" s="46"/>
      <c r="L14" s="290"/>
      <c r="M14" s="290"/>
      <c r="N14" s="290"/>
      <c r="O14" s="290"/>
    </row>
    <row r="15" spans="1:15" ht="15.5" x14ac:dyDescent="0.35">
      <c r="A15" s="34">
        <v>9</v>
      </c>
      <c r="B15" s="254"/>
      <c r="C15" s="255"/>
      <c r="D15" s="256"/>
      <c r="E15" s="256"/>
      <c r="F15" s="35">
        <f t="shared" si="0"/>
        <v>0</v>
      </c>
      <c r="G15" s="34"/>
      <c r="H15" s="44"/>
      <c r="I15" s="46"/>
      <c r="J15" s="46"/>
      <c r="L15" s="290"/>
      <c r="M15" s="290"/>
      <c r="N15" s="290"/>
      <c r="O15" s="290"/>
    </row>
    <row r="16" spans="1:15" ht="15.5" x14ac:dyDescent="0.35">
      <c r="A16" s="34">
        <v>10</v>
      </c>
      <c r="B16" s="254"/>
      <c r="C16" s="255"/>
      <c r="D16" s="256"/>
      <c r="E16" s="256"/>
      <c r="F16" s="35">
        <f t="shared" si="0"/>
        <v>0</v>
      </c>
      <c r="G16" s="34"/>
      <c r="H16" s="44"/>
      <c r="I16" s="46"/>
      <c r="J16" s="46"/>
      <c r="L16" s="290"/>
      <c r="M16" s="290"/>
      <c r="N16" s="290"/>
      <c r="O16" s="290"/>
    </row>
    <row r="17" spans="1:15" ht="15.5" x14ac:dyDescent="0.35">
      <c r="A17" s="34">
        <v>11</v>
      </c>
      <c r="B17" s="254"/>
      <c r="C17" s="255"/>
      <c r="D17" s="256"/>
      <c r="E17" s="256"/>
      <c r="F17" s="35">
        <f t="shared" si="0"/>
        <v>0</v>
      </c>
      <c r="G17" s="34"/>
      <c r="H17" s="44"/>
      <c r="I17" s="46"/>
      <c r="J17" s="46"/>
      <c r="L17" s="290"/>
      <c r="M17" s="290"/>
      <c r="N17" s="290"/>
      <c r="O17" s="290"/>
    </row>
    <row r="18" spans="1:15" ht="15.5" x14ac:dyDescent="0.35">
      <c r="A18" s="34">
        <v>12</v>
      </c>
      <c r="B18" s="254"/>
      <c r="C18" s="257"/>
      <c r="D18" s="256"/>
      <c r="E18" s="256"/>
      <c r="F18" s="35">
        <f t="shared" si="0"/>
        <v>0</v>
      </c>
      <c r="G18" s="36"/>
      <c r="H18" s="37"/>
      <c r="I18" s="46"/>
      <c r="J18" s="47"/>
      <c r="L18" s="290"/>
      <c r="M18" s="290"/>
      <c r="N18" s="290"/>
      <c r="O18" s="290"/>
    </row>
    <row r="19" spans="1:15" ht="15.5" x14ac:dyDescent="0.35">
      <c r="A19" s="38"/>
      <c r="B19" s="39"/>
      <c r="C19" s="40"/>
      <c r="D19" s="41" t="s">
        <v>707</v>
      </c>
      <c r="E19" s="41"/>
      <c r="F19" s="59">
        <f>SUM(F4:F18)</f>
        <v>0</v>
      </c>
      <c r="G19" s="43"/>
      <c r="H19" s="290"/>
      <c r="I19" s="290"/>
      <c r="J19" s="290"/>
      <c r="K19" s="290"/>
      <c r="L19" s="290"/>
      <c r="M19" s="290"/>
      <c r="N19" s="290"/>
      <c r="O19" s="290"/>
    </row>
    <row r="20" spans="1:15" ht="15.5" x14ac:dyDescent="0.35">
      <c r="A20" s="290"/>
      <c r="B20" s="290"/>
      <c r="C20" s="290"/>
      <c r="D20" s="290"/>
      <c r="E20" s="290"/>
      <c r="F20" s="42"/>
      <c r="H20" s="290"/>
      <c r="I20" s="290"/>
      <c r="J20" s="290"/>
      <c r="K20" s="290"/>
      <c r="L20" s="290"/>
      <c r="M20" s="290"/>
      <c r="N20" s="290"/>
      <c r="O20" s="290"/>
    </row>
    <row r="21" spans="1:15" ht="15.75" customHeight="1" x14ac:dyDescent="0.35">
      <c r="A21" s="60"/>
      <c r="B21" s="289"/>
      <c r="C21" s="289"/>
      <c r="D21" s="289"/>
      <c r="E21" s="289"/>
      <c r="F21" s="289"/>
      <c r="G21" s="289"/>
      <c r="H21" s="289"/>
      <c r="I21" s="289"/>
      <c r="J21" s="289"/>
      <c r="K21" s="290"/>
      <c r="L21" s="62"/>
      <c r="M21" s="290"/>
      <c r="N21" s="290"/>
      <c r="O21" s="290"/>
    </row>
    <row r="22" spans="1:15" ht="128.15" customHeight="1" x14ac:dyDescent="0.35">
      <c r="A22" s="60" t="s">
        <v>292</v>
      </c>
      <c r="B22" s="1798" t="s">
        <v>808</v>
      </c>
      <c r="C22" s="1799"/>
      <c r="D22" s="1799"/>
      <c r="E22" s="1799"/>
      <c r="F22" s="1799"/>
      <c r="G22" s="1799"/>
      <c r="H22" s="1799"/>
      <c r="I22" s="1799"/>
      <c r="J22" s="1799"/>
      <c r="K22" s="290"/>
      <c r="L22" s="61"/>
      <c r="M22" s="290"/>
      <c r="N22" s="290"/>
      <c r="O22" s="290"/>
    </row>
    <row r="23" spans="1:15" ht="15.5" x14ac:dyDescent="0.35">
      <c r="A23" s="24"/>
      <c r="B23" s="24"/>
      <c r="C23" s="24"/>
      <c r="D23" s="24"/>
      <c r="E23" s="24"/>
      <c r="F23" s="24"/>
      <c r="G23" s="24"/>
      <c r="H23" s="24"/>
      <c r="I23" s="24"/>
      <c r="J23" s="24"/>
      <c r="K23" s="290"/>
      <c r="L23" s="290"/>
      <c r="M23" s="290"/>
      <c r="N23" s="290"/>
      <c r="O23" s="290"/>
    </row>
    <row r="24" spans="1:15" x14ac:dyDescent="0.25">
      <c r="B24" s="55"/>
    </row>
  </sheetData>
  <mergeCells count="2">
    <mergeCell ref="A2:H2"/>
    <mergeCell ref="B22:J22"/>
  </mergeCells>
  <dataValidations count="1">
    <dataValidation type="list" showInputMessage="1" showErrorMessage="1" sqref="I4:I18" xr:uid="{00000000-0002-0000-1600-000000000000}">
      <formula1>$K$4:$K$5</formula1>
    </dataValidation>
  </dataValidations>
  <pageMargins left="0.75" right="0.75" top="1" bottom="1" header="0.5" footer="0.5"/>
  <pageSetup scale="80" orientation="landscape" horizontalDpi="1200" verticalDpi="1200"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35">
    <pageSetUpPr fitToPage="1"/>
  </sheetPr>
  <dimension ref="A1:K74"/>
  <sheetViews>
    <sheetView zoomScale="80" zoomScaleNormal="80" workbookViewId="0">
      <pane ySplit="4" topLeftCell="A5" activePane="bottomLeft" state="frozen"/>
      <selection activeCell="A2" sqref="A2:B2"/>
      <selection pane="bottomLeft" activeCell="A2" sqref="A2:B2"/>
    </sheetView>
  </sheetViews>
  <sheetFormatPr defaultColWidth="10.453125" defaultRowHeight="23.5" x14ac:dyDescent="0.25"/>
  <cols>
    <col min="1" max="1" width="19.453125" style="258" customWidth="1"/>
    <col min="2" max="2" width="19.453125" style="280" customWidth="1"/>
    <col min="3" max="3" width="47.453125" style="281" customWidth="1"/>
    <col min="4" max="4" width="19.453125" style="282" customWidth="1"/>
    <col min="5" max="5" width="21.453125" style="258" customWidth="1"/>
    <col min="6" max="6" width="65.453125" style="283" customWidth="1"/>
    <col min="7" max="8" width="42.453125" style="283" customWidth="1"/>
    <col min="9" max="10" width="19.453125" style="284" customWidth="1"/>
    <col min="11" max="11" width="22.453125" style="284" bestFit="1" customWidth="1"/>
    <col min="12" max="24" width="10.453125" style="258"/>
    <col min="25" max="25" width="9.453125" style="258" customWidth="1"/>
    <col min="26" max="16384" width="10.453125" style="258"/>
  </cols>
  <sheetData>
    <row r="1" spans="1:11" ht="37.5" customHeight="1" x14ac:dyDescent="0.25">
      <c r="A1" s="1802" t="s">
        <v>809</v>
      </c>
      <c r="B1" s="1803"/>
      <c r="C1" s="1803"/>
      <c r="D1" s="1803"/>
      <c r="E1" s="1803"/>
      <c r="F1" s="1803"/>
      <c r="G1" s="1803"/>
      <c r="H1" s="1803"/>
      <c r="I1" s="1803"/>
      <c r="J1" s="1803"/>
      <c r="K1" s="1804"/>
    </row>
    <row r="2" spans="1:11" ht="30" customHeight="1" x14ac:dyDescent="0.25">
      <c r="A2" s="1805" t="s">
        <v>781</v>
      </c>
      <c r="B2" s="1805"/>
      <c r="C2" s="1806"/>
      <c r="D2" s="1806"/>
      <c r="E2" s="1806"/>
      <c r="F2" s="1806"/>
      <c r="G2" s="1806"/>
      <c r="H2" s="1806"/>
      <c r="I2" s="1806"/>
      <c r="J2" s="1806"/>
      <c r="K2" s="1806"/>
    </row>
    <row r="3" spans="1:11" ht="30" customHeight="1" x14ac:dyDescent="0.25">
      <c r="A3" s="1805" t="s">
        <v>782</v>
      </c>
      <c r="B3" s="1805"/>
      <c r="C3" s="1806"/>
      <c r="D3" s="1806"/>
      <c r="E3" s="1806"/>
      <c r="F3" s="1806"/>
      <c r="G3" s="1806"/>
      <c r="H3" s="1806"/>
      <c r="I3" s="1806"/>
      <c r="J3" s="1806"/>
      <c r="K3" s="1806"/>
    </row>
    <row r="4" spans="1:11" s="263" customFormat="1" ht="42" x14ac:dyDescent="0.25">
      <c r="A4" s="259" t="s">
        <v>810</v>
      </c>
      <c r="B4" s="260" t="s">
        <v>811</v>
      </c>
      <c r="C4" s="259" t="s">
        <v>812</v>
      </c>
      <c r="D4" s="261" t="s">
        <v>813</v>
      </c>
      <c r="E4" s="259" t="s">
        <v>814</v>
      </c>
      <c r="F4" s="259" t="s">
        <v>815</v>
      </c>
      <c r="G4" s="259" t="s">
        <v>816</v>
      </c>
      <c r="H4" s="259" t="s">
        <v>817</v>
      </c>
      <c r="I4" s="262" t="s">
        <v>818</v>
      </c>
      <c r="J4" s="262" t="s">
        <v>819</v>
      </c>
      <c r="K4" s="262" t="s">
        <v>820</v>
      </c>
    </row>
    <row r="5" spans="1:11" x14ac:dyDescent="0.25">
      <c r="A5" s="1800" t="s">
        <v>784</v>
      </c>
      <c r="B5" s="264">
        <v>1</v>
      </c>
      <c r="C5" s="265" t="s">
        <v>821</v>
      </c>
      <c r="D5" s="266">
        <f>SUM(D6:D15)</f>
        <v>0</v>
      </c>
      <c r="E5" s="267" t="s">
        <v>822</v>
      </c>
      <c r="F5" s="265" t="s">
        <v>823</v>
      </c>
      <c r="G5" s="265" t="s">
        <v>824</v>
      </c>
      <c r="H5" s="265" t="s">
        <v>824</v>
      </c>
      <c r="I5" s="268" t="s">
        <v>825</v>
      </c>
      <c r="J5" s="268" t="s">
        <v>825</v>
      </c>
      <c r="K5" s="268" t="s">
        <v>825</v>
      </c>
    </row>
    <row r="6" spans="1:11" ht="23.25" customHeight="1" x14ac:dyDescent="0.25">
      <c r="A6" s="1801"/>
      <c r="B6" s="269">
        <v>1.1000000000000001</v>
      </c>
      <c r="C6" s="270" t="s">
        <v>826</v>
      </c>
      <c r="D6" s="271">
        <v>0</v>
      </c>
      <c r="E6" s="272" t="s">
        <v>779</v>
      </c>
      <c r="F6" s="270" t="s">
        <v>823</v>
      </c>
      <c r="G6" s="270" t="s">
        <v>824</v>
      </c>
      <c r="H6" s="270" t="s">
        <v>824</v>
      </c>
      <c r="I6" s="273" t="s">
        <v>825</v>
      </c>
      <c r="J6" s="273" t="s">
        <v>825</v>
      </c>
      <c r="K6" s="273" t="s">
        <v>825</v>
      </c>
    </row>
    <row r="7" spans="1:11" ht="23.25" customHeight="1" x14ac:dyDescent="0.25">
      <c r="A7" s="1801"/>
      <c r="B7" s="269">
        <v>1.2</v>
      </c>
      <c r="C7" s="270" t="s">
        <v>826</v>
      </c>
      <c r="D7" s="271">
        <v>0</v>
      </c>
      <c r="E7" s="272" t="s">
        <v>779</v>
      </c>
      <c r="F7" s="270" t="s">
        <v>823</v>
      </c>
      <c r="G7" s="270" t="s">
        <v>824</v>
      </c>
      <c r="H7" s="270" t="s">
        <v>824</v>
      </c>
      <c r="I7" s="273" t="s">
        <v>825</v>
      </c>
      <c r="J7" s="273" t="s">
        <v>825</v>
      </c>
      <c r="K7" s="273" t="s">
        <v>825</v>
      </c>
    </row>
    <row r="8" spans="1:11" ht="23.25" customHeight="1" x14ac:dyDescent="0.25">
      <c r="A8" s="1801"/>
      <c r="B8" s="269">
        <v>1.3</v>
      </c>
      <c r="C8" s="270" t="s">
        <v>826</v>
      </c>
      <c r="D8" s="271">
        <v>0</v>
      </c>
      <c r="E8" s="272" t="s">
        <v>827</v>
      </c>
      <c r="F8" s="270" t="s">
        <v>823</v>
      </c>
      <c r="G8" s="270" t="s">
        <v>824</v>
      </c>
      <c r="H8" s="270" t="s">
        <v>824</v>
      </c>
      <c r="I8" s="273" t="s">
        <v>825</v>
      </c>
      <c r="J8" s="273" t="s">
        <v>825</v>
      </c>
      <c r="K8" s="273" t="s">
        <v>825</v>
      </c>
    </row>
    <row r="9" spans="1:11" ht="23.25" customHeight="1" x14ac:dyDescent="0.25">
      <c r="A9" s="1801"/>
      <c r="B9" s="269">
        <v>1.4</v>
      </c>
      <c r="C9" s="270" t="s">
        <v>826</v>
      </c>
      <c r="D9" s="271">
        <v>0</v>
      </c>
      <c r="E9" s="272" t="s">
        <v>779</v>
      </c>
      <c r="F9" s="270" t="s">
        <v>823</v>
      </c>
      <c r="G9" s="270" t="s">
        <v>824</v>
      </c>
      <c r="H9" s="270" t="s">
        <v>824</v>
      </c>
      <c r="I9" s="273" t="s">
        <v>825</v>
      </c>
      <c r="J9" s="273" t="s">
        <v>825</v>
      </c>
      <c r="K9" s="273" t="s">
        <v>825</v>
      </c>
    </row>
    <row r="10" spans="1:11" ht="23.25" customHeight="1" x14ac:dyDescent="0.25">
      <c r="A10" s="1801"/>
      <c r="B10" s="269">
        <v>1.5</v>
      </c>
      <c r="C10" s="270" t="s">
        <v>826</v>
      </c>
      <c r="D10" s="271">
        <v>0</v>
      </c>
      <c r="E10" s="272" t="s">
        <v>828</v>
      </c>
      <c r="F10" s="270" t="s">
        <v>823</v>
      </c>
      <c r="G10" s="270" t="s">
        <v>824</v>
      </c>
      <c r="H10" s="270" t="s">
        <v>824</v>
      </c>
      <c r="I10" s="273" t="s">
        <v>825</v>
      </c>
      <c r="J10" s="273" t="s">
        <v>825</v>
      </c>
      <c r="K10" s="273" t="s">
        <v>825</v>
      </c>
    </row>
    <row r="11" spans="1:11" ht="23.25" customHeight="1" x14ac:dyDescent="0.25">
      <c r="A11" s="1801"/>
      <c r="B11" s="269">
        <v>1.6</v>
      </c>
      <c r="C11" s="270" t="s">
        <v>826</v>
      </c>
      <c r="D11" s="271">
        <v>0</v>
      </c>
      <c r="E11" s="272" t="s">
        <v>829</v>
      </c>
      <c r="F11" s="270" t="s">
        <v>823</v>
      </c>
      <c r="G11" s="270" t="s">
        <v>824</v>
      </c>
      <c r="H11" s="270" t="s">
        <v>824</v>
      </c>
      <c r="I11" s="273" t="s">
        <v>825</v>
      </c>
      <c r="J11" s="273" t="s">
        <v>825</v>
      </c>
      <c r="K11" s="273" t="s">
        <v>825</v>
      </c>
    </row>
    <row r="12" spans="1:11" ht="23.25" customHeight="1" x14ac:dyDescent="0.25">
      <c r="A12" s="1801"/>
      <c r="B12" s="269">
        <v>1.7</v>
      </c>
      <c r="C12" s="270" t="s">
        <v>826</v>
      </c>
      <c r="D12" s="271">
        <v>0</v>
      </c>
      <c r="E12" s="272" t="s">
        <v>779</v>
      </c>
      <c r="F12" s="270" t="s">
        <v>823</v>
      </c>
      <c r="G12" s="270" t="s">
        <v>824</v>
      </c>
      <c r="H12" s="270" t="s">
        <v>824</v>
      </c>
      <c r="I12" s="273" t="s">
        <v>825</v>
      </c>
      <c r="J12" s="273" t="s">
        <v>825</v>
      </c>
      <c r="K12" s="273" t="s">
        <v>825</v>
      </c>
    </row>
    <row r="13" spans="1:11" ht="23.25" customHeight="1" x14ac:dyDescent="0.25">
      <c r="A13" s="1801"/>
      <c r="B13" s="269">
        <v>1.8</v>
      </c>
      <c r="C13" s="270" t="s">
        <v>826</v>
      </c>
      <c r="D13" s="271">
        <v>0</v>
      </c>
      <c r="E13" s="272" t="s">
        <v>830</v>
      </c>
      <c r="F13" s="270" t="s">
        <v>823</v>
      </c>
      <c r="G13" s="270" t="s">
        <v>824</v>
      </c>
      <c r="H13" s="270" t="s">
        <v>824</v>
      </c>
      <c r="I13" s="273" t="s">
        <v>825</v>
      </c>
      <c r="J13" s="273" t="s">
        <v>825</v>
      </c>
      <c r="K13" s="273" t="s">
        <v>825</v>
      </c>
    </row>
    <row r="14" spans="1:11" ht="23.25" customHeight="1" x14ac:dyDescent="0.25">
      <c r="A14" s="1801"/>
      <c r="B14" s="269">
        <v>1.9</v>
      </c>
      <c r="C14" s="270" t="s">
        <v>826</v>
      </c>
      <c r="D14" s="271">
        <v>0</v>
      </c>
      <c r="E14" s="272" t="s">
        <v>831</v>
      </c>
      <c r="F14" s="270" t="s">
        <v>823</v>
      </c>
      <c r="G14" s="270" t="s">
        <v>824</v>
      </c>
      <c r="H14" s="270" t="s">
        <v>824</v>
      </c>
      <c r="I14" s="273" t="s">
        <v>825</v>
      </c>
      <c r="J14" s="273" t="s">
        <v>825</v>
      </c>
      <c r="K14" s="273" t="s">
        <v>825</v>
      </c>
    </row>
    <row r="15" spans="1:11" ht="23.25" customHeight="1" x14ac:dyDescent="0.25">
      <c r="A15" s="1801"/>
      <c r="B15" s="274">
        <v>1.1000000000000001</v>
      </c>
      <c r="C15" s="270" t="s">
        <v>826</v>
      </c>
      <c r="D15" s="271">
        <v>0</v>
      </c>
      <c r="E15" s="272" t="s">
        <v>779</v>
      </c>
      <c r="F15" s="270" t="s">
        <v>823</v>
      </c>
      <c r="G15" s="270" t="s">
        <v>824</v>
      </c>
      <c r="H15" s="270" t="s">
        <v>824</v>
      </c>
      <c r="I15" s="273" t="s">
        <v>825</v>
      </c>
      <c r="J15" s="273" t="s">
        <v>825</v>
      </c>
      <c r="K15" s="273" t="s">
        <v>825</v>
      </c>
    </row>
    <row r="16" spans="1:11" x14ac:dyDescent="0.25">
      <c r="A16" s="1801"/>
      <c r="B16" s="275">
        <v>2</v>
      </c>
      <c r="C16" s="276" t="s">
        <v>832</v>
      </c>
      <c r="D16" s="277">
        <f>SUM(D17:D26)</f>
        <v>0</v>
      </c>
      <c r="E16" s="278"/>
      <c r="F16" s="276"/>
      <c r="G16" s="276"/>
      <c r="H16" s="276"/>
      <c r="I16" s="279"/>
      <c r="J16" s="279"/>
      <c r="K16" s="279"/>
    </row>
    <row r="17" spans="1:11" ht="23.25" customHeight="1" x14ac:dyDescent="0.25">
      <c r="A17" s="1801"/>
      <c r="B17" s="269">
        <v>2.1</v>
      </c>
      <c r="C17" s="270"/>
      <c r="D17" s="271">
        <v>0</v>
      </c>
      <c r="E17" s="272"/>
      <c r="F17" s="270"/>
      <c r="G17" s="270"/>
      <c r="H17" s="270"/>
      <c r="I17" s="273"/>
      <c r="J17" s="273"/>
      <c r="K17" s="273"/>
    </row>
    <row r="18" spans="1:11" ht="23.25" customHeight="1" x14ac:dyDescent="0.25">
      <c r="A18" s="1801"/>
      <c r="B18" s="269">
        <v>2.2000000000000002</v>
      </c>
      <c r="C18" s="270"/>
      <c r="D18" s="271">
        <v>0</v>
      </c>
      <c r="E18" s="272"/>
      <c r="F18" s="270"/>
      <c r="G18" s="270"/>
      <c r="H18" s="270"/>
      <c r="I18" s="273"/>
      <c r="J18" s="273"/>
      <c r="K18" s="273"/>
    </row>
    <row r="19" spans="1:11" ht="23.25" customHeight="1" x14ac:dyDescent="0.25">
      <c r="A19" s="1801"/>
      <c r="B19" s="269">
        <v>2.2999999999999998</v>
      </c>
      <c r="C19" s="270"/>
      <c r="D19" s="271">
        <v>0</v>
      </c>
      <c r="E19" s="272"/>
      <c r="F19" s="270"/>
      <c r="G19" s="270"/>
      <c r="H19" s="270"/>
      <c r="I19" s="273"/>
      <c r="J19" s="273"/>
      <c r="K19" s="273"/>
    </row>
    <row r="20" spans="1:11" ht="23.25" customHeight="1" x14ac:dyDescent="0.25">
      <c r="A20" s="1801"/>
      <c r="B20" s="269">
        <v>2.4</v>
      </c>
      <c r="C20" s="270"/>
      <c r="D20" s="271">
        <v>0</v>
      </c>
      <c r="E20" s="272"/>
      <c r="F20" s="270"/>
      <c r="G20" s="270"/>
      <c r="H20" s="270"/>
      <c r="I20" s="273"/>
      <c r="J20" s="273"/>
      <c r="K20" s="273"/>
    </row>
    <row r="21" spans="1:11" ht="23.25" customHeight="1" x14ac:dyDescent="0.25">
      <c r="A21" s="1801"/>
      <c r="B21" s="269">
        <v>2.5</v>
      </c>
      <c r="C21" s="270"/>
      <c r="D21" s="271">
        <v>0</v>
      </c>
      <c r="E21" s="272"/>
      <c r="F21" s="270"/>
      <c r="G21" s="270"/>
      <c r="H21" s="270"/>
      <c r="I21" s="273"/>
      <c r="J21" s="273"/>
      <c r="K21" s="273"/>
    </row>
    <row r="22" spans="1:11" ht="23.25" customHeight="1" x14ac:dyDescent="0.25">
      <c r="A22" s="1801"/>
      <c r="B22" s="269">
        <v>2.6</v>
      </c>
      <c r="C22" s="270"/>
      <c r="D22" s="271">
        <v>0</v>
      </c>
      <c r="E22" s="272"/>
      <c r="F22" s="270"/>
      <c r="G22" s="270"/>
      <c r="H22" s="270"/>
      <c r="I22" s="273"/>
      <c r="J22" s="273"/>
      <c r="K22" s="273"/>
    </row>
    <row r="23" spans="1:11" ht="23.25" customHeight="1" x14ac:dyDescent="0.25">
      <c r="A23" s="1801"/>
      <c r="B23" s="269">
        <v>2.7</v>
      </c>
      <c r="C23" s="270"/>
      <c r="D23" s="271">
        <v>0</v>
      </c>
      <c r="E23" s="272"/>
      <c r="F23" s="270"/>
      <c r="G23" s="270"/>
      <c r="H23" s="270"/>
      <c r="I23" s="273"/>
      <c r="J23" s="273"/>
      <c r="K23" s="273"/>
    </row>
    <row r="24" spans="1:11" ht="23.25" customHeight="1" x14ac:dyDescent="0.25">
      <c r="A24" s="1801"/>
      <c r="B24" s="269">
        <v>2.8</v>
      </c>
      <c r="C24" s="270"/>
      <c r="D24" s="271">
        <v>0</v>
      </c>
      <c r="E24" s="272"/>
      <c r="F24" s="270"/>
      <c r="G24" s="270"/>
      <c r="H24" s="270"/>
      <c r="I24" s="273"/>
      <c r="J24" s="273"/>
      <c r="K24" s="273"/>
    </row>
    <row r="25" spans="1:11" ht="23.25" customHeight="1" x14ac:dyDescent="0.25">
      <c r="A25" s="1801"/>
      <c r="B25" s="269">
        <v>2.9</v>
      </c>
      <c r="C25" s="270"/>
      <c r="D25" s="271">
        <v>0</v>
      </c>
      <c r="E25" s="272"/>
      <c r="F25" s="270"/>
      <c r="G25" s="270"/>
      <c r="H25" s="270"/>
      <c r="I25" s="273"/>
      <c r="J25" s="273"/>
      <c r="K25" s="273"/>
    </row>
    <row r="26" spans="1:11" ht="23.25" customHeight="1" x14ac:dyDescent="0.25">
      <c r="A26" s="1801"/>
      <c r="B26" s="274">
        <v>2.1</v>
      </c>
      <c r="C26" s="270"/>
      <c r="D26" s="271">
        <v>0</v>
      </c>
      <c r="E26" s="272"/>
      <c r="F26" s="270"/>
      <c r="G26" s="270"/>
      <c r="H26" s="270"/>
      <c r="I26" s="273"/>
      <c r="J26" s="273"/>
      <c r="K26" s="273"/>
    </row>
    <row r="27" spans="1:11" ht="32.15" customHeight="1" x14ac:dyDescent="0.25">
      <c r="A27" s="1807" t="s">
        <v>689</v>
      </c>
      <c r="B27" s="1808"/>
      <c r="C27" s="1809"/>
      <c r="D27" s="1810">
        <f>SUM(D5,D16)</f>
        <v>0</v>
      </c>
      <c r="E27" s="1810"/>
      <c r="F27" s="1811"/>
      <c r="G27" s="1812"/>
      <c r="H27" s="1812"/>
      <c r="I27" s="1812"/>
      <c r="J27" s="1812"/>
      <c r="K27" s="1813"/>
    </row>
    <row r="28" spans="1:11" x14ac:dyDescent="0.25">
      <c r="A28" s="1814" t="s">
        <v>785</v>
      </c>
      <c r="B28" s="264">
        <v>1</v>
      </c>
      <c r="C28" s="265" t="s">
        <v>821</v>
      </c>
      <c r="D28" s="266">
        <f>SUM(D29:D38)</f>
        <v>0</v>
      </c>
      <c r="E28" s="267"/>
      <c r="F28" s="265"/>
      <c r="G28" s="265"/>
      <c r="H28" s="265"/>
      <c r="I28" s="268"/>
      <c r="J28" s="268"/>
      <c r="K28" s="268"/>
    </row>
    <row r="29" spans="1:11" ht="23.25" customHeight="1" x14ac:dyDescent="0.25">
      <c r="A29" s="1815"/>
      <c r="B29" s="269">
        <v>1.1000000000000001</v>
      </c>
      <c r="C29" s="270"/>
      <c r="D29" s="271">
        <v>0</v>
      </c>
      <c r="E29" s="272"/>
      <c r="F29" s="270"/>
      <c r="G29" s="270"/>
      <c r="H29" s="270"/>
      <c r="I29" s="273"/>
      <c r="J29" s="273"/>
      <c r="K29" s="273"/>
    </row>
    <row r="30" spans="1:11" ht="23.25" customHeight="1" x14ac:dyDescent="0.25">
      <c r="A30" s="1815"/>
      <c r="B30" s="269">
        <v>1.2</v>
      </c>
      <c r="C30" s="270"/>
      <c r="D30" s="271">
        <v>0</v>
      </c>
      <c r="E30" s="272"/>
      <c r="F30" s="270"/>
      <c r="G30" s="270"/>
      <c r="H30" s="270"/>
      <c r="I30" s="273"/>
      <c r="J30" s="273"/>
      <c r="K30" s="273"/>
    </row>
    <row r="31" spans="1:11" ht="23.25" customHeight="1" x14ac:dyDescent="0.25">
      <c r="A31" s="1815"/>
      <c r="B31" s="269">
        <v>1.3</v>
      </c>
      <c r="C31" s="270"/>
      <c r="D31" s="271">
        <v>0</v>
      </c>
      <c r="E31" s="272"/>
      <c r="F31" s="270"/>
      <c r="G31" s="270"/>
      <c r="H31" s="270"/>
      <c r="I31" s="273"/>
      <c r="J31" s="273"/>
      <c r="K31" s="273"/>
    </row>
    <row r="32" spans="1:11" ht="23.25" customHeight="1" x14ac:dyDescent="0.25">
      <c r="A32" s="1815"/>
      <c r="B32" s="269">
        <v>1.4</v>
      </c>
      <c r="C32" s="270"/>
      <c r="D32" s="271">
        <v>0</v>
      </c>
      <c r="E32" s="272"/>
      <c r="F32" s="270"/>
      <c r="G32" s="270"/>
      <c r="H32" s="270"/>
      <c r="I32" s="273"/>
      <c r="J32" s="273"/>
      <c r="K32" s="273"/>
    </row>
    <row r="33" spans="1:11" ht="23.25" customHeight="1" x14ac:dyDescent="0.25">
      <c r="A33" s="1815"/>
      <c r="B33" s="269">
        <v>1.5</v>
      </c>
      <c r="C33" s="270"/>
      <c r="D33" s="271">
        <v>0</v>
      </c>
      <c r="E33" s="272"/>
      <c r="F33" s="270"/>
      <c r="G33" s="270"/>
      <c r="H33" s="270"/>
      <c r="I33" s="273"/>
      <c r="J33" s="273"/>
      <c r="K33" s="273"/>
    </row>
    <row r="34" spans="1:11" ht="23.25" customHeight="1" x14ac:dyDescent="0.25">
      <c r="A34" s="1815"/>
      <c r="B34" s="269">
        <v>1.6</v>
      </c>
      <c r="C34" s="270"/>
      <c r="D34" s="271">
        <v>0</v>
      </c>
      <c r="E34" s="272"/>
      <c r="F34" s="270"/>
      <c r="G34" s="270"/>
      <c r="H34" s="270"/>
      <c r="I34" s="273"/>
      <c r="J34" s="273"/>
      <c r="K34" s="273"/>
    </row>
    <row r="35" spans="1:11" ht="23.25" customHeight="1" x14ac:dyDescent="0.25">
      <c r="A35" s="1815"/>
      <c r="B35" s="269">
        <v>1.7</v>
      </c>
      <c r="C35" s="270"/>
      <c r="D35" s="271">
        <v>0</v>
      </c>
      <c r="E35" s="272"/>
      <c r="F35" s="270"/>
      <c r="G35" s="270"/>
      <c r="H35" s="270"/>
      <c r="I35" s="273"/>
      <c r="J35" s="273"/>
      <c r="K35" s="273"/>
    </row>
    <row r="36" spans="1:11" ht="23.25" customHeight="1" x14ac:dyDescent="0.25">
      <c r="A36" s="1815"/>
      <c r="B36" s="269">
        <v>1.8</v>
      </c>
      <c r="C36" s="270"/>
      <c r="D36" s="271">
        <v>0</v>
      </c>
      <c r="E36" s="272"/>
      <c r="F36" s="270"/>
      <c r="G36" s="270"/>
      <c r="H36" s="270"/>
      <c r="I36" s="273"/>
      <c r="J36" s="273"/>
      <c r="K36" s="273"/>
    </row>
    <row r="37" spans="1:11" ht="23.25" customHeight="1" x14ac:dyDescent="0.25">
      <c r="A37" s="1815"/>
      <c r="B37" s="269">
        <v>1.9</v>
      </c>
      <c r="C37" s="270"/>
      <c r="D37" s="271">
        <v>0</v>
      </c>
      <c r="E37" s="272"/>
      <c r="F37" s="270"/>
      <c r="G37" s="270"/>
      <c r="H37" s="270"/>
      <c r="I37" s="273"/>
      <c r="J37" s="273"/>
      <c r="K37" s="273"/>
    </row>
    <row r="38" spans="1:11" ht="23.25" customHeight="1" x14ac:dyDescent="0.25">
      <c r="A38" s="1815"/>
      <c r="B38" s="274">
        <v>1.1000000000000001</v>
      </c>
      <c r="C38" s="270"/>
      <c r="D38" s="271">
        <v>0</v>
      </c>
      <c r="E38" s="272"/>
      <c r="F38" s="270"/>
      <c r="G38" s="270"/>
      <c r="H38" s="270"/>
      <c r="I38" s="273"/>
      <c r="J38" s="273"/>
      <c r="K38" s="273"/>
    </row>
    <row r="39" spans="1:11" x14ac:dyDescent="0.25">
      <c r="A39" s="1815"/>
      <c r="B39" s="275">
        <v>2</v>
      </c>
      <c r="C39" s="276" t="s">
        <v>832</v>
      </c>
      <c r="D39" s="277">
        <f>SUM(D40:D49)</f>
        <v>0</v>
      </c>
      <c r="E39" s="278"/>
      <c r="F39" s="276"/>
      <c r="G39" s="276"/>
      <c r="H39" s="276"/>
      <c r="I39" s="279"/>
      <c r="J39" s="279"/>
      <c r="K39" s="279"/>
    </row>
    <row r="40" spans="1:11" ht="23.25" customHeight="1" x14ac:dyDescent="0.25">
      <c r="A40" s="1815"/>
      <c r="B40" s="269">
        <v>2.1</v>
      </c>
      <c r="C40" s="270"/>
      <c r="D40" s="271">
        <v>0</v>
      </c>
      <c r="E40" s="272"/>
      <c r="F40" s="270"/>
      <c r="G40" s="270"/>
      <c r="H40" s="270"/>
      <c r="I40" s="273"/>
      <c r="J40" s="273"/>
      <c r="K40" s="273"/>
    </row>
    <row r="41" spans="1:11" ht="23.25" customHeight="1" x14ac:dyDescent="0.25">
      <c r="A41" s="1815"/>
      <c r="B41" s="269">
        <v>2.2000000000000002</v>
      </c>
      <c r="C41" s="270"/>
      <c r="D41" s="271">
        <v>0</v>
      </c>
      <c r="E41" s="272"/>
      <c r="F41" s="270"/>
      <c r="G41" s="270"/>
      <c r="H41" s="270"/>
      <c r="I41" s="273"/>
      <c r="J41" s="273"/>
      <c r="K41" s="273"/>
    </row>
    <row r="42" spans="1:11" ht="23.25" customHeight="1" x14ac:dyDescent="0.25">
      <c r="A42" s="1815"/>
      <c r="B42" s="269">
        <v>2.2999999999999998</v>
      </c>
      <c r="C42" s="270"/>
      <c r="D42" s="271">
        <v>0</v>
      </c>
      <c r="E42" s="272"/>
      <c r="F42" s="270"/>
      <c r="G42" s="270"/>
      <c r="H42" s="270"/>
      <c r="I42" s="273"/>
      <c r="J42" s="273"/>
      <c r="K42" s="273"/>
    </row>
    <row r="43" spans="1:11" ht="23.25" customHeight="1" x14ac:dyDescent="0.25">
      <c r="A43" s="1815"/>
      <c r="B43" s="269">
        <v>2.4</v>
      </c>
      <c r="C43" s="270"/>
      <c r="D43" s="271">
        <v>0</v>
      </c>
      <c r="E43" s="272"/>
      <c r="F43" s="270"/>
      <c r="G43" s="270"/>
      <c r="H43" s="270"/>
      <c r="I43" s="273"/>
      <c r="J43" s="273"/>
      <c r="K43" s="273"/>
    </row>
    <row r="44" spans="1:11" ht="23.25" customHeight="1" x14ac:dyDescent="0.25">
      <c r="A44" s="1815"/>
      <c r="B44" s="269">
        <v>2.5</v>
      </c>
      <c r="C44" s="270"/>
      <c r="D44" s="271">
        <v>0</v>
      </c>
      <c r="E44" s="272"/>
      <c r="F44" s="270"/>
      <c r="G44" s="270"/>
      <c r="H44" s="270"/>
      <c r="I44" s="273"/>
      <c r="J44" s="273"/>
      <c r="K44" s="273"/>
    </row>
    <row r="45" spans="1:11" ht="23.25" customHeight="1" x14ac:dyDescent="0.25">
      <c r="A45" s="1815"/>
      <c r="B45" s="269">
        <v>2.6</v>
      </c>
      <c r="C45" s="270"/>
      <c r="D45" s="271">
        <v>0</v>
      </c>
      <c r="E45" s="272"/>
      <c r="F45" s="270"/>
      <c r="G45" s="270"/>
      <c r="H45" s="270"/>
      <c r="I45" s="273"/>
      <c r="J45" s="273"/>
      <c r="K45" s="273"/>
    </row>
    <row r="46" spans="1:11" ht="23.25" customHeight="1" x14ac:dyDescent="0.25">
      <c r="A46" s="1815"/>
      <c r="B46" s="269">
        <v>2.7</v>
      </c>
      <c r="C46" s="270"/>
      <c r="D46" s="271">
        <v>0</v>
      </c>
      <c r="E46" s="272"/>
      <c r="F46" s="270"/>
      <c r="G46" s="270"/>
      <c r="H46" s="270"/>
      <c r="I46" s="273"/>
      <c r="J46" s="273"/>
      <c r="K46" s="273"/>
    </row>
    <row r="47" spans="1:11" ht="23.25" customHeight="1" x14ac:dyDescent="0.25">
      <c r="A47" s="1815"/>
      <c r="B47" s="269">
        <v>2.8</v>
      </c>
      <c r="C47" s="270"/>
      <c r="D47" s="271">
        <v>0</v>
      </c>
      <c r="E47" s="272"/>
      <c r="F47" s="270"/>
      <c r="G47" s="270"/>
      <c r="H47" s="270"/>
      <c r="I47" s="273"/>
      <c r="J47" s="273"/>
      <c r="K47" s="273"/>
    </row>
    <row r="48" spans="1:11" ht="23.25" customHeight="1" x14ac:dyDescent="0.25">
      <c r="A48" s="1815"/>
      <c r="B48" s="269">
        <v>2.9</v>
      </c>
      <c r="C48" s="270"/>
      <c r="D48" s="271">
        <v>0</v>
      </c>
      <c r="E48" s="272"/>
      <c r="F48" s="270"/>
      <c r="G48" s="270"/>
      <c r="H48" s="270"/>
      <c r="I48" s="273"/>
      <c r="J48" s="273"/>
      <c r="K48" s="273"/>
    </row>
    <row r="49" spans="1:11" ht="23.25" customHeight="1" x14ac:dyDescent="0.25">
      <c r="A49" s="1815"/>
      <c r="B49" s="274">
        <v>2.1</v>
      </c>
      <c r="C49" s="270"/>
      <c r="D49" s="271">
        <v>0</v>
      </c>
      <c r="E49" s="272"/>
      <c r="F49" s="270"/>
      <c r="G49" s="270"/>
      <c r="H49" s="270"/>
      <c r="I49" s="273"/>
      <c r="J49" s="273"/>
      <c r="K49" s="273"/>
    </row>
    <row r="50" spans="1:11" ht="32.15" customHeight="1" x14ac:dyDescent="0.25">
      <c r="A50" s="1807" t="s">
        <v>689</v>
      </c>
      <c r="B50" s="1808"/>
      <c r="C50" s="1809"/>
      <c r="D50" s="1810">
        <f>SUM(D28,D39)</f>
        <v>0</v>
      </c>
      <c r="E50" s="1810"/>
      <c r="F50" s="1811"/>
      <c r="G50" s="1812"/>
      <c r="H50" s="1812"/>
      <c r="I50" s="1812"/>
      <c r="J50" s="1812"/>
      <c r="K50" s="1813"/>
    </row>
    <row r="51" spans="1:11" x14ac:dyDescent="0.25">
      <c r="A51" s="1816" t="s">
        <v>786</v>
      </c>
      <c r="B51" s="264">
        <v>1</v>
      </c>
      <c r="C51" s="265" t="s">
        <v>821</v>
      </c>
      <c r="D51" s="266">
        <f>SUM(D52:D61)</f>
        <v>0</v>
      </c>
      <c r="E51" s="267"/>
      <c r="F51" s="265"/>
      <c r="G51" s="265"/>
      <c r="H51" s="265"/>
      <c r="I51" s="268"/>
      <c r="J51" s="268"/>
      <c r="K51" s="268"/>
    </row>
    <row r="52" spans="1:11" ht="23.25" customHeight="1" x14ac:dyDescent="0.25">
      <c r="A52" s="1817"/>
      <c r="B52" s="269">
        <v>1.1000000000000001</v>
      </c>
      <c r="C52" s="270"/>
      <c r="D52" s="271">
        <v>0</v>
      </c>
      <c r="E52" s="272"/>
      <c r="F52" s="270"/>
      <c r="G52" s="270"/>
      <c r="H52" s="270"/>
      <c r="I52" s="273"/>
      <c r="J52" s="273"/>
      <c r="K52" s="273"/>
    </row>
    <row r="53" spans="1:11" ht="23.25" customHeight="1" x14ac:dyDescent="0.25">
      <c r="A53" s="1817"/>
      <c r="B53" s="269">
        <v>1.2</v>
      </c>
      <c r="C53" s="270"/>
      <c r="D53" s="271">
        <v>0</v>
      </c>
      <c r="E53" s="272"/>
      <c r="F53" s="270"/>
      <c r="G53" s="270"/>
      <c r="H53" s="270"/>
      <c r="I53" s="273"/>
      <c r="J53" s="273"/>
      <c r="K53" s="273"/>
    </row>
    <row r="54" spans="1:11" ht="23.25" customHeight="1" x14ac:dyDescent="0.25">
      <c r="A54" s="1817"/>
      <c r="B54" s="269">
        <v>1.3</v>
      </c>
      <c r="C54" s="270"/>
      <c r="D54" s="271">
        <v>0</v>
      </c>
      <c r="E54" s="272"/>
      <c r="F54" s="270"/>
      <c r="G54" s="270"/>
      <c r="H54" s="270"/>
      <c r="I54" s="273"/>
      <c r="J54" s="273"/>
      <c r="K54" s="273"/>
    </row>
    <row r="55" spans="1:11" ht="23.25" customHeight="1" x14ac:dyDescent="0.25">
      <c r="A55" s="1817"/>
      <c r="B55" s="269">
        <v>1.4</v>
      </c>
      <c r="C55" s="270"/>
      <c r="D55" s="271">
        <v>0</v>
      </c>
      <c r="E55" s="272"/>
      <c r="F55" s="270"/>
      <c r="G55" s="270"/>
      <c r="H55" s="270"/>
      <c r="I55" s="273"/>
      <c r="J55" s="273"/>
      <c r="K55" s="273"/>
    </row>
    <row r="56" spans="1:11" ht="23.25" customHeight="1" x14ac:dyDescent="0.25">
      <c r="A56" s="1817"/>
      <c r="B56" s="269">
        <v>1.5</v>
      </c>
      <c r="C56" s="270"/>
      <c r="D56" s="271">
        <v>0</v>
      </c>
      <c r="E56" s="272"/>
      <c r="F56" s="270"/>
      <c r="G56" s="270"/>
      <c r="H56" s="270"/>
      <c r="I56" s="273"/>
      <c r="J56" s="273"/>
      <c r="K56" s="273"/>
    </row>
    <row r="57" spans="1:11" ht="23.25" customHeight="1" x14ac:dyDescent="0.25">
      <c r="A57" s="1817"/>
      <c r="B57" s="269">
        <v>1.6</v>
      </c>
      <c r="C57" s="270"/>
      <c r="D57" s="271">
        <v>0</v>
      </c>
      <c r="E57" s="272"/>
      <c r="F57" s="270"/>
      <c r="G57" s="270"/>
      <c r="H57" s="270"/>
      <c r="I57" s="273"/>
      <c r="J57" s="273"/>
      <c r="K57" s="273"/>
    </row>
    <row r="58" spans="1:11" ht="23.25" customHeight="1" x14ac:dyDescent="0.25">
      <c r="A58" s="1817"/>
      <c r="B58" s="269">
        <v>1.7</v>
      </c>
      <c r="C58" s="270"/>
      <c r="D58" s="271">
        <v>0</v>
      </c>
      <c r="E58" s="272"/>
      <c r="F58" s="270"/>
      <c r="G58" s="270"/>
      <c r="H58" s="270"/>
      <c r="I58" s="273"/>
      <c r="J58" s="273"/>
      <c r="K58" s="273"/>
    </row>
    <row r="59" spans="1:11" ht="23.25" customHeight="1" x14ac:dyDescent="0.25">
      <c r="A59" s="1817"/>
      <c r="B59" s="269">
        <v>1.8</v>
      </c>
      <c r="C59" s="270"/>
      <c r="D59" s="271">
        <v>0</v>
      </c>
      <c r="E59" s="272"/>
      <c r="F59" s="270"/>
      <c r="G59" s="270"/>
      <c r="H59" s="270"/>
      <c r="I59" s="273"/>
      <c r="J59" s="273"/>
      <c r="K59" s="273"/>
    </row>
    <row r="60" spans="1:11" ht="23.25" customHeight="1" x14ac:dyDescent="0.25">
      <c r="A60" s="1817"/>
      <c r="B60" s="269">
        <v>1.9</v>
      </c>
      <c r="C60" s="270"/>
      <c r="D60" s="271">
        <v>0</v>
      </c>
      <c r="E60" s="272"/>
      <c r="F60" s="270"/>
      <c r="G60" s="270"/>
      <c r="H60" s="270"/>
      <c r="I60" s="273"/>
      <c r="J60" s="273"/>
      <c r="K60" s="273"/>
    </row>
    <row r="61" spans="1:11" ht="23.25" customHeight="1" x14ac:dyDescent="0.25">
      <c r="A61" s="1817"/>
      <c r="B61" s="274">
        <v>1.1000000000000001</v>
      </c>
      <c r="C61" s="270"/>
      <c r="D61" s="271">
        <v>0</v>
      </c>
      <c r="E61" s="272"/>
      <c r="F61" s="270"/>
      <c r="G61" s="270"/>
      <c r="H61" s="270"/>
      <c r="I61" s="273"/>
      <c r="J61" s="273"/>
      <c r="K61" s="273"/>
    </row>
    <row r="62" spans="1:11" x14ac:dyDescent="0.25">
      <c r="A62" s="1817"/>
      <c r="B62" s="275">
        <v>2</v>
      </c>
      <c r="C62" s="276" t="s">
        <v>832</v>
      </c>
      <c r="D62" s="277">
        <f>SUM(D63:D72)</f>
        <v>0</v>
      </c>
      <c r="E62" s="278"/>
      <c r="F62" s="276"/>
      <c r="G62" s="276"/>
      <c r="H62" s="276"/>
      <c r="I62" s="279"/>
      <c r="J62" s="279"/>
      <c r="K62" s="279"/>
    </row>
    <row r="63" spans="1:11" ht="23.25" customHeight="1" x14ac:dyDescent="0.25">
      <c r="A63" s="1817"/>
      <c r="B63" s="269">
        <v>2.1</v>
      </c>
      <c r="C63" s="270"/>
      <c r="D63" s="271">
        <v>0</v>
      </c>
      <c r="E63" s="272"/>
      <c r="F63" s="270"/>
      <c r="G63" s="270"/>
      <c r="H63" s="270"/>
      <c r="I63" s="273"/>
      <c r="J63" s="273"/>
      <c r="K63" s="273"/>
    </row>
    <row r="64" spans="1:11" ht="23.25" customHeight="1" x14ac:dyDescent="0.25">
      <c r="A64" s="1817"/>
      <c r="B64" s="269">
        <v>2.2000000000000002</v>
      </c>
      <c r="C64" s="270"/>
      <c r="D64" s="271">
        <v>0</v>
      </c>
      <c r="E64" s="272"/>
      <c r="F64" s="270"/>
      <c r="G64" s="270"/>
      <c r="H64" s="270"/>
      <c r="I64" s="273"/>
      <c r="J64" s="273"/>
      <c r="K64" s="273"/>
    </row>
    <row r="65" spans="1:11" ht="23.25" customHeight="1" x14ac:dyDescent="0.25">
      <c r="A65" s="1817"/>
      <c r="B65" s="269">
        <v>2.2999999999999998</v>
      </c>
      <c r="C65" s="270"/>
      <c r="D65" s="271">
        <v>0</v>
      </c>
      <c r="E65" s="272"/>
      <c r="F65" s="270"/>
      <c r="G65" s="270"/>
      <c r="H65" s="270"/>
      <c r="I65" s="273"/>
      <c r="J65" s="273"/>
      <c r="K65" s="273"/>
    </row>
    <row r="66" spans="1:11" ht="23.25" customHeight="1" x14ac:dyDescent="0.25">
      <c r="A66" s="1817"/>
      <c r="B66" s="269">
        <v>2.4</v>
      </c>
      <c r="C66" s="270"/>
      <c r="D66" s="271">
        <v>0</v>
      </c>
      <c r="E66" s="272"/>
      <c r="F66" s="270"/>
      <c r="G66" s="270"/>
      <c r="H66" s="270"/>
      <c r="I66" s="273"/>
      <c r="J66" s="273"/>
      <c r="K66" s="273"/>
    </row>
    <row r="67" spans="1:11" ht="23.25" customHeight="1" x14ac:dyDescent="0.25">
      <c r="A67" s="1817"/>
      <c r="B67" s="269">
        <v>2.5</v>
      </c>
      <c r="C67" s="270"/>
      <c r="D67" s="271">
        <v>0</v>
      </c>
      <c r="E67" s="272"/>
      <c r="F67" s="270"/>
      <c r="G67" s="270"/>
      <c r="H67" s="270"/>
      <c r="I67" s="273"/>
      <c r="J67" s="273"/>
      <c r="K67" s="273"/>
    </row>
    <row r="68" spans="1:11" ht="23.25" customHeight="1" x14ac:dyDescent="0.25">
      <c r="A68" s="1817"/>
      <c r="B68" s="269">
        <v>2.6</v>
      </c>
      <c r="C68" s="270"/>
      <c r="D68" s="271">
        <v>0</v>
      </c>
      <c r="E68" s="272"/>
      <c r="F68" s="270"/>
      <c r="G68" s="270"/>
      <c r="H68" s="270"/>
      <c r="I68" s="273"/>
      <c r="J68" s="273"/>
      <c r="K68" s="273"/>
    </row>
    <row r="69" spans="1:11" ht="23.25" customHeight="1" x14ac:dyDescent="0.25">
      <c r="A69" s="1817"/>
      <c r="B69" s="269">
        <v>2.7</v>
      </c>
      <c r="C69" s="270"/>
      <c r="D69" s="271">
        <v>0</v>
      </c>
      <c r="E69" s="272"/>
      <c r="F69" s="270"/>
      <c r="G69" s="270"/>
      <c r="H69" s="270"/>
      <c r="I69" s="273"/>
      <c r="J69" s="273"/>
      <c r="K69" s="273"/>
    </row>
    <row r="70" spans="1:11" ht="23.25" customHeight="1" x14ac:dyDescent="0.25">
      <c r="A70" s="1817"/>
      <c r="B70" s="269">
        <v>2.8</v>
      </c>
      <c r="C70" s="270"/>
      <c r="D70" s="271">
        <v>0</v>
      </c>
      <c r="E70" s="272"/>
      <c r="F70" s="270"/>
      <c r="G70" s="270"/>
      <c r="H70" s="270"/>
      <c r="I70" s="273"/>
      <c r="J70" s="273"/>
      <c r="K70" s="273"/>
    </row>
    <row r="71" spans="1:11" ht="23.25" customHeight="1" x14ac:dyDescent="0.25">
      <c r="A71" s="1817"/>
      <c r="B71" s="269">
        <v>2.9</v>
      </c>
      <c r="C71" s="270"/>
      <c r="D71" s="271">
        <v>0</v>
      </c>
      <c r="E71" s="272"/>
      <c r="F71" s="270"/>
      <c r="G71" s="270"/>
      <c r="H71" s="270"/>
      <c r="I71" s="273"/>
      <c r="J71" s="273"/>
      <c r="K71" s="273"/>
    </row>
    <row r="72" spans="1:11" ht="23.25" customHeight="1" x14ac:dyDescent="0.25">
      <c r="A72" s="1817"/>
      <c r="B72" s="274">
        <v>2.1</v>
      </c>
      <c r="C72" s="270"/>
      <c r="D72" s="271">
        <v>0</v>
      </c>
      <c r="E72" s="272"/>
      <c r="F72" s="270"/>
      <c r="G72" s="270"/>
      <c r="H72" s="270"/>
      <c r="I72" s="273"/>
      <c r="J72" s="273"/>
      <c r="K72" s="273"/>
    </row>
    <row r="73" spans="1:11" ht="32.15" customHeight="1" x14ac:dyDescent="0.25">
      <c r="A73" s="1807" t="s">
        <v>689</v>
      </c>
      <c r="B73" s="1808"/>
      <c r="C73" s="1809"/>
      <c r="D73" s="1810">
        <f>SUM(D51,D62,)</f>
        <v>0</v>
      </c>
      <c r="E73" s="1810"/>
      <c r="F73" s="1811"/>
      <c r="G73" s="1812"/>
      <c r="H73" s="1812"/>
      <c r="I73" s="1812"/>
      <c r="J73" s="1812"/>
      <c r="K73" s="1813"/>
    </row>
    <row r="74" spans="1:11" ht="32.15" customHeight="1" x14ac:dyDescent="0.25">
      <c r="A74" s="1818" t="s">
        <v>833</v>
      </c>
      <c r="B74" s="1819"/>
      <c r="C74" s="1820" t="s">
        <v>834</v>
      </c>
      <c r="D74" s="1821">
        <f>SUM(D73,D50,D27)</f>
        <v>0</v>
      </c>
      <c r="E74" s="1821"/>
      <c r="F74" s="1822"/>
      <c r="G74" s="1823"/>
      <c r="H74" s="1823"/>
      <c r="I74" s="1823"/>
      <c r="J74" s="1823"/>
      <c r="K74" s="1824"/>
    </row>
  </sheetData>
  <mergeCells count="20">
    <mergeCell ref="A51:A72"/>
    <mergeCell ref="A73:C73"/>
    <mergeCell ref="D73:E73"/>
    <mergeCell ref="F73:K73"/>
    <mergeCell ref="A74:C74"/>
    <mergeCell ref="D74:E74"/>
    <mergeCell ref="F74:K74"/>
    <mergeCell ref="A27:C27"/>
    <mergeCell ref="D27:E27"/>
    <mergeCell ref="F27:K27"/>
    <mergeCell ref="A28:A49"/>
    <mergeCell ref="A50:C50"/>
    <mergeCell ref="D50:E50"/>
    <mergeCell ref="F50:K50"/>
    <mergeCell ref="A5:A26"/>
    <mergeCell ref="A1:K1"/>
    <mergeCell ref="A2:B2"/>
    <mergeCell ref="C2:K2"/>
    <mergeCell ref="A3:B3"/>
    <mergeCell ref="C3:K3"/>
  </mergeCells>
  <pageMargins left="0.7" right="0.7" top="0.75" bottom="0.75" header="0.3" footer="0.3"/>
  <pageSetup paperSize="5" scale="28" fitToHeight="4"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0052E94A9D0F24D93E363CBA30CF1E9" ma:contentTypeVersion="15" ma:contentTypeDescription="Create a new document." ma:contentTypeScope="" ma:versionID="ed4d62183b46fdef9eba613fb6bcb639">
  <xsd:schema xmlns:xsd="http://www.w3.org/2001/XMLSchema" xmlns:xs="http://www.w3.org/2001/XMLSchema" xmlns:p="http://schemas.microsoft.com/office/2006/metadata/properties" xmlns:ns2="2bdb8662-8e58-4ce2-8f93-98280d5ba547" xmlns:ns3="f95b840c-9fe6-4b81-93fa-feb0ed7bd6e5" targetNamespace="http://schemas.microsoft.com/office/2006/metadata/properties" ma:root="true" ma:fieldsID="f8fa8478d5655df4365ebd820522c919" ns2:_="" ns3:_="">
    <xsd:import namespace="2bdb8662-8e58-4ce2-8f93-98280d5ba547"/>
    <xsd:import namespace="f95b840c-9fe6-4b81-93fa-feb0ed7bd6e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ServiceLocation"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2:MediaServiceOCR" minOccurs="0"/>
                <xsd:element ref="ns2:MediaServiceSearchProperties" minOccurs="0"/>
                <xsd:element ref="ns2:Hyperlink"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db8662-8e58-4ce2-8f93-98280d5ba54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8ce9f98e-9ad5-43de-b59a-72d7e946aae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Hyperlink" ma:index="22" nillable="true" ma:displayName="Hyperlink" ma:format="Hyperlink" ma:internalName="Hyperlink">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95b840c-9fe6-4b81-93fa-feb0ed7bd6e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bdb8662-8e58-4ce2-8f93-98280d5ba547">
      <Terms xmlns="http://schemas.microsoft.com/office/infopath/2007/PartnerControls"/>
    </lcf76f155ced4ddcb4097134ff3c332f>
    <Hyperlink xmlns="2bdb8662-8e58-4ce2-8f93-98280d5ba547">
      <Url xsi:nil="true"/>
      <Description xsi:nil="true"/>
    </Hyperlink>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9DADFBA-6F62-475F-AC1B-2DAF8B3A8E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db8662-8e58-4ce2-8f93-98280d5ba547"/>
    <ds:schemaRef ds:uri="f95b840c-9fe6-4b81-93fa-feb0ed7bd6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9AF25EF-EC6C-4A37-ACF4-FB2EFB6CF702}">
  <ds:schemaRefs>
    <ds:schemaRef ds:uri="http://schemas.microsoft.com/office/2006/metadata/properties"/>
    <ds:schemaRef ds:uri="http://schemas.microsoft.com/office/infopath/2007/PartnerControls"/>
    <ds:schemaRef ds:uri="2bdb8662-8e58-4ce2-8f93-98280d5ba547"/>
  </ds:schemaRefs>
</ds:datastoreItem>
</file>

<file path=customXml/itemProps3.xml><?xml version="1.0" encoding="utf-8"?>
<ds:datastoreItem xmlns:ds="http://schemas.openxmlformats.org/officeDocument/2006/customXml" ds:itemID="{0A30A2EA-FE61-4F31-9686-08BF63970FCB}">
  <ds:schemaRefs>
    <ds:schemaRef ds:uri="http://schemas.microsoft.com/sharepoint/v3/contenttype/forms"/>
  </ds:schemaRefs>
</ds:datastoreItem>
</file>

<file path=docMetadata/LabelInfo.xml><?xml version="1.0" encoding="utf-8"?>
<clbl:labelList xmlns:clbl="http://schemas.microsoft.com/office/2020/mipLabelMetadata">
  <clbl:label id="{14b77578-9773-42d5-8507-251ca2dc2b06}" enabled="0" method="" siteId="{14b77578-9773-42d5-8507-251ca2dc2b0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114</vt:i4>
      </vt:variant>
    </vt:vector>
  </HeadingPairs>
  <TitlesOfParts>
    <vt:vector size="148" baseType="lpstr">
      <vt:lpstr>Change Notes</vt:lpstr>
      <vt:lpstr>Constants</vt:lpstr>
      <vt:lpstr>Instructions</vt:lpstr>
      <vt:lpstr>General</vt:lpstr>
      <vt:lpstr>Proposer Constants</vt:lpstr>
      <vt:lpstr>Summary Cost Table</vt:lpstr>
      <vt:lpstr>Labor Rates</vt:lpstr>
      <vt:lpstr>Phase 1 Costs</vt:lpstr>
      <vt:lpstr>Ph 1 Task $</vt:lpstr>
      <vt:lpstr>Task 1</vt:lpstr>
      <vt:lpstr>Task 2</vt:lpstr>
      <vt:lpstr>Phase 2 Costs </vt:lpstr>
      <vt:lpstr>Ph 2 Task $</vt:lpstr>
      <vt:lpstr>Option 2 (Phase 3) Old</vt:lpstr>
      <vt:lpstr>Phase 3 Costs</vt:lpstr>
      <vt:lpstr>Ph 3 Task $</vt:lpstr>
      <vt:lpstr>Phase 4 Costs</vt:lpstr>
      <vt:lpstr>Ph 4 Task $</vt:lpstr>
      <vt:lpstr>Phase 5 Costs</vt:lpstr>
      <vt:lpstr>Ph 5 Task $</vt:lpstr>
      <vt:lpstr>Phase 6 Costs</vt:lpstr>
      <vt:lpstr>Ph 6 Task $</vt:lpstr>
      <vt:lpstr>Total Amount</vt:lpstr>
      <vt:lpstr>Subproposer</vt:lpstr>
      <vt:lpstr>Consultants</vt:lpstr>
      <vt:lpstr>Travel</vt:lpstr>
      <vt:lpstr>Materials-Supplies</vt:lpstr>
      <vt:lpstr>Equipment</vt:lpstr>
      <vt:lpstr>ODC Details</vt:lpstr>
      <vt:lpstr>Expenditures by Month</vt:lpstr>
      <vt:lpstr>Animal-Human Use Y-N</vt:lpstr>
      <vt:lpstr>Animal Related</vt:lpstr>
      <vt:lpstr>Human Subjects Research</vt:lpstr>
      <vt:lpstr>Milestones and Deliverables</vt:lpstr>
      <vt:lpstr>AcademiaAdministrativeSupportCategories</vt:lpstr>
      <vt:lpstr>AcademiaConsultantCategories</vt:lpstr>
      <vt:lpstr>AcademiaLaborGroups</vt:lpstr>
      <vt:lpstr>AcademiaProjectManagementCategories</vt:lpstr>
      <vt:lpstr>AcademiaResearchCategories</vt:lpstr>
      <vt:lpstr>GeneralConsultantCategories</vt:lpstr>
      <vt:lpstr>GeneralLaborGroups</vt:lpstr>
      <vt:lpstr>GeneralManufacturingCategories</vt:lpstr>
      <vt:lpstr>GeneralProjectManagementCategories</vt:lpstr>
      <vt:lpstr>GeneralScienceandEngineeringCategories</vt:lpstr>
      <vt:lpstr>GeneralSoftwareDevelopmentCategories</vt:lpstr>
      <vt:lpstr>GeneralSupportCategories</vt:lpstr>
      <vt:lpstr>IndirectRateCategories</vt:lpstr>
      <vt:lpstr>Labor.Rates.Table</vt:lpstr>
      <vt:lpstr>Labor_Cats_Sorted_Table</vt:lpstr>
      <vt:lpstr>LaborCollection</vt:lpstr>
      <vt:lpstr>NoBusinessTypeSelected</vt:lpstr>
      <vt:lpstr>Offeror.Bus.Type</vt:lpstr>
      <vt:lpstr>OfferorBusinessTypes</vt:lpstr>
      <vt:lpstr>OfferorBusType</vt:lpstr>
      <vt:lpstr>Period1_Label</vt:lpstr>
      <vt:lpstr>Period2_Label</vt:lpstr>
      <vt:lpstr>Period3_Label</vt:lpstr>
      <vt:lpstr>Period4_Label</vt:lpstr>
      <vt:lpstr>Period5_Label</vt:lpstr>
      <vt:lpstr>Period6_Label</vt:lpstr>
      <vt:lpstr>General!Print_Area</vt:lpstr>
      <vt:lpstr>Instructions!Print_Area</vt:lpstr>
      <vt:lpstr>'Labor Rates'!Print_Area</vt:lpstr>
      <vt:lpstr>'ODC Details'!Print_Area</vt:lpstr>
      <vt:lpstr>'Option 2 (Phase 3) Old'!Print_Area</vt:lpstr>
      <vt:lpstr>'Phase 1 Costs'!Print_Area</vt:lpstr>
      <vt:lpstr>'Phase 2 Costs '!Print_Area</vt:lpstr>
      <vt:lpstr>'Phase 3 Costs'!Print_Area</vt:lpstr>
      <vt:lpstr>'Phase 4 Costs'!Print_Area</vt:lpstr>
      <vt:lpstr>'Phase 5 Costs'!Print_Area</vt:lpstr>
      <vt:lpstr>'Phase 6 Costs'!Print_Area</vt:lpstr>
      <vt:lpstr>'Proposer Constants'!Print_Area</vt:lpstr>
      <vt:lpstr>Subproposer!Print_Area</vt:lpstr>
      <vt:lpstr>'Task 1'!Print_Area</vt:lpstr>
      <vt:lpstr>'Total Amount'!Print_Area</vt:lpstr>
      <vt:lpstr>Travel!Print_Area</vt:lpstr>
      <vt:lpstr>'Milestones and Deliverables'!Print_Titles</vt:lpstr>
      <vt:lpstr>'Phase 1 Costs'!Print_Titles</vt:lpstr>
      <vt:lpstr>SBIRSTTRPhaseChoices</vt:lpstr>
      <vt:lpstr>sc.dlrs.Base</vt:lpstr>
      <vt:lpstr>sc.dlrs.Op1</vt:lpstr>
      <vt:lpstr>sc.dlrs.Op2</vt:lpstr>
      <vt:lpstr>sc.dlrs.Op3</vt:lpstr>
      <vt:lpstr>sc.dlrs.Op4</vt:lpstr>
      <vt:lpstr>sc.dlrs.Op5</vt:lpstr>
      <vt:lpstr>SmallBusinessSizeChoices</vt:lpstr>
      <vt:lpstr>SpecificAnnouncementNumber</vt:lpstr>
      <vt:lpstr>SpreadsheetVersionNumber</vt:lpstr>
      <vt:lpstr>tcc.dlrs.Base</vt:lpstr>
      <vt:lpstr>tcc.dlrs.Op1</vt:lpstr>
      <vt:lpstr>tcc.dlrs.Op2</vt:lpstr>
      <vt:lpstr>tcc.dlrs.Op3</vt:lpstr>
      <vt:lpstr>tcc.dlrs.Op4</vt:lpstr>
      <vt:lpstr>tcc.dlrs.Op5</vt:lpstr>
      <vt:lpstr>tcm.dlrs.Base</vt:lpstr>
      <vt:lpstr>tcm.dlrs.Op1</vt:lpstr>
      <vt:lpstr>tcm.dlrs.Op2</vt:lpstr>
      <vt:lpstr>tcm.dlrs.Op3</vt:lpstr>
      <vt:lpstr>tcm.dlrs.Op4</vt:lpstr>
      <vt:lpstr>tcm.dlrs.Op5</vt:lpstr>
      <vt:lpstr>tdlc.dlrs.Base</vt:lpstr>
      <vt:lpstr>tdlc.dlrs.Op1</vt:lpstr>
      <vt:lpstr>tdlc.dlrs.Op2</vt:lpstr>
      <vt:lpstr>tdlc.dlrs.Op3</vt:lpstr>
      <vt:lpstr>tdlc.dlrs.Op4</vt:lpstr>
      <vt:lpstr>tdlc.dlrs.Op5</vt:lpstr>
      <vt:lpstr>tdlc.hrs.Base</vt:lpstr>
      <vt:lpstr>tdlc.hrs.Op1</vt:lpstr>
      <vt:lpstr>tdlc.hrs.Op2</vt:lpstr>
      <vt:lpstr>tdlc.hrs.Op3</vt:lpstr>
      <vt:lpstr>tdlc.hrs.Op4</vt:lpstr>
      <vt:lpstr>tdlc.hrs.Op5</vt:lpstr>
      <vt:lpstr>tecpff.dlrs.Base</vt:lpstr>
      <vt:lpstr>tecpff.dlrs.Op1</vt:lpstr>
      <vt:lpstr>tecpff.dlrs.Op2</vt:lpstr>
      <vt:lpstr>tecpff.dlrs.Op3</vt:lpstr>
      <vt:lpstr>tecpff.dlrs.Op4</vt:lpstr>
      <vt:lpstr>tecpff.dlrs.Op5</vt:lpstr>
      <vt:lpstr>tgac.dlrs.Base</vt:lpstr>
      <vt:lpstr>tgac.dlrs.Op1</vt:lpstr>
      <vt:lpstr>tgac.dlrs.Op2</vt:lpstr>
      <vt:lpstr>tgac.dlrs.Op3</vt:lpstr>
      <vt:lpstr>tgac.dlrs.Op4</vt:lpstr>
      <vt:lpstr>tgac.dlrs.Op5</vt:lpstr>
      <vt:lpstr>tmhc.dlrs.Base</vt:lpstr>
      <vt:lpstr>tmhc.dlrs.Op1</vt:lpstr>
      <vt:lpstr>tmhc.dlrs.Op2</vt:lpstr>
      <vt:lpstr>tmhc.dlrs.Op3</vt:lpstr>
      <vt:lpstr>tmhc.dlrs.Op4</vt:lpstr>
      <vt:lpstr>tmhc.dlrs.Op5</vt:lpstr>
      <vt:lpstr>tmmc.dlrs.Base</vt:lpstr>
      <vt:lpstr>tmmc.dlrs.Op1</vt:lpstr>
      <vt:lpstr>tmmc.dlrs.Op2</vt:lpstr>
      <vt:lpstr>tmmc.dlrs.Op3</vt:lpstr>
      <vt:lpstr>tmmc.dlrs.Op4</vt:lpstr>
      <vt:lpstr>tmmc.dlrs.Op5</vt:lpstr>
      <vt:lpstr>todc.dlrs.Base</vt:lpstr>
      <vt:lpstr>todc.dlrs.Op1</vt:lpstr>
      <vt:lpstr>todc.dlrs.Op2</vt:lpstr>
      <vt:lpstr>todc.dlrs.Op3</vt:lpstr>
      <vt:lpstr>todc.dlrs.Op4</vt:lpstr>
      <vt:lpstr>todc.dlrs.Op5</vt:lpstr>
      <vt:lpstr>tsc.dlrs.Base</vt:lpstr>
      <vt:lpstr>tsc.dlrs.Op1</vt:lpstr>
      <vt:lpstr>tsc.dlrs.Op2</vt:lpstr>
      <vt:lpstr>tsc.dlrs.Op3</vt:lpstr>
      <vt:lpstr>tsc.dlrs.Op4</vt:lpstr>
      <vt:lpstr>tsc.dlrs.Op5</vt:lpstr>
    </vt:vector>
  </TitlesOfParts>
  <Manager/>
  <Company>DARPA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DARPA</dc:creator>
  <cp:keywords/>
  <dc:description/>
  <cp:lastModifiedBy>Speciale, Stephen (ARPA-H) [CTR]</cp:lastModifiedBy>
  <cp:revision/>
  <cp:lastPrinted>2025-05-29T17:36:29Z</cp:lastPrinted>
  <dcterms:created xsi:type="dcterms:W3CDTF">2006-01-30T20:56:29Z</dcterms:created>
  <dcterms:modified xsi:type="dcterms:W3CDTF">2025-06-04T13:29:45Z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0x010100A0052E94A9D0F24D93E363CBA30CF1E9</vt:lpwstr>
  </property>
  <property fmtid="{D5CDD505-2E9C-101B-9397-08002B2CF9AE}" pid="3" name="MediaServiceImageTags">
    <vt:lpwstr/>
  </property>
</Properties>
</file>