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https://nih.sharepoint.com/sites/OD-ARPA-HAcquisition-AwardFiles/Shared Documents/Award Files/FY24/ARPA-H-SOL-24-106 PHO ISO Office Wide/A07_ISO-Amend-2-Pending/4. Amend 2 - Final/"/>
    </mc:Choice>
  </mc:AlternateContent>
  <xr:revisionPtr revIDLastSave="0" documentId="8_{58E289D0-3298-4342-9401-BFC178C678B2}" xr6:coauthVersionLast="47" xr6:coauthVersionMax="47" xr10:uidLastSave="{00000000-0000-0000-0000-000000000000}"/>
  <bookViews>
    <workbookView xWindow="-110" yWindow="-110" windowWidth="19420" windowHeight="11620" tabRatio="687" firstSheet="2" activeTab="2" xr2:uid="{00000000-000D-0000-FFFF-FFFF00000000}"/>
  </bookViews>
  <sheets>
    <sheet name="Change Notes" sheetId="40" state="hidden" r:id="rId1"/>
    <sheet name="Constants" sheetId="34" state="hidden" r:id="rId2"/>
    <sheet name="Instructions" sheetId="46" r:id="rId3"/>
    <sheet name="General" sheetId="18" r:id="rId4"/>
    <sheet name="Proposer Constants" sheetId="35" r:id="rId5"/>
    <sheet name="Summary Cost Table" sheetId="37" state="hidden" r:id="rId6"/>
    <sheet name="Labor Rates" sheetId="33" r:id="rId7"/>
    <sheet name="Phase 1 Costs" sheetId="1" r:id="rId8"/>
    <sheet name="Ph 1 Task $" sheetId="50" r:id="rId9"/>
    <sheet name="Task 1" sheetId="23" state="hidden" r:id="rId10"/>
    <sheet name="Task 2" sheetId="38" state="hidden" r:id="rId11"/>
    <sheet name="Phase 2 Costs " sheetId="22" r:id="rId12"/>
    <sheet name="Ph 2 Task $" sheetId="51" r:id="rId13"/>
    <sheet name="Option 2 (Phase 3) Old" sheetId="49" state="hidden" r:id="rId14"/>
    <sheet name="Phase 3 Costs" sheetId="26" r:id="rId15"/>
    <sheet name="Ph 3 Task $" sheetId="53" r:id="rId16"/>
    <sheet name="Phase 4 Costs" sheetId="27" r:id="rId17"/>
    <sheet name="Ph 4 Task $" sheetId="54" r:id="rId18"/>
    <sheet name="Phase 5 Costs" sheetId="28" r:id="rId19"/>
    <sheet name="Ph 5 Task $" sheetId="55" r:id="rId20"/>
    <sheet name="Phase 6 Costs" sheetId="29" r:id="rId21"/>
    <sheet name="Ph 6 Task $" sheetId="56" r:id="rId22"/>
    <sheet name="Subproposer" sheetId="7" r:id="rId23"/>
    <sheet name="Consultants" sheetId="17" r:id="rId24"/>
    <sheet name="Travel" sheetId="47" r:id="rId25"/>
    <sheet name="Materials-Supplies" sheetId="16" r:id="rId26"/>
    <sheet name="Equipment" sheetId="14" r:id="rId27"/>
    <sheet name="ODC Details" sheetId="12" r:id="rId28"/>
    <sheet name="Total Amount" sheetId="21"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4">[4]Constants!$A$21:$A$24</definedName>
    <definedName name="AcademiaLaborGroups">Constants!$A$21:$A$24</definedName>
    <definedName name="AcademiaProjectManagementCategories">Constants!$A$34:$A$37</definedName>
    <definedName name="AcademiaResearchCategories">Constants!$A$40:$A$51</definedName>
    <definedName name="ff.dlrs.Base">'Total Amount'!$E$81</definedName>
    <definedName name="ff.dlrs.Op1">'Total Amount'!$H$81</definedName>
    <definedName name="ff.dlrs.Op2">'Total Amount'!$K$81</definedName>
    <definedName name="ff.dlrs.Op3">'Total Amount'!$N$81</definedName>
    <definedName name="ff.dlrs.Op4">'Total Amount'!$Q$81</definedName>
    <definedName name="ff.dlrs.Op5">'Total Amount'!$T$81</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4">[4]Constants!$A$27:$A$32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4">[4]Constants!$A$113:$A$128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4">[4]Constants!$A$15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4">[4]Constants!$A$18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4">'[4]Proposer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4">[4]Constants!$A$8:$A$12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4">'[4]Proposer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4">'[4]Proposer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4">'[4]Proposer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4">'[4]Proposer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4">'[4]Proposer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4">'[4]Proposer Constants'!$G$9</definedName>
    <definedName name="Period6_Label">'Proposer Constants'!$H$13</definedName>
    <definedName name="_xlnm.Print_Area" localSheetId="26">Equipment!$A$1:$O$28</definedName>
    <definedName name="_xlnm.Print_Area" localSheetId="3">General!$A$1:$Q$35</definedName>
    <definedName name="_xlnm.Print_Area" localSheetId="2">Instructions!$A$1:$D$37</definedName>
    <definedName name="_xlnm.Print_Area" localSheetId="6">'Labor Rates'!$A$1:$R$49</definedName>
    <definedName name="_xlnm.Print_Area" localSheetId="27">'ODC Details'!$A$1:$K$35</definedName>
    <definedName name="_xlnm.Print_Area" localSheetId="13">'Option 2 (Phase 3) Old'!$A$1:$W$80</definedName>
    <definedName name="_xlnm.Print_Area" localSheetId="7">'Phase 1 Costs'!$A$1:$AE$94</definedName>
    <definedName name="_xlnm.Print_Area" localSheetId="11">'Phase 2 Costs '!$A$1:$AE$94</definedName>
    <definedName name="_xlnm.Print_Area" localSheetId="14">'Phase 3 Costs'!$A$1:$W$82</definedName>
    <definedName name="_xlnm.Print_Area" localSheetId="16">'Phase 4 Costs'!$A$1:$W$82</definedName>
    <definedName name="_xlnm.Print_Area" localSheetId="18">'Phase 5 Costs'!$A$1:$W$82</definedName>
    <definedName name="_xlnm.Print_Area" localSheetId="20">'Phase 6 Costs'!$A$1:$W$82</definedName>
    <definedName name="_xlnm.Print_Area" localSheetId="4">'Proposer Constants'!$A$1:$I$19</definedName>
    <definedName name="_xlnm.Print_Area" localSheetId="22">Subproposer!$A$1:$Q$18</definedName>
    <definedName name="_xlnm.Print_Area" localSheetId="9">'Task 1'!$A$1:$W$86</definedName>
    <definedName name="_xlnm.Print_Area" localSheetId="28">'Total Amount'!$B$2:$X$85</definedName>
    <definedName name="_xlnm.Print_Area" localSheetId="24">Travel!$A$1:$AO$45</definedName>
    <definedName name="_xlnm.Print_Titles" localSheetId="33">'Milestones and Deliverables'!$2:$4</definedName>
    <definedName name="_xlnm.Print_Titles" localSheetId="7">'Phase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4">[4]Constants!$A$134:$A$137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4">[4]Constants!$A$142:$A$145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Amount'!$E$84</definedName>
    <definedName name="tecpff.dlrs.Op1">'Total Amount'!$H$84</definedName>
    <definedName name="tecpff.dlrs.Op2">'Total Amount'!$K$84</definedName>
    <definedName name="tecpff.dlrs.Op3">'Total Amount'!$N$84</definedName>
    <definedName name="tecpff.dlrs.Op4">'Total Amount'!$Q$84</definedName>
    <definedName name="tecpff.dlrs.Op5">'Total Amount'!$T$84</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6" i="29" l="1"/>
  <c r="W76" i="29"/>
  <c r="S76" i="29"/>
  <c r="O76" i="29"/>
  <c r="K76" i="29"/>
  <c r="G76" i="29"/>
  <c r="AD76" i="29" s="1"/>
  <c r="T74" i="21" s="1"/>
  <c r="AA75" i="29"/>
  <c r="AA77" i="29" s="1"/>
  <c r="W75" i="29"/>
  <c r="W77" i="29" s="1"/>
  <c r="S75" i="29"/>
  <c r="S77" i="29" s="1"/>
  <c r="O75" i="29"/>
  <c r="O77" i="29" s="1"/>
  <c r="K75" i="29"/>
  <c r="K77" i="29" s="1"/>
  <c r="G75" i="29"/>
  <c r="AD75" i="29" s="1"/>
  <c r="T73" i="21" s="1"/>
  <c r="AA67" i="29"/>
  <c r="W67" i="29"/>
  <c r="S67" i="29"/>
  <c r="O67" i="29"/>
  <c r="K67" i="29"/>
  <c r="G67" i="29"/>
  <c r="AD67" i="29" s="1"/>
  <c r="T66" i="21" s="1"/>
  <c r="A66" i="29"/>
  <c r="S59" i="29"/>
  <c r="O59" i="29"/>
  <c r="K59" i="29"/>
  <c r="G59" i="29"/>
  <c r="AD59" i="29" s="1"/>
  <c r="AA58" i="29"/>
  <c r="W58" i="29"/>
  <c r="S58" i="29"/>
  <c r="O58" i="29"/>
  <c r="K58" i="29"/>
  <c r="G58" i="29"/>
  <c r="AD58" i="29" s="1"/>
  <c r="T58" i="21" s="1"/>
  <c r="AA57" i="29"/>
  <c r="AA59" i="29" s="1"/>
  <c r="W57" i="29"/>
  <c r="W59" i="29" s="1"/>
  <c r="S57" i="29"/>
  <c r="O57" i="29"/>
  <c r="K57" i="29"/>
  <c r="G57" i="29"/>
  <c r="AD57" i="29" s="1"/>
  <c r="T57" i="21" s="1"/>
  <c r="AA54" i="29"/>
  <c r="W54" i="29"/>
  <c r="S54" i="29"/>
  <c r="O54" i="29"/>
  <c r="K54" i="29"/>
  <c r="G54" i="29"/>
  <c r="AD54" i="29" s="1"/>
  <c r="T54" i="21" s="1"/>
  <c r="AD53" i="29"/>
  <c r="AD52" i="29"/>
  <c r="AD51" i="29"/>
  <c r="AD50" i="29"/>
  <c r="AA47" i="29"/>
  <c r="Y47" i="29"/>
  <c r="U47" i="29"/>
  <c r="Q47" i="29"/>
  <c r="M47" i="29"/>
  <c r="I47" i="29"/>
  <c r="E47" i="29"/>
  <c r="AC46" i="29"/>
  <c r="AC47" i="29" s="1"/>
  <c r="AA46" i="29"/>
  <c r="AD46" i="29" s="1"/>
  <c r="U46" i="21" s="1"/>
  <c r="W46" i="29"/>
  <c r="S46" i="29"/>
  <c r="O46" i="29"/>
  <c r="K46" i="29"/>
  <c r="G46" i="29"/>
  <c r="AC45" i="29"/>
  <c r="AA45" i="29"/>
  <c r="W45" i="29"/>
  <c r="S45" i="29"/>
  <c r="O45" i="29"/>
  <c r="K45" i="29"/>
  <c r="G45" i="29"/>
  <c r="AD45" i="29" s="1"/>
  <c r="AD44" i="29"/>
  <c r="U44" i="21" s="1"/>
  <c r="AC44" i="29"/>
  <c r="AA44" i="29"/>
  <c r="W44" i="29"/>
  <c r="S44" i="29"/>
  <c r="O44" i="29"/>
  <c r="K44" i="29"/>
  <c r="G44" i="29"/>
  <c r="AC43" i="29"/>
  <c r="AA43" i="29"/>
  <c r="W43" i="29"/>
  <c r="W47" i="29" s="1"/>
  <c r="S43" i="29"/>
  <c r="S47" i="29" s="1"/>
  <c r="O43" i="29"/>
  <c r="O47" i="29" s="1"/>
  <c r="K43" i="29"/>
  <c r="K47" i="29" s="1"/>
  <c r="G43" i="29"/>
  <c r="AA40" i="29"/>
  <c r="W40" i="29"/>
  <c r="S40" i="29"/>
  <c r="O40" i="29"/>
  <c r="K40" i="29"/>
  <c r="G40" i="29"/>
  <c r="AD40" i="29" s="1"/>
  <c r="T39" i="21" s="1"/>
  <c r="AD39" i="29"/>
  <c r="T38" i="21" s="1"/>
  <c r="AD38" i="29"/>
  <c r="T37" i="21" s="1"/>
  <c r="AD37" i="29"/>
  <c r="T36" i="21" s="1"/>
  <c r="AD36" i="29"/>
  <c r="T35" i="21" s="1"/>
  <c r="Y33" i="29"/>
  <c r="U33" i="29"/>
  <c r="Q33" i="29"/>
  <c r="M33" i="29"/>
  <c r="I33" i="29"/>
  <c r="E33" i="29"/>
  <c r="AC32" i="29"/>
  <c r="T31" i="21" s="1"/>
  <c r="Z32" i="29"/>
  <c r="AA32" i="29" s="1"/>
  <c r="V32" i="29"/>
  <c r="W32" i="29" s="1"/>
  <c r="S32" i="29"/>
  <c r="R32" i="29"/>
  <c r="O32" i="29"/>
  <c r="N32" i="29"/>
  <c r="J32" i="29"/>
  <c r="K32" i="29" s="1"/>
  <c r="F32" i="29"/>
  <c r="G32" i="29" s="1"/>
  <c r="C32" i="29"/>
  <c r="A32" i="29"/>
  <c r="AC31" i="29"/>
  <c r="Z31" i="29"/>
  <c r="AA31" i="29" s="1"/>
  <c r="W31" i="29"/>
  <c r="V31" i="29"/>
  <c r="S31" i="29"/>
  <c r="R31" i="29"/>
  <c r="N31" i="29"/>
  <c r="O31" i="29" s="1"/>
  <c r="J31" i="29"/>
  <c r="K31" i="29" s="1"/>
  <c r="F31" i="29"/>
  <c r="G31" i="29" s="1"/>
  <c r="C31" i="29"/>
  <c r="A31" i="29"/>
  <c r="AC30" i="29"/>
  <c r="AA30" i="29"/>
  <c r="Z30" i="29"/>
  <c r="W30" i="29"/>
  <c r="V30" i="29"/>
  <c r="R30" i="29"/>
  <c r="S30" i="29" s="1"/>
  <c r="N30" i="29"/>
  <c r="O30" i="29" s="1"/>
  <c r="J30" i="29"/>
  <c r="K30" i="29" s="1"/>
  <c r="G30" i="29"/>
  <c r="F30" i="29"/>
  <c r="C30" i="29"/>
  <c r="A30" i="29"/>
  <c r="AC29" i="29"/>
  <c r="AA29" i="29"/>
  <c r="Z29" i="29"/>
  <c r="V29" i="29"/>
  <c r="W29" i="29" s="1"/>
  <c r="R29" i="29"/>
  <c r="S29" i="29" s="1"/>
  <c r="N29" i="29"/>
  <c r="O29" i="29" s="1"/>
  <c r="K29" i="29"/>
  <c r="J29" i="29"/>
  <c r="F29" i="29"/>
  <c r="G29" i="29" s="1"/>
  <c r="AD29" i="29" s="1"/>
  <c r="U28" i="21" s="1"/>
  <c r="C29" i="29"/>
  <c r="A29" i="29"/>
  <c r="AC28" i="29"/>
  <c r="Z28" i="29"/>
  <c r="AA28" i="29" s="1"/>
  <c r="V28" i="29"/>
  <c r="W28" i="29" s="1"/>
  <c r="R28" i="29"/>
  <c r="S28" i="29" s="1"/>
  <c r="N28" i="29"/>
  <c r="O28" i="29" s="1"/>
  <c r="J28" i="29"/>
  <c r="K28" i="29" s="1"/>
  <c r="G28" i="29"/>
  <c r="F28" i="29"/>
  <c r="C28" i="29"/>
  <c r="A28" i="29"/>
  <c r="AC27" i="29"/>
  <c r="T26" i="21" s="1"/>
  <c r="Z27" i="29"/>
  <c r="AA27" i="29" s="1"/>
  <c r="V27" i="29"/>
  <c r="W27" i="29" s="1"/>
  <c r="R27" i="29"/>
  <c r="S27" i="29" s="1"/>
  <c r="N27" i="29"/>
  <c r="O27" i="29" s="1"/>
  <c r="K27" i="29"/>
  <c r="J27" i="29"/>
  <c r="G27" i="29"/>
  <c r="F27" i="29"/>
  <c r="C27" i="29"/>
  <c r="A27" i="29"/>
  <c r="AC26" i="29"/>
  <c r="T25" i="21" s="1"/>
  <c r="Z26" i="29"/>
  <c r="AA26" i="29" s="1"/>
  <c r="V26" i="29"/>
  <c r="W26" i="29" s="1"/>
  <c r="R26" i="29"/>
  <c r="S26" i="29" s="1"/>
  <c r="O26" i="29"/>
  <c r="N26" i="29"/>
  <c r="K26" i="29"/>
  <c r="J26" i="29"/>
  <c r="F26" i="29"/>
  <c r="G26" i="29" s="1"/>
  <c r="C26" i="29"/>
  <c r="A26" i="29"/>
  <c r="AC25" i="29"/>
  <c r="T24" i="21" s="1"/>
  <c r="Z25" i="29"/>
  <c r="AA25" i="29" s="1"/>
  <c r="V25" i="29"/>
  <c r="W25" i="29" s="1"/>
  <c r="S25" i="29"/>
  <c r="R25" i="29"/>
  <c r="O25" i="29"/>
  <c r="N25" i="29"/>
  <c r="J25" i="29"/>
  <c r="K25" i="29" s="1"/>
  <c r="F25" i="29"/>
  <c r="G25" i="29" s="1"/>
  <c r="C25" i="29"/>
  <c r="A25" i="29"/>
  <c r="AC24" i="29"/>
  <c r="Z24" i="29"/>
  <c r="AA24" i="29" s="1"/>
  <c r="W24" i="29"/>
  <c r="V24" i="29"/>
  <c r="R24" i="29"/>
  <c r="S24" i="29" s="1"/>
  <c r="N24" i="29"/>
  <c r="O24" i="29" s="1"/>
  <c r="J24" i="29"/>
  <c r="K24" i="29" s="1"/>
  <c r="F24" i="29"/>
  <c r="G24" i="29" s="1"/>
  <c r="AD24" i="29" s="1"/>
  <c r="C24" i="29"/>
  <c r="A24" i="29"/>
  <c r="AC23" i="29"/>
  <c r="AA23" i="29"/>
  <c r="Z23" i="29"/>
  <c r="V23" i="29"/>
  <c r="W23" i="29" s="1"/>
  <c r="R23" i="29"/>
  <c r="S23" i="29" s="1"/>
  <c r="N23" i="29"/>
  <c r="O23" i="29" s="1"/>
  <c r="J23" i="29"/>
  <c r="K23" i="29" s="1"/>
  <c r="F23" i="29"/>
  <c r="G23" i="29" s="1"/>
  <c r="AD23" i="29" s="1"/>
  <c r="U22" i="21"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G21" i="29"/>
  <c r="F21" i="29"/>
  <c r="C21" i="29"/>
  <c r="A21" i="29"/>
  <c r="AC20" i="29"/>
  <c r="Z20" i="29"/>
  <c r="AA20" i="29" s="1"/>
  <c r="V20" i="29"/>
  <c r="W20" i="29" s="1"/>
  <c r="R20" i="29"/>
  <c r="S20" i="29" s="1"/>
  <c r="N20" i="29"/>
  <c r="O20" i="29" s="1"/>
  <c r="K20" i="29"/>
  <c r="J20" i="29"/>
  <c r="F20" i="29"/>
  <c r="G20" i="29" s="1"/>
  <c r="C20" i="29"/>
  <c r="A20" i="29"/>
  <c r="AC19" i="29"/>
  <c r="Z19" i="29"/>
  <c r="AA19" i="29" s="1"/>
  <c r="V19" i="29"/>
  <c r="W19" i="29" s="1"/>
  <c r="R19" i="29"/>
  <c r="S19" i="29" s="1"/>
  <c r="O19" i="29"/>
  <c r="N19" i="29"/>
  <c r="J19" i="29"/>
  <c r="K19" i="29" s="1"/>
  <c r="F19" i="29"/>
  <c r="G19" i="29" s="1"/>
  <c r="C19" i="29"/>
  <c r="A19" i="29"/>
  <c r="AC18" i="29"/>
  <c r="T17" i="21" s="1"/>
  <c r="Z18" i="29"/>
  <c r="AA18" i="29" s="1"/>
  <c r="V18" i="29"/>
  <c r="W18" i="29" s="1"/>
  <c r="S18" i="29"/>
  <c r="R18" i="29"/>
  <c r="N18" i="29"/>
  <c r="O18" i="29" s="1"/>
  <c r="J18" i="29"/>
  <c r="K18" i="29" s="1"/>
  <c r="F18" i="29"/>
  <c r="G18" i="29" s="1"/>
  <c r="AD18" i="29" s="1"/>
  <c r="C18" i="29"/>
  <c r="A18" i="29"/>
  <c r="AC17" i="29"/>
  <c r="Z17" i="29"/>
  <c r="AA17" i="29" s="1"/>
  <c r="W17" i="29"/>
  <c r="V17" i="29"/>
  <c r="R17" i="29"/>
  <c r="S17" i="29" s="1"/>
  <c r="N17" i="29"/>
  <c r="O17" i="29" s="1"/>
  <c r="J17" i="29"/>
  <c r="K17" i="29" s="1"/>
  <c r="F17" i="29"/>
  <c r="G17" i="29" s="1"/>
  <c r="C17" i="29"/>
  <c r="A17" i="29"/>
  <c r="AC16" i="29"/>
  <c r="T15" i="21" s="1"/>
  <c r="AA16" i="29"/>
  <c r="Z16" i="29"/>
  <c r="V16" i="29"/>
  <c r="W16" i="29" s="1"/>
  <c r="R16" i="29"/>
  <c r="S16" i="29" s="1"/>
  <c r="N16" i="29"/>
  <c r="O16" i="29" s="1"/>
  <c r="J16" i="29"/>
  <c r="K16" i="29" s="1"/>
  <c r="F16" i="29"/>
  <c r="G16" i="29" s="1"/>
  <c r="AD16" i="29" s="1"/>
  <c r="C16" i="29"/>
  <c r="A16" i="29"/>
  <c r="AC15" i="29"/>
  <c r="Z15" i="29"/>
  <c r="AA15" i="29" s="1"/>
  <c r="V15" i="29"/>
  <c r="W15" i="29" s="1"/>
  <c r="R15" i="29"/>
  <c r="S15" i="29" s="1"/>
  <c r="N15" i="29"/>
  <c r="O15" i="29" s="1"/>
  <c r="J15" i="29"/>
  <c r="K15" i="29" s="1"/>
  <c r="F15" i="29"/>
  <c r="G15" i="29" s="1"/>
  <c r="C15" i="29"/>
  <c r="A15" i="29"/>
  <c r="AC14" i="29"/>
  <c r="Z14" i="29"/>
  <c r="AA14" i="29" s="1"/>
  <c r="V14" i="29"/>
  <c r="W14" i="29" s="1"/>
  <c r="R14" i="29"/>
  <c r="S14" i="29" s="1"/>
  <c r="N14" i="29"/>
  <c r="O14" i="29" s="1"/>
  <c r="J14" i="29"/>
  <c r="K14" i="29" s="1"/>
  <c r="G14" i="29"/>
  <c r="F14" i="29"/>
  <c r="C14" i="29"/>
  <c r="A14" i="29"/>
  <c r="AC13" i="29"/>
  <c r="T12" i="21" s="1"/>
  <c r="Z13" i="29"/>
  <c r="AA13" i="29" s="1"/>
  <c r="V13" i="29"/>
  <c r="W13" i="29" s="1"/>
  <c r="R13" i="29"/>
  <c r="S13" i="29" s="1"/>
  <c r="N13" i="29"/>
  <c r="O13" i="29" s="1"/>
  <c r="K13" i="29"/>
  <c r="J13" i="29"/>
  <c r="F13" i="29"/>
  <c r="G13" i="29" s="1"/>
  <c r="AD13" i="29" s="1"/>
  <c r="C13" i="29"/>
  <c r="A13" i="29"/>
  <c r="AC12" i="29"/>
  <c r="T11" i="21" s="1"/>
  <c r="Z12" i="29"/>
  <c r="AA12" i="29" s="1"/>
  <c r="V12" i="29"/>
  <c r="W12" i="29" s="1"/>
  <c r="R12" i="29"/>
  <c r="S12" i="29" s="1"/>
  <c r="O12" i="29"/>
  <c r="N12" i="29"/>
  <c r="J12" i="29"/>
  <c r="K12" i="29" s="1"/>
  <c r="F12" i="29"/>
  <c r="G12" i="29" s="1"/>
  <c r="C12" i="29"/>
  <c r="A12" i="29"/>
  <c r="AC11" i="29"/>
  <c r="AC33" i="29" s="1"/>
  <c r="T32" i="21" s="1"/>
  <c r="Z11" i="29"/>
  <c r="AA11" i="29" s="1"/>
  <c r="V11" i="29"/>
  <c r="W11" i="29" s="1"/>
  <c r="S11" i="29"/>
  <c r="R11" i="29"/>
  <c r="N11" i="29"/>
  <c r="O11" i="29" s="1"/>
  <c r="J11" i="29"/>
  <c r="K11" i="29" s="1"/>
  <c r="F11" i="29"/>
  <c r="G11" i="29" s="1"/>
  <c r="C11" i="29"/>
  <c r="A11" i="29"/>
  <c r="AC10" i="29"/>
  <c r="Z10" i="29"/>
  <c r="AA10" i="29" s="1"/>
  <c r="W10" i="29"/>
  <c r="V10" i="29"/>
  <c r="R10" i="29"/>
  <c r="S10" i="29" s="1"/>
  <c r="N10" i="29"/>
  <c r="O10" i="29" s="1"/>
  <c r="J10" i="29"/>
  <c r="K10" i="29" s="1"/>
  <c r="F10" i="29"/>
  <c r="G10" i="29" s="1"/>
  <c r="C10" i="29"/>
  <c r="A10" i="29"/>
  <c r="AC9" i="29"/>
  <c r="AA9" i="29"/>
  <c r="Z9" i="29"/>
  <c r="V9" i="29"/>
  <c r="W9" i="29" s="1"/>
  <c r="R9" i="29"/>
  <c r="S9" i="29" s="1"/>
  <c r="N9" i="29"/>
  <c r="O9" i="29" s="1"/>
  <c r="J9" i="29"/>
  <c r="K9" i="29" s="1"/>
  <c r="F9" i="29"/>
  <c r="G9" i="29" s="1"/>
  <c r="C9" i="29"/>
  <c r="A9" i="29"/>
  <c r="Y7" i="29"/>
  <c r="U7" i="29"/>
  <c r="Q7" i="29"/>
  <c r="M7" i="29"/>
  <c r="I7" i="29"/>
  <c r="E7" i="29"/>
  <c r="Y6" i="29"/>
  <c r="U6" i="29"/>
  <c r="Q6" i="29"/>
  <c r="M6" i="29"/>
  <c r="I6" i="29"/>
  <c r="E6" i="29"/>
  <c r="B5" i="29"/>
  <c r="B4" i="29"/>
  <c r="AA76" i="28"/>
  <c r="W76" i="28"/>
  <c r="S76" i="28"/>
  <c r="O76" i="28"/>
  <c r="K76" i="28"/>
  <c r="G76" i="28"/>
  <c r="AD76" i="28" s="1"/>
  <c r="Q74" i="21" s="1"/>
  <c r="AA75" i="28"/>
  <c r="AA77" i="28" s="1"/>
  <c r="W75" i="28"/>
  <c r="W77" i="28" s="1"/>
  <c r="S75" i="28"/>
  <c r="S77" i="28" s="1"/>
  <c r="O75" i="28"/>
  <c r="O77" i="28" s="1"/>
  <c r="K75" i="28"/>
  <c r="AD75" i="28" s="1"/>
  <c r="Q73" i="21" s="1"/>
  <c r="G75" i="28"/>
  <c r="G77" i="28" s="1"/>
  <c r="AA67" i="28"/>
  <c r="W67" i="28"/>
  <c r="S67" i="28"/>
  <c r="O67" i="28"/>
  <c r="K67" i="28"/>
  <c r="G67" i="28"/>
  <c r="AD67" i="28" s="1"/>
  <c r="Q66" i="21" s="1"/>
  <c r="A66" i="28"/>
  <c r="AA58" i="28"/>
  <c r="W58" i="28"/>
  <c r="S58" i="28"/>
  <c r="O58" i="28"/>
  <c r="K58" i="28"/>
  <c r="AD58" i="28" s="1"/>
  <c r="Q58" i="21" s="1"/>
  <c r="G58" i="28"/>
  <c r="AA57" i="28"/>
  <c r="AA59" i="28" s="1"/>
  <c r="W57" i="28"/>
  <c r="W59" i="28" s="1"/>
  <c r="S57" i="28"/>
  <c r="S59" i="28" s="1"/>
  <c r="O57" i="28"/>
  <c r="O59" i="28" s="1"/>
  <c r="K57" i="28"/>
  <c r="K59" i="28" s="1"/>
  <c r="G57" i="28"/>
  <c r="G59" i="28" s="1"/>
  <c r="AD59" i="28" s="1"/>
  <c r="AA54" i="28"/>
  <c r="W54" i="28"/>
  <c r="S54" i="28"/>
  <c r="O54" i="28"/>
  <c r="K54" i="28"/>
  <c r="AD54" i="28" s="1"/>
  <c r="Q54" i="21" s="1"/>
  <c r="G54" i="28"/>
  <c r="AD53" i="28"/>
  <c r="AD52" i="28"/>
  <c r="AD51" i="28"/>
  <c r="AD50" i="28"/>
  <c r="Q50" i="21" s="1"/>
  <c r="Y47" i="28"/>
  <c r="U47" i="28"/>
  <c r="Q47" i="28"/>
  <c r="M47" i="28"/>
  <c r="I47" i="28"/>
  <c r="E47" i="28"/>
  <c r="AC46" i="28"/>
  <c r="Q46" i="21" s="1"/>
  <c r="AA46" i="28"/>
  <c r="AA47" i="28" s="1"/>
  <c r="W46" i="28"/>
  <c r="S46" i="28"/>
  <c r="O46" i="28"/>
  <c r="K46" i="28"/>
  <c r="G46" i="28"/>
  <c r="AC45" i="28"/>
  <c r="AA45" i="28"/>
  <c r="W45" i="28"/>
  <c r="S45" i="28"/>
  <c r="O45" i="28"/>
  <c r="K45" i="28"/>
  <c r="G45" i="28"/>
  <c r="AD45" i="28" s="1"/>
  <c r="R45" i="21" s="1"/>
  <c r="AD44" i="28"/>
  <c r="R44" i="21" s="1"/>
  <c r="AC44" i="28"/>
  <c r="AA44" i="28"/>
  <c r="W44" i="28"/>
  <c r="S44" i="28"/>
  <c r="O44" i="28"/>
  <c r="K44" i="28"/>
  <c r="G44" i="28"/>
  <c r="AC43" i="28"/>
  <c r="AA43" i="28"/>
  <c r="W43" i="28"/>
  <c r="W47" i="28" s="1"/>
  <c r="S43" i="28"/>
  <c r="S47" i="28" s="1"/>
  <c r="O43" i="28"/>
  <c r="O47" i="28" s="1"/>
  <c r="K43" i="28"/>
  <c r="K47" i="28" s="1"/>
  <c r="G43" i="28"/>
  <c r="AD43" i="28" s="1"/>
  <c r="R43" i="21" s="1"/>
  <c r="AA40" i="28"/>
  <c r="W40" i="28"/>
  <c r="S40" i="28"/>
  <c r="O40" i="28"/>
  <c r="AD40" i="28" s="1"/>
  <c r="Q39" i="21" s="1"/>
  <c r="K40" i="28"/>
  <c r="G40" i="28"/>
  <c r="AD39" i="28"/>
  <c r="AD38" i="28"/>
  <c r="AD37" i="28"/>
  <c r="Q36" i="21" s="1"/>
  <c r="AD36" i="28"/>
  <c r="Y33" i="28"/>
  <c r="U33" i="28"/>
  <c r="Q33" i="28"/>
  <c r="M33" i="28"/>
  <c r="I33" i="28"/>
  <c r="E33" i="28"/>
  <c r="AC32" i="28"/>
  <c r="Q31" i="21" s="1"/>
  <c r="Z32" i="28"/>
  <c r="AA32" i="28" s="1"/>
  <c r="V32" i="28"/>
  <c r="W32" i="28" s="1"/>
  <c r="R32" i="28"/>
  <c r="S32" i="28" s="1"/>
  <c r="N32" i="28"/>
  <c r="O32" i="28" s="1"/>
  <c r="J32" i="28"/>
  <c r="K32" i="28" s="1"/>
  <c r="F32" i="28"/>
  <c r="G32" i="28" s="1"/>
  <c r="C32" i="28"/>
  <c r="A32" i="28"/>
  <c r="AC31" i="28"/>
  <c r="Q30" i="21" s="1"/>
  <c r="Z31" i="28"/>
  <c r="AA31" i="28" s="1"/>
  <c r="V31" i="28"/>
  <c r="W31" i="28" s="1"/>
  <c r="R31" i="28"/>
  <c r="S31" i="28" s="1"/>
  <c r="N31" i="28"/>
  <c r="O31" i="28" s="1"/>
  <c r="J31" i="28"/>
  <c r="K31" i="28" s="1"/>
  <c r="F31" i="28"/>
  <c r="G31" i="28" s="1"/>
  <c r="C31" i="28"/>
  <c r="A31" i="28"/>
  <c r="AC30" i="28"/>
  <c r="Z30" i="28"/>
  <c r="AA30" i="28" s="1"/>
  <c r="V30" i="28"/>
  <c r="W30" i="28" s="1"/>
  <c r="R30" i="28"/>
  <c r="S30" i="28" s="1"/>
  <c r="N30" i="28"/>
  <c r="O30" i="28" s="1"/>
  <c r="J30" i="28"/>
  <c r="K30" i="28" s="1"/>
  <c r="F30" i="28"/>
  <c r="G30" i="28" s="1"/>
  <c r="AD30" i="28" s="1"/>
  <c r="C30" i="28"/>
  <c r="A30" i="28"/>
  <c r="AC29" i="28"/>
  <c r="Z29" i="28"/>
  <c r="AA29" i="28" s="1"/>
  <c r="V29" i="28"/>
  <c r="W29" i="28" s="1"/>
  <c r="R29" i="28"/>
  <c r="S29" i="28" s="1"/>
  <c r="N29" i="28"/>
  <c r="O29" i="28" s="1"/>
  <c r="J29" i="28"/>
  <c r="K29" i="28" s="1"/>
  <c r="F29" i="28"/>
  <c r="G29" i="28" s="1"/>
  <c r="AD29" i="28" s="1"/>
  <c r="C29" i="28"/>
  <c r="A29" i="28"/>
  <c r="AC28" i="28"/>
  <c r="Z28" i="28"/>
  <c r="AA28" i="28" s="1"/>
  <c r="V28" i="28"/>
  <c r="W28" i="28" s="1"/>
  <c r="R28" i="28"/>
  <c r="S28" i="28" s="1"/>
  <c r="N28" i="28"/>
  <c r="O28" i="28" s="1"/>
  <c r="J28" i="28"/>
  <c r="K28" i="28" s="1"/>
  <c r="F28" i="28"/>
  <c r="G28" i="28" s="1"/>
  <c r="C28" i="28"/>
  <c r="A28" i="28"/>
  <c r="AC27" i="28"/>
  <c r="Z27" i="28"/>
  <c r="AA27" i="28" s="1"/>
  <c r="V27" i="28"/>
  <c r="W27" i="28" s="1"/>
  <c r="R27" i="28"/>
  <c r="S27" i="28" s="1"/>
  <c r="N27" i="28"/>
  <c r="O27" i="28" s="1"/>
  <c r="J27" i="28"/>
  <c r="K27" i="28" s="1"/>
  <c r="F27" i="28"/>
  <c r="G27" i="28" s="1"/>
  <c r="AD27" i="28" s="1"/>
  <c r="C27" i="28"/>
  <c r="A27" i="28"/>
  <c r="AC26" i="28"/>
  <c r="Z26" i="28"/>
  <c r="AA26" i="28" s="1"/>
  <c r="V26" i="28"/>
  <c r="W26" i="28" s="1"/>
  <c r="R26" i="28"/>
  <c r="S26" i="28" s="1"/>
  <c r="N26" i="28"/>
  <c r="O26" i="28" s="1"/>
  <c r="J26" i="28"/>
  <c r="K26" i="28" s="1"/>
  <c r="F26" i="28"/>
  <c r="G26" i="28" s="1"/>
  <c r="AD26" i="28" s="1"/>
  <c r="C26" i="28"/>
  <c r="A26" i="28"/>
  <c r="AC25" i="28"/>
  <c r="Q24" i="21" s="1"/>
  <c r="Z25" i="28"/>
  <c r="AA25" i="28" s="1"/>
  <c r="V25" i="28"/>
  <c r="W25" i="28" s="1"/>
  <c r="R25" i="28"/>
  <c r="S25" i="28" s="1"/>
  <c r="N25" i="28"/>
  <c r="O25" i="28" s="1"/>
  <c r="J25" i="28"/>
  <c r="K25" i="28" s="1"/>
  <c r="F25" i="28"/>
  <c r="G25" i="28" s="1"/>
  <c r="C25" i="28"/>
  <c r="A25" i="28"/>
  <c r="AC24" i="28"/>
  <c r="Z24" i="28"/>
  <c r="AA24" i="28" s="1"/>
  <c r="V24" i="28"/>
  <c r="W24" i="28" s="1"/>
  <c r="R24" i="28"/>
  <c r="S24" i="28" s="1"/>
  <c r="N24" i="28"/>
  <c r="O24" i="28" s="1"/>
  <c r="J24" i="28"/>
  <c r="K24" i="28" s="1"/>
  <c r="F24" i="28"/>
  <c r="G24" i="28" s="1"/>
  <c r="AD24" i="28" s="1"/>
  <c r="C24" i="28"/>
  <c r="A24" i="28"/>
  <c r="AC23" i="28"/>
  <c r="Z23" i="28"/>
  <c r="AA23" i="28" s="1"/>
  <c r="V23" i="28"/>
  <c r="W23" i="28" s="1"/>
  <c r="R23" i="28"/>
  <c r="S23" i="28" s="1"/>
  <c r="N23" i="28"/>
  <c r="O23" i="28" s="1"/>
  <c r="J23" i="28"/>
  <c r="K23" i="28" s="1"/>
  <c r="F23" i="28"/>
  <c r="G23" i="28" s="1"/>
  <c r="C23" i="28"/>
  <c r="A23" i="28"/>
  <c r="AC22" i="28"/>
  <c r="Q21" i="21" s="1"/>
  <c r="Z22" i="28"/>
  <c r="AA22" i="28" s="1"/>
  <c r="V22" i="28"/>
  <c r="W22" i="28" s="1"/>
  <c r="R22" i="28"/>
  <c r="S22" i="28" s="1"/>
  <c r="N22" i="28"/>
  <c r="O22" i="28" s="1"/>
  <c r="J22" i="28"/>
  <c r="K22" i="28" s="1"/>
  <c r="F22" i="28"/>
  <c r="G22" i="28" s="1"/>
  <c r="AD22" i="28" s="1"/>
  <c r="C22" i="28"/>
  <c r="A22" i="28"/>
  <c r="AC21" i="28"/>
  <c r="Z21" i="28"/>
  <c r="AA21" i="28" s="1"/>
  <c r="V21" i="28"/>
  <c r="W21" i="28" s="1"/>
  <c r="R21" i="28"/>
  <c r="S21" i="28" s="1"/>
  <c r="N21" i="28"/>
  <c r="O21" i="28" s="1"/>
  <c r="J21" i="28"/>
  <c r="K21" i="28" s="1"/>
  <c r="F21" i="28"/>
  <c r="G21" i="28" s="1"/>
  <c r="C21" i="28"/>
  <c r="A21" i="28"/>
  <c r="AC20" i="28"/>
  <c r="Z20" i="28"/>
  <c r="AA20" i="28" s="1"/>
  <c r="V20" i="28"/>
  <c r="W20" i="28" s="1"/>
  <c r="R20" i="28"/>
  <c r="S20" i="28" s="1"/>
  <c r="N20" i="28"/>
  <c r="O20" i="28" s="1"/>
  <c r="J20" i="28"/>
  <c r="K20" i="28" s="1"/>
  <c r="F20" i="28"/>
  <c r="G20" i="28" s="1"/>
  <c r="C20" i="28"/>
  <c r="A20" i="28"/>
  <c r="AC19" i="28"/>
  <c r="Q18" i="21" s="1"/>
  <c r="Z19" i="28"/>
  <c r="AA19" i="28" s="1"/>
  <c r="V19" i="28"/>
  <c r="W19" i="28" s="1"/>
  <c r="R19" i="28"/>
  <c r="S19" i="28" s="1"/>
  <c r="N19" i="28"/>
  <c r="O19" i="28" s="1"/>
  <c r="J19" i="28"/>
  <c r="K19" i="28" s="1"/>
  <c r="F19" i="28"/>
  <c r="G19" i="28" s="1"/>
  <c r="AD19" i="28" s="1"/>
  <c r="C19" i="28"/>
  <c r="A19" i="28"/>
  <c r="AC18" i="28"/>
  <c r="Q17" i="21" s="1"/>
  <c r="Z18" i="28"/>
  <c r="AA18" i="28" s="1"/>
  <c r="V18" i="28"/>
  <c r="W18" i="28" s="1"/>
  <c r="R18" i="28"/>
  <c r="S18" i="28" s="1"/>
  <c r="N18" i="28"/>
  <c r="O18" i="28" s="1"/>
  <c r="J18" i="28"/>
  <c r="K18" i="28" s="1"/>
  <c r="F18" i="28"/>
  <c r="G18" i="28" s="1"/>
  <c r="C18" i="28"/>
  <c r="A18" i="28"/>
  <c r="AC17" i="28"/>
  <c r="Q16" i="21" s="1"/>
  <c r="Z17" i="28"/>
  <c r="AA17" i="28" s="1"/>
  <c r="V17" i="28"/>
  <c r="W17" i="28" s="1"/>
  <c r="R17" i="28"/>
  <c r="S17" i="28" s="1"/>
  <c r="N17" i="28"/>
  <c r="O17" i="28" s="1"/>
  <c r="J17" i="28"/>
  <c r="K17" i="28" s="1"/>
  <c r="F17" i="28"/>
  <c r="G17" i="28" s="1"/>
  <c r="C17" i="28"/>
  <c r="A17" i="28"/>
  <c r="AC16" i="28"/>
  <c r="Z16" i="28"/>
  <c r="AA16" i="28" s="1"/>
  <c r="V16" i="28"/>
  <c r="W16" i="28" s="1"/>
  <c r="R16" i="28"/>
  <c r="S16" i="28" s="1"/>
  <c r="N16" i="28"/>
  <c r="O16" i="28" s="1"/>
  <c r="J16" i="28"/>
  <c r="K16" i="28" s="1"/>
  <c r="F16" i="28"/>
  <c r="G16" i="28" s="1"/>
  <c r="AD16" i="28" s="1"/>
  <c r="C16" i="28"/>
  <c r="A16" i="28"/>
  <c r="AC15" i="28"/>
  <c r="Z15" i="28"/>
  <c r="AA15" i="28" s="1"/>
  <c r="V15" i="28"/>
  <c r="W15" i="28" s="1"/>
  <c r="R15" i="28"/>
  <c r="S15" i="28" s="1"/>
  <c r="N15" i="28"/>
  <c r="O15" i="28" s="1"/>
  <c r="J15" i="28"/>
  <c r="K15" i="28" s="1"/>
  <c r="F15" i="28"/>
  <c r="G15" i="28" s="1"/>
  <c r="AD15" i="28" s="1"/>
  <c r="C15" i="28"/>
  <c r="A15" i="28"/>
  <c r="AC14" i="28"/>
  <c r="Z14" i="28"/>
  <c r="AA14" i="28" s="1"/>
  <c r="V14" i="28"/>
  <c r="W14" i="28" s="1"/>
  <c r="R14" i="28"/>
  <c r="S14" i="28" s="1"/>
  <c r="N14" i="28"/>
  <c r="O14" i="28" s="1"/>
  <c r="J14" i="28"/>
  <c r="K14" i="28" s="1"/>
  <c r="F14" i="28"/>
  <c r="G14" i="28" s="1"/>
  <c r="C14" i="28"/>
  <c r="A14" i="28"/>
  <c r="AC13" i="28"/>
  <c r="Z13" i="28"/>
  <c r="AA13" i="28" s="1"/>
  <c r="V13" i="28"/>
  <c r="W13" i="28" s="1"/>
  <c r="R13" i="28"/>
  <c r="S13" i="28" s="1"/>
  <c r="N13" i="28"/>
  <c r="O13" i="28" s="1"/>
  <c r="J13" i="28"/>
  <c r="K13" i="28" s="1"/>
  <c r="F13" i="28"/>
  <c r="G13" i="28" s="1"/>
  <c r="AD13" i="28" s="1"/>
  <c r="C13" i="28"/>
  <c r="A13" i="28"/>
  <c r="AC12" i="28"/>
  <c r="Z12" i="28"/>
  <c r="AA12" i="28" s="1"/>
  <c r="V12" i="28"/>
  <c r="W12" i="28" s="1"/>
  <c r="R12" i="28"/>
  <c r="S12" i="28" s="1"/>
  <c r="N12" i="28"/>
  <c r="O12" i="28" s="1"/>
  <c r="J12" i="28"/>
  <c r="K12" i="28" s="1"/>
  <c r="F12" i="28"/>
  <c r="G12" i="28" s="1"/>
  <c r="AD12" i="28" s="1"/>
  <c r="C12" i="28"/>
  <c r="A12" i="28"/>
  <c r="AC11" i="28"/>
  <c r="Q10" i="21" s="1"/>
  <c r="Z11" i="28"/>
  <c r="AA11" i="28" s="1"/>
  <c r="V11" i="28"/>
  <c r="W11" i="28" s="1"/>
  <c r="R11" i="28"/>
  <c r="S11" i="28" s="1"/>
  <c r="N11" i="28"/>
  <c r="O11" i="28" s="1"/>
  <c r="J11" i="28"/>
  <c r="K11" i="28" s="1"/>
  <c r="F11" i="28"/>
  <c r="G11" i="28" s="1"/>
  <c r="C11" i="28"/>
  <c r="A11" i="28"/>
  <c r="AC10" i="28"/>
  <c r="Z10" i="28"/>
  <c r="AA10" i="28" s="1"/>
  <c r="V10" i="28"/>
  <c r="W10" i="28" s="1"/>
  <c r="R10" i="28"/>
  <c r="S10" i="28" s="1"/>
  <c r="N10" i="28"/>
  <c r="O10" i="28" s="1"/>
  <c r="J10" i="28"/>
  <c r="K10" i="28" s="1"/>
  <c r="F10" i="28"/>
  <c r="G10" i="28" s="1"/>
  <c r="AD10" i="28" s="1"/>
  <c r="C10" i="28"/>
  <c r="A10" i="28"/>
  <c r="AC9" i="28"/>
  <c r="Z9" i="28"/>
  <c r="AA9" i="28" s="1"/>
  <c r="AA33" i="28" s="1"/>
  <c r="V9" i="28"/>
  <c r="W9" i="28" s="1"/>
  <c r="R9" i="28"/>
  <c r="S9" i="28" s="1"/>
  <c r="N9" i="28"/>
  <c r="O9" i="28" s="1"/>
  <c r="J9" i="28"/>
  <c r="K9" i="28" s="1"/>
  <c r="F9" i="28"/>
  <c r="G9" i="28" s="1"/>
  <c r="C9" i="28"/>
  <c r="A9" i="28"/>
  <c r="Y7" i="28"/>
  <c r="U7" i="28"/>
  <c r="Q7" i="28"/>
  <c r="M7" i="28"/>
  <c r="I7" i="28"/>
  <c r="E7" i="28"/>
  <c r="Y6" i="28"/>
  <c r="U6" i="28"/>
  <c r="Q6" i="28"/>
  <c r="M6" i="28"/>
  <c r="I6" i="28"/>
  <c r="E6" i="28"/>
  <c r="B5" i="28"/>
  <c r="B4" i="28"/>
  <c r="AA76" i="27"/>
  <c r="W76" i="27"/>
  <c r="S76" i="27"/>
  <c r="O76" i="27"/>
  <c r="K76" i="27"/>
  <c r="G76" i="27"/>
  <c r="AD76" i="27" s="1"/>
  <c r="N74" i="21" s="1"/>
  <c r="AA75" i="27"/>
  <c r="AA77" i="27" s="1"/>
  <c r="W75" i="27"/>
  <c r="W77" i="27" s="1"/>
  <c r="S75" i="27"/>
  <c r="S77" i="27" s="1"/>
  <c r="O75" i="27"/>
  <c r="O77" i="27" s="1"/>
  <c r="K75" i="27"/>
  <c r="K77" i="27" s="1"/>
  <c r="G75" i="27"/>
  <c r="AD75" i="27" s="1"/>
  <c r="N73" i="21" s="1"/>
  <c r="AA67" i="27"/>
  <c r="W67" i="27"/>
  <c r="S67" i="27"/>
  <c r="O67" i="27"/>
  <c r="K67" i="27"/>
  <c r="G67" i="27"/>
  <c r="AD67" i="27" s="1"/>
  <c r="N66" i="21" s="1"/>
  <c r="A66" i="27"/>
  <c r="AA58" i="27"/>
  <c r="W58" i="27"/>
  <c r="S58" i="27"/>
  <c r="O58" i="27"/>
  <c r="K58" i="27"/>
  <c r="G58" i="27"/>
  <c r="AD58" i="27" s="1"/>
  <c r="N58" i="21" s="1"/>
  <c r="AA57" i="27"/>
  <c r="AA59" i="27" s="1"/>
  <c r="W57" i="27"/>
  <c r="W59" i="27" s="1"/>
  <c r="S57" i="27"/>
  <c r="S59" i="27" s="1"/>
  <c r="O57" i="27"/>
  <c r="O59" i="27" s="1"/>
  <c r="K57" i="27"/>
  <c r="K59" i="27" s="1"/>
  <c r="G57" i="27"/>
  <c r="AD57" i="27" s="1"/>
  <c r="N57" i="21" s="1"/>
  <c r="AA54" i="27"/>
  <c r="W54" i="27"/>
  <c r="S54" i="27"/>
  <c r="O54" i="27"/>
  <c r="K54" i="27"/>
  <c r="G54" i="27"/>
  <c r="AD54" i="27" s="1"/>
  <c r="N54" i="21" s="1"/>
  <c r="AD53" i="27"/>
  <c r="AD52" i="27"/>
  <c r="AD51" i="27"/>
  <c r="AD50" i="27"/>
  <c r="Y47" i="27"/>
  <c r="U47" i="27"/>
  <c r="Q47" i="27"/>
  <c r="O47" i="27"/>
  <c r="M47" i="27"/>
  <c r="I47" i="27"/>
  <c r="E47" i="27"/>
  <c r="AC46" i="27"/>
  <c r="AA46" i="27"/>
  <c r="AA47" i="27" s="1"/>
  <c r="W46" i="27"/>
  <c r="S46" i="27"/>
  <c r="O46" i="27"/>
  <c r="K46" i="27"/>
  <c r="G46" i="27"/>
  <c r="AD46" i="27" s="1"/>
  <c r="AD45" i="27"/>
  <c r="O45" i="21" s="1"/>
  <c r="AC45" i="27"/>
  <c r="AC47" i="27" s="1"/>
  <c r="AA45" i="27"/>
  <c r="W45" i="27"/>
  <c r="S45" i="27"/>
  <c r="O45" i="27"/>
  <c r="K45" i="27"/>
  <c r="G45" i="27"/>
  <c r="AD44" i="27"/>
  <c r="AC44" i="27"/>
  <c r="AA44" i="27"/>
  <c r="W44" i="27"/>
  <c r="S44" i="27"/>
  <c r="S47" i="27" s="1"/>
  <c r="O44" i="27"/>
  <c r="K44" i="27"/>
  <c r="G44" i="27"/>
  <c r="G47" i="27" s="1"/>
  <c r="AC43" i="27"/>
  <c r="AA43" i="27"/>
  <c r="W43" i="27"/>
  <c r="W47" i="27" s="1"/>
  <c r="S43" i="27"/>
  <c r="O43" i="27"/>
  <c r="K43" i="27"/>
  <c r="K47" i="27" s="1"/>
  <c r="G43" i="27"/>
  <c r="AA40" i="27"/>
  <c r="W40" i="27"/>
  <c r="S40" i="27"/>
  <c r="O40" i="27"/>
  <c r="K40" i="27"/>
  <c r="G40" i="27"/>
  <c r="AD40" i="27" s="1"/>
  <c r="N39" i="21" s="1"/>
  <c r="AD39" i="27"/>
  <c r="AD38" i="27"/>
  <c r="AD37" i="27"/>
  <c r="AD36" i="27"/>
  <c r="Y33" i="27"/>
  <c r="U33" i="27"/>
  <c r="Q33" i="27"/>
  <c r="M33" i="27"/>
  <c r="I33" i="27"/>
  <c r="E33" i="27"/>
  <c r="AC32" i="27"/>
  <c r="N31" i="21" s="1"/>
  <c r="Z32" i="27"/>
  <c r="AA32" i="27" s="1"/>
  <c r="V32" i="27"/>
  <c r="W32" i="27" s="1"/>
  <c r="R32" i="27"/>
  <c r="S32" i="27" s="1"/>
  <c r="O32" i="27"/>
  <c r="N32" i="27"/>
  <c r="J32" i="27"/>
  <c r="K32" i="27" s="1"/>
  <c r="F32" i="27"/>
  <c r="G32" i="27" s="1"/>
  <c r="C32" i="27"/>
  <c r="A32" i="27"/>
  <c r="AC31" i="27"/>
  <c r="Z31" i="27"/>
  <c r="AA31" i="27" s="1"/>
  <c r="V31" i="27"/>
  <c r="W31" i="27" s="1"/>
  <c r="S31" i="27"/>
  <c r="R31" i="27"/>
  <c r="N31" i="27"/>
  <c r="O31" i="27" s="1"/>
  <c r="J31" i="27"/>
  <c r="K31" i="27" s="1"/>
  <c r="F31" i="27"/>
  <c r="G31" i="27" s="1"/>
  <c r="C31" i="27"/>
  <c r="A31" i="27"/>
  <c r="AC30" i="27"/>
  <c r="N29" i="21" s="1"/>
  <c r="Z30" i="27"/>
  <c r="AA30" i="27" s="1"/>
  <c r="W30" i="27"/>
  <c r="V30" i="27"/>
  <c r="R30" i="27"/>
  <c r="S30" i="27" s="1"/>
  <c r="N30" i="27"/>
  <c r="O30" i="27" s="1"/>
  <c r="J30" i="27"/>
  <c r="K30" i="27" s="1"/>
  <c r="F30" i="27"/>
  <c r="G30" i="27" s="1"/>
  <c r="C30" i="27"/>
  <c r="A30" i="27"/>
  <c r="AC29" i="27"/>
  <c r="AA29" i="27"/>
  <c r="Z29" i="27"/>
  <c r="V29" i="27"/>
  <c r="W29" i="27" s="1"/>
  <c r="R29" i="27"/>
  <c r="S29" i="27" s="1"/>
  <c r="N29" i="27"/>
  <c r="O29" i="27" s="1"/>
  <c r="J29" i="27"/>
  <c r="K29" i="27" s="1"/>
  <c r="F29" i="27"/>
  <c r="G29" i="27" s="1"/>
  <c r="AD29" i="27" s="1"/>
  <c r="C29" i="27"/>
  <c r="A29" i="27"/>
  <c r="AC28" i="27"/>
  <c r="N27" i="21" s="1"/>
  <c r="Z28" i="27"/>
  <c r="AA28" i="27" s="1"/>
  <c r="V28" i="27"/>
  <c r="W28" i="27" s="1"/>
  <c r="R28" i="27"/>
  <c r="S28" i="27" s="1"/>
  <c r="N28" i="27"/>
  <c r="O28" i="27" s="1"/>
  <c r="J28" i="27"/>
  <c r="K28" i="27" s="1"/>
  <c r="F28" i="27"/>
  <c r="G28" i="27" s="1"/>
  <c r="C28" i="27"/>
  <c r="A28" i="27"/>
  <c r="AC27" i="27"/>
  <c r="Z27" i="27"/>
  <c r="AA27" i="27" s="1"/>
  <c r="V27" i="27"/>
  <c r="W27" i="27" s="1"/>
  <c r="R27" i="27"/>
  <c r="S27" i="27" s="1"/>
  <c r="N27" i="27"/>
  <c r="O27" i="27" s="1"/>
  <c r="J27" i="27"/>
  <c r="K27" i="27" s="1"/>
  <c r="G27" i="27"/>
  <c r="F27" i="27"/>
  <c r="C27" i="27"/>
  <c r="A27" i="27"/>
  <c r="AC26" i="27"/>
  <c r="Z26" i="27"/>
  <c r="AA26" i="27" s="1"/>
  <c r="V26" i="27"/>
  <c r="W26" i="27" s="1"/>
  <c r="R26" i="27"/>
  <c r="S26" i="27" s="1"/>
  <c r="N26" i="27"/>
  <c r="O26" i="27" s="1"/>
  <c r="K26" i="27"/>
  <c r="J26" i="27"/>
  <c r="F26" i="27"/>
  <c r="G26" i="27" s="1"/>
  <c r="AD26" i="27" s="1"/>
  <c r="C26" i="27"/>
  <c r="A26" i="27"/>
  <c r="AC25" i="27"/>
  <c r="N24" i="21" s="1"/>
  <c r="Z25" i="27"/>
  <c r="AA25" i="27" s="1"/>
  <c r="V25" i="27"/>
  <c r="W25" i="27" s="1"/>
  <c r="R25" i="27"/>
  <c r="S25" i="27" s="1"/>
  <c r="O25" i="27"/>
  <c r="N25" i="27"/>
  <c r="J25" i="27"/>
  <c r="K25" i="27" s="1"/>
  <c r="F25" i="27"/>
  <c r="G25" i="27" s="1"/>
  <c r="C25" i="27"/>
  <c r="A25" i="27"/>
  <c r="AC24" i="27"/>
  <c r="Z24" i="27"/>
  <c r="AA24" i="27" s="1"/>
  <c r="V24" i="27"/>
  <c r="W24" i="27" s="1"/>
  <c r="S24" i="27"/>
  <c r="R24" i="27"/>
  <c r="N24" i="27"/>
  <c r="O24" i="27" s="1"/>
  <c r="J24" i="27"/>
  <c r="K24" i="27" s="1"/>
  <c r="F24" i="27"/>
  <c r="G24" i="27" s="1"/>
  <c r="C24" i="27"/>
  <c r="A24" i="27"/>
  <c r="AC23" i="27"/>
  <c r="Z23" i="27"/>
  <c r="AA23" i="27" s="1"/>
  <c r="W23" i="27"/>
  <c r="V23" i="27"/>
  <c r="R23" i="27"/>
  <c r="S23" i="27" s="1"/>
  <c r="N23" i="27"/>
  <c r="O23" i="27" s="1"/>
  <c r="J23" i="27"/>
  <c r="K23" i="27" s="1"/>
  <c r="F23" i="27"/>
  <c r="G23" i="27" s="1"/>
  <c r="C23" i="27"/>
  <c r="A23" i="27"/>
  <c r="AC22" i="27"/>
  <c r="AA22" i="27"/>
  <c r="Z22" i="27"/>
  <c r="V22" i="27"/>
  <c r="W22" i="27" s="1"/>
  <c r="R22" i="27"/>
  <c r="S22" i="27" s="1"/>
  <c r="N22" i="27"/>
  <c r="O22" i="27" s="1"/>
  <c r="J22" i="27"/>
  <c r="K22" i="27" s="1"/>
  <c r="F22" i="27"/>
  <c r="G22" i="27" s="1"/>
  <c r="AD22" i="27" s="1"/>
  <c r="C22" i="27"/>
  <c r="A22" i="27"/>
  <c r="AC21" i="27"/>
  <c r="Z21" i="27"/>
  <c r="AA21" i="27" s="1"/>
  <c r="V21" i="27"/>
  <c r="W21" i="27" s="1"/>
  <c r="R21" i="27"/>
  <c r="S21" i="27" s="1"/>
  <c r="N21" i="27"/>
  <c r="O21" i="27" s="1"/>
  <c r="J21" i="27"/>
  <c r="K21" i="27" s="1"/>
  <c r="F21" i="27"/>
  <c r="G21" i="27" s="1"/>
  <c r="AD21" i="27" s="1"/>
  <c r="C21" i="27"/>
  <c r="A21" i="27"/>
  <c r="AC20" i="27"/>
  <c r="Z20" i="27"/>
  <c r="AA20" i="27" s="1"/>
  <c r="V20" i="27"/>
  <c r="W20" i="27" s="1"/>
  <c r="R20" i="27"/>
  <c r="S20" i="27" s="1"/>
  <c r="N20" i="27"/>
  <c r="O20" i="27" s="1"/>
  <c r="J20" i="27"/>
  <c r="K20" i="27" s="1"/>
  <c r="G20" i="27"/>
  <c r="F20" i="27"/>
  <c r="C20" i="27"/>
  <c r="A20" i="27"/>
  <c r="AC19" i="27"/>
  <c r="Z19" i="27"/>
  <c r="AA19" i="27" s="1"/>
  <c r="V19" i="27"/>
  <c r="W19" i="27" s="1"/>
  <c r="R19" i="27"/>
  <c r="S19" i="27" s="1"/>
  <c r="N19" i="27"/>
  <c r="O19" i="27" s="1"/>
  <c r="K19" i="27"/>
  <c r="J19" i="27"/>
  <c r="F19" i="27"/>
  <c r="G19" i="27" s="1"/>
  <c r="AD19" i="27" s="1"/>
  <c r="C19" i="27"/>
  <c r="A19" i="27"/>
  <c r="AC18" i="27"/>
  <c r="Z18" i="27"/>
  <c r="AA18" i="27" s="1"/>
  <c r="V18" i="27"/>
  <c r="W18" i="27" s="1"/>
  <c r="R18" i="27"/>
  <c r="S18" i="27" s="1"/>
  <c r="O18" i="27"/>
  <c r="N18" i="27"/>
  <c r="J18" i="27"/>
  <c r="K18" i="27" s="1"/>
  <c r="F18" i="27"/>
  <c r="G18" i="27" s="1"/>
  <c r="C18" i="27"/>
  <c r="A18" i="27"/>
  <c r="AC17" i="27"/>
  <c r="Z17" i="27"/>
  <c r="AA17" i="27" s="1"/>
  <c r="V17" i="27"/>
  <c r="W17" i="27" s="1"/>
  <c r="S17" i="27"/>
  <c r="R17" i="27"/>
  <c r="N17" i="27"/>
  <c r="O17" i="27" s="1"/>
  <c r="J17" i="27"/>
  <c r="K17" i="27" s="1"/>
  <c r="F17" i="27"/>
  <c r="G17" i="27" s="1"/>
  <c r="C17" i="27"/>
  <c r="A17" i="27"/>
  <c r="AC16" i="27"/>
  <c r="Z16" i="27"/>
  <c r="AA16" i="27" s="1"/>
  <c r="W16" i="27"/>
  <c r="V16" i="27"/>
  <c r="R16" i="27"/>
  <c r="S16" i="27" s="1"/>
  <c r="N16" i="27"/>
  <c r="O16" i="27" s="1"/>
  <c r="J16" i="27"/>
  <c r="K16" i="27" s="1"/>
  <c r="F16" i="27"/>
  <c r="G16" i="27" s="1"/>
  <c r="AD16" i="27" s="1"/>
  <c r="C16" i="27"/>
  <c r="A16" i="27"/>
  <c r="AC15" i="27"/>
  <c r="AA15" i="27"/>
  <c r="Z15" i="27"/>
  <c r="V15" i="27"/>
  <c r="W15" i="27" s="1"/>
  <c r="R15" i="27"/>
  <c r="S15" i="27" s="1"/>
  <c r="N15" i="27"/>
  <c r="O15" i="27" s="1"/>
  <c r="J15" i="27"/>
  <c r="K15" i="27" s="1"/>
  <c r="F15" i="27"/>
  <c r="G15" i="27" s="1"/>
  <c r="C15" i="27"/>
  <c r="A15" i="27"/>
  <c r="AC14" i="27"/>
  <c r="N13" i="21" s="1"/>
  <c r="Z14" i="27"/>
  <c r="AA14" i="27" s="1"/>
  <c r="V14" i="27"/>
  <c r="W14" i="27" s="1"/>
  <c r="R14" i="27"/>
  <c r="S14" i="27" s="1"/>
  <c r="N14" i="27"/>
  <c r="O14" i="27" s="1"/>
  <c r="J14" i="27"/>
  <c r="K14" i="27" s="1"/>
  <c r="F14" i="27"/>
  <c r="G14" i="27" s="1"/>
  <c r="C14" i="27"/>
  <c r="A14" i="27"/>
  <c r="AC13" i="27"/>
  <c r="Z13" i="27"/>
  <c r="AA13" i="27" s="1"/>
  <c r="V13" i="27"/>
  <c r="W13" i="27" s="1"/>
  <c r="R13" i="27"/>
  <c r="S13" i="27" s="1"/>
  <c r="N13" i="27"/>
  <c r="O13" i="27" s="1"/>
  <c r="J13" i="27"/>
  <c r="K13" i="27" s="1"/>
  <c r="G13" i="27"/>
  <c r="AD13" i="27" s="1"/>
  <c r="F13" i="27"/>
  <c r="C13" i="27"/>
  <c r="A13" i="27"/>
  <c r="AC12" i="27"/>
  <c r="Z12" i="27"/>
  <c r="AA12" i="27" s="1"/>
  <c r="V12" i="27"/>
  <c r="W12" i="27" s="1"/>
  <c r="R12" i="27"/>
  <c r="S12" i="27" s="1"/>
  <c r="N12" i="27"/>
  <c r="O12" i="27" s="1"/>
  <c r="K12" i="27"/>
  <c r="J12" i="27"/>
  <c r="F12" i="27"/>
  <c r="G12" i="27" s="1"/>
  <c r="AD12" i="27" s="1"/>
  <c r="C12" i="27"/>
  <c r="A12" i="27"/>
  <c r="AC11" i="27"/>
  <c r="N10" i="21" s="1"/>
  <c r="Z11" i="27"/>
  <c r="AA11" i="27" s="1"/>
  <c r="V11" i="27"/>
  <c r="W11" i="27" s="1"/>
  <c r="R11" i="27"/>
  <c r="S11" i="27" s="1"/>
  <c r="O11" i="27"/>
  <c r="N11" i="27"/>
  <c r="J11" i="27"/>
  <c r="K11" i="27" s="1"/>
  <c r="F11" i="27"/>
  <c r="G11" i="27" s="1"/>
  <c r="C11" i="27"/>
  <c r="A11" i="27"/>
  <c r="AC10" i="27"/>
  <c r="Z10" i="27"/>
  <c r="AA10" i="27" s="1"/>
  <c r="V10" i="27"/>
  <c r="W10" i="27" s="1"/>
  <c r="S10" i="27"/>
  <c r="R10" i="27"/>
  <c r="N10" i="27"/>
  <c r="O10" i="27" s="1"/>
  <c r="J10" i="27"/>
  <c r="K10" i="27" s="1"/>
  <c r="F10" i="27"/>
  <c r="G10" i="27" s="1"/>
  <c r="C10" i="27"/>
  <c r="A10" i="27"/>
  <c r="AC9" i="27"/>
  <c r="N8" i="21" s="1"/>
  <c r="Z9" i="27"/>
  <c r="AA9" i="27" s="1"/>
  <c r="W9" i="27"/>
  <c r="V9" i="27"/>
  <c r="R9" i="27"/>
  <c r="S9" i="27" s="1"/>
  <c r="N9" i="27"/>
  <c r="O9" i="27" s="1"/>
  <c r="J9" i="27"/>
  <c r="K9" i="27" s="1"/>
  <c r="F9" i="27"/>
  <c r="G9" i="27" s="1"/>
  <c r="C9" i="27"/>
  <c r="A9" i="27"/>
  <c r="Y7" i="27"/>
  <c r="U7" i="27"/>
  <c r="Q7" i="27"/>
  <c r="M7" i="27"/>
  <c r="I7" i="27"/>
  <c r="E7" i="27"/>
  <c r="Y6" i="27"/>
  <c r="U6" i="27"/>
  <c r="Q6" i="27"/>
  <c r="M6" i="27"/>
  <c r="I6" i="27"/>
  <c r="E6" i="27"/>
  <c r="B5" i="27"/>
  <c r="B4" i="27"/>
  <c r="AA76" i="26"/>
  <c r="W76" i="26"/>
  <c r="S76" i="26"/>
  <c r="O76" i="26"/>
  <c r="K76" i="26"/>
  <c r="G76" i="26"/>
  <c r="AD76" i="26" s="1"/>
  <c r="K74" i="21" s="1"/>
  <c r="AA75" i="26"/>
  <c r="AA77" i="26" s="1"/>
  <c r="W75" i="26"/>
  <c r="W77" i="26" s="1"/>
  <c r="S75" i="26"/>
  <c r="S77" i="26" s="1"/>
  <c r="O75" i="26"/>
  <c r="O77" i="26" s="1"/>
  <c r="K75" i="26"/>
  <c r="K77" i="26" s="1"/>
  <c r="G75" i="26"/>
  <c r="AD75" i="26" s="1"/>
  <c r="K73" i="21" s="1"/>
  <c r="AA67" i="26"/>
  <c r="W67" i="26"/>
  <c r="S67" i="26"/>
  <c r="O67" i="26"/>
  <c r="K67" i="26"/>
  <c r="G67" i="26"/>
  <c r="AD67" i="26" s="1"/>
  <c r="K66" i="21" s="1"/>
  <c r="A66" i="26"/>
  <c r="K59" i="26"/>
  <c r="G59" i="26"/>
  <c r="AA58" i="26"/>
  <c r="W58" i="26"/>
  <c r="S58" i="26"/>
  <c r="O58" i="26"/>
  <c r="K58" i="26"/>
  <c r="G58" i="26"/>
  <c r="AD58" i="26" s="1"/>
  <c r="K58" i="21" s="1"/>
  <c r="AA57" i="26"/>
  <c r="AA59" i="26" s="1"/>
  <c r="W57" i="26"/>
  <c r="W59" i="26" s="1"/>
  <c r="S57" i="26"/>
  <c r="S59" i="26" s="1"/>
  <c r="O57" i="26"/>
  <c r="O59" i="26" s="1"/>
  <c r="K57" i="26"/>
  <c r="G57" i="26"/>
  <c r="AD57" i="26" s="1"/>
  <c r="AA54" i="26"/>
  <c r="W54" i="26"/>
  <c r="S54" i="26"/>
  <c r="O54" i="26"/>
  <c r="K54" i="26"/>
  <c r="G54" i="26"/>
  <c r="AD54" i="26" s="1"/>
  <c r="K54" i="21" s="1"/>
  <c r="AD53" i="26"/>
  <c r="AD52" i="26"/>
  <c r="AD51" i="26"/>
  <c r="AD50" i="26"/>
  <c r="Y47" i="26"/>
  <c r="U47" i="26"/>
  <c r="Q47" i="26"/>
  <c r="M47" i="26"/>
  <c r="I47" i="26"/>
  <c r="E47" i="26"/>
  <c r="AC46" i="26"/>
  <c r="K46" i="21" s="1"/>
  <c r="AA46" i="26"/>
  <c r="AD46" i="26" s="1"/>
  <c r="W46" i="26"/>
  <c r="S46" i="26"/>
  <c r="O46" i="26"/>
  <c r="K46" i="26"/>
  <c r="G46" i="26"/>
  <c r="AC45" i="26"/>
  <c r="K45" i="21" s="1"/>
  <c r="AA45" i="26"/>
  <c r="W45" i="26"/>
  <c r="S45" i="26"/>
  <c r="O45" i="26"/>
  <c r="K45" i="26"/>
  <c r="G45" i="26"/>
  <c r="AD45" i="26" s="1"/>
  <c r="L45" i="21" s="1"/>
  <c r="AD44" i="26"/>
  <c r="L44" i="21" s="1"/>
  <c r="AC44" i="26"/>
  <c r="AA44" i="26"/>
  <c r="W44" i="26"/>
  <c r="S44" i="26"/>
  <c r="O44" i="26"/>
  <c r="K44" i="26"/>
  <c r="G44" i="26"/>
  <c r="G47" i="26" s="1"/>
  <c r="AC43" i="26"/>
  <c r="AA43" i="26"/>
  <c r="W43" i="26"/>
  <c r="W47" i="26" s="1"/>
  <c r="S43" i="26"/>
  <c r="S47" i="26" s="1"/>
  <c r="O43" i="26"/>
  <c r="O47" i="26" s="1"/>
  <c r="K43" i="26"/>
  <c r="G43" i="26"/>
  <c r="AA40" i="26"/>
  <c r="W40" i="26"/>
  <c r="S40" i="26"/>
  <c r="O40" i="26"/>
  <c r="K40" i="26"/>
  <c r="G40" i="26"/>
  <c r="AD40" i="26" s="1"/>
  <c r="K39" i="21" s="1"/>
  <c r="AD39" i="26"/>
  <c r="AD38" i="26"/>
  <c r="AD37" i="26"/>
  <c r="AD36" i="26"/>
  <c r="K35" i="21" s="1"/>
  <c r="Y33" i="26"/>
  <c r="U33" i="26"/>
  <c r="Q33" i="26"/>
  <c r="M33" i="26"/>
  <c r="I33" i="26"/>
  <c r="E33" i="26"/>
  <c r="AC32" i="26"/>
  <c r="K31" i="21" s="1"/>
  <c r="Z32" i="26"/>
  <c r="AA32" i="26" s="1"/>
  <c r="V32" i="26"/>
  <c r="W32" i="26" s="1"/>
  <c r="R32" i="26"/>
  <c r="S32" i="26" s="1"/>
  <c r="O32" i="26"/>
  <c r="N32" i="26"/>
  <c r="J32" i="26"/>
  <c r="K32" i="26" s="1"/>
  <c r="F32" i="26"/>
  <c r="G32" i="26" s="1"/>
  <c r="C32" i="26"/>
  <c r="A32" i="26"/>
  <c r="AC31" i="26"/>
  <c r="Z31" i="26"/>
  <c r="AA31" i="26" s="1"/>
  <c r="V31" i="26"/>
  <c r="W31" i="26" s="1"/>
  <c r="S31" i="26"/>
  <c r="R31" i="26"/>
  <c r="N31" i="26"/>
  <c r="O31" i="26" s="1"/>
  <c r="J31" i="26"/>
  <c r="K31" i="26" s="1"/>
  <c r="F31" i="26"/>
  <c r="G31" i="26" s="1"/>
  <c r="C31" i="26"/>
  <c r="A31" i="26"/>
  <c r="AC30" i="26"/>
  <c r="Z30" i="26"/>
  <c r="AA30" i="26" s="1"/>
  <c r="W30" i="26"/>
  <c r="V30" i="26"/>
  <c r="R30" i="26"/>
  <c r="S30" i="26" s="1"/>
  <c r="N30" i="26"/>
  <c r="O30" i="26" s="1"/>
  <c r="J30" i="26"/>
  <c r="K30" i="26" s="1"/>
  <c r="F30" i="26"/>
  <c r="G30" i="26" s="1"/>
  <c r="C30" i="26"/>
  <c r="A30" i="26"/>
  <c r="AC29" i="26"/>
  <c r="K28" i="21" s="1"/>
  <c r="AA29" i="26"/>
  <c r="Z29" i="26"/>
  <c r="V29" i="26"/>
  <c r="W29" i="26" s="1"/>
  <c r="R29" i="26"/>
  <c r="S29" i="26" s="1"/>
  <c r="N29" i="26"/>
  <c r="O29" i="26" s="1"/>
  <c r="J29" i="26"/>
  <c r="K29" i="26" s="1"/>
  <c r="F29" i="26"/>
  <c r="G29" i="26" s="1"/>
  <c r="AD29" i="26" s="1"/>
  <c r="C29" i="26"/>
  <c r="A29" i="26"/>
  <c r="AC28" i="26"/>
  <c r="Z28" i="26"/>
  <c r="AA28" i="26" s="1"/>
  <c r="V28" i="26"/>
  <c r="W28" i="26" s="1"/>
  <c r="R28" i="26"/>
  <c r="S28" i="26" s="1"/>
  <c r="N28" i="26"/>
  <c r="O28" i="26" s="1"/>
  <c r="J28" i="26"/>
  <c r="K28" i="26" s="1"/>
  <c r="F28" i="26"/>
  <c r="G28" i="26" s="1"/>
  <c r="C28" i="26"/>
  <c r="A28" i="26"/>
  <c r="AC27" i="26"/>
  <c r="Z27" i="26"/>
  <c r="AA27" i="26" s="1"/>
  <c r="V27" i="26"/>
  <c r="W27" i="26" s="1"/>
  <c r="R27" i="26"/>
  <c r="S27" i="26" s="1"/>
  <c r="N27" i="26"/>
  <c r="O27" i="26" s="1"/>
  <c r="J27" i="26"/>
  <c r="K27" i="26" s="1"/>
  <c r="G27" i="26"/>
  <c r="F27" i="26"/>
  <c r="C27" i="26"/>
  <c r="A27" i="26"/>
  <c r="AC26" i="26"/>
  <c r="Z26" i="26"/>
  <c r="AA26" i="26" s="1"/>
  <c r="V26" i="26"/>
  <c r="W26" i="26" s="1"/>
  <c r="R26" i="26"/>
  <c r="S26" i="26" s="1"/>
  <c r="N26" i="26"/>
  <c r="O26" i="26" s="1"/>
  <c r="K26" i="26"/>
  <c r="J26" i="26"/>
  <c r="F26" i="26"/>
  <c r="G26" i="26" s="1"/>
  <c r="AD26" i="26" s="1"/>
  <c r="C26" i="26"/>
  <c r="A26" i="26"/>
  <c r="AC25" i="26"/>
  <c r="Z25" i="26"/>
  <c r="AA25" i="26" s="1"/>
  <c r="V25" i="26"/>
  <c r="W25" i="26" s="1"/>
  <c r="R25" i="26"/>
  <c r="S25" i="26" s="1"/>
  <c r="O25" i="26"/>
  <c r="N25" i="26"/>
  <c r="J25" i="26"/>
  <c r="K25" i="26" s="1"/>
  <c r="F25" i="26"/>
  <c r="G25" i="26" s="1"/>
  <c r="C25" i="26"/>
  <c r="A25" i="26"/>
  <c r="AC24" i="26"/>
  <c r="Z24" i="26"/>
  <c r="AA24" i="26" s="1"/>
  <c r="V24" i="26"/>
  <c r="W24" i="26" s="1"/>
  <c r="S24" i="26"/>
  <c r="R24" i="26"/>
  <c r="N24" i="26"/>
  <c r="O24" i="26" s="1"/>
  <c r="J24" i="26"/>
  <c r="K24" i="26" s="1"/>
  <c r="F24" i="26"/>
  <c r="G24" i="26" s="1"/>
  <c r="AD24" i="26" s="1"/>
  <c r="C24" i="26"/>
  <c r="A24" i="26"/>
  <c r="AC23" i="26"/>
  <c r="Z23" i="26"/>
  <c r="AA23" i="26" s="1"/>
  <c r="W23" i="26"/>
  <c r="V23" i="26"/>
  <c r="R23" i="26"/>
  <c r="S23" i="26" s="1"/>
  <c r="N23" i="26"/>
  <c r="O23" i="26" s="1"/>
  <c r="J23" i="26"/>
  <c r="K23" i="26" s="1"/>
  <c r="F23" i="26"/>
  <c r="G23" i="26" s="1"/>
  <c r="AD23" i="26" s="1"/>
  <c r="C23" i="26"/>
  <c r="A23" i="26"/>
  <c r="AC22" i="26"/>
  <c r="AA22" i="26"/>
  <c r="Z22" i="26"/>
  <c r="V22" i="26"/>
  <c r="W22" i="26" s="1"/>
  <c r="R22" i="26"/>
  <c r="S22" i="26" s="1"/>
  <c r="N22" i="26"/>
  <c r="O22" i="26" s="1"/>
  <c r="J22" i="26"/>
  <c r="K22" i="26" s="1"/>
  <c r="F22" i="26"/>
  <c r="G22" i="26" s="1"/>
  <c r="AD22" i="26" s="1"/>
  <c r="C22" i="26"/>
  <c r="A22" i="26"/>
  <c r="AC21" i="26"/>
  <c r="Z21" i="26"/>
  <c r="AA21" i="26" s="1"/>
  <c r="V21" i="26"/>
  <c r="W21" i="26" s="1"/>
  <c r="R21" i="26"/>
  <c r="S21" i="26" s="1"/>
  <c r="N21" i="26"/>
  <c r="O21" i="26" s="1"/>
  <c r="J21" i="26"/>
  <c r="K21" i="26" s="1"/>
  <c r="F21" i="26"/>
  <c r="G21" i="26" s="1"/>
  <c r="C21" i="26"/>
  <c r="A21" i="26"/>
  <c r="AC20" i="26"/>
  <c r="K19" i="21" s="1"/>
  <c r="Z20" i="26"/>
  <c r="AA20" i="26" s="1"/>
  <c r="V20" i="26"/>
  <c r="W20" i="26" s="1"/>
  <c r="R20" i="26"/>
  <c r="S20" i="26" s="1"/>
  <c r="N20" i="26"/>
  <c r="O20" i="26" s="1"/>
  <c r="J20" i="26"/>
  <c r="K20" i="26" s="1"/>
  <c r="G20" i="26"/>
  <c r="AD20" i="26" s="1"/>
  <c r="F20" i="26"/>
  <c r="C20" i="26"/>
  <c r="A20" i="26"/>
  <c r="AC19" i="26"/>
  <c r="K18" i="21" s="1"/>
  <c r="Z19" i="26"/>
  <c r="AA19" i="26" s="1"/>
  <c r="V19" i="26"/>
  <c r="W19" i="26" s="1"/>
  <c r="R19" i="26"/>
  <c r="S19" i="26" s="1"/>
  <c r="N19" i="26"/>
  <c r="O19" i="26" s="1"/>
  <c r="K19" i="26"/>
  <c r="J19" i="26"/>
  <c r="F19" i="26"/>
  <c r="G19" i="26" s="1"/>
  <c r="C19" i="26"/>
  <c r="A19" i="26"/>
  <c r="AC18" i="26"/>
  <c r="K17" i="21" s="1"/>
  <c r="Z18" i="26"/>
  <c r="AA18" i="26" s="1"/>
  <c r="V18" i="26"/>
  <c r="W18" i="26" s="1"/>
  <c r="R18" i="26"/>
  <c r="S18" i="26" s="1"/>
  <c r="O18" i="26"/>
  <c r="N18" i="26"/>
  <c r="J18" i="26"/>
  <c r="K18" i="26" s="1"/>
  <c r="F18" i="26"/>
  <c r="G18" i="26" s="1"/>
  <c r="C18" i="26"/>
  <c r="A18" i="26"/>
  <c r="AC17" i="26"/>
  <c r="Z17" i="26"/>
  <c r="AA17" i="26" s="1"/>
  <c r="V17" i="26"/>
  <c r="W17" i="26" s="1"/>
  <c r="S17" i="26"/>
  <c r="R17" i="26"/>
  <c r="N17" i="26"/>
  <c r="O17" i="26" s="1"/>
  <c r="J17" i="26"/>
  <c r="K17" i="26" s="1"/>
  <c r="F17" i="26"/>
  <c r="G17" i="26" s="1"/>
  <c r="AD17" i="26" s="1"/>
  <c r="C17" i="26"/>
  <c r="A17" i="26"/>
  <c r="AC16" i="26"/>
  <c r="Z16" i="26"/>
  <c r="AA16" i="26" s="1"/>
  <c r="W16" i="26"/>
  <c r="V16" i="26"/>
  <c r="R16" i="26"/>
  <c r="S16" i="26" s="1"/>
  <c r="N16" i="26"/>
  <c r="O16" i="26" s="1"/>
  <c r="J16" i="26"/>
  <c r="K16" i="26" s="1"/>
  <c r="F16" i="26"/>
  <c r="G16" i="26" s="1"/>
  <c r="AD16" i="26" s="1"/>
  <c r="C16" i="26"/>
  <c r="A16" i="26"/>
  <c r="AC15" i="26"/>
  <c r="AA15" i="26"/>
  <c r="Z15" i="26"/>
  <c r="V15" i="26"/>
  <c r="W15" i="26" s="1"/>
  <c r="R15" i="26"/>
  <c r="S15" i="26" s="1"/>
  <c r="N15" i="26"/>
  <c r="O15" i="26" s="1"/>
  <c r="J15" i="26"/>
  <c r="K15" i="26" s="1"/>
  <c r="F15" i="26"/>
  <c r="G15" i="26" s="1"/>
  <c r="C15" i="26"/>
  <c r="A15" i="26"/>
  <c r="AC14" i="26"/>
  <c r="Z14" i="26"/>
  <c r="AA14" i="26" s="1"/>
  <c r="V14" i="26"/>
  <c r="W14" i="26" s="1"/>
  <c r="R14" i="26"/>
  <c r="S14" i="26" s="1"/>
  <c r="N14" i="26"/>
  <c r="O14" i="26" s="1"/>
  <c r="J14" i="26"/>
  <c r="K14" i="26" s="1"/>
  <c r="F14" i="26"/>
  <c r="G14" i="26" s="1"/>
  <c r="C14" i="26"/>
  <c r="A14" i="26"/>
  <c r="AC13" i="26"/>
  <c r="K12" i="21" s="1"/>
  <c r="Z13" i="26"/>
  <c r="AA13" i="26" s="1"/>
  <c r="V13" i="26"/>
  <c r="W13" i="26" s="1"/>
  <c r="R13" i="26"/>
  <c r="S13" i="26" s="1"/>
  <c r="N13" i="26"/>
  <c r="O13" i="26" s="1"/>
  <c r="J13" i="26"/>
  <c r="K13" i="26" s="1"/>
  <c r="G13" i="26"/>
  <c r="AD13" i="26" s="1"/>
  <c r="F13" i="26"/>
  <c r="C13" i="26"/>
  <c r="A13" i="26"/>
  <c r="AC12" i="26"/>
  <c r="K11" i="21" s="1"/>
  <c r="Z12" i="26"/>
  <c r="AA12" i="26" s="1"/>
  <c r="V12" i="26"/>
  <c r="W12" i="26" s="1"/>
  <c r="R12" i="26"/>
  <c r="S12" i="26" s="1"/>
  <c r="N12" i="26"/>
  <c r="O12" i="26" s="1"/>
  <c r="K12" i="26"/>
  <c r="J12" i="26"/>
  <c r="F12" i="26"/>
  <c r="G12" i="26" s="1"/>
  <c r="C12" i="26"/>
  <c r="A12" i="26"/>
  <c r="AC11" i="26"/>
  <c r="K10" i="21" s="1"/>
  <c r="Z11" i="26"/>
  <c r="AA11" i="26" s="1"/>
  <c r="V11" i="26"/>
  <c r="W11" i="26" s="1"/>
  <c r="R11" i="26"/>
  <c r="S11" i="26" s="1"/>
  <c r="O11" i="26"/>
  <c r="N11" i="26"/>
  <c r="J11" i="26"/>
  <c r="K11" i="26" s="1"/>
  <c r="F11" i="26"/>
  <c r="G11" i="26" s="1"/>
  <c r="C11" i="26"/>
  <c r="A11" i="26"/>
  <c r="AC10" i="26"/>
  <c r="Z10" i="26"/>
  <c r="AA10" i="26" s="1"/>
  <c r="V10" i="26"/>
  <c r="W10" i="26" s="1"/>
  <c r="S10" i="26"/>
  <c r="R10" i="26"/>
  <c r="N10" i="26"/>
  <c r="O10" i="26" s="1"/>
  <c r="J10" i="26"/>
  <c r="K10" i="26" s="1"/>
  <c r="F10" i="26"/>
  <c r="G10" i="26" s="1"/>
  <c r="AD10" i="26" s="1"/>
  <c r="C10" i="26"/>
  <c r="A10" i="26"/>
  <c r="AC9" i="26"/>
  <c r="K8" i="21" s="1"/>
  <c r="Z9" i="26"/>
  <c r="AA9" i="26" s="1"/>
  <c r="W9" i="26"/>
  <c r="V9" i="26"/>
  <c r="R9" i="26"/>
  <c r="S9" i="26" s="1"/>
  <c r="N9" i="26"/>
  <c r="O9" i="26" s="1"/>
  <c r="J9" i="26"/>
  <c r="K9" i="26" s="1"/>
  <c r="K33" i="26" s="1"/>
  <c r="F9" i="26"/>
  <c r="G9" i="26" s="1"/>
  <c r="C9" i="26"/>
  <c r="A9" i="26"/>
  <c r="Y7" i="26"/>
  <c r="U7" i="26"/>
  <c r="Q7" i="26"/>
  <c r="M7" i="26"/>
  <c r="I7" i="26"/>
  <c r="E7" i="26"/>
  <c r="Y6" i="26"/>
  <c r="U6" i="26"/>
  <c r="Q6" i="26"/>
  <c r="M6" i="26"/>
  <c r="I6" i="26"/>
  <c r="E6" i="26"/>
  <c r="B5" i="26"/>
  <c r="B4" i="26"/>
  <c r="AA77" i="22"/>
  <c r="AA76" i="22"/>
  <c r="W76" i="22"/>
  <c r="S76" i="22"/>
  <c r="O76" i="22"/>
  <c r="K76" i="22"/>
  <c r="G76" i="22"/>
  <c r="AD76" i="22" s="1"/>
  <c r="H74" i="21" s="1"/>
  <c r="AA75" i="22"/>
  <c r="W75" i="22"/>
  <c r="W77" i="22" s="1"/>
  <c r="S75" i="22"/>
  <c r="S77" i="22" s="1"/>
  <c r="O75" i="22"/>
  <c r="O77" i="22" s="1"/>
  <c r="K75" i="22"/>
  <c r="K77" i="22" s="1"/>
  <c r="G75" i="22"/>
  <c r="AD75" i="22" s="1"/>
  <c r="H73" i="21" s="1"/>
  <c r="AA67" i="22"/>
  <c r="W67" i="22"/>
  <c r="S67" i="22"/>
  <c r="O67" i="22"/>
  <c r="K67" i="22"/>
  <c r="G67" i="22"/>
  <c r="AD67" i="22" s="1"/>
  <c r="A66" i="22"/>
  <c r="AA58" i="22"/>
  <c r="W58" i="22"/>
  <c r="S58" i="22"/>
  <c r="O58" i="22"/>
  <c r="K58" i="22"/>
  <c r="G58" i="22"/>
  <c r="AD58" i="22" s="1"/>
  <c r="AA57" i="22"/>
  <c r="AA59" i="22" s="1"/>
  <c r="W57" i="22"/>
  <c r="W59" i="22" s="1"/>
  <c r="S57" i="22"/>
  <c r="S59" i="22" s="1"/>
  <c r="O57" i="22"/>
  <c r="O59" i="22" s="1"/>
  <c r="K57" i="22"/>
  <c r="K59" i="22" s="1"/>
  <c r="G57" i="22"/>
  <c r="AD57" i="22" s="1"/>
  <c r="AA54" i="22"/>
  <c r="W54" i="22"/>
  <c r="S54" i="22"/>
  <c r="O54" i="22"/>
  <c r="K54" i="22"/>
  <c r="G54" i="22"/>
  <c r="AD54" i="22" s="1"/>
  <c r="AD53" i="22"/>
  <c r="AD52" i="22"/>
  <c r="AD51" i="22"/>
  <c r="AD50" i="22"/>
  <c r="AA47" i="22"/>
  <c r="Y47" i="22"/>
  <c r="U47" i="22"/>
  <c r="Q47" i="22"/>
  <c r="M47" i="22"/>
  <c r="I47" i="22"/>
  <c r="E47" i="22"/>
  <c r="AC46" i="22"/>
  <c r="H46" i="21" s="1"/>
  <c r="AA46" i="22"/>
  <c r="W46" i="22"/>
  <c r="S46" i="22"/>
  <c r="O46" i="22"/>
  <c r="K46" i="22"/>
  <c r="G46" i="22"/>
  <c r="AD46" i="22" s="1"/>
  <c r="AC45" i="22"/>
  <c r="H45" i="21" s="1"/>
  <c r="AA45" i="22"/>
  <c r="AD45" i="22" s="1"/>
  <c r="W45" i="22"/>
  <c r="S45" i="22"/>
  <c r="O45" i="22"/>
  <c r="K45" i="22"/>
  <c r="G45" i="22"/>
  <c r="AD44" i="22"/>
  <c r="AC44" i="22"/>
  <c r="AA44" i="22"/>
  <c r="W44" i="22"/>
  <c r="W47" i="22" s="1"/>
  <c r="S44" i="22"/>
  <c r="S47" i="22" s="1"/>
  <c r="O44" i="22"/>
  <c r="O47" i="22" s="1"/>
  <c r="K44" i="22"/>
  <c r="G44" i="22"/>
  <c r="G47" i="22" s="1"/>
  <c r="AC43" i="22"/>
  <c r="AA43" i="22"/>
  <c r="W43" i="22"/>
  <c r="S43" i="22"/>
  <c r="O43" i="22"/>
  <c r="K43" i="22"/>
  <c r="K47" i="22" s="1"/>
  <c r="G43" i="22"/>
  <c r="AA40" i="22"/>
  <c r="W40" i="22"/>
  <c r="S40" i="22"/>
  <c r="O40" i="22"/>
  <c r="K40" i="22"/>
  <c r="G40" i="22"/>
  <c r="AD40" i="22" s="1"/>
  <c r="AD39" i="22"/>
  <c r="AD38" i="22"/>
  <c r="AD37" i="22"/>
  <c r="AD36" i="22"/>
  <c r="Y33" i="22"/>
  <c r="U33" i="22"/>
  <c r="Q33" i="22"/>
  <c r="M33" i="22"/>
  <c r="I33" i="22"/>
  <c r="E33" i="22"/>
  <c r="AC32" i="22"/>
  <c r="Z32" i="22"/>
  <c r="AA32" i="22" s="1"/>
  <c r="V32" i="22"/>
  <c r="W32" i="22" s="1"/>
  <c r="S32" i="22"/>
  <c r="R32" i="22"/>
  <c r="O32" i="22"/>
  <c r="N32" i="22"/>
  <c r="J32" i="22"/>
  <c r="K32" i="22" s="1"/>
  <c r="F32" i="22"/>
  <c r="G32" i="22" s="1"/>
  <c r="C32" i="22"/>
  <c r="A32" i="22"/>
  <c r="AC31" i="22"/>
  <c r="Z31" i="22"/>
  <c r="AA31" i="22" s="1"/>
  <c r="W31" i="22"/>
  <c r="V31" i="22"/>
  <c r="S31" i="22"/>
  <c r="R31" i="22"/>
  <c r="N31" i="22"/>
  <c r="O31" i="22" s="1"/>
  <c r="J31" i="22"/>
  <c r="K31" i="22" s="1"/>
  <c r="F31" i="22"/>
  <c r="G31" i="22" s="1"/>
  <c r="C31" i="22"/>
  <c r="A31" i="22"/>
  <c r="AC30" i="22"/>
  <c r="H29" i="21" s="1"/>
  <c r="AA30" i="22"/>
  <c r="Z30" i="22"/>
  <c r="W30" i="22"/>
  <c r="V30" i="22"/>
  <c r="R30" i="22"/>
  <c r="S30" i="22" s="1"/>
  <c r="N30" i="22"/>
  <c r="O30" i="22" s="1"/>
  <c r="J30" i="22"/>
  <c r="K30" i="22" s="1"/>
  <c r="F30" i="22"/>
  <c r="G30" i="22" s="1"/>
  <c r="AD30" i="22" s="1"/>
  <c r="C30" i="22"/>
  <c r="A30" i="22"/>
  <c r="AC29" i="22"/>
  <c r="AA29" i="22"/>
  <c r="Z29" i="22"/>
  <c r="V29" i="22"/>
  <c r="W29" i="22" s="1"/>
  <c r="R29" i="22"/>
  <c r="S29" i="22" s="1"/>
  <c r="N29" i="22"/>
  <c r="O29" i="22" s="1"/>
  <c r="J29" i="22"/>
  <c r="K29" i="22" s="1"/>
  <c r="F29" i="22"/>
  <c r="G29" i="22" s="1"/>
  <c r="AD29" i="22" s="1"/>
  <c r="C29" i="22"/>
  <c r="A29" i="22"/>
  <c r="AC28" i="22"/>
  <c r="Z28" i="22"/>
  <c r="AA28" i="22" s="1"/>
  <c r="V28" i="22"/>
  <c r="W28" i="22" s="1"/>
  <c r="R28" i="22"/>
  <c r="S28" i="22" s="1"/>
  <c r="N28" i="22"/>
  <c r="O28" i="22" s="1"/>
  <c r="J28" i="22"/>
  <c r="K28" i="22" s="1"/>
  <c r="G28" i="22"/>
  <c r="F28" i="22"/>
  <c r="C28" i="22"/>
  <c r="A28" i="22"/>
  <c r="AC27" i="22"/>
  <c r="Z27" i="22"/>
  <c r="AA27" i="22" s="1"/>
  <c r="V27" i="22"/>
  <c r="W27" i="22" s="1"/>
  <c r="R27" i="22"/>
  <c r="S27" i="22" s="1"/>
  <c r="N27" i="22"/>
  <c r="O27" i="22" s="1"/>
  <c r="K27" i="22"/>
  <c r="J27" i="22"/>
  <c r="G27" i="22"/>
  <c r="F27" i="22"/>
  <c r="C27" i="22"/>
  <c r="A27" i="22"/>
  <c r="AC26" i="22"/>
  <c r="Z26" i="22"/>
  <c r="AA26" i="22" s="1"/>
  <c r="V26" i="22"/>
  <c r="W26" i="22" s="1"/>
  <c r="R26" i="22"/>
  <c r="S26" i="22" s="1"/>
  <c r="O26" i="22"/>
  <c r="N26" i="22"/>
  <c r="K26" i="22"/>
  <c r="J26" i="22"/>
  <c r="F26" i="22"/>
  <c r="G26" i="22" s="1"/>
  <c r="AD26" i="22" s="1"/>
  <c r="I25" i="21" s="1"/>
  <c r="C26" i="22"/>
  <c r="A26" i="22"/>
  <c r="AC25" i="22"/>
  <c r="H24" i="21" s="1"/>
  <c r="Z25" i="22"/>
  <c r="AA25" i="22" s="1"/>
  <c r="V25" i="22"/>
  <c r="W25" i="22" s="1"/>
  <c r="S25" i="22"/>
  <c r="R25" i="22"/>
  <c r="O25" i="22"/>
  <c r="N25" i="22"/>
  <c r="J25" i="22"/>
  <c r="K25" i="22" s="1"/>
  <c r="F25" i="22"/>
  <c r="G25" i="22" s="1"/>
  <c r="AD25" i="22" s="1"/>
  <c r="C25" i="22"/>
  <c r="A25" i="22"/>
  <c r="AC24" i="22"/>
  <c r="H23" i="21" s="1"/>
  <c r="Z24" i="22"/>
  <c r="AA24" i="22" s="1"/>
  <c r="W24" i="22"/>
  <c r="V24" i="22"/>
  <c r="S24" i="22"/>
  <c r="R24" i="22"/>
  <c r="N24" i="22"/>
  <c r="O24" i="22" s="1"/>
  <c r="J24" i="22"/>
  <c r="K24" i="22" s="1"/>
  <c r="F24" i="22"/>
  <c r="G24" i="22" s="1"/>
  <c r="C24" i="22"/>
  <c r="A24" i="22"/>
  <c r="AC23" i="22"/>
  <c r="H22" i="21" s="1"/>
  <c r="AA23" i="22"/>
  <c r="Z23" i="22"/>
  <c r="W23" i="22"/>
  <c r="V23" i="22"/>
  <c r="R23" i="22"/>
  <c r="S23" i="22" s="1"/>
  <c r="N23" i="22"/>
  <c r="O23" i="22" s="1"/>
  <c r="J23" i="22"/>
  <c r="K23" i="22" s="1"/>
  <c r="F23" i="22"/>
  <c r="G23" i="22" s="1"/>
  <c r="C23" i="22"/>
  <c r="A23" i="22"/>
  <c r="AC22" i="22"/>
  <c r="H21" i="21" s="1"/>
  <c r="AA22" i="22"/>
  <c r="Z22" i="22"/>
  <c r="V22" i="22"/>
  <c r="W22" i="22" s="1"/>
  <c r="R22" i="22"/>
  <c r="S22" i="22" s="1"/>
  <c r="N22" i="22"/>
  <c r="O22" i="22" s="1"/>
  <c r="J22" i="22"/>
  <c r="K22" i="22" s="1"/>
  <c r="F22" i="22"/>
  <c r="G22" i="22" s="1"/>
  <c r="AD22" i="22" s="1"/>
  <c r="I21" i="21" s="1"/>
  <c r="C22" i="22"/>
  <c r="A22" i="22"/>
  <c r="AC21" i="22"/>
  <c r="Z21" i="22"/>
  <c r="AA21" i="22" s="1"/>
  <c r="V21" i="22"/>
  <c r="W21" i="22" s="1"/>
  <c r="R21" i="22"/>
  <c r="S21" i="22" s="1"/>
  <c r="N21" i="22"/>
  <c r="O21" i="22" s="1"/>
  <c r="J21" i="22"/>
  <c r="K21" i="22" s="1"/>
  <c r="G21" i="22"/>
  <c r="F21" i="22"/>
  <c r="C21" i="22"/>
  <c r="A21" i="22"/>
  <c r="AC20" i="22"/>
  <c r="Z20" i="22"/>
  <c r="AA20" i="22" s="1"/>
  <c r="V20" i="22"/>
  <c r="W20" i="22" s="1"/>
  <c r="R20" i="22"/>
  <c r="S20" i="22" s="1"/>
  <c r="N20" i="22"/>
  <c r="O20" i="22" s="1"/>
  <c r="K20" i="22"/>
  <c r="J20" i="22"/>
  <c r="G20" i="22"/>
  <c r="F20" i="22"/>
  <c r="C20" i="22"/>
  <c r="A20" i="22"/>
  <c r="AC19" i="22"/>
  <c r="Z19" i="22"/>
  <c r="AA19" i="22" s="1"/>
  <c r="V19" i="22"/>
  <c r="W19" i="22" s="1"/>
  <c r="R19" i="22"/>
  <c r="S19" i="22" s="1"/>
  <c r="O19" i="22"/>
  <c r="N19" i="22"/>
  <c r="K19" i="22"/>
  <c r="J19" i="22"/>
  <c r="F19" i="22"/>
  <c r="G19" i="22" s="1"/>
  <c r="C19" i="22"/>
  <c r="A19" i="22"/>
  <c r="AC18" i="22"/>
  <c r="H17" i="21" s="1"/>
  <c r="Z18" i="22"/>
  <c r="AA18" i="22" s="1"/>
  <c r="V18" i="22"/>
  <c r="W18" i="22" s="1"/>
  <c r="S18" i="22"/>
  <c r="R18" i="22"/>
  <c r="O18" i="22"/>
  <c r="N18" i="22"/>
  <c r="J18" i="22"/>
  <c r="K18" i="22" s="1"/>
  <c r="F18" i="22"/>
  <c r="G18" i="22" s="1"/>
  <c r="C18" i="22"/>
  <c r="A18" i="22"/>
  <c r="AC17" i="22"/>
  <c r="Z17" i="22"/>
  <c r="AA17" i="22" s="1"/>
  <c r="W17" i="22"/>
  <c r="V17" i="22"/>
  <c r="S17" i="22"/>
  <c r="R17" i="22"/>
  <c r="N17" i="22"/>
  <c r="O17" i="22" s="1"/>
  <c r="J17" i="22"/>
  <c r="K17" i="22" s="1"/>
  <c r="F17" i="22"/>
  <c r="G17" i="22" s="1"/>
  <c r="AD17" i="22" s="1"/>
  <c r="C17" i="22"/>
  <c r="A17" i="22"/>
  <c r="AC16" i="22"/>
  <c r="H15" i="21" s="1"/>
  <c r="AA16" i="22"/>
  <c r="Z16" i="22"/>
  <c r="W16" i="22"/>
  <c r="V16" i="22"/>
  <c r="R16" i="22"/>
  <c r="S16" i="22" s="1"/>
  <c r="N16" i="22"/>
  <c r="O16" i="22" s="1"/>
  <c r="J16" i="22"/>
  <c r="K16" i="22" s="1"/>
  <c r="F16" i="22"/>
  <c r="G16" i="22" s="1"/>
  <c r="AD16" i="22" s="1"/>
  <c r="C16" i="22"/>
  <c r="A16" i="22"/>
  <c r="AC15" i="22"/>
  <c r="H14" i="21" s="1"/>
  <c r="AA15" i="22"/>
  <c r="Z15" i="22"/>
  <c r="V15" i="22"/>
  <c r="W15" i="22" s="1"/>
  <c r="R15" i="22"/>
  <c r="S15" i="22" s="1"/>
  <c r="N15" i="22"/>
  <c r="O15" i="22" s="1"/>
  <c r="J15" i="22"/>
  <c r="K15" i="22" s="1"/>
  <c r="F15" i="22"/>
  <c r="G15" i="22" s="1"/>
  <c r="C15" i="22"/>
  <c r="A15" i="22"/>
  <c r="AC14" i="22"/>
  <c r="H13" i="21" s="1"/>
  <c r="Z14" i="22"/>
  <c r="AA14" i="22" s="1"/>
  <c r="V14" i="22"/>
  <c r="W14" i="22" s="1"/>
  <c r="R14" i="22"/>
  <c r="S14" i="22" s="1"/>
  <c r="N14" i="22"/>
  <c r="O14" i="22" s="1"/>
  <c r="J14" i="22"/>
  <c r="K14" i="22" s="1"/>
  <c r="AD14" i="22" s="1"/>
  <c r="G14" i="22"/>
  <c r="F14" i="22"/>
  <c r="C14" i="22"/>
  <c r="A14" i="22"/>
  <c r="AC13" i="22"/>
  <c r="Z13" i="22"/>
  <c r="AA13" i="22" s="1"/>
  <c r="V13" i="22"/>
  <c r="W13" i="22" s="1"/>
  <c r="R13" i="22"/>
  <c r="S13" i="22" s="1"/>
  <c r="N13" i="22"/>
  <c r="O13" i="22" s="1"/>
  <c r="K13" i="22"/>
  <c r="J13" i="22"/>
  <c r="G13" i="22"/>
  <c r="AD13" i="22" s="1"/>
  <c r="F13" i="22"/>
  <c r="C13" i="22"/>
  <c r="A13" i="22"/>
  <c r="AC12" i="22"/>
  <c r="Z12" i="22"/>
  <c r="AA12" i="22" s="1"/>
  <c r="V12" i="22"/>
  <c r="W12" i="22" s="1"/>
  <c r="R12" i="22"/>
  <c r="S12" i="22" s="1"/>
  <c r="O12" i="22"/>
  <c r="N12" i="22"/>
  <c r="K12" i="22"/>
  <c r="J12" i="22"/>
  <c r="F12" i="22"/>
  <c r="G12" i="22" s="1"/>
  <c r="AD12" i="22" s="1"/>
  <c r="C12" i="22"/>
  <c r="A12" i="22"/>
  <c r="AC11" i="22"/>
  <c r="Z11" i="22"/>
  <c r="AA11" i="22" s="1"/>
  <c r="V11" i="22"/>
  <c r="W11" i="22" s="1"/>
  <c r="S11" i="22"/>
  <c r="R11" i="22"/>
  <c r="O11" i="22"/>
  <c r="N11" i="22"/>
  <c r="J11" i="22"/>
  <c r="K11" i="22" s="1"/>
  <c r="F11" i="22"/>
  <c r="G11" i="22" s="1"/>
  <c r="C11" i="22"/>
  <c r="A11" i="22"/>
  <c r="AC10" i="22"/>
  <c r="Z10" i="22"/>
  <c r="AA10" i="22" s="1"/>
  <c r="W10" i="22"/>
  <c r="V10" i="22"/>
  <c r="S10" i="22"/>
  <c r="R10" i="22"/>
  <c r="N10" i="22"/>
  <c r="O10" i="22" s="1"/>
  <c r="J10" i="22"/>
  <c r="K10" i="22" s="1"/>
  <c r="F10" i="22"/>
  <c r="G10" i="22" s="1"/>
  <c r="C10" i="22"/>
  <c r="A10" i="22"/>
  <c r="AC9" i="22"/>
  <c r="H8" i="21" s="1"/>
  <c r="AA9" i="22"/>
  <c r="Z9" i="22"/>
  <c r="W9" i="22"/>
  <c r="V9" i="22"/>
  <c r="R9" i="22"/>
  <c r="S9" i="22" s="1"/>
  <c r="N9" i="22"/>
  <c r="O9" i="22" s="1"/>
  <c r="J9" i="22"/>
  <c r="K9" i="22" s="1"/>
  <c r="F9" i="22"/>
  <c r="G9" i="22" s="1"/>
  <c r="C9" i="22"/>
  <c r="A9" i="22"/>
  <c r="Y7" i="22"/>
  <c r="U7" i="22"/>
  <c r="Q7" i="22"/>
  <c r="M7" i="22"/>
  <c r="I7" i="22"/>
  <c r="E7" i="22"/>
  <c r="Y6" i="22"/>
  <c r="U6" i="22"/>
  <c r="Q6" i="22"/>
  <c r="M6" i="22"/>
  <c r="I6" i="22"/>
  <c r="E6" i="22"/>
  <c r="B5" i="22"/>
  <c r="B4" i="22"/>
  <c r="Y66" i="1"/>
  <c r="U66" i="1"/>
  <c r="Q66" i="1"/>
  <c r="M66" i="1"/>
  <c r="I66" i="1"/>
  <c r="E66" i="1"/>
  <c r="T53" i="21"/>
  <c r="T52" i="21"/>
  <c r="T51" i="21"/>
  <c r="T28" i="21"/>
  <c r="T27" i="21"/>
  <c r="T14" i="21"/>
  <c r="T13" i="21"/>
  <c r="Q38" i="21"/>
  <c r="Q37" i="21"/>
  <c r="Q35" i="21"/>
  <c r="Q28" i="21"/>
  <c r="Q25" i="21"/>
  <c r="Q19" i="21"/>
  <c r="Q11" i="21"/>
  <c r="N50" i="21"/>
  <c r="N46" i="21"/>
  <c r="N37" i="21"/>
  <c r="N36" i="21"/>
  <c r="N35" i="21"/>
  <c r="N21" i="21"/>
  <c r="N17" i="21"/>
  <c r="N14" i="21"/>
  <c r="N11" i="21"/>
  <c r="K57" i="21"/>
  <c r="K37" i="21"/>
  <c r="K36" i="21"/>
  <c r="K27" i="21"/>
  <c r="K15" i="21"/>
  <c r="K14" i="21"/>
  <c r="K13" i="21"/>
  <c r="H50" i="21"/>
  <c r="H28" i="21"/>
  <c r="H25" i="21"/>
  <c r="H18" i="21"/>
  <c r="H11" i="21"/>
  <c r="T30" i="21"/>
  <c r="T29" i="21"/>
  <c r="T23" i="21"/>
  <c r="T22" i="21"/>
  <c r="T21" i="21"/>
  <c r="T20" i="21"/>
  <c r="T19" i="21"/>
  <c r="T18" i="21"/>
  <c r="T16" i="21"/>
  <c r="T9" i="21"/>
  <c r="T8" i="21"/>
  <c r="Q8" i="21"/>
  <c r="T45" i="21"/>
  <c r="Q29" i="21"/>
  <c r="Q23" i="21"/>
  <c r="Q22" i="21"/>
  <c r="Q15" i="21"/>
  <c r="Q14" i="21"/>
  <c r="N28" i="21"/>
  <c r="N22" i="21"/>
  <c r="N20" i="21"/>
  <c r="N19" i="21"/>
  <c r="K29" i="21"/>
  <c r="K22" i="21"/>
  <c r="K21" i="21"/>
  <c r="K16" i="21"/>
  <c r="H36" i="21"/>
  <c r="H35" i="21"/>
  <c r="T50" i="21"/>
  <c r="T44" i="21"/>
  <c r="T43" i="21"/>
  <c r="Q43" i="21"/>
  <c r="Q53" i="21"/>
  <c r="Q52" i="21"/>
  <c r="Q51" i="21"/>
  <c r="Q45" i="21"/>
  <c r="Q44" i="21"/>
  <c r="Q27" i="21"/>
  <c r="Q26" i="21"/>
  <c r="Q20" i="21"/>
  <c r="Q13" i="21"/>
  <c r="Q12" i="21"/>
  <c r="Q9" i="21"/>
  <c r="N53" i="21"/>
  <c r="N52" i="21"/>
  <c r="N51" i="21"/>
  <c r="N43" i="21"/>
  <c r="N38" i="21"/>
  <c r="N30" i="21"/>
  <c r="N26" i="21"/>
  <c r="N25" i="21"/>
  <c r="N23" i="21"/>
  <c r="N18" i="21"/>
  <c r="N16" i="21"/>
  <c r="N15" i="21"/>
  <c r="N12" i="21"/>
  <c r="N9" i="21"/>
  <c r="H31" i="21"/>
  <c r="H30" i="21"/>
  <c r="H27" i="21"/>
  <c r="H26" i="21"/>
  <c r="H20" i="21"/>
  <c r="H19" i="21"/>
  <c r="H16" i="21"/>
  <c r="H12" i="21"/>
  <c r="H10" i="21"/>
  <c r="H38" i="21"/>
  <c r="K30" i="21"/>
  <c r="K26" i="21"/>
  <c r="K25" i="21"/>
  <c r="K24" i="21"/>
  <c r="K23" i="21"/>
  <c r="K20" i="21"/>
  <c r="K9" i="21"/>
  <c r="K38" i="21"/>
  <c r="K44" i="21"/>
  <c r="K50" i="21"/>
  <c r="K51" i="21"/>
  <c r="K52" i="21"/>
  <c r="K53" i="21"/>
  <c r="H53" i="21"/>
  <c r="H52" i="21"/>
  <c r="H51" i="21"/>
  <c r="H44" i="21"/>
  <c r="H43" i="21"/>
  <c r="H37" i="21"/>
  <c r="H9" i="21"/>
  <c r="AC46" i="1"/>
  <c r="E46" i="21" s="1"/>
  <c r="AC45" i="1"/>
  <c r="E45" i="21" s="1"/>
  <c r="AC44" i="1"/>
  <c r="E44" i="21" s="1"/>
  <c r="AA76" i="1"/>
  <c r="W76" i="1"/>
  <c r="S76" i="1"/>
  <c r="O76" i="1"/>
  <c r="K76" i="1"/>
  <c r="G76" i="1"/>
  <c r="AA75" i="1"/>
  <c r="AA77" i="1" s="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AA32" i="1"/>
  <c r="Z32" i="1"/>
  <c r="V32" i="1"/>
  <c r="W32" i="1" s="1"/>
  <c r="R32" i="1"/>
  <c r="S32" i="1" s="1"/>
  <c r="N32" i="1"/>
  <c r="O32" i="1" s="1"/>
  <c r="J32" i="1"/>
  <c r="K32" i="1" s="1"/>
  <c r="F32" i="1"/>
  <c r="G32" i="1" s="1"/>
  <c r="AD32" i="1" s="1"/>
  <c r="C32" i="1"/>
  <c r="A32" i="1"/>
  <c r="AC31" i="1"/>
  <c r="Z31" i="1"/>
  <c r="AA31" i="1" s="1"/>
  <c r="V31" i="1"/>
  <c r="W31" i="1" s="1"/>
  <c r="R31" i="1"/>
  <c r="S31" i="1" s="1"/>
  <c r="N31" i="1"/>
  <c r="O31" i="1" s="1"/>
  <c r="J31" i="1"/>
  <c r="K31" i="1" s="1"/>
  <c r="AD31" i="1" s="1"/>
  <c r="G31" i="1"/>
  <c r="F31" i="1"/>
  <c r="C31" i="1"/>
  <c r="A31" i="1"/>
  <c r="AC30" i="1"/>
  <c r="Z30" i="1"/>
  <c r="AA30" i="1" s="1"/>
  <c r="V30" i="1"/>
  <c r="W30" i="1" s="1"/>
  <c r="R30" i="1"/>
  <c r="S30" i="1" s="1"/>
  <c r="N30" i="1"/>
  <c r="O30" i="1" s="1"/>
  <c r="K30" i="1"/>
  <c r="J30" i="1"/>
  <c r="G30" i="1"/>
  <c r="F30" i="1"/>
  <c r="C30" i="1"/>
  <c r="A30" i="1"/>
  <c r="AC29" i="1"/>
  <c r="Z29" i="1"/>
  <c r="AA29" i="1" s="1"/>
  <c r="V29" i="1"/>
  <c r="W29" i="1" s="1"/>
  <c r="R29" i="1"/>
  <c r="S29" i="1" s="1"/>
  <c r="O29" i="1"/>
  <c r="N29" i="1"/>
  <c r="K29" i="1"/>
  <c r="J29" i="1"/>
  <c r="F29" i="1"/>
  <c r="G29" i="1" s="1"/>
  <c r="C29" i="1"/>
  <c r="A29" i="1"/>
  <c r="AC28" i="1"/>
  <c r="Z28" i="1"/>
  <c r="AA28" i="1" s="1"/>
  <c r="V28" i="1"/>
  <c r="W28" i="1" s="1"/>
  <c r="S28" i="1"/>
  <c r="R28" i="1"/>
  <c r="O28" i="1"/>
  <c r="N28" i="1"/>
  <c r="J28" i="1"/>
  <c r="K28" i="1" s="1"/>
  <c r="G28" i="1"/>
  <c r="F28" i="1"/>
  <c r="C28" i="1"/>
  <c r="A28" i="1"/>
  <c r="AC27" i="1"/>
  <c r="Z27" i="1"/>
  <c r="AA27" i="1" s="1"/>
  <c r="W27" i="1"/>
  <c r="V27" i="1"/>
  <c r="S27" i="1"/>
  <c r="R27" i="1"/>
  <c r="N27" i="1"/>
  <c r="O27" i="1" s="1"/>
  <c r="K27" i="1"/>
  <c r="J27" i="1"/>
  <c r="F27" i="1"/>
  <c r="G27" i="1" s="1"/>
  <c r="AD27" i="1" s="1"/>
  <c r="C27" i="1"/>
  <c r="A27" i="1"/>
  <c r="AC26" i="1"/>
  <c r="AA26" i="1"/>
  <c r="Z26" i="1"/>
  <c r="W26" i="1"/>
  <c r="V26" i="1"/>
  <c r="R26" i="1"/>
  <c r="S26" i="1" s="1"/>
  <c r="O26" i="1"/>
  <c r="N26" i="1"/>
  <c r="J26" i="1"/>
  <c r="K26" i="1" s="1"/>
  <c r="F26" i="1"/>
  <c r="G26" i="1" s="1"/>
  <c r="C26" i="1"/>
  <c r="A26" i="1"/>
  <c r="AC25" i="1"/>
  <c r="AA25" i="1"/>
  <c r="Z25" i="1"/>
  <c r="V25" i="1"/>
  <c r="W25" i="1" s="1"/>
  <c r="S25" i="1"/>
  <c r="R25" i="1"/>
  <c r="N25" i="1"/>
  <c r="O25" i="1" s="1"/>
  <c r="J25" i="1"/>
  <c r="K25" i="1" s="1"/>
  <c r="F25" i="1"/>
  <c r="G25" i="1" s="1"/>
  <c r="AD25" i="1" s="1"/>
  <c r="C25" i="1"/>
  <c r="A25" i="1"/>
  <c r="AC24" i="1"/>
  <c r="Z24" i="1"/>
  <c r="AA24" i="1" s="1"/>
  <c r="V24" i="1"/>
  <c r="W24" i="1" s="1"/>
  <c r="R24" i="1"/>
  <c r="S24" i="1" s="1"/>
  <c r="N24" i="1"/>
  <c r="O24" i="1" s="1"/>
  <c r="J24" i="1"/>
  <c r="K24" i="1" s="1"/>
  <c r="AD24" i="1" s="1"/>
  <c r="G24" i="1"/>
  <c r="F24" i="1"/>
  <c r="C24" i="1"/>
  <c r="A24" i="1"/>
  <c r="AC23" i="1"/>
  <c r="Z23" i="1"/>
  <c r="AA23" i="1" s="1"/>
  <c r="V23" i="1"/>
  <c r="W23" i="1" s="1"/>
  <c r="R23" i="1"/>
  <c r="S23" i="1" s="1"/>
  <c r="N23" i="1"/>
  <c r="O23" i="1" s="1"/>
  <c r="K23" i="1"/>
  <c r="J23" i="1"/>
  <c r="G23" i="1"/>
  <c r="AD23" i="1" s="1"/>
  <c r="F23" i="1"/>
  <c r="C23" i="1"/>
  <c r="A23" i="1"/>
  <c r="AC22" i="1"/>
  <c r="Z22" i="1"/>
  <c r="AA22" i="1" s="1"/>
  <c r="V22" i="1"/>
  <c r="W22" i="1" s="1"/>
  <c r="R22" i="1"/>
  <c r="S22" i="1" s="1"/>
  <c r="O22" i="1"/>
  <c r="N22" i="1"/>
  <c r="K22" i="1"/>
  <c r="J22" i="1"/>
  <c r="F22" i="1"/>
  <c r="G22" i="1" s="1"/>
  <c r="AD22" i="1" s="1"/>
  <c r="C22" i="1"/>
  <c r="A22" i="1"/>
  <c r="AC21" i="1"/>
  <c r="Z21" i="1"/>
  <c r="AA21" i="1" s="1"/>
  <c r="V21" i="1"/>
  <c r="W21" i="1" s="1"/>
  <c r="S21" i="1"/>
  <c r="R21" i="1"/>
  <c r="O21" i="1"/>
  <c r="N21" i="1"/>
  <c r="J21" i="1"/>
  <c r="K21" i="1" s="1"/>
  <c r="F21" i="1"/>
  <c r="G21" i="1" s="1"/>
  <c r="C21" i="1"/>
  <c r="A21" i="1"/>
  <c r="AC20" i="1"/>
  <c r="Z20" i="1"/>
  <c r="AA20" i="1" s="1"/>
  <c r="W20" i="1"/>
  <c r="V20" i="1"/>
  <c r="R20" i="1"/>
  <c r="S20" i="1" s="1"/>
  <c r="N20" i="1"/>
  <c r="O20" i="1" s="1"/>
  <c r="J20" i="1"/>
  <c r="K20" i="1" s="1"/>
  <c r="F20" i="1"/>
  <c r="G20" i="1" s="1"/>
  <c r="C20" i="1"/>
  <c r="A20" i="1"/>
  <c r="AC19" i="1"/>
  <c r="AA19" i="1"/>
  <c r="Z19" i="1"/>
  <c r="V19" i="1"/>
  <c r="W19" i="1" s="1"/>
  <c r="R19" i="1"/>
  <c r="S19" i="1" s="1"/>
  <c r="N19" i="1"/>
  <c r="O19" i="1" s="1"/>
  <c r="J19" i="1"/>
  <c r="K19" i="1" s="1"/>
  <c r="F19" i="1"/>
  <c r="G19" i="1" s="1"/>
  <c r="C19" i="1"/>
  <c r="A19" i="1"/>
  <c r="AC18" i="1"/>
  <c r="Z18" i="1"/>
  <c r="AA18" i="1" s="1"/>
  <c r="V18" i="1"/>
  <c r="W18" i="1" s="1"/>
  <c r="R18" i="1"/>
  <c r="S18" i="1" s="1"/>
  <c r="N18" i="1"/>
  <c r="O18" i="1" s="1"/>
  <c r="J18" i="1"/>
  <c r="K18" i="1" s="1"/>
  <c r="F18" i="1"/>
  <c r="G18" i="1" s="1"/>
  <c r="C18" i="1"/>
  <c r="A18" i="1"/>
  <c r="AC17" i="1"/>
  <c r="Z17" i="1"/>
  <c r="AA17" i="1" s="1"/>
  <c r="V17" i="1"/>
  <c r="W17" i="1" s="1"/>
  <c r="R17" i="1"/>
  <c r="S17" i="1" s="1"/>
  <c r="N17" i="1"/>
  <c r="O17" i="1" s="1"/>
  <c r="J17" i="1"/>
  <c r="K17" i="1" s="1"/>
  <c r="G17" i="1"/>
  <c r="F17" i="1"/>
  <c r="C17" i="1"/>
  <c r="A17" i="1"/>
  <c r="AC16" i="1"/>
  <c r="V16" i="1"/>
  <c r="W16" i="1" s="1"/>
  <c r="R16" i="1"/>
  <c r="S16" i="1" s="1"/>
  <c r="N16" i="1"/>
  <c r="O16" i="1" s="1"/>
  <c r="K16" i="1"/>
  <c r="J16" i="1"/>
  <c r="F16" i="1"/>
  <c r="G16" i="1" s="1"/>
  <c r="C16" i="1"/>
  <c r="A16" i="1"/>
  <c r="AC15" i="1"/>
  <c r="F15" i="1"/>
  <c r="G15" i="1" s="1"/>
  <c r="C15" i="1"/>
  <c r="A15" i="1"/>
  <c r="AC14" i="1"/>
  <c r="F14" i="1"/>
  <c r="G14" i="1" s="1"/>
  <c r="C14" i="1"/>
  <c r="A14" i="1"/>
  <c r="AC13" i="1"/>
  <c r="F13" i="1"/>
  <c r="G13" i="1" s="1"/>
  <c r="C13" i="1"/>
  <c r="A13" i="1"/>
  <c r="AC12" i="1"/>
  <c r="F12" i="1"/>
  <c r="G12" i="1" s="1"/>
  <c r="C12" i="1"/>
  <c r="A12" i="1"/>
  <c r="AC11" i="1"/>
  <c r="F11" i="1"/>
  <c r="G11" i="1" s="1"/>
  <c r="C11" i="1"/>
  <c r="A11" i="1"/>
  <c r="AC10" i="1"/>
  <c r="F10" i="1"/>
  <c r="G10" i="1" s="1"/>
  <c r="C10" i="1"/>
  <c r="A10" i="1"/>
  <c r="AC9" i="1"/>
  <c r="AC33" i="1" s="1"/>
  <c r="E32" i="21" s="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6" i="14"/>
  <c r="J15" i="14"/>
  <c r="J14" i="14"/>
  <c r="J13" i="14"/>
  <c r="J12" i="14"/>
  <c r="J17" i="14" s="1"/>
  <c r="J9" i="14"/>
  <c r="J8" i="14"/>
  <c r="J7" i="14"/>
  <c r="J6" i="14"/>
  <c r="AC86" i="29" l="1"/>
  <c r="AD14" i="29"/>
  <c r="AD17" i="29"/>
  <c r="U16" i="21" s="1"/>
  <c r="AA33" i="29"/>
  <c r="AD21" i="29"/>
  <c r="U20" i="21" s="1"/>
  <c r="AD10" i="29"/>
  <c r="AD28" i="29"/>
  <c r="U27" i="21" s="1"/>
  <c r="AD11" i="29"/>
  <c r="AD20" i="29"/>
  <c r="U19" i="21" s="1"/>
  <c r="AD32" i="29"/>
  <c r="U31" i="21" s="1"/>
  <c r="K33" i="29"/>
  <c r="AD19" i="29"/>
  <c r="U18" i="21" s="1"/>
  <c r="AD26" i="29"/>
  <c r="U25" i="21" s="1"/>
  <c r="AD9" i="29"/>
  <c r="AD33" i="29" s="1"/>
  <c r="G33" i="29"/>
  <c r="O33" i="29"/>
  <c r="AD12" i="29"/>
  <c r="AD27" i="29"/>
  <c r="S33" i="29"/>
  <c r="AD22" i="29"/>
  <c r="AD30" i="29"/>
  <c r="AD31" i="29"/>
  <c r="U30" i="21" s="1"/>
  <c r="W33" i="29"/>
  <c r="AD15" i="29"/>
  <c r="AD25" i="29"/>
  <c r="U24" i="21" s="1"/>
  <c r="AD43" i="29"/>
  <c r="U43" i="21" s="1"/>
  <c r="G77" i="29"/>
  <c r="AD77" i="29" s="1"/>
  <c r="T75" i="21" s="1"/>
  <c r="G47" i="29"/>
  <c r="AD47" i="29" s="1"/>
  <c r="U47" i="21" s="1"/>
  <c r="AD9" i="28"/>
  <c r="G33" i="28"/>
  <c r="AD31" i="28"/>
  <c r="R30" i="21" s="1"/>
  <c r="S33" i="28"/>
  <c r="AD14" i="28"/>
  <c r="AD28" i="28"/>
  <c r="R27" i="21" s="1"/>
  <c r="Y63" i="28"/>
  <c r="Y72" i="28" s="1"/>
  <c r="Y80" i="28" s="1"/>
  <c r="Y86" i="28" s="1"/>
  <c r="Y66" i="28"/>
  <c r="AA66" i="28" s="1"/>
  <c r="AA68" i="28" s="1"/>
  <c r="Y83" i="28" s="1"/>
  <c r="AA83" i="28" s="1"/>
  <c r="AD23" i="28"/>
  <c r="R22" i="21" s="1"/>
  <c r="K33" i="28"/>
  <c r="AD20" i="28"/>
  <c r="R19" i="21" s="1"/>
  <c r="O33" i="28"/>
  <c r="AD17" i="28"/>
  <c r="W33" i="28"/>
  <c r="AD11" i="28"/>
  <c r="AD25" i="28"/>
  <c r="R24" i="21" s="1"/>
  <c r="AD21" i="28"/>
  <c r="AD18" i="28"/>
  <c r="R17" i="21" s="1"/>
  <c r="AD32" i="28"/>
  <c r="R31" i="21" s="1"/>
  <c r="G47" i="28"/>
  <c r="AD47" i="28" s="1"/>
  <c r="R47" i="21" s="1"/>
  <c r="AC47" i="28"/>
  <c r="AC86" i="28" s="1"/>
  <c r="AD46" i="28"/>
  <c r="R46" i="21" s="1"/>
  <c r="AD57" i="28"/>
  <c r="Q57" i="21" s="1"/>
  <c r="AC33" i="28"/>
  <c r="Q32" i="21" s="1"/>
  <c r="K77" i="28"/>
  <c r="AD77" i="28" s="1"/>
  <c r="Q75" i="21" s="1"/>
  <c r="K33" i="27"/>
  <c r="AD24" i="27"/>
  <c r="AD10" i="27"/>
  <c r="AD9" i="27"/>
  <c r="G33" i="27"/>
  <c r="O33" i="27"/>
  <c r="AD31" i="27"/>
  <c r="O30" i="21" s="1"/>
  <c r="AD14" i="27"/>
  <c r="AD17" i="27"/>
  <c r="O16" i="21" s="1"/>
  <c r="AD27" i="27"/>
  <c r="AD30" i="27"/>
  <c r="AD20" i="27"/>
  <c r="O19" i="21" s="1"/>
  <c r="AD23" i="27"/>
  <c r="AD25" i="27"/>
  <c r="O24" i="21" s="1"/>
  <c r="W33" i="27"/>
  <c r="AD18" i="27"/>
  <c r="O17" i="21" s="1"/>
  <c r="S33" i="27"/>
  <c r="AD15" i="27"/>
  <c r="AD32" i="27"/>
  <c r="O31" i="21" s="1"/>
  <c r="AA33" i="27"/>
  <c r="AD11" i="27"/>
  <c r="AD28" i="27"/>
  <c r="O27" i="21" s="1"/>
  <c r="AD47" i="27"/>
  <c r="O47" i="21" s="1"/>
  <c r="AC33" i="27"/>
  <c r="N32" i="21" s="1"/>
  <c r="G59" i="27"/>
  <c r="AD59" i="27" s="1"/>
  <c r="N59" i="21" s="1"/>
  <c r="N45" i="21"/>
  <c r="AD43" i="27"/>
  <c r="O43" i="21" s="1"/>
  <c r="G77" i="27"/>
  <c r="AD77" i="27" s="1"/>
  <c r="I66" i="26"/>
  <c r="K66" i="26" s="1"/>
  <c r="K68" i="26" s="1"/>
  <c r="AD59" i="26"/>
  <c r="AD15" i="26"/>
  <c r="AD32" i="26"/>
  <c r="L31" i="21" s="1"/>
  <c r="AC33" i="26"/>
  <c r="AA33" i="26"/>
  <c r="AD25" i="26"/>
  <c r="L24" i="21" s="1"/>
  <c r="O33" i="26"/>
  <c r="S33" i="26"/>
  <c r="AD12" i="26"/>
  <c r="AD19" i="26"/>
  <c r="L18" i="21" s="1"/>
  <c r="K47" i="26"/>
  <c r="I63" i="26" s="1"/>
  <c r="I72" i="26" s="1"/>
  <c r="I80" i="26" s="1"/>
  <c r="AD43" i="26"/>
  <c r="L43" i="21" s="1"/>
  <c r="W33" i="26"/>
  <c r="AD11" i="26"/>
  <c r="AD18" i="26"/>
  <c r="L17" i="21" s="1"/>
  <c r="AD28" i="26"/>
  <c r="L27" i="21" s="1"/>
  <c r="AD14" i="26"/>
  <c r="AD21" i="26"/>
  <c r="AD31" i="26"/>
  <c r="L30" i="21" s="1"/>
  <c r="AA47" i="26"/>
  <c r="AD9" i="26"/>
  <c r="G33" i="26"/>
  <c r="AD27" i="26"/>
  <c r="L26" i="21" s="1"/>
  <c r="AD30" i="26"/>
  <c r="L29" i="21" s="1"/>
  <c r="AC47" i="26"/>
  <c r="AC86" i="26" s="1"/>
  <c r="G77" i="26"/>
  <c r="AD77" i="26" s="1"/>
  <c r="AD21" i="22"/>
  <c r="AA33" i="22"/>
  <c r="AD24" i="22"/>
  <c r="I23" i="21" s="1"/>
  <c r="AD11" i="22"/>
  <c r="AD20" i="22"/>
  <c r="AD19" i="22"/>
  <c r="AD23" i="22"/>
  <c r="AD28" i="22"/>
  <c r="AD9" i="22"/>
  <c r="G33" i="22"/>
  <c r="K33" i="22"/>
  <c r="O33" i="22"/>
  <c r="S33" i="22"/>
  <c r="W33" i="22"/>
  <c r="AD15" i="22"/>
  <c r="AD32" i="22"/>
  <c r="I31" i="21" s="1"/>
  <c r="AD10" i="22"/>
  <c r="AD31" i="22"/>
  <c r="I30" i="21" s="1"/>
  <c r="AD18" i="22"/>
  <c r="I17" i="21" s="1"/>
  <c r="AD27" i="22"/>
  <c r="AD47" i="22"/>
  <c r="AC33" i="22"/>
  <c r="AC47" i="22"/>
  <c r="AC86" i="22" s="1"/>
  <c r="G59" i="22"/>
  <c r="AD59" i="22" s="1"/>
  <c r="AD43" i="22"/>
  <c r="G77" i="22"/>
  <c r="AD77" i="22" s="1"/>
  <c r="H75" i="21" s="1"/>
  <c r="U29" i="21"/>
  <c r="U21" i="21"/>
  <c r="U26" i="21"/>
  <c r="U23" i="21"/>
  <c r="U17" i="21"/>
  <c r="U45" i="21"/>
  <c r="T10" i="21"/>
  <c r="T46" i="21"/>
  <c r="R23" i="21"/>
  <c r="R28" i="21"/>
  <c r="Q59" i="21"/>
  <c r="O18" i="21"/>
  <c r="O20" i="21"/>
  <c r="O23" i="21"/>
  <c r="N44" i="21"/>
  <c r="L19" i="21"/>
  <c r="L28" i="21"/>
  <c r="L21" i="21"/>
  <c r="L22" i="21"/>
  <c r="L20" i="21"/>
  <c r="I20" i="21"/>
  <c r="I24" i="21"/>
  <c r="I16" i="21"/>
  <c r="I28" i="21"/>
  <c r="I29" i="21"/>
  <c r="K59" i="1"/>
  <c r="O59" i="1"/>
  <c r="S59" i="1"/>
  <c r="W77" i="1"/>
  <c r="W59" i="1"/>
  <c r="W47" i="1"/>
  <c r="T47" i="21"/>
  <c r="R18" i="21"/>
  <c r="R21" i="21"/>
  <c r="R26" i="21"/>
  <c r="R29" i="21"/>
  <c r="R16" i="21"/>
  <c r="R20" i="21"/>
  <c r="R25" i="21"/>
  <c r="N47" i="21"/>
  <c r="O44" i="21"/>
  <c r="O26" i="21"/>
  <c r="O29" i="21"/>
  <c r="O22" i="21"/>
  <c r="O25" i="21"/>
  <c r="O28" i="21"/>
  <c r="O21" i="21"/>
  <c r="N75" i="21"/>
  <c r="O46" i="21"/>
  <c r="L25" i="21"/>
  <c r="L16" i="21"/>
  <c r="L23" i="21"/>
  <c r="K32" i="21"/>
  <c r="K59" i="21"/>
  <c r="K43" i="21"/>
  <c r="K75" i="21"/>
  <c r="L46" i="21"/>
  <c r="I18" i="21"/>
  <c r="I27" i="21"/>
  <c r="I22" i="21"/>
  <c r="I26" i="21"/>
  <c r="I19" i="21"/>
  <c r="H66" i="21"/>
  <c r="H59" i="21"/>
  <c r="H58" i="21"/>
  <c r="H54" i="21"/>
  <c r="I46" i="21"/>
  <c r="I45" i="21"/>
  <c r="I43"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C86" i="1" s="1"/>
  <c r="AD44" i="1"/>
  <c r="F44" i="21" s="1"/>
  <c r="H32" i="21"/>
  <c r="AD57" i="1"/>
  <c r="E57" i="21" s="1"/>
  <c r="AD40" i="1"/>
  <c r="E39" i="21" s="1"/>
  <c r="H57" i="21"/>
  <c r="AD20" i="1"/>
  <c r="AD30" i="1"/>
  <c r="AD17" i="1"/>
  <c r="AD29" i="1"/>
  <c r="G33" i="1"/>
  <c r="AD19" i="1"/>
  <c r="AD28" i="1"/>
  <c r="AD18" i="1"/>
  <c r="AD26" i="1"/>
  <c r="AD21" i="1"/>
  <c r="S47" i="1"/>
  <c r="G77" i="1"/>
  <c r="F53" i="17"/>
  <c r="I52" i="17"/>
  <c r="I53" i="17" s="1"/>
  <c r="F45" i="17"/>
  <c r="F38" i="17"/>
  <c r="I40" i="17"/>
  <c r="I45" i="17" s="1"/>
  <c r="I33" i="17"/>
  <c r="I38" i="17" s="1"/>
  <c r="F30" i="17"/>
  <c r="I30" i="17"/>
  <c r="G13" i="12"/>
  <c r="I66" i="29" l="1"/>
  <c r="K66" i="29" s="1"/>
  <c r="K68" i="29" s="1"/>
  <c r="I83" i="29" s="1"/>
  <c r="K83" i="29" s="1"/>
  <c r="I63" i="29"/>
  <c r="I72" i="29" s="1"/>
  <c r="I80" i="29" s="1"/>
  <c r="I86" i="29" s="1"/>
  <c r="U63" i="29"/>
  <c r="U66" i="29"/>
  <c r="W66" i="29" s="1"/>
  <c r="W68" i="29" s="1"/>
  <c r="U83" i="29" s="1"/>
  <c r="W83" i="29" s="1"/>
  <c r="Q63" i="29"/>
  <c r="Q66" i="29"/>
  <c r="S66" i="29" s="1"/>
  <c r="S68" i="29" s="1"/>
  <c r="Q83" i="29" s="1"/>
  <c r="S83" i="29" s="1"/>
  <c r="Y63" i="29"/>
  <c r="Y66" i="29"/>
  <c r="AA66" i="29" s="1"/>
  <c r="AA68" i="29" s="1"/>
  <c r="Y83" i="29" s="1"/>
  <c r="AA83" i="29" s="1"/>
  <c r="M63" i="29"/>
  <c r="M66" i="29"/>
  <c r="O66" i="29" s="1"/>
  <c r="O68" i="29" s="1"/>
  <c r="M83" i="29" s="1"/>
  <c r="O83" i="29" s="1"/>
  <c r="E66" i="29"/>
  <c r="G66" i="29" s="1"/>
  <c r="E63" i="29"/>
  <c r="Q47" i="21"/>
  <c r="E63" i="28"/>
  <c r="E66" i="28"/>
  <c r="G66" i="28" s="1"/>
  <c r="I63" i="28"/>
  <c r="I72" i="28" s="1"/>
  <c r="I80" i="28" s="1"/>
  <c r="I86" i="28" s="1"/>
  <c r="I66" i="28"/>
  <c r="K66" i="28" s="1"/>
  <c r="K68" i="28" s="1"/>
  <c r="I83" i="28" s="1"/>
  <c r="K83" i="28" s="1"/>
  <c r="M63" i="28"/>
  <c r="M66" i="28"/>
  <c r="O66" i="28" s="1"/>
  <c r="O68" i="28" s="1"/>
  <c r="M83" i="28" s="1"/>
  <c r="O83" i="28" s="1"/>
  <c r="Q63" i="28"/>
  <c r="Q72" i="28" s="1"/>
  <c r="Q80" i="28" s="1"/>
  <c r="Q86" i="28" s="1"/>
  <c r="Q66" i="28"/>
  <c r="S66" i="28" s="1"/>
  <c r="S68" i="28" s="1"/>
  <c r="Q83" i="28" s="1"/>
  <c r="S83" i="28" s="1"/>
  <c r="U63" i="28"/>
  <c r="U72" i="28" s="1"/>
  <c r="U80" i="28" s="1"/>
  <c r="U86" i="28" s="1"/>
  <c r="U66" i="28"/>
  <c r="W66" i="28" s="1"/>
  <c r="W68" i="28" s="1"/>
  <c r="U83" i="28" s="1"/>
  <c r="W83" i="28" s="1"/>
  <c r="AD33" i="28"/>
  <c r="AC86" i="27"/>
  <c r="M63" i="27"/>
  <c r="M72" i="27" s="1"/>
  <c r="M80" i="27" s="1"/>
  <c r="M86" i="27" s="1"/>
  <c r="M66" i="27"/>
  <c r="O66" i="27" s="1"/>
  <c r="O68" i="27" s="1"/>
  <c r="M83" i="27" s="1"/>
  <c r="O83" i="27" s="1"/>
  <c r="E63" i="27"/>
  <c r="E66" i="27"/>
  <c r="G66" i="27" s="1"/>
  <c r="AD33" i="27"/>
  <c r="Q63" i="27"/>
  <c r="Q72" i="27" s="1"/>
  <c r="Q80" i="27" s="1"/>
  <c r="Q86" i="27" s="1"/>
  <c r="Q66" i="27"/>
  <c r="S66" i="27" s="1"/>
  <c r="S68" i="27" s="1"/>
  <c r="Q83" i="27" s="1"/>
  <c r="S83" i="27" s="1"/>
  <c r="Y63" i="27"/>
  <c r="Y72" i="27" s="1"/>
  <c r="Y80" i="27" s="1"/>
  <c r="Y86" i="27" s="1"/>
  <c r="Y66" i="27"/>
  <c r="AA66" i="27" s="1"/>
  <c r="AA68" i="27" s="1"/>
  <c r="Y83" i="27" s="1"/>
  <c r="AA83" i="27" s="1"/>
  <c r="U63" i="27"/>
  <c r="U66" i="27"/>
  <c r="W66" i="27" s="1"/>
  <c r="W68" i="27" s="1"/>
  <c r="U83" i="27" s="1"/>
  <c r="W83" i="27" s="1"/>
  <c r="I63" i="27"/>
  <c r="I66" i="27"/>
  <c r="K66" i="27" s="1"/>
  <c r="K68" i="27" s="1"/>
  <c r="I83" i="27" s="1"/>
  <c r="K83" i="27" s="1"/>
  <c r="M63" i="26"/>
  <c r="M66" i="26"/>
  <c r="O66" i="26" s="1"/>
  <c r="O68" i="26" s="1"/>
  <c r="M83" i="26" s="1"/>
  <c r="O83" i="26" s="1"/>
  <c r="E63" i="26"/>
  <c r="E66" i="26"/>
  <c r="G66" i="26" s="1"/>
  <c r="Y63" i="26"/>
  <c r="Y66" i="26"/>
  <c r="AA66" i="26" s="1"/>
  <c r="AA68" i="26" s="1"/>
  <c r="Y83" i="26" s="1"/>
  <c r="AA83" i="26" s="1"/>
  <c r="Q63" i="26"/>
  <c r="Q66" i="26"/>
  <c r="S66" i="26" s="1"/>
  <c r="S68" i="26" s="1"/>
  <c r="Q83" i="26" s="1"/>
  <c r="S83" i="26" s="1"/>
  <c r="AD47" i="26"/>
  <c r="L47" i="21" s="1"/>
  <c r="AD33" i="26"/>
  <c r="K47" i="21"/>
  <c r="I83" i="26"/>
  <c r="K83" i="26" s="1"/>
  <c r="I86" i="26" s="1"/>
  <c r="U63" i="26"/>
  <c r="U72" i="26" s="1"/>
  <c r="U80" i="26" s="1"/>
  <c r="U86" i="26" s="1"/>
  <c r="U66" i="26"/>
  <c r="W66" i="26" s="1"/>
  <c r="W68" i="26" s="1"/>
  <c r="U83" i="26" s="1"/>
  <c r="W83" i="26" s="1"/>
  <c r="Q63" i="22"/>
  <c r="Q66" i="22"/>
  <c r="S66" i="22" s="1"/>
  <c r="S68" i="22" s="1"/>
  <c r="Q83" i="22" s="1"/>
  <c r="S83" i="22" s="1"/>
  <c r="Y63" i="22"/>
  <c r="Y72" i="22" s="1"/>
  <c r="Y80" i="22" s="1"/>
  <c r="Y86" i="22" s="1"/>
  <c r="Y66" i="22"/>
  <c r="AA66" i="22" s="1"/>
  <c r="AA68" i="22" s="1"/>
  <c r="Y83" i="22" s="1"/>
  <c r="AA83" i="22" s="1"/>
  <c r="U63" i="22"/>
  <c r="U66" i="22"/>
  <c r="W66" i="22" s="1"/>
  <c r="W68" i="22" s="1"/>
  <c r="U83" i="22" s="1"/>
  <c r="W83" i="22" s="1"/>
  <c r="M63" i="22"/>
  <c r="M66" i="22"/>
  <c r="O66" i="22" s="1"/>
  <c r="O68" i="22" s="1"/>
  <c r="M83" i="22" s="1"/>
  <c r="O83" i="22" s="1"/>
  <c r="E63" i="22"/>
  <c r="E66" i="22"/>
  <c r="G66" i="22" s="1"/>
  <c r="I63" i="22"/>
  <c r="I66" i="22"/>
  <c r="K66" i="22" s="1"/>
  <c r="K68" i="22" s="1"/>
  <c r="I83" i="22" s="1"/>
  <c r="K83" i="22" s="1"/>
  <c r="AD33" i="22"/>
  <c r="H47" i="21"/>
  <c r="AD59" i="1"/>
  <c r="E59" i="21" s="1"/>
  <c r="T59" i="21"/>
  <c r="I47" i="21"/>
  <c r="AD77" i="1"/>
  <c r="E75" i="21" s="1"/>
  <c r="AD47" i="1"/>
  <c r="F47" i="21" s="1"/>
  <c r="G66" i="1"/>
  <c r="E63" i="1"/>
  <c r="H22" i="17"/>
  <c r="G22" i="17"/>
  <c r="F17" i="17"/>
  <c r="H14" i="17"/>
  <c r="G14" i="17"/>
  <c r="L20" i="47"/>
  <c r="L19" i="47"/>
  <c r="AD63" i="29" l="1"/>
  <c r="AD66" i="29"/>
  <c r="G68" i="29"/>
  <c r="M72" i="29"/>
  <c r="M80" i="29" s="1"/>
  <c r="M86" i="29" s="1"/>
  <c r="Q72" i="29"/>
  <c r="Q80" i="29" s="1"/>
  <c r="Q86" i="29" s="1"/>
  <c r="Y72" i="29"/>
  <c r="Y80" i="29" s="1"/>
  <c r="Y86" i="29" s="1"/>
  <c r="U72" i="29"/>
  <c r="U80" i="29" s="1"/>
  <c r="U86" i="29" s="1"/>
  <c r="M72" i="28"/>
  <c r="M80" i="28" s="1"/>
  <c r="M86" i="28" s="1"/>
  <c r="AD66" i="28"/>
  <c r="G68" i="28"/>
  <c r="AD63" i="28"/>
  <c r="E72" i="28"/>
  <c r="I72" i="27"/>
  <c r="I80" i="27" s="1"/>
  <c r="I86" i="27" s="1"/>
  <c r="U72" i="27"/>
  <c r="U80" i="27" s="1"/>
  <c r="U86" i="27" s="1"/>
  <c r="AD66" i="27"/>
  <c r="G68" i="27"/>
  <c r="AD63" i="27"/>
  <c r="E72" i="27"/>
  <c r="Q72" i="26"/>
  <c r="Q80" i="26" s="1"/>
  <c r="Q86" i="26" s="1"/>
  <c r="AD66" i="26"/>
  <c r="G68" i="26"/>
  <c r="M72" i="26"/>
  <c r="M80" i="26" s="1"/>
  <c r="M86" i="26" s="1"/>
  <c r="Y72" i="26"/>
  <c r="Y80" i="26" s="1"/>
  <c r="Y86" i="26" s="1"/>
  <c r="AD63" i="26"/>
  <c r="E72" i="26"/>
  <c r="Q72" i="22"/>
  <c r="Q80" i="22" s="1"/>
  <c r="Q86" i="22" s="1"/>
  <c r="I72" i="22"/>
  <c r="I80" i="22" s="1"/>
  <c r="I86" i="22" s="1"/>
  <c r="AD66" i="22"/>
  <c r="G68" i="22"/>
  <c r="M72" i="22"/>
  <c r="M80" i="22" s="1"/>
  <c r="M86" i="22" s="1"/>
  <c r="U72" i="22"/>
  <c r="U80" i="22" s="1"/>
  <c r="U86" i="22" s="1"/>
  <c r="AD63" i="22"/>
  <c r="E72" i="22"/>
  <c r="G68" i="1"/>
  <c r="I17" i="17"/>
  <c r="C9" i="33"/>
  <c r="C10" i="33"/>
  <c r="C11" i="33"/>
  <c r="AD68" i="29" l="1"/>
  <c r="E83" i="29"/>
  <c r="G83" i="29" s="1"/>
  <c r="AD83" i="29" s="1"/>
  <c r="E72" i="29"/>
  <c r="AD72" i="28"/>
  <c r="E80" i="28"/>
  <c r="AD68" i="28"/>
  <c r="E83" i="28"/>
  <c r="G83" i="28" s="1"/>
  <c r="AD83" i="28" s="1"/>
  <c r="AD72" i="27"/>
  <c r="E80" i="27"/>
  <c r="AD68" i="27"/>
  <c r="E83" i="27"/>
  <c r="G83" i="27" s="1"/>
  <c r="AD83" i="27" s="1"/>
  <c r="AD72" i="26"/>
  <c r="E80" i="26"/>
  <c r="AD68" i="26"/>
  <c r="E83" i="26"/>
  <c r="G83" i="26" s="1"/>
  <c r="AD83" i="26" s="1"/>
  <c r="AD72" i="22"/>
  <c r="E80" i="22"/>
  <c r="AD68" i="22"/>
  <c r="E83" i="22"/>
  <c r="G83" i="22" s="1"/>
  <c r="AD83" i="22" s="1"/>
  <c r="E83" i="1"/>
  <c r="G83" i="1" s="1"/>
  <c r="E72" i="1"/>
  <c r="C12" i="33"/>
  <c r="C15" i="33"/>
  <c r="C22" i="33"/>
  <c r="C14" i="33"/>
  <c r="C20" i="33"/>
  <c r="C18" i="33"/>
  <c r="C17" i="33"/>
  <c r="C16" i="33"/>
  <c r="C31" i="33"/>
  <c r="C30" i="33"/>
  <c r="C29" i="33"/>
  <c r="C28" i="33"/>
  <c r="C27" i="33"/>
  <c r="C26" i="33"/>
  <c r="C25" i="33"/>
  <c r="C24" i="33"/>
  <c r="C23" i="33"/>
  <c r="C21" i="33"/>
  <c r="C19" i="33"/>
  <c r="C13" i="33"/>
  <c r="AD72" i="29" l="1"/>
  <c r="E80" i="29"/>
  <c r="E86" i="28"/>
  <c r="AD86" i="28" s="1"/>
  <c r="AD80" i="28"/>
  <c r="E86" i="27"/>
  <c r="AD86" i="27" s="1"/>
  <c r="AD80" i="27"/>
  <c r="E86" i="26"/>
  <c r="AD86" i="26" s="1"/>
  <c r="AD80" i="26"/>
  <c r="E86" i="22"/>
  <c r="AD86" i="22" s="1"/>
  <c r="AD80" i="22"/>
  <c r="E80" i="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6" i="29" l="1"/>
  <c r="AD86" i="29" s="1"/>
  <c r="AD80" i="29"/>
  <c r="E86" i="1"/>
  <c r="AH19" i="47"/>
  <c r="AI19" i="47" s="1"/>
  <c r="AK19" i="47"/>
  <c r="AL20" i="47"/>
  <c r="AE36" i="47"/>
  <c r="AE25" i="47"/>
  <c r="AD38" i="47" l="1"/>
  <c r="L34" i="47" l="1"/>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2" i="54"/>
  <c r="J52" i="54"/>
  <c r="I52" i="54"/>
  <c r="H52" i="54"/>
  <c r="L51" i="54"/>
  <c r="L50" i="54"/>
  <c r="L49" i="54"/>
  <c r="L48" i="54"/>
  <c r="L47" i="54"/>
  <c r="L46" i="54"/>
  <c r="L45" i="54"/>
  <c r="L44" i="54"/>
  <c r="L43" i="54"/>
  <c r="K41" i="54"/>
  <c r="J41" i="54"/>
  <c r="I41" i="54"/>
  <c r="H41" i="54"/>
  <c r="L40" i="54"/>
  <c r="L39" i="54"/>
  <c r="L38" i="54"/>
  <c r="L37" i="54"/>
  <c r="L36" i="54"/>
  <c r="L35" i="54"/>
  <c r="K33" i="54"/>
  <c r="J33" i="54"/>
  <c r="I33" i="54"/>
  <c r="H33" i="54"/>
  <c r="L32" i="54"/>
  <c r="L31" i="54"/>
  <c r="L30" i="54"/>
  <c r="L29" i="54"/>
  <c r="L28" i="54"/>
  <c r="L27" i="54"/>
  <c r="L26" i="54"/>
  <c r="K24" i="54"/>
  <c r="J24" i="54"/>
  <c r="I24" i="54"/>
  <c r="H24" i="54"/>
  <c r="L23" i="54"/>
  <c r="L22" i="54"/>
  <c r="L21" i="54"/>
  <c r="L20" i="54"/>
  <c r="L19" i="54"/>
  <c r="L18" i="54"/>
  <c r="L17" i="54"/>
  <c r="K15" i="54"/>
  <c r="J15" i="54"/>
  <c r="I15" i="54"/>
  <c r="H15" i="54"/>
  <c r="M15" i="54" s="1"/>
  <c r="L14" i="54"/>
  <c r="L13" i="54"/>
  <c r="L12" i="54"/>
  <c r="L11" i="54"/>
  <c r="L10" i="54"/>
  <c r="L9" i="54"/>
  <c r="L8" i="54"/>
  <c r="B6" i="54"/>
  <c r="K52" i="53"/>
  <c r="J52" i="53"/>
  <c r="I52" i="53"/>
  <c r="H52" i="53"/>
  <c r="L51" i="53"/>
  <c r="L50" i="53"/>
  <c r="L49" i="53"/>
  <c r="L48" i="53"/>
  <c r="L47" i="53"/>
  <c r="L46" i="53"/>
  <c r="L45" i="53"/>
  <c r="L44" i="53"/>
  <c r="L43" i="53"/>
  <c r="K41" i="53"/>
  <c r="J41" i="53"/>
  <c r="I41" i="53"/>
  <c r="H41" i="53"/>
  <c r="L40" i="53"/>
  <c r="L39" i="53"/>
  <c r="L38" i="53"/>
  <c r="L37" i="53"/>
  <c r="L36" i="53"/>
  <c r="L35" i="53"/>
  <c r="K33" i="53"/>
  <c r="J33" i="53"/>
  <c r="I33" i="53"/>
  <c r="H33" i="53"/>
  <c r="L32" i="53"/>
  <c r="L31" i="53"/>
  <c r="L30" i="53"/>
  <c r="L29" i="53"/>
  <c r="L28" i="53"/>
  <c r="L27" i="53"/>
  <c r="L26" i="53"/>
  <c r="K24" i="53"/>
  <c r="J24" i="53"/>
  <c r="I24" i="53"/>
  <c r="H24" i="53"/>
  <c r="L23" i="53"/>
  <c r="L22" i="53"/>
  <c r="L21" i="53"/>
  <c r="L20" i="53"/>
  <c r="L19" i="53"/>
  <c r="L18" i="53"/>
  <c r="L17" i="53"/>
  <c r="K15" i="53"/>
  <c r="J15" i="53"/>
  <c r="I15" i="53"/>
  <c r="H15" i="53"/>
  <c r="M15" i="53" s="1"/>
  <c r="L14" i="53"/>
  <c r="L13" i="53"/>
  <c r="L12" i="53"/>
  <c r="L11" i="53"/>
  <c r="L10" i="53"/>
  <c r="L9" i="53"/>
  <c r="L8" i="53"/>
  <c r="B6" i="53"/>
  <c r="AA36" i="47"/>
  <c r="L35" i="47"/>
  <c r="AA25" i="47"/>
  <c r="K52" i="56"/>
  <c r="J52" i="56"/>
  <c r="I52" i="56"/>
  <c r="H52" i="56"/>
  <c r="L51" i="56"/>
  <c r="L50" i="56"/>
  <c r="L49" i="56"/>
  <c r="L48" i="56"/>
  <c r="L47" i="56"/>
  <c r="L46" i="56"/>
  <c r="L45" i="56"/>
  <c r="L44" i="56"/>
  <c r="L43" i="56"/>
  <c r="K41" i="56"/>
  <c r="J41" i="56"/>
  <c r="I41" i="56"/>
  <c r="H41" i="56"/>
  <c r="M41" i="56" s="1"/>
  <c r="L40" i="56"/>
  <c r="L39" i="56"/>
  <c r="L38" i="56"/>
  <c r="L37" i="56"/>
  <c r="L36" i="56"/>
  <c r="L35" i="56"/>
  <c r="K33" i="56"/>
  <c r="J33" i="56"/>
  <c r="I33" i="56"/>
  <c r="H33" i="56"/>
  <c r="L32" i="56"/>
  <c r="L31" i="56"/>
  <c r="L30" i="56"/>
  <c r="L29" i="56"/>
  <c r="L28" i="56"/>
  <c r="L27" i="56"/>
  <c r="L26" i="56"/>
  <c r="K24" i="56"/>
  <c r="J24" i="56"/>
  <c r="I24" i="56"/>
  <c r="H24" i="56"/>
  <c r="L23" i="56"/>
  <c r="L22" i="56"/>
  <c r="L21" i="56"/>
  <c r="L20" i="56"/>
  <c r="L19" i="56"/>
  <c r="L18" i="56"/>
  <c r="L17" i="56"/>
  <c r="K15" i="56"/>
  <c r="J15" i="56"/>
  <c r="I15" i="56"/>
  <c r="H15" i="56"/>
  <c r="L14" i="56"/>
  <c r="L13" i="56"/>
  <c r="L12" i="56"/>
  <c r="L11" i="56"/>
  <c r="L10" i="56"/>
  <c r="L9" i="56"/>
  <c r="L8" i="56"/>
  <c r="B6" i="56"/>
  <c r="K52" i="55"/>
  <c r="J52" i="55"/>
  <c r="I52" i="55"/>
  <c r="H52" i="55"/>
  <c r="L51" i="55"/>
  <c r="L50" i="55"/>
  <c r="L49" i="55"/>
  <c r="L48" i="55"/>
  <c r="L47" i="55"/>
  <c r="L46" i="55"/>
  <c r="L45" i="55"/>
  <c r="L44" i="55"/>
  <c r="L43" i="55"/>
  <c r="K41" i="55"/>
  <c r="J41" i="55"/>
  <c r="I41" i="55"/>
  <c r="H41" i="55"/>
  <c r="L40" i="55"/>
  <c r="L39" i="55"/>
  <c r="L38" i="55"/>
  <c r="L37" i="55"/>
  <c r="L36" i="55"/>
  <c r="L35" i="55"/>
  <c r="K33" i="55"/>
  <c r="J33" i="55"/>
  <c r="I33" i="55"/>
  <c r="H33" i="55"/>
  <c r="L32" i="55"/>
  <c r="L31" i="55"/>
  <c r="L30" i="55"/>
  <c r="L29" i="55"/>
  <c r="L28" i="55"/>
  <c r="L27" i="55"/>
  <c r="L26" i="55"/>
  <c r="K24" i="55"/>
  <c r="J24" i="55"/>
  <c r="I24" i="55"/>
  <c r="H24" i="55"/>
  <c r="L23" i="55"/>
  <c r="L22" i="55"/>
  <c r="L21" i="55"/>
  <c r="L20" i="55"/>
  <c r="L19" i="55"/>
  <c r="L18" i="55"/>
  <c r="L17" i="55"/>
  <c r="K15" i="55"/>
  <c r="J15" i="55"/>
  <c r="I15" i="55"/>
  <c r="H15" i="55"/>
  <c r="M15" i="55" s="1"/>
  <c r="L14" i="55"/>
  <c r="L13" i="55"/>
  <c r="L12" i="55"/>
  <c r="L11" i="55"/>
  <c r="L10" i="55"/>
  <c r="L9" i="55"/>
  <c r="L8" i="55"/>
  <c r="B6" i="55"/>
  <c r="K52" i="51"/>
  <c r="J52" i="51"/>
  <c r="I52" i="51"/>
  <c r="H52" i="51"/>
  <c r="L51" i="51"/>
  <c r="L50" i="51"/>
  <c r="L49" i="51"/>
  <c r="L48" i="51"/>
  <c r="L47" i="51"/>
  <c r="L46" i="51"/>
  <c r="L45" i="51"/>
  <c r="L44" i="51"/>
  <c r="L43" i="51"/>
  <c r="K41" i="51"/>
  <c r="J41" i="51"/>
  <c r="I41" i="51"/>
  <c r="H41" i="51"/>
  <c r="L40" i="51"/>
  <c r="L39" i="51"/>
  <c r="L38" i="51"/>
  <c r="L37" i="51"/>
  <c r="L36" i="51"/>
  <c r="L35" i="51"/>
  <c r="K33" i="51"/>
  <c r="J33" i="51"/>
  <c r="I33" i="51"/>
  <c r="H33" i="51"/>
  <c r="L32" i="51"/>
  <c r="L31" i="51"/>
  <c r="L30" i="51"/>
  <c r="L29" i="51"/>
  <c r="L28" i="51"/>
  <c r="L27" i="51"/>
  <c r="L26" i="51"/>
  <c r="K24" i="51"/>
  <c r="J24" i="51"/>
  <c r="I24" i="51"/>
  <c r="H24" i="51"/>
  <c r="L23" i="51"/>
  <c r="L22" i="51"/>
  <c r="L21" i="51"/>
  <c r="L20" i="51"/>
  <c r="L19" i="51"/>
  <c r="L18" i="51"/>
  <c r="L17" i="51"/>
  <c r="K15" i="51"/>
  <c r="J15" i="51"/>
  <c r="I15" i="51"/>
  <c r="H15" i="51"/>
  <c r="L14" i="51"/>
  <c r="L13" i="51"/>
  <c r="L12" i="51"/>
  <c r="L11" i="51"/>
  <c r="L10" i="51"/>
  <c r="L9" i="51"/>
  <c r="L8" i="51"/>
  <c r="B6" i="51"/>
  <c r="K54" i="56" l="1"/>
  <c r="M24" i="56"/>
  <c r="H54" i="56"/>
  <c r="I54" i="56"/>
  <c r="J54" i="56"/>
  <c r="L55" i="56"/>
  <c r="M33" i="56"/>
  <c r="M15" i="56"/>
  <c r="M52" i="56"/>
  <c r="M24" i="55"/>
  <c r="M52" i="54"/>
  <c r="K54" i="54"/>
  <c r="M41" i="54"/>
  <c r="J54" i="54"/>
  <c r="M24" i="54"/>
  <c r="L55" i="54"/>
  <c r="I54" i="54"/>
  <c r="M52" i="53"/>
  <c r="M41" i="53"/>
  <c r="L55" i="53"/>
  <c r="J54" i="53"/>
  <c r="K54" i="53"/>
  <c r="I54" i="53"/>
  <c r="H54" i="53"/>
  <c r="L55" i="51"/>
  <c r="M24" i="51"/>
  <c r="M33" i="51"/>
  <c r="K54" i="51"/>
  <c r="M15" i="51"/>
  <c r="H54" i="51"/>
  <c r="M41" i="51"/>
  <c r="I54" i="51"/>
  <c r="J54" i="51"/>
  <c r="M33" i="55"/>
  <c r="I54" i="55"/>
  <c r="J54" i="55"/>
  <c r="H54" i="55"/>
  <c r="M41" i="55"/>
  <c r="L55" i="55"/>
  <c r="K54" i="55"/>
  <c r="AN33" i="47"/>
  <c r="AN31" i="47"/>
  <c r="AN30" i="47"/>
  <c r="AN19" i="47"/>
  <c r="AN32" i="47"/>
  <c r="AN20" i="47"/>
  <c r="AN22" i="47"/>
  <c r="L36" i="47"/>
  <c r="L25" i="47"/>
  <c r="H54" i="54"/>
  <c r="N54" i="54" s="1"/>
  <c r="M33" i="54"/>
  <c r="M55" i="54" s="1"/>
  <c r="M24" i="53"/>
  <c r="M33" i="53"/>
  <c r="U36" i="47"/>
  <c r="N54" i="56"/>
  <c r="M52" i="55"/>
  <c r="M52" i="51"/>
  <c r="M55" i="51" s="1"/>
  <c r="M55" i="56" l="1"/>
  <c r="N54" i="55"/>
  <c r="N54" i="53"/>
  <c r="M55" i="53"/>
  <c r="N54" i="51"/>
  <c r="M55" i="55"/>
  <c r="J38" i="47"/>
  <c r="K41" i="50" l="1"/>
  <c r="J41" i="50"/>
  <c r="I41" i="50"/>
  <c r="H41" i="50"/>
  <c r="H15" i="50"/>
  <c r="I15" i="50"/>
  <c r="J15" i="50"/>
  <c r="K15" i="50"/>
  <c r="H24" i="50"/>
  <c r="I24" i="50"/>
  <c r="J24" i="50"/>
  <c r="K24" i="50"/>
  <c r="H33" i="50"/>
  <c r="I33" i="50"/>
  <c r="J33" i="50"/>
  <c r="K33" i="50"/>
  <c r="H52" i="50"/>
  <c r="I52" i="50"/>
  <c r="J52" i="50"/>
  <c r="K52" i="50"/>
  <c r="H17" i="33"/>
  <c r="H16" i="33"/>
  <c r="H15" i="33"/>
  <c r="H14" i="33"/>
  <c r="H13" i="33"/>
  <c r="H12" i="33"/>
  <c r="H11" i="33"/>
  <c r="H10" i="33"/>
  <c r="H9" i="33"/>
  <c r="H8" i="33"/>
  <c r="J15" i="1" l="1"/>
  <c r="K15" i="1" s="1"/>
  <c r="J11" i="1"/>
  <c r="K11" i="1" s="1"/>
  <c r="J12" i="1"/>
  <c r="K12" i="1" s="1"/>
  <c r="J13" i="1"/>
  <c r="K13" i="1" s="1"/>
  <c r="J14" i="1"/>
  <c r="K14" i="1" s="1"/>
  <c r="J10" i="1"/>
  <c r="K10" i="1" s="1"/>
  <c r="J9" i="1"/>
  <c r="K9" i="1" s="1"/>
  <c r="J13" i="33"/>
  <c r="J14" i="33"/>
  <c r="J16" i="33"/>
  <c r="L16" i="33" s="1"/>
  <c r="J17" i="33"/>
  <c r="J15" i="33"/>
  <c r="H18" i="33"/>
  <c r="J8" i="33"/>
  <c r="J12" i="33"/>
  <c r="J9" i="33"/>
  <c r="J10" i="33"/>
  <c r="L15" i="33"/>
  <c r="J11" i="33"/>
  <c r="H54" i="50"/>
  <c r="K54" i="50"/>
  <c r="J54" i="50"/>
  <c r="I54" i="50"/>
  <c r="N15" i="1" l="1"/>
  <c r="O15" i="1" s="1"/>
  <c r="N14" i="1"/>
  <c r="O14" i="1" s="1"/>
  <c r="N12" i="1"/>
  <c r="O12" i="1" s="1"/>
  <c r="N11" i="1"/>
  <c r="O11" i="1" s="1"/>
  <c r="N13" i="1"/>
  <c r="O13" i="1" s="1"/>
  <c r="N10" i="1"/>
  <c r="O10" i="1" s="1"/>
  <c r="K33" i="1"/>
  <c r="I63" i="1" s="1"/>
  <c r="K66" i="1"/>
  <c r="K68" i="1" s="1"/>
  <c r="N9" i="1"/>
  <c r="O9" i="1" s="1"/>
  <c r="L13" i="33"/>
  <c r="L12" i="33"/>
  <c r="H19" i="33"/>
  <c r="L8" i="33"/>
  <c r="L17" i="33"/>
  <c r="J18" i="33"/>
  <c r="L14" i="33"/>
  <c r="L9" i="33"/>
  <c r="N17" i="33"/>
  <c r="N15" i="33"/>
  <c r="L11" i="33"/>
  <c r="L10" i="33"/>
  <c r="N16" i="33"/>
  <c r="N54" i="50"/>
  <c r="B6" i="50"/>
  <c r="B74" i="21"/>
  <c r="B73" i="21"/>
  <c r="B66" i="21"/>
  <c r="B58" i="21"/>
  <c r="B57" i="21"/>
  <c r="B46" i="21"/>
  <c r="B45" i="21"/>
  <c r="B44" i="21"/>
  <c r="B43" i="21"/>
  <c r="B38" i="21"/>
  <c r="B37" i="21"/>
  <c r="B36" i="21"/>
  <c r="B35" i="21"/>
  <c r="R15" i="1" l="1"/>
  <c r="S15" i="1" s="1"/>
  <c r="N13" i="33"/>
  <c r="V14" i="1" s="1"/>
  <c r="W14" i="1" s="1"/>
  <c r="R14" i="1"/>
  <c r="S14" i="1" s="1"/>
  <c r="R13" i="1"/>
  <c r="S13" i="1" s="1"/>
  <c r="R11" i="1"/>
  <c r="S11" i="1" s="1"/>
  <c r="R12" i="1"/>
  <c r="S12" i="1" s="1"/>
  <c r="R10" i="1"/>
  <c r="S10" i="1" s="1"/>
  <c r="I83" i="1"/>
  <c r="K83" i="1" s="1"/>
  <c r="I72" i="1"/>
  <c r="I80" i="1" s="1"/>
  <c r="R9" i="1"/>
  <c r="S9" i="1" s="1"/>
  <c r="O33" i="1"/>
  <c r="M63" i="1" s="1"/>
  <c r="N14" i="33"/>
  <c r="H20" i="33"/>
  <c r="L18" i="33"/>
  <c r="N8" i="33"/>
  <c r="N12" i="33"/>
  <c r="J19" i="33"/>
  <c r="N9" i="33"/>
  <c r="N11" i="33"/>
  <c r="P16" i="33"/>
  <c r="P17" i="33"/>
  <c r="N10" i="33"/>
  <c r="P15" i="33"/>
  <c r="W45" i="21"/>
  <c r="L51" i="50"/>
  <c r="L50" i="50"/>
  <c r="L49" i="50"/>
  <c r="L48" i="50"/>
  <c r="L47" i="50"/>
  <c r="L46" i="50"/>
  <c r="L45" i="50"/>
  <c r="L44" i="50"/>
  <c r="L43" i="50"/>
  <c r="L40" i="50"/>
  <c r="L39" i="50"/>
  <c r="L38" i="50"/>
  <c r="L37" i="50"/>
  <c r="L36" i="50"/>
  <c r="L35" i="50"/>
  <c r="L32" i="50"/>
  <c r="L31" i="50"/>
  <c r="L30" i="50"/>
  <c r="L29" i="50"/>
  <c r="L28" i="50"/>
  <c r="L27" i="50"/>
  <c r="L26" i="50"/>
  <c r="L23" i="50"/>
  <c r="L22" i="50"/>
  <c r="L21" i="50"/>
  <c r="L20" i="50"/>
  <c r="L19" i="50"/>
  <c r="L18" i="50"/>
  <c r="L17" i="50"/>
  <c r="L14" i="50"/>
  <c r="L13" i="50"/>
  <c r="L12" i="50"/>
  <c r="L11" i="50"/>
  <c r="L10" i="50"/>
  <c r="L9" i="50"/>
  <c r="L8" i="50"/>
  <c r="L15" i="21" l="1"/>
  <c r="I15" i="21"/>
  <c r="U15" i="21"/>
  <c r="R15" i="21"/>
  <c r="Z16" i="1"/>
  <c r="AA16" i="1" s="1"/>
  <c r="AD16" i="1" s="1"/>
  <c r="O15" i="21"/>
  <c r="P14" i="33"/>
  <c r="V15" i="1"/>
  <c r="W15" i="1" s="1"/>
  <c r="P13" i="33"/>
  <c r="V12" i="1"/>
  <c r="W12" i="1" s="1"/>
  <c r="V13" i="1"/>
  <c r="W13" i="1" s="1"/>
  <c r="V11" i="1"/>
  <c r="W11" i="1" s="1"/>
  <c r="V10" i="1"/>
  <c r="W10" i="1" s="1"/>
  <c r="I86" i="1"/>
  <c r="S33" i="1"/>
  <c r="Q63" i="1" s="1"/>
  <c r="V9" i="1"/>
  <c r="W9" i="1" s="1"/>
  <c r="O66" i="1"/>
  <c r="S66" i="1"/>
  <c r="S68"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3" i="50"/>
  <c r="M24" i="50"/>
  <c r="M15" i="50"/>
  <c r="L55" i="50"/>
  <c r="M41" i="50"/>
  <c r="E9" i="21"/>
  <c r="M52" i="50"/>
  <c r="R13" i="21" l="1"/>
  <c r="U13" i="21"/>
  <c r="Z14" i="1"/>
  <c r="AA14" i="1" s="1"/>
  <c r="AD14" i="1" s="1"/>
  <c r="I13" i="21"/>
  <c r="U14" i="21"/>
  <c r="L14" i="21"/>
  <c r="I14" i="21"/>
  <c r="R14" i="21"/>
  <c r="Z15" i="1"/>
  <c r="AA15" i="1" s="1"/>
  <c r="AD15" i="1" s="1"/>
  <c r="O14" i="21"/>
  <c r="L13" i="21"/>
  <c r="O13" i="21"/>
  <c r="L12" i="21"/>
  <c r="U12" i="21"/>
  <c r="O12" i="21"/>
  <c r="I12" i="21"/>
  <c r="L11" i="21"/>
  <c r="I11" i="21"/>
  <c r="O11" i="21"/>
  <c r="U11" i="21"/>
  <c r="R11" i="21"/>
  <c r="L10" i="21"/>
  <c r="U10" i="21"/>
  <c r="I10" i="21"/>
  <c r="O10" i="21"/>
  <c r="R10" i="21"/>
  <c r="L9" i="21"/>
  <c r="O9" i="21"/>
  <c r="R9" i="21"/>
  <c r="U9" i="21"/>
  <c r="I9" i="21"/>
  <c r="Q83" i="1"/>
  <c r="S83" i="1" s="1"/>
  <c r="Z11" i="1"/>
  <c r="AA11" i="1" s="1"/>
  <c r="AD11" i="1" s="1"/>
  <c r="Z13" i="1"/>
  <c r="AA13" i="1" s="1"/>
  <c r="AD13" i="1" s="1"/>
  <c r="R12" i="21"/>
  <c r="Z12" i="1"/>
  <c r="AA12" i="1" s="1"/>
  <c r="AD12" i="1" s="1"/>
  <c r="Z10" i="1"/>
  <c r="AA10" i="1" s="1"/>
  <c r="AD10" i="1" s="1"/>
  <c r="W33" i="1"/>
  <c r="U63" i="1" s="1"/>
  <c r="O68" i="1"/>
  <c r="Z9" i="1"/>
  <c r="AA9" i="1" s="1"/>
  <c r="Q72" i="1"/>
  <c r="Q80" i="1" s="1"/>
  <c r="H22" i="33"/>
  <c r="P18" i="33"/>
  <c r="L20" i="33"/>
  <c r="J21" i="33"/>
  <c r="N19" i="33"/>
  <c r="E47" i="21"/>
  <c r="W47" i="21" s="1"/>
  <c r="M55" i="50"/>
  <c r="AA33" i="1" l="1"/>
  <c r="Y63" i="1" s="1"/>
  <c r="AD63" i="1" s="1"/>
  <c r="E62" i="21" s="1"/>
  <c r="Q86" i="1"/>
  <c r="AD9" i="1"/>
  <c r="AD33" i="1" s="1"/>
  <c r="F32" i="21" s="1"/>
  <c r="W66" i="1"/>
  <c r="M83" i="1"/>
  <c r="O83" i="1" s="1"/>
  <c r="M72" i="1"/>
  <c r="AA66" i="1"/>
  <c r="AA68" i="1" s="1"/>
  <c r="N20" i="33"/>
  <c r="H23" i="33"/>
  <c r="J22" i="33"/>
  <c r="P19" i="33"/>
  <c r="L21" i="33"/>
  <c r="Y83" i="1" l="1"/>
  <c r="AA83" i="1" s="1"/>
  <c r="N62" i="21"/>
  <c r="H62" i="21"/>
  <c r="I32" i="21"/>
  <c r="I8" i="21"/>
  <c r="K62" i="21"/>
  <c r="U8" i="21"/>
  <c r="U32" i="21"/>
  <c r="O8" i="21"/>
  <c r="O32" i="21"/>
  <c r="R8" i="21"/>
  <c r="R32" i="21"/>
  <c r="L8" i="21"/>
  <c r="L32" i="21"/>
  <c r="K70" i="21"/>
  <c r="K65" i="21"/>
  <c r="Y72" i="1"/>
  <c r="Y80" i="1" s="1"/>
  <c r="Y86" i="1" s="1"/>
  <c r="T65" i="21"/>
  <c r="N65" i="21"/>
  <c r="Q65" i="21"/>
  <c r="K67" i="21"/>
  <c r="M80" i="1"/>
  <c r="W68" i="1"/>
  <c r="AD66" i="1"/>
  <c r="E65" i="21" s="1"/>
  <c r="K81" i="21"/>
  <c r="H24" i="33"/>
  <c r="L22" i="33"/>
  <c r="N21" i="33"/>
  <c r="P20" i="33"/>
  <c r="J23" i="33"/>
  <c r="T62" i="21" l="1"/>
  <c r="Q62" i="21"/>
  <c r="K78" i="21"/>
  <c r="K84" i="21"/>
  <c r="N81" i="21"/>
  <c r="N67" i="21"/>
  <c r="Q81" i="21"/>
  <c r="Q67" i="21"/>
  <c r="H65" i="21"/>
  <c r="M86" i="1"/>
  <c r="T81" i="21"/>
  <c r="T67" i="21"/>
  <c r="U83" i="1"/>
  <c r="W83" i="1" s="1"/>
  <c r="AD83" i="1" s="1"/>
  <c r="E81" i="21" s="1"/>
  <c r="AD68" i="1"/>
  <c r="E67" i="21" s="1"/>
  <c r="U72" i="1"/>
  <c r="P21" i="33"/>
  <c r="L23" i="33"/>
  <c r="N22" i="33"/>
  <c r="H25" i="33"/>
  <c r="J24" i="33"/>
  <c r="Q70" i="21" l="1"/>
  <c r="T70" i="21"/>
  <c r="H81" i="21"/>
  <c r="H67" i="21"/>
  <c r="N70" i="21"/>
  <c r="U80" i="1"/>
  <c r="AD72" i="1"/>
  <c r="E70" i="21" s="1"/>
  <c r="H26" i="33"/>
  <c r="J25" i="33"/>
  <c r="N23" i="33"/>
  <c r="L24" i="33"/>
  <c r="P22" i="33"/>
  <c r="O57" i="53"/>
  <c r="O57" i="55"/>
  <c r="Q78" i="21" l="1"/>
  <c r="T84" i="21"/>
  <c r="T78" i="21"/>
  <c r="U86" i="1"/>
  <c r="AD86" i="1" s="1"/>
  <c r="E84" i="21" s="1"/>
  <c r="AD80" i="1"/>
  <c r="E78" i="21" s="1"/>
  <c r="N84" i="21"/>
  <c r="N78" i="21"/>
  <c r="Q84" i="21"/>
  <c r="H70" i="21"/>
  <c r="N24" i="33"/>
  <c r="L25" i="33"/>
  <c r="H27" i="33"/>
  <c r="J26" i="33"/>
  <c r="P23" i="33"/>
  <c r="O57" i="51"/>
  <c r="O57" i="54"/>
  <c r="O57" i="56"/>
  <c r="H84" i="21" l="1"/>
  <c r="H78"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N19" i="48" l="1"/>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1" l="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1" l="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AI8" i="38" l="1"/>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N30" i="33" l="1"/>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F27" i="21" l="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F24" i="21" l="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F30" i="21" l="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AQ78" i="23" l="1"/>
  <c r="AQ80" i="23" s="1"/>
  <c r="AA73" i="38"/>
  <c r="AY42" i="23"/>
  <c r="S73" i="38"/>
  <c r="AA68" i="23"/>
  <c r="AI73" i="38"/>
  <c r="AJ37" i="38"/>
  <c r="AQ37" i="38" s="1"/>
  <c r="AY35" i="38"/>
  <c r="BA35" i="38" s="1"/>
  <c r="BA33" i="38"/>
  <c r="AY35" i="49"/>
  <c r="BA33" i="49"/>
  <c r="K66" i="38"/>
  <c r="D79" i="23"/>
  <c r="K79" i="23" s="1"/>
  <c r="K78" i="23"/>
  <c r="AQ61" i="49"/>
  <c r="D72" i="49"/>
  <c r="K72" i="49" s="1"/>
  <c r="K71" i="49"/>
  <c r="G14" i="35"/>
  <c r="F31" i="21" l="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BA37" i="38" l="1"/>
  <c r="AY45" i="23"/>
  <c r="BA44" i="23"/>
  <c r="AA72" i="23"/>
  <c r="AR63" i="38"/>
  <c r="AY63" i="38" s="1"/>
  <c r="AY65" i="38" s="1"/>
  <c r="AY66" i="38" s="1"/>
  <c r="AQ61" i="38"/>
  <c r="BA38" i="38"/>
  <c r="AY38" i="49"/>
  <c r="BA37" i="49"/>
  <c r="K73" i="38"/>
  <c r="AQ65" i="49"/>
  <c r="W6" i="49"/>
  <c r="AR70" i="23" l="1"/>
  <c r="AY70" i="23" s="1"/>
  <c r="AY68" i="23"/>
  <c r="BA45" i="23"/>
  <c r="AR72" i="38"/>
  <c r="AY72" i="38" s="1"/>
  <c r="AY71" i="38"/>
  <c r="AA73" i="23"/>
  <c r="AR63" i="49"/>
  <c r="AY63" i="49" s="1"/>
  <c r="BA38" i="49"/>
  <c r="AY61" i="49"/>
  <c r="AJ63" i="38"/>
  <c r="AQ63" i="38" s="1"/>
  <c r="BA61" i="38"/>
  <c r="AQ66" i="49"/>
  <c r="G15" i="35"/>
  <c r="AE6" i="49"/>
  <c r="U7" i="1" l="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1" l="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J10" i="14" s="1"/>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D33" i="18"/>
  <c r="D34"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H16" i="37"/>
  <c r="H10" i="37"/>
  <c r="F12" i="37"/>
  <c r="E6" i="37"/>
  <c r="E10" i="37"/>
  <c r="F6" i="37"/>
  <c r="E12" i="37"/>
  <c r="H12" i="37"/>
  <c r="G12" i="37"/>
  <c r="I12" i="37"/>
  <c r="H6" i="37"/>
  <c r="E16" i="37"/>
  <c r="G10" i="37"/>
  <c r="G6" i="37"/>
  <c r="I10" i="37"/>
  <c r="E13" i="37"/>
  <c r="D10" i="37"/>
  <c r="F10"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G11" i="37"/>
  <c r="F13" i="37"/>
  <c r="I11" i="37"/>
  <c r="F11" i="37"/>
  <c r="H11" i="37"/>
  <c r="D6" i="37"/>
  <c r="G16" i="37"/>
  <c r="E11" i="37"/>
  <c r="H13" i="37"/>
  <c r="D11" i="37"/>
  <c r="G13" i="37"/>
  <c r="F16" i="37"/>
  <c r="D16" i="37"/>
  <c r="I13" i="37"/>
  <c r="D13" i="37"/>
  <c r="I16" i="37"/>
  <c r="E24" i="18" l="1"/>
  <c r="W50" i="21"/>
  <c r="X31" i="21"/>
  <c r="X28" i="21"/>
  <c r="W30" i="21"/>
  <c r="W32" i="21" s="1"/>
  <c r="W84" i="21" s="1"/>
  <c r="J16" i="37"/>
  <c r="J13" i="37"/>
  <c r="J11" i="37"/>
  <c r="W59" i="21"/>
  <c r="W75" i="21"/>
  <c r="X47" i="21"/>
  <c r="I6" i="37"/>
  <c r="F9" i="37"/>
  <c r="E25" i="18" l="1"/>
  <c r="E31" i="18"/>
  <c r="E27" i="18"/>
  <c r="J6" i="37"/>
  <c r="G7" i="37"/>
  <c r="E7" i="37"/>
  <c r="F8" i="37"/>
  <c r="I7" i="37"/>
  <c r="G8" i="37"/>
  <c r="H8" i="37"/>
  <c r="I8" i="37"/>
  <c r="G9" i="37"/>
  <c r="E9" i="37"/>
  <c r="H7" i="37"/>
  <c r="E8" i="37"/>
  <c r="D8" i="37"/>
  <c r="D7" i="37"/>
  <c r="F7" i="37"/>
  <c r="X30" i="21" l="1"/>
  <c r="J7" i="37"/>
  <c r="X32" i="21"/>
  <c r="J8" i="37"/>
  <c r="D9" i="37"/>
  <c r="I14" i="37"/>
  <c r="G15" i="37"/>
  <c r="E14" i="37"/>
  <c r="I9" i="37"/>
  <c r="E15" i="37"/>
  <c r="F15" i="37"/>
  <c r="E17" i="37"/>
  <c r="F14" i="37"/>
  <c r="H9" i="37"/>
  <c r="H14" i="37"/>
  <c r="G14" i="37"/>
  <c r="E23" i="18" l="1"/>
  <c r="E19" i="37"/>
  <c r="J9" i="37"/>
  <c r="I15" i="37"/>
  <c r="H15" i="37"/>
  <c r="F17" i="37"/>
  <c r="F19" i="37" l="1"/>
  <c r="E18" i="37"/>
  <c r="I18" i="37"/>
  <c r="G18" i="37"/>
  <c r="H17" i="37"/>
  <c r="F18" i="37"/>
  <c r="I17" i="37"/>
  <c r="G17" i="37"/>
  <c r="H19" i="37" l="1"/>
  <c r="I19" i="37"/>
  <c r="G19" i="37"/>
  <c r="H18" i="37"/>
  <c r="AN36" i="47" l="1"/>
  <c r="AL36" i="47"/>
  <c r="AI17" i="47"/>
  <c r="AL17" i="47" s="1"/>
  <c r="AN17" i="47" s="1"/>
  <c r="AI21" i="47"/>
  <c r="AL21" i="47" s="1"/>
  <c r="AI25" i="47" l="1"/>
  <c r="AN21" i="47"/>
  <c r="AN25" i="47" s="1"/>
  <c r="AL25" i="47"/>
  <c r="AG38" i="47" s="1"/>
  <c r="AN39" i="47" l="1"/>
  <c r="W52" i="21" l="1"/>
  <c r="W54" i="21" l="1"/>
  <c r="D12" i="37"/>
  <c r="D14" i="37"/>
  <c r="J12" i="37" l="1"/>
  <c r="W65" i="21"/>
  <c r="J14" i="37"/>
  <c r="W62" i="21"/>
  <c r="E26" i="18"/>
  <c r="W81" i="21" l="1"/>
  <c r="E28" i="18"/>
  <c r="W67" i="21"/>
  <c r="D17" i="37"/>
  <c r="D15" i="37"/>
  <c r="J15" i="37" l="1"/>
  <c r="D19" i="37"/>
  <c r="F21" i="37" s="1"/>
  <c r="J17" i="37"/>
  <c r="E33" i="18"/>
  <c r="E29" i="18"/>
  <c r="W70" i="21"/>
  <c r="J19" i="37" l="1"/>
  <c r="F22" i="37" s="1"/>
  <c r="F23" i="37" s="1"/>
  <c r="E30" i="18"/>
  <c r="W78" i="21"/>
  <c r="O57" i="50"/>
  <c r="E32" i="18" l="1"/>
  <c r="X84" i="21"/>
  <c r="D18" i="37"/>
  <c r="E3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B5" authorId="0" shapeId="0" xr:uid="{04BF1674-2AED-4CD5-92F3-A020B7019F26}">
      <text>
        <r>
          <rPr>
            <b/>
            <sz val="9"/>
            <color indexed="81"/>
            <rFont val="Tahoma"/>
            <family val="2"/>
          </rPr>
          <t>Select a business size</t>
        </r>
      </text>
    </comment>
    <comment ref="D5" authorId="0" shapeId="0" xr:uid="{6B5654A9-63A9-4F89-B2AB-38C0489AE759}">
      <text>
        <r>
          <rPr>
            <b/>
            <sz val="9"/>
            <color indexed="81"/>
            <rFont val="Tahoma"/>
            <family val="2"/>
          </rPr>
          <t>If Small Business was selected in B5, this area will activate. Select the number of employees.</t>
        </r>
      </text>
    </comment>
    <comment ref="C14" authorId="0" shapeId="0" xr:uid="{CA437EFB-1BDF-49F0-BAEF-2CF0932B5AEB}">
      <text>
        <r>
          <rPr>
            <sz val="9"/>
            <color indexed="81"/>
            <rFont val="Avenir Next LT Pro"/>
            <family val="2"/>
          </rPr>
          <t>Enter the beginning date of FY1 and repeat for each FY. This data will carry through the workbook.</t>
        </r>
      </text>
    </comment>
    <comment ref="C15" authorId="0"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F8" authorId="0" shapeId="0" xr:uid="{F6652508-60DE-48E6-9277-825ED3BB7E6F}">
      <text>
        <r>
          <rPr>
            <sz val="9"/>
            <color indexed="81"/>
            <rFont val="Avenir Next LT Pro"/>
            <family val="2"/>
          </rPr>
          <t xml:space="preserve">Enter the fully loaded labor rate for the individual on this line. Repeat for all personnel.
</t>
        </r>
      </text>
    </comment>
    <comment ref="G8" authorId="0" shapeId="0" xr:uid="{F169EDA8-5B48-4915-A810-934109BDC14F}">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 ref="F83" authorId="0" shapeId="0" xr:uid="{83D86DF4-D65F-4009-80BA-DB2768A944CF}">
      <text>
        <r>
          <rPr>
            <sz val="9"/>
            <color indexed="81"/>
            <rFont val="Tahoma"/>
            <family val="2"/>
          </rPr>
          <t>Insert the Fee or Profit rate for this FY for this Phase . Repeat for all FYs.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67F4E11D-C288-42AB-BDBC-3E7F5D9CFD7C}">
      <text>
        <r>
          <rPr>
            <sz val="9"/>
            <color indexed="81"/>
            <rFont val="Tahoma"/>
            <family val="2"/>
          </rPr>
          <t>Insert the Period of Performance for this Phase  in the format shown.</t>
        </r>
      </text>
    </comment>
    <comment ref="E9" authorId="0" shapeId="0" xr:uid="{C1477E05-D5F2-47F1-BD6B-647A466A8D8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19EEA498-4C85-4DE2-9499-EF17B44F015F}">
      <text>
        <r>
          <rPr>
            <sz val="9"/>
            <color indexed="81"/>
            <rFont val="Tahoma"/>
            <family val="2"/>
          </rPr>
          <t xml:space="preserve">Insert the subpropser costs for this FY in this Phase. Repeat for all subproposers and all FYs.
</t>
        </r>
      </text>
    </comment>
    <comment ref="E43" authorId="0" shapeId="0" xr:uid="{FEA8653F-D90D-4BAC-AC4C-95B1CBCAB200}">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6FC20AAA-61CA-44F6-831F-CB5DC5DEB5B9}">
      <text>
        <r>
          <rPr>
            <sz val="9"/>
            <color indexed="81"/>
            <rFont val="Avenir Next LT Pro"/>
            <family val="2"/>
          </rPr>
          <t>Inset the hourly rate for the Consultant in this FY for this Phase. Repeat for all Consultants and all FYs.</t>
        </r>
      </text>
    </comment>
    <comment ref="G50" authorId="0" shapeId="0" xr:uid="{C5ECD5A8-AC82-4456-A4DD-961FF5F2D005}">
      <text>
        <r>
          <rPr>
            <sz val="9"/>
            <color indexed="81"/>
            <rFont val="Tahoma"/>
            <family val="2"/>
          </rPr>
          <t>Insert ODCs for this FY and this Phase. Repeat for all ODCs and all FYs.</t>
        </r>
      </text>
    </comment>
    <comment ref="E57" authorId="0" shapeId="0" xr:uid="{2FB38E54-EAEF-4879-A196-F2A0F18514D8}">
      <text>
        <r>
          <rPr>
            <sz val="9"/>
            <color indexed="81"/>
            <rFont val="Tahoma"/>
            <family val="2"/>
          </rPr>
          <t xml:space="preserve">Insert the dollar value of the Material Handling Overhead basis for this FY for this Phase. Repeat for all FYs in this Phase.
</t>
        </r>
      </text>
    </comment>
    <comment ref="F57" authorId="0" shapeId="0" xr:uid="{139496FB-DC3E-48B4-988B-873A12530C26}">
      <text>
        <r>
          <rPr>
            <sz val="9"/>
            <color indexed="81"/>
            <rFont val="Tahoma"/>
            <family val="2"/>
          </rPr>
          <t>Insert the Material Overhead rate for this FY and this Phase. Repeat for all FYs for this Phase.</t>
        </r>
      </text>
    </comment>
    <comment ref="E66" authorId="0" shapeId="0" xr:uid="{E6DE431E-F01D-4B65-8047-39BE631F4DC5}">
      <text>
        <r>
          <rPr>
            <sz val="9"/>
            <color indexed="81"/>
            <rFont val="Tahoma"/>
            <family val="2"/>
          </rPr>
          <t>G&amp;A is only applied to Direct Labor in this Workbook.</t>
        </r>
      </text>
    </comment>
    <comment ref="F66" authorId="0" shapeId="0" xr:uid="{3314DD68-8E30-4ECB-AEED-015F633ACCD9}">
      <text>
        <r>
          <rPr>
            <sz val="9"/>
            <color indexed="81"/>
            <rFont val="Tahoma"/>
            <family val="2"/>
          </rPr>
          <t>Insert the G&amp;A rate for this FY for this Phase, and then repeat for all FYs for this Phase.</t>
        </r>
      </text>
    </comment>
    <comment ref="I66" authorId="0" shapeId="0" xr:uid="{72A8C0B0-9E91-41B3-A6AB-EE699CC1889D}">
      <text>
        <r>
          <rPr>
            <sz val="9"/>
            <color indexed="81"/>
            <rFont val="Tahoma"/>
            <family val="2"/>
          </rPr>
          <t>G&amp;A is only applied to Direct Labor in this Workbook.</t>
        </r>
      </text>
    </comment>
    <comment ref="M66" authorId="0" shapeId="0" xr:uid="{38F4EAAF-3BB0-4242-A9E2-9AE991041279}">
      <text>
        <r>
          <rPr>
            <sz val="9"/>
            <color indexed="81"/>
            <rFont val="Tahoma"/>
            <family val="2"/>
          </rPr>
          <t>G&amp;A is only applied to Direct Labor in this Workbook.</t>
        </r>
      </text>
    </comment>
    <comment ref="Q66" authorId="0" shapeId="0" xr:uid="{CFBA7F25-788D-4DF7-A5C5-CF630A4F41FC}">
      <text>
        <r>
          <rPr>
            <sz val="9"/>
            <color indexed="81"/>
            <rFont val="Tahoma"/>
            <family val="2"/>
          </rPr>
          <t>G&amp;A is only applied to Direct Labor in this Workbook.</t>
        </r>
      </text>
    </comment>
    <comment ref="U66" authorId="0" shapeId="0" xr:uid="{80AD17DD-C7AA-449D-89B5-CD2C5EC2BFA2}">
      <text>
        <r>
          <rPr>
            <sz val="9"/>
            <color indexed="81"/>
            <rFont val="Tahoma"/>
            <family val="2"/>
          </rPr>
          <t>G&amp;A is only applied to Direct Labor in this Workbook.</t>
        </r>
      </text>
    </comment>
    <comment ref="Y66" authorId="0" shapeId="0" xr:uid="{47E98381-0C0C-4E98-84BB-54E903415C69}">
      <text>
        <r>
          <rPr>
            <sz val="9"/>
            <color indexed="81"/>
            <rFont val="Tahoma"/>
            <family val="2"/>
          </rPr>
          <t>G&amp;A is only applied to Direct Labor in this Workbook.</t>
        </r>
      </text>
    </comment>
    <comment ref="E75" authorId="0" shapeId="0" xr:uid="{9B64462E-B678-4F06-A629-2C007111F4A3}">
      <text>
        <r>
          <rPr>
            <sz val="9"/>
            <color indexed="81"/>
            <rFont val="Tahoma"/>
            <family val="2"/>
          </rPr>
          <t>Insert theFCCM basis for this FY for this Phase. Repeat for all FYs in this Phase.</t>
        </r>
      </text>
    </comment>
    <comment ref="F75" authorId="0" shapeId="0" xr:uid="{4106731A-61C6-41BF-9BFE-1186DD69BDB1}">
      <text>
        <r>
          <rPr>
            <sz val="9"/>
            <color indexed="81"/>
            <rFont val="Tahoma"/>
            <family val="2"/>
          </rPr>
          <t>Insert the FCCM rate for this FY for this Phase, and repeat for all FYs for this Phase.</t>
        </r>
      </text>
    </comment>
    <comment ref="F83" authorId="0" shapeId="0" xr:uid="{9D0EF037-008A-442C-80E1-287BAFFDB662}">
      <text>
        <r>
          <rPr>
            <sz val="9"/>
            <color indexed="81"/>
            <rFont val="Tahoma"/>
            <family val="2"/>
          </rPr>
          <t>Insert the Fee or Profit rate for this FY for this Phase . Repeat for all FYs.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17BBFFC-A325-4FEE-9A4C-6982B61F3368}">
      <text>
        <r>
          <rPr>
            <sz val="9"/>
            <color indexed="81"/>
            <rFont val="Tahoma"/>
            <family val="2"/>
          </rPr>
          <t>Insert the Period of Performance for this Phase  in the format shown.</t>
        </r>
      </text>
    </comment>
    <comment ref="E9" authorId="0" shapeId="0" xr:uid="{ADAA7E2F-8953-4211-B3E0-49F539A2546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DB1DBB67-0C51-41C9-8A3F-2B67F633E53E}">
      <text>
        <r>
          <rPr>
            <sz val="9"/>
            <color indexed="81"/>
            <rFont val="Tahoma"/>
            <family val="2"/>
          </rPr>
          <t xml:space="preserve">Insert the subpropser costs for this FY in this Phase. Repeat for all subproposers and all FYs.
</t>
        </r>
      </text>
    </comment>
    <comment ref="E43" authorId="0" shapeId="0" xr:uid="{7E4E0B1B-744F-45F2-88C4-0E75752FBBA6}">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93F5A6E2-6B63-482F-8FB6-487AEBB1AB63}">
      <text>
        <r>
          <rPr>
            <sz val="9"/>
            <color indexed="81"/>
            <rFont val="Avenir Next LT Pro"/>
            <family val="2"/>
          </rPr>
          <t>Inset the hourly rate for the Consultant in this FY for this Phase. Repeat for all Consultants and all FYs.</t>
        </r>
      </text>
    </comment>
    <comment ref="G50" authorId="0" shapeId="0" xr:uid="{2C944353-00CB-4DB4-A92E-C7905E66768C}">
      <text>
        <r>
          <rPr>
            <sz val="9"/>
            <color indexed="81"/>
            <rFont val="Tahoma"/>
            <family val="2"/>
          </rPr>
          <t>Insert ODCs for this FY and this Phase. Repeat for all ODCs and all FYs.</t>
        </r>
      </text>
    </comment>
    <comment ref="E57" authorId="0" shapeId="0" xr:uid="{98BF58BA-C3E8-4554-8F84-F789793A33EE}">
      <text>
        <r>
          <rPr>
            <sz val="9"/>
            <color indexed="81"/>
            <rFont val="Tahoma"/>
            <family val="2"/>
          </rPr>
          <t xml:space="preserve">Insert the dollar value of the Material Handling Overhead basis for this FY for this Phase. Repeat for all FYs in this Phase.
</t>
        </r>
      </text>
    </comment>
    <comment ref="F57" authorId="0" shapeId="0" xr:uid="{45ACC285-2BD2-464F-BF0A-95B06FE0A0B3}">
      <text>
        <r>
          <rPr>
            <sz val="9"/>
            <color indexed="81"/>
            <rFont val="Tahoma"/>
            <family val="2"/>
          </rPr>
          <t>Insert the Material Overhead rate for this FY and this Phase. Repeat for all FYs for this Phase.</t>
        </r>
      </text>
    </comment>
    <comment ref="E66" authorId="0" shapeId="0" xr:uid="{96D9D37B-0528-435D-98E1-B3F912F3F146}">
      <text>
        <r>
          <rPr>
            <sz val="9"/>
            <color indexed="81"/>
            <rFont val="Tahoma"/>
            <family val="2"/>
          </rPr>
          <t>G&amp;A is only applied to Direct Labor in this Workbook.</t>
        </r>
      </text>
    </comment>
    <comment ref="F66" authorId="0" shapeId="0" xr:uid="{654B4862-815C-4524-ACAA-45DC764664B1}">
      <text>
        <r>
          <rPr>
            <sz val="9"/>
            <color indexed="81"/>
            <rFont val="Tahoma"/>
            <family val="2"/>
          </rPr>
          <t>Insert the G&amp;A rate for this FY for this Phase, and then repeat for all FYs for this Phase.</t>
        </r>
      </text>
    </comment>
    <comment ref="I66" authorId="0" shapeId="0" xr:uid="{1CE49FE1-1815-4217-94F7-54E0824F5548}">
      <text>
        <r>
          <rPr>
            <sz val="9"/>
            <color indexed="81"/>
            <rFont val="Tahoma"/>
            <family val="2"/>
          </rPr>
          <t>G&amp;A is only applied to Direct Labor in this Workbook.</t>
        </r>
      </text>
    </comment>
    <comment ref="M66" authorId="0" shapeId="0" xr:uid="{8E4D4D97-8CA3-4A30-8E57-8981CC401BCA}">
      <text>
        <r>
          <rPr>
            <sz val="9"/>
            <color indexed="81"/>
            <rFont val="Tahoma"/>
            <family val="2"/>
          </rPr>
          <t>G&amp;A is only applied to Direct Labor in this Workbook.</t>
        </r>
      </text>
    </comment>
    <comment ref="Q66" authorId="0" shapeId="0" xr:uid="{5CF71252-6106-4663-A6AF-B5B3FB038878}">
      <text>
        <r>
          <rPr>
            <sz val="9"/>
            <color indexed="81"/>
            <rFont val="Tahoma"/>
            <family val="2"/>
          </rPr>
          <t>G&amp;A is only applied to Direct Labor in this Workbook.</t>
        </r>
      </text>
    </comment>
    <comment ref="U66" authorId="0" shapeId="0" xr:uid="{F6EC7E3F-B2B2-492E-B09B-EFEA17EF42D4}">
      <text>
        <r>
          <rPr>
            <sz val="9"/>
            <color indexed="81"/>
            <rFont val="Tahoma"/>
            <family val="2"/>
          </rPr>
          <t>G&amp;A is only applied to Direct Labor in this Workbook.</t>
        </r>
      </text>
    </comment>
    <comment ref="Y66" authorId="0" shapeId="0" xr:uid="{2171ACCA-9D6A-41EE-9591-BB444A1FBD30}">
      <text>
        <r>
          <rPr>
            <sz val="9"/>
            <color indexed="81"/>
            <rFont val="Tahoma"/>
            <family val="2"/>
          </rPr>
          <t>G&amp;A is only applied to Direct Labor in this Workbook.</t>
        </r>
      </text>
    </comment>
    <comment ref="E75" authorId="0" shapeId="0" xr:uid="{FEE291FE-EB99-47CB-BED0-7AF27F5DBA33}">
      <text>
        <r>
          <rPr>
            <sz val="9"/>
            <color indexed="81"/>
            <rFont val="Tahoma"/>
            <family val="2"/>
          </rPr>
          <t>Insert theFCCM basis for this FY for this Phase. Repeat for all FYs in this Phase.</t>
        </r>
      </text>
    </comment>
    <comment ref="F75" authorId="0" shapeId="0" xr:uid="{981844EB-8D84-41F3-848D-9B74F2983551}">
      <text>
        <r>
          <rPr>
            <sz val="9"/>
            <color indexed="81"/>
            <rFont val="Tahoma"/>
            <family val="2"/>
          </rPr>
          <t>Insert the FCCM rate for this FY for this Phase, and repeat for all FYs for this Phase.</t>
        </r>
      </text>
    </comment>
    <comment ref="F83" authorId="0" shapeId="0" xr:uid="{08EFD649-FD76-48F0-A858-DA44B1D8B362}">
      <text>
        <r>
          <rPr>
            <sz val="9"/>
            <color indexed="81"/>
            <rFont val="Tahoma"/>
            <family val="2"/>
          </rPr>
          <t>Insert the Fee or Profit rate for this FY for this Phase . Repeat for all FYs.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0EA9FE19-7E9C-4834-89C4-80DD69B0B6C1}">
      <text>
        <r>
          <rPr>
            <sz val="9"/>
            <color indexed="81"/>
            <rFont val="Tahoma"/>
            <family val="2"/>
          </rPr>
          <t>Insert the Period of Performance for this Phase  in the format shown.</t>
        </r>
      </text>
    </comment>
    <comment ref="E9" authorId="0" shapeId="0" xr:uid="{21153927-E5E6-44AA-8887-1E79FA57585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A913DAB1-C01D-4DF6-8CE3-F6D6FA575DE5}">
      <text>
        <r>
          <rPr>
            <sz val="9"/>
            <color indexed="81"/>
            <rFont val="Tahoma"/>
            <family val="2"/>
          </rPr>
          <t xml:space="preserve">Insert the subpropser costs for this FY in this Phase. Repeat for all subproposers and all FYs.
</t>
        </r>
      </text>
    </comment>
    <comment ref="E43" authorId="0" shapeId="0" xr:uid="{898EF7F8-C948-456B-AF1B-789C0AE3E23A}">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BEE2A98D-440F-4D8F-92AF-C8066D448DCF}">
      <text>
        <r>
          <rPr>
            <sz val="9"/>
            <color indexed="81"/>
            <rFont val="Avenir Next LT Pro"/>
            <family val="2"/>
          </rPr>
          <t>Inset the hourly rate for the Consultant in this FY for this Phase. Repeat for all Consultants and all FYs.</t>
        </r>
      </text>
    </comment>
    <comment ref="G50" authorId="0" shapeId="0" xr:uid="{BA057A3A-B0C9-4971-96AB-D63B17163F4A}">
      <text>
        <r>
          <rPr>
            <sz val="9"/>
            <color indexed="81"/>
            <rFont val="Tahoma"/>
            <family val="2"/>
          </rPr>
          <t>Insert ODCs for this FY and this Phase. Repeat for all ODCs and all FYs.</t>
        </r>
      </text>
    </comment>
    <comment ref="E57" authorId="0" shapeId="0" xr:uid="{3ABB6E38-E9A6-4296-82A2-232A3080CCF7}">
      <text>
        <r>
          <rPr>
            <sz val="9"/>
            <color indexed="81"/>
            <rFont val="Tahoma"/>
            <family val="2"/>
          </rPr>
          <t xml:space="preserve">Insert the dollar value of the Material Handling Overhead basis for this FY for this Phase. Repeat for all FYs in this Phase.
</t>
        </r>
      </text>
    </comment>
    <comment ref="F57" authorId="0" shapeId="0" xr:uid="{FC1E46DE-8F48-4562-ABB8-A4B3D4316CA4}">
      <text>
        <r>
          <rPr>
            <sz val="9"/>
            <color indexed="81"/>
            <rFont val="Tahoma"/>
            <family val="2"/>
          </rPr>
          <t>Insert the Material Overhead rate for this FY and this Phase. Repeat for all FYs for this Phase.</t>
        </r>
      </text>
    </comment>
    <comment ref="E66" authorId="0" shapeId="0" xr:uid="{63C9D552-8F6F-4735-8B50-57FF1A624EA0}">
      <text>
        <r>
          <rPr>
            <sz val="9"/>
            <color indexed="81"/>
            <rFont val="Tahoma"/>
            <family val="2"/>
          </rPr>
          <t>G&amp;A is only applied to Direct Labor in this Workbook.</t>
        </r>
      </text>
    </comment>
    <comment ref="F66" authorId="0" shapeId="0" xr:uid="{0CED5537-362C-42A7-A319-DFAC7FC11151}">
      <text>
        <r>
          <rPr>
            <sz val="9"/>
            <color indexed="81"/>
            <rFont val="Tahoma"/>
            <family val="2"/>
          </rPr>
          <t>Insert the G&amp;A rate for this FY for this Phase, and then repeat for all FYs for this Phase.</t>
        </r>
      </text>
    </comment>
    <comment ref="I66" authorId="0" shapeId="0" xr:uid="{949FF9B1-A1E0-463D-A90B-B490A04DD60F}">
      <text>
        <r>
          <rPr>
            <sz val="9"/>
            <color indexed="81"/>
            <rFont val="Tahoma"/>
            <family val="2"/>
          </rPr>
          <t>G&amp;A is only applied to Direct Labor in this Workbook.</t>
        </r>
      </text>
    </comment>
    <comment ref="M66" authorId="0" shapeId="0" xr:uid="{0F599D62-F169-4389-BE65-E712E836BED1}">
      <text>
        <r>
          <rPr>
            <sz val="9"/>
            <color indexed="81"/>
            <rFont val="Tahoma"/>
            <family val="2"/>
          </rPr>
          <t>G&amp;A is only applied to Direct Labor in this Workbook.</t>
        </r>
      </text>
    </comment>
    <comment ref="Q66" authorId="0" shapeId="0" xr:uid="{2DFF6D7D-4E28-487E-BA57-73046BFD6F43}">
      <text>
        <r>
          <rPr>
            <sz val="9"/>
            <color indexed="81"/>
            <rFont val="Tahoma"/>
            <family val="2"/>
          </rPr>
          <t>G&amp;A is only applied to Direct Labor in this Workbook.</t>
        </r>
      </text>
    </comment>
    <comment ref="U66" authorId="0" shapeId="0" xr:uid="{5E9BB0FC-BF6C-4780-89A6-F2631875C77B}">
      <text>
        <r>
          <rPr>
            <sz val="9"/>
            <color indexed="81"/>
            <rFont val="Tahoma"/>
            <family val="2"/>
          </rPr>
          <t>G&amp;A is only applied to Direct Labor in this Workbook.</t>
        </r>
      </text>
    </comment>
    <comment ref="Y66" authorId="0" shapeId="0" xr:uid="{25C177B9-36F8-4898-A067-A38028AC42DA}">
      <text>
        <r>
          <rPr>
            <sz val="9"/>
            <color indexed="81"/>
            <rFont val="Tahoma"/>
            <family val="2"/>
          </rPr>
          <t>G&amp;A is only applied to Direct Labor in this Workbook.</t>
        </r>
      </text>
    </comment>
    <comment ref="E75" authorId="0" shapeId="0" xr:uid="{90D715B6-69F6-496A-82CF-B8F06712BB55}">
      <text>
        <r>
          <rPr>
            <sz val="9"/>
            <color indexed="81"/>
            <rFont val="Tahoma"/>
            <family val="2"/>
          </rPr>
          <t>Insert theFCCM basis for this FY for this Phase. Repeat for all FYs in this Phase.</t>
        </r>
      </text>
    </comment>
    <comment ref="F75" authorId="0" shapeId="0" xr:uid="{377A58ED-ABA0-4912-8C61-01D3ABCA352B}">
      <text>
        <r>
          <rPr>
            <sz val="9"/>
            <color indexed="81"/>
            <rFont val="Tahoma"/>
            <family val="2"/>
          </rPr>
          <t>Insert the FCCM rate for this FY for this Phase, and repeat for all FYs for this Phase.</t>
        </r>
      </text>
    </comment>
    <comment ref="F83" authorId="0" shapeId="0" xr:uid="{B960F3E2-BEFA-4EE0-93E6-A2D82ADB1C02}">
      <text>
        <r>
          <rPr>
            <sz val="9"/>
            <color indexed="81"/>
            <rFont val="Tahoma"/>
            <family val="2"/>
          </rPr>
          <t>Insert the Fee or Profit rate for this FY for this Phase . Repeat for all FYs.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65CE0231-7B95-4241-ACAF-2526AB635F5E}">
      <text>
        <r>
          <rPr>
            <sz val="9"/>
            <color indexed="81"/>
            <rFont val="Tahoma"/>
            <family val="2"/>
          </rPr>
          <t>Insert the Period of Performance for this Phase  in the format shown.</t>
        </r>
      </text>
    </comment>
    <comment ref="E9" authorId="0" shapeId="0" xr:uid="{50977BB1-7DCD-4372-86C2-CB1E52297CE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294BCCE5-9C97-4317-A88F-9536D16809F4}">
      <text>
        <r>
          <rPr>
            <sz val="9"/>
            <color indexed="81"/>
            <rFont val="Tahoma"/>
            <family val="2"/>
          </rPr>
          <t xml:space="preserve">Insert the subpropser costs for this FY in this Phase. Repeat for all subproposers and all FYs.
</t>
        </r>
      </text>
    </comment>
    <comment ref="E43" authorId="0" shapeId="0" xr:uid="{468F39F2-BC2A-410A-95DD-236D838AC5D8}">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FC22ACC1-E25C-4DDD-89BE-E774B5AD0CED}">
      <text>
        <r>
          <rPr>
            <sz val="9"/>
            <color indexed="81"/>
            <rFont val="Avenir Next LT Pro"/>
            <family val="2"/>
          </rPr>
          <t>Inset the hourly rate for the Consultant in this FY for this Phase. Repeat for all Consultants and all FYs.</t>
        </r>
      </text>
    </comment>
    <comment ref="G50" authorId="0" shapeId="0" xr:uid="{2B3E2F11-4CCB-49CB-B876-937DD2DF66F3}">
      <text>
        <r>
          <rPr>
            <sz val="9"/>
            <color indexed="81"/>
            <rFont val="Tahoma"/>
            <family val="2"/>
          </rPr>
          <t>Insert ODCs for this FY and this Phase. Repeat for all ODCs and all FYs.</t>
        </r>
      </text>
    </comment>
    <comment ref="E57" authorId="0" shapeId="0" xr:uid="{1F84229F-E536-453D-9F57-4B8F4ADA2474}">
      <text>
        <r>
          <rPr>
            <sz val="9"/>
            <color indexed="81"/>
            <rFont val="Tahoma"/>
            <family val="2"/>
          </rPr>
          <t xml:space="preserve">Insert the dollar value of the Material Handling Overhead basis for this FY for this Phase. Repeat for all FYs in this Phase.
</t>
        </r>
      </text>
    </comment>
    <comment ref="F57" authorId="0" shapeId="0" xr:uid="{955C5E28-F25B-4685-B278-F3E1CC60E568}">
      <text>
        <r>
          <rPr>
            <sz val="9"/>
            <color indexed="81"/>
            <rFont val="Tahoma"/>
            <family val="2"/>
          </rPr>
          <t>Insert the Material Overhead rate for this FY and this Phase. Repeat for all FYs for this Phase.</t>
        </r>
      </text>
    </comment>
    <comment ref="E66" authorId="0" shapeId="0" xr:uid="{DCB33324-FDD0-4C5D-B1CD-97AF73264D70}">
      <text>
        <r>
          <rPr>
            <sz val="9"/>
            <color indexed="81"/>
            <rFont val="Tahoma"/>
            <family val="2"/>
          </rPr>
          <t>G&amp;A is only applied to Direct Labor in this Workbook.</t>
        </r>
      </text>
    </comment>
    <comment ref="F66" authorId="0" shapeId="0" xr:uid="{6765B859-6756-4CD1-ACD2-EE3A6B4E1293}">
      <text>
        <r>
          <rPr>
            <sz val="9"/>
            <color indexed="81"/>
            <rFont val="Tahoma"/>
            <family val="2"/>
          </rPr>
          <t>Insert the G&amp;A rate for this FY for this Phase, and then repeat for all FYs for this Phase.</t>
        </r>
      </text>
    </comment>
    <comment ref="I66" authorId="0" shapeId="0" xr:uid="{D279D7DD-C55E-45F6-A9F5-381BAB3EE735}">
      <text>
        <r>
          <rPr>
            <sz val="9"/>
            <color indexed="81"/>
            <rFont val="Tahoma"/>
            <family val="2"/>
          </rPr>
          <t>G&amp;A is only applied to Direct Labor in this Workbook.</t>
        </r>
      </text>
    </comment>
    <comment ref="M66" authorId="0" shapeId="0" xr:uid="{1B4A62F7-99B3-490A-A11F-0E78FF97EDF5}">
      <text>
        <r>
          <rPr>
            <sz val="9"/>
            <color indexed="81"/>
            <rFont val="Tahoma"/>
            <family val="2"/>
          </rPr>
          <t>G&amp;A is only applied to Direct Labor in this Workbook.</t>
        </r>
      </text>
    </comment>
    <comment ref="Q66" authorId="0" shapeId="0" xr:uid="{C6045485-E196-4B0F-929C-CF43C2221BCD}">
      <text>
        <r>
          <rPr>
            <sz val="9"/>
            <color indexed="81"/>
            <rFont val="Tahoma"/>
            <family val="2"/>
          </rPr>
          <t>G&amp;A is only applied to Direct Labor in this Workbook.</t>
        </r>
      </text>
    </comment>
    <comment ref="U66" authorId="0" shapeId="0" xr:uid="{CAABAD13-5DA9-46C0-B822-1C611C4B9A7F}">
      <text>
        <r>
          <rPr>
            <sz val="9"/>
            <color indexed="81"/>
            <rFont val="Tahoma"/>
            <family val="2"/>
          </rPr>
          <t>G&amp;A is only applied to Direct Labor in this Workbook.</t>
        </r>
      </text>
    </comment>
    <comment ref="Y66" authorId="0" shapeId="0" xr:uid="{44A8C6DD-97DC-4C31-A696-389DC6149649}">
      <text>
        <r>
          <rPr>
            <sz val="9"/>
            <color indexed="81"/>
            <rFont val="Tahoma"/>
            <family val="2"/>
          </rPr>
          <t>G&amp;A is only applied to Direct Labor in this Workbook.</t>
        </r>
      </text>
    </comment>
    <comment ref="E75" authorId="0" shapeId="0" xr:uid="{8E9DB765-BCAF-4C43-9225-AED21E3FFE5F}">
      <text>
        <r>
          <rPr>
            <sz val="9"/>
            <color indexed="81"/>
            <rFont val="Tahoma"/>
            <family val="2"/>
          </rPr>
          <t>Insert theFCCM basis for this FY for this Phase. Repeat for all FYs in this Phase.</t>
        </r>
      </text>
    </comment>
    <comment ref="F75" authorId="0" shapeId="0" xr:uid="{074625D4-704C-4FBF-89F1-367D87830845}">
      <text>
        <r>
          <rPr>
            <sz val="9"/>
            <color indexed="81"/>
            <rFont val="Tahoma"/>
            <family val="2"/>
          </rPr>
          <t>Insert the FCCM rate for this FY for this Phase, and repeat for all FYs for this Phase.</t>
        </r>
      </text>
    </comment>
    <comment ref="F83" authorId="0" shapeId="0" xr:uid="{32D0ADF2-8AE0-4D8B-A7D3-D9FCA2A1C799}">
      <text>
        <r>
          <rPr>
            <sz val="9"/>
            <color indexed="81"/>
            <rFont val="Tahoma"/>
            <family val="2"/>
          </rPr>
          <t>Insert the Fee or Profit rate for this FY for this Phase . Repeat for all FYs.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08D46B0-A896-4087-96B3-EDF4B1548803}">
      <text>
        <r>
          <rPr>
            <sz val="9"/>
            <color indexed="81"/>
            <rFont val="Tahoma"/>
            <family val="2"/>
          </rPr>
          <t>Insert the Period of Performance for this Phase  in the format shown.</t>
        </r>
      </text>
    </comment>
    <comment ref="E9" authorId="0" shapeId="0" xr:uid="{83DF9BBD-3EC9-46D0-88B4-4BDEA32FABA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11EC35E-2585-43EF-810F-D116241AC328}">
      <text>
        <r>
          <rPr>
            <sz val="9"/>
            <color indexed="81"/>
            <rFont val="Tahoma"/>
            <family val="2"/>
          </rPr>
          <t xml:space="preserve">Insert the subpropser costs for this FY in this Phase. Repeat for all subproposers and all FYs.
</t>
        </r>
      </text>
    </comment>
    <comment ref="E43" authorId="0" shapeId="0" xr:uid="{DFBD5AE5-9073-44C8-B576-75295550E8D7}">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5B4C3312-D7A0-4407-85B7-7FF4CB4DD36B}">
      <text>
        <r>
          <rPr>
            <sz val="9"/>
            <color indexed="81"/>
            <rFont val="Avenir Next LT Pro"/>
            <family val="2"/>
          </rPr>
          <t>Inset the hourly rate for the Consultant in this FY for this Phase. Repeat for all Consultants and all FYs.</t>
        </r>
      </text>
    </comment>
    <comment ref="G50" authorId="0" shapeId="0" xr:uid="{B7D8423A-7BFE-4C06-8607-556365A6B1CD}">
      <text>
        <r>
          <rPr>
            <sz val="9"/>
            <color indexed="81"/>
            <rFont val="Tahoma"/>
            <family val="2"/>
          </rPr>
          <t>Insert ODCs for this FY and this Phase. Repeat for all ODCs and all FYs.</t>
        </r>
      </text>
    </comment>
    <comment ref="E57" authorId="0" shapeId="0" xr:uid="{52A35C7A-C992-4706-8FD8-37171818F4C1}">
      <text>
        <r>
          <rPr>
            <sz val="9"/>
            <color indexed="81"/>
            <rFont val="Tahoma"/>
            <family val="2"/>
          </rPr>
          <t xml:space="preserve">Insert the dollar value of the Material Handling Overhead basis for this FY for this Phase. Repeat for all FYs in this Phase.
</t>
        </r>
      </text>
    </comment>
    <comment ref="F57" authorId="0" shapeId="0" xr:uid="{86C468EA-1D44-4E14-A4EF-06584D85D724}">
      <text>
        <r>
          <rPr>
            <sz val="9"/>
            <color indexed="81"/>
            <rFont val="Tahoma"/>
            <family val="2"/>
          </rPr>
          <t>Insert the Material Overhead rate for this FY and this Phase. Repeat for all FYs for this Phase.</t>
        </r>
      </text>
    </comment>
    <comment ref="E66" authorId="0" shapeId="0" xr:uid="{94411AD4-49B7-4589-AC30-E8C6555FE635}">
      <text>
        <r>
          <rPr>
            <sz val="9"/>
            <color indexed="81"/>
            <rFont val="Tahoma"/>
            <family val="2"/>
          </rPr>
          <t>G&amp;A is only applied to Direct Labor in this Workbook.</t>
        </r>
      </text>
    </comment>
    <comment ref="F66" authorId="0" shapeId="0" xr:uid="{EA5B77BA-8E6F-4B7B-AD84-5204FE2FBD42}">
      <text>
        <r>
          <rPr>
            <sz val="9"/>
            <color indexed="81"/>
            <rFont val="Tahoma"/>
            <family val="2"/>
          </rPr>
          <t>Insert the G&amp;A rate for this FY for this Phase, and then repeat for all FYs for this Phase.</t>
        </r>
      </text>
    </comment>
    <comment ref="I66" authorId="0" shapeId="0" xr:uid="{AD380BF3-66ED-4E8F-80DD-39F0CA79D2F7}">
      <text>
        <r>
          <rPr>
            <sz val="9"/>
            <color indexed="81"/>
            <rFont val="Tahoma"/>
            <family val="2"/>
          </rPr>
          <t>G&amp;A is only applied to Direct Labor in this Workbook.</t>
        </r>
      </text>
    </comment>
    <comment ref="M66" authorId="0" shapeId="0" xr:uid="{70399A85-342C-437E-8C0C-2B346FCB8E25}">
      <text>
        <r>
          <rPr>
            <sz val="9"/>
            <color indexed="81"/>
            <rFont val="Tahoma"/>
            <family val="2"/>
          </rPr>
          <t>G&amp;A is only applied to Direct Labor in this Workbook.</t>
        </r>
      </text>
    </comment>
    <comment ref="Q66" authorId="0" shapeId="0" xr:uid="{9EC8B3EF-2A32-46EC-B9BC-8CABC4D37538}">
      <text>
        <r>
          <rPr>
            <sz val="9"/>
            <color indexed="81"/>
            <rFont val="Tahoma"/>
            <family val="2"/>
          </rPr>
          <t>G&amp;A is only applied to Direct Labor in this Workbook.</t>
        </r>
      </text>
    </comment>
    <comment ref="U66" authorId="0" shapeId="0" xr:uid="{53F069B2-C276-4640-B6BB-60AA07FE6526}">
      <text>
        <r>
          <rPr>
            <sz val="9"/>
            <color indexed="81"/>
            <rFont val="Tahoma"/>
            <family val="2"/>
          </rPr>
          <t>G&amp;A is only applied to Direct Labor in this Workbook.</t>
        </r>
      </text>
    </comment>
    <comment ref="Y66" authorId="0" shapeId="0" xr:uid="{CEB3C1ED-D257-4309-B5CC-379E6CD3299D}">
      <text>
        <r>
          <rPr>
            <sz val="9"/>
            <color indexed="81"/>
            <rFont val="Tahoma"/>
            <family val="2"/>
          </rPr>
          <t>G&amp;A is only applied to Direct Labor in this Workbook.</t>
        </r>
      </text>
    </comment>
    <comment ref="E75" authorId="0" shapeId="0" xr:uid="{2491E534-DE60-4739-B45F-C5D0FE718809}">
      <text>
        <r>
          <rPr>
            <sz val="9"/>
            <color indexed="81"/>
            <rFont val="Tahoma"/>
            <family val="2"/>
          </rPr>
          <t>Insert theFCCM basis for this FY for this Phase. Repeat for all FYs in this Phase.</t>
        </r>
      </text>
    </comment>
    <comment ref="F75" authorId="0" shapeId="0" xr:uid="{0CABD2CC-70F3-47E9-A23A-04A9F98CBC74}">
      <text>
        <r>
          <rPr>
            <sz val="9"/>
            <color indexed="81"/>
            <rFont val="Tahoma"/>
            <family val="2"/>
          </rPr>
          <t>Insert the FCCM rate for this FY for this Phase, and repeat for all FYs for this Phase.</t>
        </r>
      </text>
    </comment>
    <comment ref="F83" authorId="0" shapeId="0" xr:uid="{CB582104-FBA7-4830-BD82-6FB12C86F95B}">
      <text>
        <r>
          <rPr>
            <sz val="9"/>
            <color indexed="81"/>
            <rFont val="Tahoma"/>
            <family val="2"/>
          </rPr>
          <t>Insert the Fee or Profit rate for this FY for this Phase . Repeat for all FYs.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<sst xmlns="http://schemas.openxmlformats.org/spreadsheetml/2006/main" count="3214" uniqueCount="833">
  <si>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</si>
  <si>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</si>
  <si>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</si>
  <si>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</si>
  <si>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</si>
  <si>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</si>
  <si>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</si>
  <si>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</si>
  <si>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</si>
  <si>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</si>
  <si>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</si>
  <si>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</si>
  <si>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</si>
  <si>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</si>
  <si>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</si>
  <si>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</si>
  <si>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</si>
  <si>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</si>
  <si>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</si>
  <si>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</si>
  <si>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</si>
  <si>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</si>
  <si>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</si>
  <si>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</si>
  <si>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</si>
  <si>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</si>
  <si>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</si>
  <si>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</si>
  <si>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</si>
  <si>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</si>
  <si>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</si>
  <si>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</si>
  <si>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</si>
  <si>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</si>
  <si>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</si>
  <si>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</si>
  <si>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</si>
  <si>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</si>
  <si>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</si>
  <si>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</si>
  <si>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</si>
  <si>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</si>
  <si>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</si>
  <si>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</si>
  <si>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</si>
  <si>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</si>
  <si>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</si>
  <si>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</si>
  <si>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</si>
  <si>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</si>
  <si>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</si>
  <si>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</si>
  <si>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</si>
  <si>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</si>
  <si>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</si>
  <si>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</si>
  <si>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</si>
  <si>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</si>
  <si>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</si>
  <si>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</si>
  <si>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</si>
  <si>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</si>
  <si>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</si>
  <si>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</si>
  <si>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</si>
  <si>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</si>
  <si>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</si>
  <si>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</si>
  <si>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</si>
  <si>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</si>
  <si>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</si>
  <si>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</si>
  <si>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</si>
  <si>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</si>
  <si>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</si>
  <si>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</si>
  <si>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</si>
  <si>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</si>
  <si>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</si>
  <si>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</si>
  <si>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</si>
  <si>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</si>
  <si>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</si>
  <si>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</si>
  <si>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</si>
  <si>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</si>
  <si>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</si>
  <si>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</si>
  <si>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</si>
  <si>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</si>
  <si>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</si>
  <si>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</si>
  <si>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</si>
  <si>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</si>
  <si>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</si>
  <si>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</si>
  <si>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</si>
  <si>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</si>
  <si>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</si>
  <si>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</si>
  <si>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</si>
  <si>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</si>
  <si>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</si>
  <si>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</si>
  <si>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</si>
  <si>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</si>
  <si>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</si>
  <si>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</si>
  <si>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</si>
  <si>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</si>
  <si>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</si>
  <si>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</si>
  <si>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</si>
  <si>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</si>
  <si>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</si>
  <si>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</si>
  <si>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</si>
  <si>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</si>
  <si>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</si>
  <si>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</si>
  <si>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</si>
  <si>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</si>
  <si>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</si>
  <si>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</si>
  <si>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</si>
  <si>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</si>
  <si>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</si>
  <si>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</si>
  <si>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</si>
  <si>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</si>
  <si>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</si>
  <si>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</si>
  <si>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</si>
  <si>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</si>
  <si>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</si>
  <si>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</si>
  <si>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</si>
  <si>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</si>
  <si>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</si>
  <si>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</si>
  <si>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</si>
  <si>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</si>
  <si>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</si>
  <si>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</si>
  <si>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</si>
  <si>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</si>
  <si>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</si>
  <si>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</si>
  <si>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</si>
  <si>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</si>
  <si>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</si>
  <si>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</si>
  <si>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</si>
  <si>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</si>
  <si>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</si>
  <si>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</si>
  <si>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</si>
  <si>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</si>
  <si>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</si>
  <si>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</si>
  <si>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</si>
  <si>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</si>
  <si>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that will not use a Resource Sharing agreement is contemplated. Proposers shall use a different Workbook for proposals that will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</si>
  <si>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</si>
  <si>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</si>
  <si>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</si>
  <si>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</si>
  <si>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</si>
  <si>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</si>
  <si>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</si>
  <si>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</si>
  <si>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</si>
  <si>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</si>
  <si>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</si>
  <si>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</si>
  <si>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</si>
  <si>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</si>
  <si>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</si>
  <si>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</si>
  <si>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</si>
  <si>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</si>
  <si>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</si>
  <si>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</si>
  <si>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</si>
  <si>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fully loaded (all labor overheads added) base labor rate for each person, and then only the escalation rates threafter in columns G, I, K, M, and O. The spreadsheet will do all of the calculations; all of the fully loaded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</si>
  <si>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</si>
  <si>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</si>
  <si>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</si>
  <si>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</si>
  <si>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</si>
  <si>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</si>
  <si>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</si>
  <si>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</si>
  <si>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</si>
  <si>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</si>
  <si>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</si>
  <si>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</si>
  <si>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</si>
  <si>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</si>
  <si>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</si>
  <si>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</si>
  <si>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</si>
  <si>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</si>
  <si>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</si>
  <si>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</si>
  <si>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</si>
  <si>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</si>
  <si>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</si>
  <si>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</si>
  <si>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</si>
  <si>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</si>
  <si>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</si>
  <si>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</si>
  <si>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</si>
  <si>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ARPA-H is interested in your feedback. If you have suggestions for improving this Workbook, please send an e-mail to elizabeth.fuller@arpa-h.gov</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</si>
  <si>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</si>
  <si>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</si>
  <si>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</si>
  <si>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</si>
  <si>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</si>
  <si>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</si>
  <si>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</si>
  <si>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</si>
  <si>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</si>
  <si>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</si>
  <si>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</si>
  <si>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</si>
  <si>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</si>
  <si>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</si>
  <si>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</si>
  <si>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</si>
  <si>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</si>
  <si>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</si>
  <si>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</si>
  <si>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</si>
  <si>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</si>
  <si>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</si>
  <si>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</si>
  <si>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</si>
  <si>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</si>
  <si>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</si>
  <si>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</si>
  <si>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</si>
  <si>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</si>
  <si>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</si>
  <si>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</si>
  <si>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</si>
  <si>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</si>
  <si>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</si>
  <si>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</si>
  <si>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</si>
  <si>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</si>
  <si>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</si>
  <si>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</si>
  <si>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</si>
  <si>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</si>
  <si>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</si>
  <si>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</si>
  <si>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</si>
  <si>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</si>
  <si>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</si>
  <si>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</si>
  <si>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</si>
  <si>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</si>
  <si>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</si>
  <si>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</si>
  <si>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</si>
  <si>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</si>
  <si>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</si>
  <si>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</si>
  <si>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</si>
  <si>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</si>
  <si>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</si>
  <si>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</si>
  <si>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</si>
  <si>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</si>
  <si>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</si>
  <si>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Labor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</si>
  <si>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</si>
  <si>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</si>
  <si>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Fully Loaded Rate</t>
  </si>
  <si>
    <t xml:space="preserve"> Labor Escalation Rate</t>
  </si>
  <si>
    <t>Calculated</t>
  </si>
  <si>
    <t>Labor Escalation Rate</t>
  </si>
  <si>
    <t>Required
ARPA-H Labor Group</t>
  </si>
  <si>
    <t>Required
ARPA-H Labor Category</t>
  </si>
  <si>
    <t>Position Title</t>
  </si>
  <si>
    <t>Full Name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</si>
  <si>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</si>
  <si>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</si>
  <si>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</si>
  <si>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</si>
  <si>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</si>
  <si>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</si>
  <si>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</si>
  <si>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</si>
  <si>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</si>
  <si>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</si>
  <si>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</si>
  <si>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</si>
  <si>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</si>
  <si>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</si>
  <si>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</si>
  <si>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</si>
  <si>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</si>
  <si>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</si>
  <si>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</si>
  <si>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</si>
  <si>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</si>
  <si>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</si>
  <si>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</si>
  <si>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</si>
  <si>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</si>
  <si>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</si>
  <si>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</si>
  <si>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</si>
  <si>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</si>
  <si>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</si>
  <si>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Proposer</t>
  </si>
  <si>
    <t>Prime Proposer</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</si>
  <si>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</si>
  <si>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</si>
  <si>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</si>
  <si>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</si>
  <si>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</si>
  <si>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Hours</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</si>
  <si>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</si>
  <si>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</si>
  <si>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</si>
  <si>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</si>
  <si>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</si>
  <si>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</si>
  <si>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</si>
  <si>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</si>
  <si>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</si>
  <si>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</si>
  <si>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</si>
  <si>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</si>
  <si>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</si>
  <si>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</si>
  <si>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Consultants</t>
  </si>
  <si>
    <t>Hourly Rate</t>
  </si>
  <si>
    <t>Total Consultants</t>
  </si>
  <si>
    <t>Total</t>
  </si>
  <si>
    <t>Total Consultant Labor Costs</t>
  </si>
  <si>
    <t>Consultant Name - #01</t>
  </si>
  <si>
    <t>Provide details in Consultant Tab</t>
  </si>
  <si>
    <t>Consultant Name - #02</t>
  </si>
  <si>
    <t>Consultant Name - #03</t>
  </si>
  <si>
    <t>Insert line(s) for additional Consultants</t>
  </si>
  <si>
    <t xml:space="preserve">Other Direct Costs </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</si>
  <si>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</si>
  <si>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</si>
  <si>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</si>
  <si>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</si>
  <si>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</si>
  <si>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</si>
  <si>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</si>
  <si>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</si>
  <si>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</si>
  <si>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Material Handling (M/H O/H)</t>
  </si>
  <si>
    <t>Rate</t>
  </si>
  <si>
    <t>Total M/H</t>
  </si>
  <si>
    <t>Insert M/H O/H rate title</t>
  </si>
  <si>
    <t>Insert line(s) &amp; title(s) for other M/H O/H rates</t>
  </si>
  <si>
    <t>Subtotal before Indirects and Fee/Profit</t>
  </si>
  <si>
    <t>SUBTOTAL PRIOR TO INDIRECTS AND PROFIT</t>
  </si>
  <si>
    <t>General and Administrative (G&amp;A)</t>
  </si>
  <si>
    <t>Total G&amp;A</t>
  </si>
  <si>
    <t>Adjust Bases if necessary</t>
  </si>
  <si>
    <t>Insert line(s) &amp; title(s) for other G&amp;A rates</t>
  </si>
  <si>
    <t>G&amp;A</t>
  </si>
  <si>
    <t>Subtotal before FCCM</t>
  </si>
  <si>
    <t>SUBTOTAL PRIOR TO FCCM</t>
  </si>
  <si>
    <t>Facilities Capital Cost of Money (FCCM)</t>
  </si>
  <si>
    <t>Total FCCM</t>
  </si>
  <si>
    <t>Insert FCCM rate title</t>
  </si>
  <si>
    <t>Insert line(s) &amp; title(s) for any other FCCM rates</t>
  </si>
  <si>
    <t>Cost of Money</t>
  </si>
  <si>
    <t>Subtotal before Fee/Profit</t>
  </si>
  <si>
    <t>SUBTOTAL PRIOR TO FEE/PROFIT</t>
  </si>
  <si>
    <t>Total Fee/Profit</t>
  </si>
  <si>
    <t>Profit/Fee</t>
  </si>
  <si>
    <t>Fee, or Profit (see note 4)</t>
  </si>
  <si>
    <t>Total FY1</t>
  </si>
  <si>
    <t>Total FY2</t>
  </si>
  <si>
    <t>Total FY3</t>
  </si>
  <si>
    <t>Total FY4</t>
  </si>
  <si>
    <t>Total FY5</t>
  </si>
  <si>
    <t>Total FY6</t>
  </si>
  <si>
    <t>Total Hours</t>
  </si>
  <si>
    <t>Total Dollars</t>
  </si>
  <si>
    <t>TOTAL ESTIMATED COSTS</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</si>
  <si>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</si>
  <si>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</si>
  <si>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</si>
  <si>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</si>
  <si>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Note 4: •  Profit or fee is not applied to direct costs for equipment, or government entities. Formulas reflect that in this sheet.</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</si>
  <si>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</si>
  <si>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</si>
  <si>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</si>
  <si>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</si>
  <si>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</si>
  <si>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</si>
  <si>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</si>
  <si>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</si>
  <si>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</si>
  <si>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</si>
  <si>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</si>
  <si>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</si>
  <si>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</si>
  <si>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</si>
  <si>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</si>
  <si>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</si>
  <si>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</si>
  <si>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</si>
  <si>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</si>
  <si>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</si>
  <si>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</si>
  <si>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</si>
  <si>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</si>
  <si>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</si>
  <si>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</si>
  <si>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</si>
  <si>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</si>
  <si>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</si>
  <si>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Direct Labor (DL)</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</si>
  <si>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</si>
  <si>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</si>
  <si>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</si>
  <si>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</si>
  <si>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</si>
  <si>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</si>
  <si>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</si>
  <si>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</si>
  <si>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</si>
  <si>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</si>
  <si>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</si>
  <si>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</si>
  <si>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</si>
  <si>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</si>
  <si>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</si>
  <si>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</si>
  <si>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</si>
  <si>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</si>
  <si>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</si>
  <si>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</si>
  <si>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</si>
  <si>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</si>
  <si>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</si>
  <si>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</si>
  <si>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</si>
  <si>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</si>
  <si>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</si>
  <si>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</si>
  <si>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</si>
  <si>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</si>
  <si>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Total Estimated Costs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</si>
  <si>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</si>
  <si>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</si>
  <si>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</si>
  <si>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</si>
  <si>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</si>
  <si>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</si>
  <si>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</si>
  <si>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</si>
  <si>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</si>
  <si>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</si>
  <si>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</si>
  <si>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</si>
  <si>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</si>
  <si>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</si>
  <si>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</si>
  <si>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</si>
  <si>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</si>
  <si>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</si>
  <si>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</si>
  <si>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</si>
  <si>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</si>
  <si>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</si>
  <si>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</si>
  <si>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</si>
  <si>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</si>
  <si>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</si>
  <si>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</si>
  <si>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</si>
  <si>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</si>
  <si>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</si>
  <si>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</si>
  <si>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</si>
  <si>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</si>
  <si>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</si>
  <si>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</si>
  <si>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</si>
  <si>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</si>
  <si>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</si>
  <si>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</si>
  <si>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</si>
  <si>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</si>
  <si>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</si>
  <si>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</si>
  <si>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</si>
  <si>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</si>
  <si>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</si>
  <si>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</si>
  <si>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</si>
  <si>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</si>
  <si>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</si>
  <si>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</si>
  <si>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</si>
  <si>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</si>
  <si>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</si>
  <si>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</si>
  <si>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</si>
  <si>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</si>
  <si>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</si>
  <si>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</si>
  <si>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</si>
  <si>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</si>
  <si>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</si>
  <si>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</si>
  <si>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</si>
  <si>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</si>
  <si>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</si>
  <si>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</si>
  <si>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</si>
  <si>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</si>
  <si>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</si>
  <si>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</si>
  <si>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</si>
  <si>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</si>
  <si>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</si>
  <si>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</si>
  <si>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</si>
  <si>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</si>
  <si>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</si>
  <si>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</si>
  <si>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</si>
  <si>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</si>
  <si>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</si>
  <si>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</si>
  <si>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</si>
  <si>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</si>
  <si>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</si>
  <si>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</si>
  <si>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</si>
  <si>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</si>
  <si>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</si>
  <si>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</si>
  <si>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</si>
  <si>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</si>
  <si>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</si>
  <si>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</si>
  <si>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</si>
  <si>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</si>
  <si>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</si>
  <si>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</si>
  <si>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</si>
  <si>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</si>
  <si>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</si>
  <si>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</si>
  <si>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</si>
  <si>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</si>
  <si>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</si>
  <si>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</si>
  <si>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</si>
  <si>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</si>
  <si>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</si>
  <si>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</si>
  <si>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Phase 1</t>
  </si>
  <si>
    <t>Phase 2</t>
  </si>
  <si>
    <t>Phase 3</t>
  </si>
  <si>
    <t>Phase 4</t>
  </si>
  <si>
    <t>Phase 5</t>
  </si>
  <si>
    <t>Phase 6</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</si>
  <si>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</si>
  <si>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</si>
  <si>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</si>
  <si>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</si>
  <si>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</si>
  <si>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</si>
  <si>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</si>
  <si>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</si>
  <si>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</si>
  <si>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</si>
  <si>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</si>
  <si>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</si>
  <si>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</si>
  <si>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</si>
  <si>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</si>
  <si>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</si>
  <si>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</si>
  <si>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</si>
  <si>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</si>
  <si>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</si>
  <si>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</si>
  <si>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</si>
  <si>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</si>
  <si>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</si>
  <si>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</si>
  <si>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</si>
  <si>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</si>
  <si>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</si>
  <si>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</si>
  <si>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</si>
  <si>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</si>
  <si>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</si>
  <si>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</si>
  <si>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</si>
  <si>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</si>
  <si>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</si>
  <si>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</si>
  <si>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</si>
  <si>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</si>
  <si>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</si>
  <si>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</si>
  <si>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</si>
  <si>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</si>
  <si>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</si>
  <si>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</si>
  <si>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</si>
  <si>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</si>
  <si>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</si>
  <si>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</si>
  <si>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</si>
  <si>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</si>
  <si>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</si>
  <si>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</si>
  <si>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</si>
  <si>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</si>
  <si>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</si>
  <si>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</si>
  <si>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</si>
  <si>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</si>
  <si>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</si>
  <si>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</si>
  <si>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</si>
  <si>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</si>
  <si>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</si>
  <si>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</si>
  <si>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</si>
  <si>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</si>
  <si>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</si>
  <si>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</si>
  <si>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</si>
  <si>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</si>
  <si>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</si>
  <si>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</si>
  <si>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</si>
  <si>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$5,000.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</si>
  <si>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</si>
  <si>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</si>
  <si>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</si>
  <si>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</si>
  <si>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</si>
  <si>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</si>
  <si>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</si>
  <si>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</si>
  <si>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</si>
  <si>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</si>
  <si>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</si>
  <si>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</si>
  <si>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</si>
  <si>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</si>
  <si>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</si>
  <si>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</si>
  <si>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</si>
  <si>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</si>
  <si>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</si>
  <si>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</si>
  <si>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</si>
  <si>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</si>
  <si>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</si>
  <si>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</si>
  <si>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</si>
  <si>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$5,000.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</si>
  <si>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</si>
  <si>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</si>
  <si>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</si>
  <si>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</si>
  <si>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</si>
  <si>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</si>
  <si>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</si>
  <si>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</si>
  <si>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</si>
  <si>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</si>
  <si>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</si>
  <si>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$5,000.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</si>
  <si>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</si>
  <si>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</si>
  <si>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</si>
  <si>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</si>
  <si>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</si>
  <si>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Cost Proposal - Total Amounts</t>
  </si>
  <si>
    <t>Totals</t>
  </si>
  <si>
    <r>
      <t>X</t>
    </r>
    <r>
      <rPr>
        <b/>
        <u/>
        <sz val="10"/>
        <rFont val="Avenir Next LT Pro Light"/>
        <family val="2"/>
      </rPr>
      <t>-Months</t>
    </r>
  </si>
  <si>
    <t>Proposer's Position Title</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</si>
  <si>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</si>
  <si>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</si>
  <si>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</si>
  <si>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</si>
  <si>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</si>
  <si>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</si>
  <si>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</si>
  <si>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</si>
  <si>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</si>
  <si>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</si>
  <si>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 Ph 1</t>
  </si>
  <si>
    <t>Consultants Ph 2</t>
  </si>
  <si>
    <t>Consultants Ph 3</t>
  </si>
  <si>
    <t>Consultants Ph 4</t>
  </si>
  <si>
    <t>Consultants Ph 5</t>
  </si>
  <si>
    <t>Consultants Ph 6</t>
  </si>
  <si>
    <t>Amount</t>
  </si>
  <si>
    <t>ODCs Ph 1</t>
  </si>
  <si>
    <t>ODCs Ph 2</t>
  </si>
  <si>
    <t>ODCs Ph 3</t>
  </si>
  <si>
    <t>ODCs Ph 4</t>
  </si>
  <si>
    <t>ODCs Ph 5</t>
  </si>
  <si>
    <t>ODCs Ph 6</t>
  </si>
  <si>
    <t>Total ODCs</t>
  </si>
  <si>
    <t>Mat'l Handling Ph 1</t>
  </si>
  <si>
    <t>Mat'l Handling Ph 2</t>
  </si>
  <si>
    <t>Mat'l Handling Ph 3</t>
  </si>
  <si>
    <t>Mat'l Handling Ph 4</t>
  </si>
  <si>
    <t>Mat'l Handling Ph 5</t>
  </si>
  <si>
    <t>Mat'l Handling Ph 6</t>
  </si>
  <si>
    <t>Total Material Handling</t>
  </si>
  <si>
    <t>Before Indirects and Fee/Profit</t>
  </si>
  <si>
    <t>Total Before Indirects and Fee/Profit</t>
  </si>
  <si>
    <t>G&amp;A Ph 1</t>
  </si>
  <si>
    <t>G&amp;A Ph 2</t>
  </si>
  <si>
    <t>G&amp;A Ph 3</t>
  </si>
  <si>
    <t>G&amp;A Ph 4</t>
  </si>
  <si>
    <t>G&amp;A Ph 5</t>
  </si>
  <si>
    <t>G&amp;A Ph 6</t>
  </si>
  <si>
    <t>Before FCCM</t>
  </si>
  <si>
    <t>Total Before FCCM</t>
  </si>
  <si>
    <t>FCCM Ph 1</t>
  </si>
  <si>
    <t>FCCM Ph 2</t>
  </si>
  <si>
    <t>FCCM Ph 3</t>
  </si>
  <si>
    <t>FCCM Ph 4</t>
  </si>
  <si>
    <t>FCCM Ph 5</t>
  </si>
  <si>
    <t>FCCM Ph 6</t>
  </si>
  <si>
    <t>Before Fee/Profit</t>
  </si>
  <si>
    <t>Total Before Fee/Profit</t>
  </si>
  <si>
    <t>Fee, or Profit</t>
  </si>
  <si>
    <t>Fee or Profit Ph 1</t>
  </si>
  <si>
    <t>Fee or Profit Ph 2</t>
  </si>
  <si>
    <t>Fee or Profit Ph 3</t>
  </si>
  <si>
    <t>Fee or Profit Ph 4</t>
  </si>
  <si>
    <t>Fee or Profit Ph 5</t>
  </si>
  <si>
    <t>Fee or Profit Ph 6</t>
  </si>
  <si>
    <t>Total Fee or Profit</t>
  </si>
  <si>
    <t>Total Est. Costs Ph 1</t>
  </si>
  <si>
    <t>Total Est. Costs Ph 2</t>
  </si>
  <si>
    <t>Total Est. Costs Ph 3</t>
  </si>
  <si>
    <t>Total Est. Costs Ph 4</t>
  </si>
  <si>
    <t>Total Est. Costs Ph 5</t>
  </si>
  <si>
    <t>Total Est. Costs Ph 6</t>
  </si>
  <si>
    <t>Total Estimated Dollars</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</si>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</sst>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16">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62" fillId="31" borderId="73" xfId="0" applyFont="1" applyFill="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6" xfId="0" applyFont="1" applyFill="1" applyBorder="1" applyAlignment="1">
      <alignment vertical="center" wrapText="1"/>
    </xf>
    <xf numFmtId="0" fontId="55" fillId="45" borderId="0" xfId="0" applyFont="1" applyFill="1" applyAlignment="1">
      <alignment vertical="center" wrapText="1"/>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164" fontId="86" fillId="45" borderId="0" xfId="0" applyNumberFormat="1" applyFont="1" applyFill="1" applyAlignment="1">
      <alignment horizontal="center"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0" fontId="55" fillId="45" borderId="0" xfId="0" applyFont="1" applyFill="1" applyAlignment="1">
      <alignment horizontal="right" vertical="center"/>
    </xf>
    <xf numFmtId="166" fontId="55" fillId="45" borderId="0" xfId="0" applyNumberFormat="1" applyFont="1" applyFill="1" applyAlignment="1">
      <alignment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56" fillId="45" borderId="87" xfId="0" applyNumberFormat="1"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1" xfId="0" applyFont="1" applyFill="1" applyBorder="1" applyAlignment="1">
      <alignment horizontal="right"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164" fontId="85" fillId="31" borderId="1" xfId="0" applyNumberFormat="1" applyFont="1" applyFill="1" applyBorder="1" applyAlignment="1">
      <alignment horizontal="center" vertical="center" wrapText="1"/>
    </xf>
    <xf numFmtId="0" fontId="55"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5" applyFont="1" applyFill="1" applyAlignment="1">
      <alignment horizontal="center" vertical="center"/>
    </xf>
    <xf numFmtId="49"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33" borderId="1" xfId="0" applyFont="1" applyFill="1" applyBorder="1" applyAlignment="1">
      <alignment horizontal="center" vertical="center"/>
    </xf>
    <xf numFmtId="0" fontId="56" fillId="0" borderId="0" xfId="0" applyFont="1" applyAlignment="1">
      <alignment vertical="center" wrapText="1"/>
    </xf>
    <xf numFmtId="0" fontId="56" fillId="33" borderId="1" xfId="0" applyFont="1" applyFill="1" applyBorder="1" applyAlignment="1">
      <alignment horizontal="right" vertical="center"/>
    </xf>
    <xf numFmtId="0" fontId="89" fillId="25"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0" fontId="16" fillId="0" borderId="0" xfId="0" applyFont="1" applyAlignment="1">
      <alignment horizontal="center"/>
    </xf>
    <xf numFmtId="0" fontId="63" fillId="29" borderId="1" xfId="0" applyFont="1" applyFill="1" applyBorder="1" applyAlignment="1">
      <alignment horizontal="center" vertical="center" wrapText="1"/>
    </xf>
    <xf numFmtId="0" fontId="57" fillId="9" borderId="1" xfId="0" applyFont="1" applyFill="1" applyBorder="1" applyAlignment="1">
      <alignment vertical="center" wrapText="1"/>
    </xf>
    <xf numFmtId="0" fontId="94" fillId="0" borderId="103" xfId="0" applyFont="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1" fillId="34" borderId="1" xfId="0" applyFont="1" applyFill="1" applyBorder="1" applyAlignment="1">
      <alignment horizontal="center" vertic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34" borderId="25" xfId="0" applyFont="1" applyFill="1" applyBorder="1" applyAlignment="1">
      <alignment horizontal="center" vertical="center" wrapText="1"/>
    </xf>
    <xf numFmtId="0" fontId="62" fillId="34" borderId="39" xfId="0" applyFont="1" applyFill="1" applyBorder="1" applyAlignment="1">
      <alignment horizontal="center" vertical="center" wrapText="1"/>
    </xf>
    <xf numFmtId="0" fontId="62" fillId="34" borderId="26" xfId="0" applyFont="1" applyFill="1" applyBorder="1" applyAlignment="1">
      <alignment horizontal="center" vertical="center" wrapText="1"/>
    </xf>
    <xf numFmtId="0" fontId="58" fillId="11" borderId="14" xfId="0" applyFont="1" applyFill="1" applyBorder="1" applyAlignment="1">
      <alignment horizontal="center" vertical="center" wrapText="1"/>
    </xf>
    <xf numFmtId="0" fontId="58" fillId="11" borderId="28" xfId="0" applyFont="1" applyFill="1" applyBorder="1" applyAlignment="1">
      <alignment horizontal="center" vertical="center" wrapText="1"/>
    </xf>
    <xf numFmtId="0" fontId="58" fillId="11" borderId="50" xfId="0" applyFont="1" applyFill="1" applyBorder="1" applyAlignment="1">
      <alignment horizontal="center" vertical="center" wrapText="1"/>
    </xf>
    <xf numFmtId="0" fontId="58" fillId="11" borderId="73" xfId="0" applyFont="1" applyFill="1" applyBorder="1" applyAlignment="1">
      <alignment horizontal="center" vertical="center" wrapText="1"/>
    </xf>
    <xf numFmtId="0" fontId="58" fillId="11" borderId="0" xfId="0" applyFont="1" applyFill="1" applyAlignment="1">
      <alignment horizontal="center" vertical="center" wrapText="1"/>
    </xf>
    <xf numFmtId="0" fontId="58" fillId="11" borderId="87" xfId="0" applyFont="1" applyFill="1" applyBorder="1" applyAlignment="1">
      <alignment horizontal="center" vertical="center" wrapText="1"/>
    </xf>
    <xf numFmtId="0" fontId="58" fillId="11" borderId="12" xfId="0" applyFont="1" applyFill="1" applyBorder="1" applyAlignment="1">
      <alignment horizontal="center" vertical="center" wrapText="1"/>
    </xf>
    <xf numFmtId="0" fontId="58" fillId="11" borderId="29" xfId="0" applyFont="1" applyFill="1" applyBorder="1" applyAlignment="1">
      <alignment horizontal="center" vertical="center" wrapText="1"/>
    </xf>
    <xf numFmtId="0" fontId="58" fillId="11" borderId="49"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wrapText="1"/>
    </xf>
    <xf numFmtId="0" fontId="63" fillId="35" borderId="14" xfId="0" applyFont="1" applyFill="1" applyBorder="1" applyAlignment="1">
      <alignment horizontal="center" vertical="center"/>
    </xf>
    <xf numFmtId="0" fontId="63" fillId="35" borderId="50" xfId="0" applyFont="1" applyFill="1" applyBorder="1" applyAlignment="1">
      <alignment horizontal="center" vertical="center"/>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4" fillId="0" borderId="1" xfId="0" applyFont="1" applyBorder="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0" fontId="55" fillId="0" borderId="31" xfId="0" applyFont="1" applyBorder="1" applyAlignment="1">
      <alignment horizontal="left" vertical="center" wrapText="1"/>
    </xf>
    <xf numFmtId="49" fontId="55" fillId="0" borderId="19"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0"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5" xfId="0" applyFont="1" applyFill="1" applyBorder="1" applyAlignment="1">
      <alignment horizontal="right" vertical="center"/>
    </xf>
    <xf numFmtId="0" fontId="85" fillId="34" borderId="1" xfId="0" applyFont="1" applyFill="1" applyBorder="1" applyAlignment="1">
      <alignment horizontal="right"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85" fillId="32" borderId="14" xfId="0" applyFont="1" applyFill="1" applyBorder="1" applyAlignment="1">
      <alignment horizontal="center" vertical="center"/>
    </xf>
    <xf numFmtId="0" fontId="85" fillId="32" borderId="12" xfId="0" applyFont="1" applyFill="1" applyBorder="1" applyAlignment="1">
      <alignment horizontal="center"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164" fontId="85" fillId="15" borderId="1" xfId="0" applyNumberFormat="1" applyFont="1" applyFill="1" applyBorder="1" applyAlignment="1">
      <alignment horizontal="center" vertical="center"/>
    </xf>
    <xf numFmtId="164" fontId="85" fillId="37" borderId="1" xfId="0" applyNumberFormat="1" applyFont="1" applyFill="1" applyBorder="1" applyAlignment="1">
      <alignment horizontal="center" vertical="center"/>
    </xf>
    <xf numFmtId="165" fontId="85" fillId="31"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7" borderId="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85" fillId="45" borderId="0" xfId="0" applyFont="1" applyFill="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5" fillId="15" borderId="5" xfId="0" applyFont="1" applyFill="1" applyBorder="1" applyAlignment="1">
      <alignment horizontal="right" vertical="center"/>
    </xf>
    <xf numFmtId="0" fontId="85" fillId="15"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6" fillId="0" borderId="0" xfId="0" applyFont="1" applyAlignment="1">
      <alignment horizontal="center" vertical="center"/>
    </xf>
    <xf numFmtId="0" fontId="86"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0" fontId="55" fillId="45" borderId="0" xfId="0" applyFont="1" applyFill="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45" borderId="40" xfId="0" applyFont="1" applyFill="1" applyBorder="1" applyAlignment="1">
      <alignment horizontal="center" vertical="center"/>
    </xf>
    <xf numFmtId="0" fontId="94" fillId="45" borderId="0" xfId="0" applyFont="1" applyFill="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2" xfId="0" applyFont="1" applyFill="1" applyBorder="1" applyAlignment="1">
      <alignment horizontal="center" vertical="center"/>
    </xf>
    <xf numFmtId="0" fontId="8" fillId="9" borderId="3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7" fillId="0" borderId="84" xfId="0" applyNumberFormat="1"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6" fillId="34" borderId="1" xfId="0" applyFont="1" applyFill="1" applyBorder="1" applyAlignment="1">
      <alignment horizontal="left"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6" fillId="33" borderId="1" xfId="0" applyFont="1" applyFill="1" applyBorder="1" applyAlignment="1">
      <alignment horizontal="right"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0" fontId="7" fillId="0" borderId="75" xfId="0" applyFont="1" applyBorder="1" applyAlignment="1">
      <alignment horizontal="center" vertical="center"/>
    </xf>
    <xf numFmtId="0" fontId="7" fillId="0" borderId="28"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0" fontId="7" fillId="0" borderId="29" xfId="0" applyFont="1" applyBorder="1" applyAlignment="1">
      <alignment horizontal="center" vertical="center"/>
    </xf>
    <xf numFmtId="0" fontId="7" fillId="0" borderId="80" xfId="0" applyFont="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0" fontId="7" fillId="0" borderId="73" xfId="0" applyFont="1" applyBorder="1" applyAlignment="1">
      <alignment horizontal="center" vertical="center"/>
    </xf>
    <xf numFmtId="0" fontId="7" fillId="0" borderId="12" xfId="0" applyFont="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6" fillId="9" borderId="1" xfId="0" applyFont="1" applyFill="1" applyBorder="1" applyAlignment="1">
      <alignment horizontal="left" vertical="center"/>
    </xf>
    <xf numFmtId="0" fontId="7" fillId="9" borderId="0" xfId="0" applyFont="1" applyFill="1" applyAlignment="1">
      <alignment horizontal="center" vertical="center"/>
    </xf>
    <xf numFmtId="0" fontId="7" fillId="9" borderId="2" xfId="0" applyFont="1" applyFill="1" applyBorder="1" applyAlignment="1">
      <alignment horizontal="center" vertical="center"/>
    </xf>
    <xf numFmtId="0" fontId="7" fillId="9" borderId="83" xfId="0" applyFont="1" applyFill="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9" borderId="85"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84" xfId="0" applyFont="1" applyFill="1" applyBorder="1" applyAlignment="1">
      <alignment horizontal="center" vertical="center"/>
    </xf>
    <xf numFmtId="0" fontId="6" fillId="36" borderId="1" xfId="0" applyFont="1" applyFill="1" applyBorder="1" applyAlignment="1">
      <alignment horizontal="right"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8" fillId="13" borderId="2" xfId="0" applyFont="1" applyFill="1" applyBorder="1" applyAlignment="1">
      <alignment horizontal="center"/>
    </xf>
    <xf numFmtId="0" fontId="8" fillId="13"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49" fontId="5" fillId="0" borderId="0" xfId="0" applyNumberFormat="1" applyFont="1" applyAlignment="1">
      <alignment wrapText="1"/>
    </xf>
    <xf numFmtId="0" fontId="5" fillId="0" borderId="0" xfId="0" applyFont="1"/>
    <xf numFmtId="0" fontId="8" fillId="12" borderId="2" xfId="0" applyFont="1" applyFill="1" applyBorder="1" applyAlignment="1">
      <alignment horizontal="center"/>
    </xf>
    <xf numFmtId="0" fontId="8" fillId="12" borderId="31" xfId="0" applyFont="1" applyFill="1" applyBorder="1" applyAlignment="1">
      <alignment horizont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8" fillId="24" borderId="1" xfId="0" applyFont="1" applyFill="1" applyBorder="1" applyAlignment="1">
      <alignment horizontal="center" vertical="center"/>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81" fillId="25" borderId="74"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49" fontId="63" fillId="35" borderId="1" xfId="5" applyNumberFormat="1" applyFont="1" applyFill="1" applyBorder="1" applyAlignment="1" applyProtection="1">
      <alignment horizontal="center" vertical="center" wrapText="1"/>
      <protection locked="0"/>
    </xf>
    <xf numFmtId="0" fontId="63" fillId="6" borderId="1" xfId="0" applyFont="1" applyFill="1" applyBorder="1" applyAlignment="1">
      <alignment horizontal="center" vertical="center"/>
    </xf>
    <xf numFmtId="164" fontId="56" fillId="6" borderId="1" xfId="0" applyNumberFormat="1" applyFont="1" applyFill="1" applyBorder="1" applyAlignment="1">
      <alignment horizontal="center" vertical="center"/>
    </xf>
    <xf numFmtId="0" fontId="56" fillId="6" borderId="1" xfId="0" applyFont="1" applyFill="1" applyBorder="1" applyAlignment="1">
      <alignment horizontal="center" vertical="center"/>
    </xf>
    <xf numFmtId="0" fontId="55" fillId="45" borderId="0" xfId="5" applyFont="1" applyFill="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164" fontId="63" fillId="37" borderId="1" xfId="5" quotePrefix="1" applyNumberFormat="1" applyFont="1" applyFill="1" applyBorder="1" applyAlignment="1">
      <alignment horizontal="center" vertical="center" wrapText="1"/>
    </xf>
    <xf numFmtId="0" fontId="63" fillId="24" borderId="1" xfId="0" applyFont="1" applyFill="1" applyBorder="1" applyAlignment="1">
      <alignment horizontal="center" vertical="center"/>
    </xf>
    <xf numFmtId="0" fontId="63" fillId="25" borderId="1" xfId="0" applyFont="1" applyFill="1" applyBorder="1" applyAlignment="1">
      <alignment horizontal="center" vertical="center"/>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164" fontId="56" fillId="45" borderId="0" xfId="5" applyNumberFormat="1" applyFont="1" applyFill="1" applyAlignment="1" applyProtection="1">
      <alignment horizontal="center" vertical="center" wrapText="1"/>
      <protection locked="0"/>
    </xf>
    <xf numFmtId="0" fontId="63" fillId="35" borderId="1" xfId="0" applyFont="1" applyFill="1" applyBorder="1" applyAlignment="1">
      <alignment horizontal="center" vertical="center"/>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0" fontId="63" fillId="31" borderId="1" xfId="0" applyFont="1" applyFill="1" applyBorder="1" applyAlignment="1">
      <alignment horizontal="center" vertical="center"/>
    </xf>
    <xf numFmtId="0" fontId="55" fillId="0" borderId="1" xfId="0" applyFont="1" applyBorder="1" applyAlignment="1">
      <alignment horizontal="left" vertical="center" wrapText="1"/>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6" fillId="33" borderId="1" xfId="0" applyFont="1" applyFill="1" applyBorder="1" applyAlignment="1">
      <alignment horizontal="center" vertical="center"/>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56" fillId="35" borderId="1" xfId="0" applyFont="1" applyFill="1" applyBorder="1" applyAlignment="1">
      <alignment horizontal="right" vertical="center"/>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55" fillId="0" borderId="2" xfId="0" applyFont="1" applyBorder="1" applyAlignment="1">
      <alignment horizontal="left" vertical="center" wrapText="1"/>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1" borderId="1" xfId="0" applyFont="1" applyFill="1" applyBorder="1" applyAlignment="1">
      <alignment horizontal="center" vertical="center" wrapText="1"/>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56" fillId="7" borderId="1" xfId="0"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8"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6" borderId="1" xfId="0" applyNumberFormat="1" applyFont="1" applyFill="1" applyBorder="1" applyAlignment="1">
      <alignment horizontal="center" vertical="center"/>
    </xf>
    <xf numFmtId="164" fontId="56" fillId="34"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56" fillId="9" borderId="1" xfId="0" applyNumberFormat="1" applyFont="1" applyFill="1" applyBorder="1" applyAlignment="1">
      <alignment horizontal="center" vertical="center"/>
    </xf>
    <xf numFmtId="164" fontId="56" fillId="32"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25" borderId="1" xfId="0" applyNumberFormat="1" applyFont="1" applyFill="1" applyBorder="1" applyAlignment="1">
      <alignment horizontal="center" vertical="center"/>
    </xf>
    <xf numFmtId="0" fontId="56" fillId="36" borderId="1" xfId="0" applyFont="1" applyFill="1" applyBorder="1" applyAlignment="1">
      <alignment horizontal="center" vertical="center"/>
    </xf>
    <xf numFmtId="0" fontId="56" fillId="34" borderId="1" xfId="0" applyFont="1" applyFill="1" applyBorder="1" applyAlignment="1">
      <alignment horizontal="center" vertical="center"/>
    </xf>
    <xf numFmtId="0" fontId="56" fillId="15" borderId="1" xfId="0" applyFont="1" applyFill="1" applyBorder="1" applyAlignment="1">
      <alignment horizontal="center" vertical="center"/>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1640625" defaultRowHeight="14" x14ac:dyDescent="0.3"/>
  <cols>
    <col min="1" max="1" width="16.453125" style="224" customWidth="1"/>
    <col min="2" max="2" width="27.453125" style="224" customWidth="1"/>
    <col min="3" max="3" width="128.81640625" style="224" customWidth="1"/>
  </cols>
  <sheetData>
    <row r="1" spans="1:3" s="24" customFormat="1" x14ac:dyDescent="0.3">
      <c r="A1" s="225" t="s">
        <v>0</v>
      </c>
      <c r="B1" s="225" t="s">
        <v>1</v>
      </c>
      <c r="C1" s="225" t="s">
        <v>2</v>
      </c>
    </row>
    <row r="2" spans="1:3" x14ac:dyDescent="0.3">
      <c r="A2" s="224" t="s">
        <v>3</v>
      </c>
      <c r="C2" s="224" t="s">
        <v>4</v>
      </c>
    </row>
    <row r="3" spans="1:3" ht="42" x14ac:dyDescent="0.3">
      <c r="A3" s="224" t="s">
        <v>5</v>
      </c>
      <c r="B3" s="224" t="s">
        <v>6</v>
      </c>
      <c r="C3" s="224" t="s">
        <v>7</v>
      </c>
    </row>
    <row r="4" spans="1:3" x14ac:dyDescent="0.3">
      <c r="A4" s="224" t="s">
        <v>5</v>
      </c>
      <c r="B4" s="224" t="s">
        <v>6</v>
      </c>
      <c r="C4" s="224" t="s">
        <v>8</v>
      </c>
    </row>
    <row r="5" spans="1:3" x14ac:dyDescent="0.3">
      <c r="A5" s="224" t="s">
        <v>5</v>
      </c>
      <c r="B5" s="224" t="s">
        <v>9</v>
      </c>
      <c r="C5" s="224" t="s">
        <v>10</v>
      </c>
    </row>
    <row r="6" spans="1:3" x14ac:dyDescent="0.3">
      <c r="A6" s="224" t="s">
        <v>11</v>
      </c>
      <c r="B6" s="224" t="s">
        <v>6</v>
      </c>
      <c r="C6" s="224" t="s">
        <v>12</v>
      </c>
    </row>
    <row r="7" spans="1:3" x14ac:dyDescent="0.3">
      <c r="A7" s="224" t="s">
        <v>11</v>
      </c>
      <c r="B7" s="224" t="s">
        <v>13</v>
      </c>
      <c r="C7" s="224" t="s">
        <v>14</v>
      </c>
    </row>
    <row r="8" spans="1:3" x14ac:dyDescent="0.3">
      <c r="A8" s="224" t="s">
        <v>11</v>
      </c>
      <c r="B8" s="224" t="s">
        <v>15</v>
      </c>
      <c r="C8" s="224" t="s">
        <v>16</v>
      </c>
    </row>
    <row r="9" spans="1:3" x14ac:dyDescent="0.3">
      <c r="A9" s="224" t="s">
        <v>17</v>
      </c>
      <c r="B9" s="224" t="s">
        <v>18</v>
      </c>
      <c r="C9" s="224" t="s">
        <v>19</v>
      </c>
    </row>
    <row r="10" spans="1:3" x14ac:dyDescent="0.3">
      <c r="A10" s="224" t="s">
        <v>20</v>
      </c>
      <c r="B10" s="224" t="s">
        <v>13</v>
      </c>
      <c r="C10" s="224" t="s">
        <v>21</v>
      </c>
    </row>
    <row r="11" spans="1:3" x14ac:dyDescent="0.3">
      <c r="A11" s="224" t="s">
        <v>20</v>
      </c>
      <c r="B11" s="224" t="s">
        <v>18</v>
      </c>
      <c r="C11" s="224" t="s">
        <v>22</v>
      </c>
    </row>
    <row r="12" spans="1:3" x14ac:dyDescent="0.3">
      <c r="A12" s="224" t="s">
        <v>20</v>
      </c>
      <c r="B12" s="224" t="s">
        <v>13</v>
      </c>
      <c r="C12" s="224" t="s">
        <v>23</v>
      </c>
    </row>
    <row r="13" spans="1:3" x14ac:dyDescent="0.3">
      <c r="A13" s="224" t="s">
        <v>20</v>
      </c>
      <c r="B13" s="224" t="s">
        <v>24</v>
      </c>
      <c r="C13" s="224" t="s">
        <v>25</v>
      </c>
    </row>
    <row r="14" spans="1:3" x14ac:dyDescent="0.3">
      <c r="A14" s="224" t="s">
        <v>20</v>
      </c>
      <c r="B14" s="224" t="s">
        <v>26</v>
      </c>
      <c r="C14" s="224" t="s">
        <v>27</v>
      </c>
    </row>
    <row r="15" spans="1:3" x14ac:dyDescent="0.3">
      <c r="A15" s="224" t="s">
        <v>20</v>
      </c>
      <c r="B15" s="224" t="s">
        <v>9</v>
      </c>
      <c r="C15" s="224" t="s">
        <v>28</v>
      </c>
    </row>
    <row r="16" spans="1:3" x14ac:dyDescent="0.3">
      <c r="A16" s="231" t="s">
        <v>20</v>
      </c>
      <c r="B16" s="224" t="s">
        <v>29</v>
      </c>
      <c r="C16" s="224" t="s">
        <v>30</v>
      </c>
    </row>
    <row r="17" spans="1:3" x14ac:dyDescent="0.3">
      <c r="A17" s="231" t="s">
        <v>20</v>
      </c>
      <c r="B17" s="224" t="s">
        <v>24</v>
      </c>
      <c r="C17" s="224" t="s">
        <v>31</v>
      </c>
    </row>
    <row r="18" spans="1:3" x14ac:dyDescent="0.3">
      <c r="A18" s="224" t="s">
        <v>20</v>
      </c>
      <c r="B18" s="224" t="s">
        <v>32</v>
      </c>
      <c r="C18" s="224" t="s">
        <v>33</v>
      </c>
    </row>
    <row r="19" spans="1:3" x14ac:dyDescent="0.3">
      <c r="A19" s="224" t="s">
        <v>34</v>
      </c>
      <c r="B19" s="224" t="s">
        <v>13</v>
      </c>
      <c r="C19" s="224" t="s">
        <v>35</v>
      </c>
    </row>
    <row r="20" spans="1:3" x14ac:dyDescent="0.3">
      <c r="A20" s="224" t="s">
        <v>34</v>
      </c>
      <c r="B20" s="224" t="s">
        <v>36</v>
      </c>
      <c r="C20" s="224" t="s">
        <v>37</v>
      </c>
    </row>
    <row r="21" spans="1:3" x14ac:dyDescent="0.3">
      <c r="A21" s="224" t="s">
        <v>34</v>
      </c>
      <c r="B21" s="224" t="s">
        <v>38</v>
      </c>
      <c r="C21" s="224" t="s">
        <v>39</v>
      </c>
    </row>
    <row r="22" spans="1:3" x14ac:dyDescent="0.3">
      <c r="A22" s="224" t="s">
        <v>40</v>
      </c>
      <c r="B22" s="224" t="s">
        <v>18</v>
      </c>
      <c r="C22" s="224" t="s">
        <v>41</v>
      </c>
    </row>
    <row r="23" spans="1:3" x14ac:dyDescent="0.3">
      <c r="A23" s="224" t="s">
        <v>42</v>
      </c>
      <c r="B23" s="224" t="s">
        <v>18</v>
      </c>
      <c r="C23" s="224" t="s">
        <v>43</v>
      </c>
    </row>
    <row r="24" spans="1:3" x14ac:dyDescent="0.3">
      <c r="A24" s="224" t="s">
        <v>44</v>
      </c>
      <c r="B24" s="224" t="s">
        <v>18</v>
      </c>
      <c r="C24" s="224" t="s">
        <v>45</v>
      </c>
    </row>
    <row r="25" spans="1:3" x14ac:dyDescent="0.3">
      <c r="A25" s="224" t="s">
        <v>44</v>
      </c>
      <c r="B25" s="224" t="s">
        <v>46</v>
      </c>
      <c r="C25" s="224" t="s">
        <v>47</v>
      </c>
    </row>
    <row r="26" spans="1:3" x14ac:dyDescent="0.3">
      <c r="A26" s="224" t="s">
        <v>44</v>
      </c>
      <c r="B26" s="224" t="s">
        <v>48</v>
      </c>
      <c r="C26" s="224" t="s">
        <v>49</v>
      </c>
    </row>
    <row r="27" spans="1:3" x14ac:dyDescent="0.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1640625" defaultRowHeight="12.5" x14ac:dyDescent="0.25"/>
  <cols>
    <col min="1" max="1" width="33.453125" customWidth="1"/>
    <col min="2" max="2" width="24.453125" customWidth="1"/>
    <col min="4" max="4" width="29" bestFit="1" customWidth="1"/>
    <col min="5" max="5" width="23.453125" bestFit="1" customWidth="1"/>
  </cols>
  <sheetData>
    <row r="1" spans="1:4" ht="13" x14ac:dyDescent="0.3">
      <c r="A1" s="24" t="s">
        <v>51</v>
      </c>
    </row>
    <row r="2" spans="1:4" x14ac:dyDescent="0.25">
      <c r="A2" s="230" t="s">
        <v>44</v>
      </c>
      <c r="B2" t="s">
        <v>52</v>
      </c>
    </row>
    <row r="4" spans="1:4" ht="13" x14ac:dyDescent="0.3">
      <c r="A4" s="24" t="s">
        <v>53</v>
      </c>
    </row>
    <row r="5" spans="1:4" x14ac:dyDescent="0.25">
      <c r="A5" s="54"/>
    </row>
    <row r="7" spans="1:4" ht="13" x14ac:dyDescent="0.3">
      <c r="A7" s="24" t="s">
        <v>54</v>
      </c>
      <c r="D7" s="24" t="s">
        <v>55</v>
      </c>
    </row>
    <row r="8" spans="1:4" x14ac:dyDescent="0.25">
      <c r="A8" s="54" t="s">
        <v>56</v>
      </c>
      <c r="D8" s="55" t="s">
        <v>57</v>
      </c>
    </row>
    <row r="9" spans="1:4" x14ac:dyDescent="0.25">
      <c r="A9" s="54" t="s">
        <v>58</v>
      </c>
      <c r="D9" s="55" t="s">
        <v>59</v>
      </c>
    </row>
    <row r="10" spans="1:4" x14ac:dyDescent="0.25">
      <c r="A10" s="54" t="s">
        <v>60</v>
      </c>
    </row>
    <row r="11" spans="1:4" x14ac:dyDescent="0.25">
      <c r="A11" s="54" t="s">
        <v>61</v>
      </c>
    </row>
    <row r="12" spans="1:4" ht="13" x14ac:dyDescent="0.3">
      <c r="A12" s="54" t="s">
        <v>62</v>
      </c>
      <c r="D12" s="24" t="s">
        <v>63</v>
      </c>
    </row>
    <row r="14" spans="1:4" ht="13" x14ac:dyDescent="0.3">
      <c r="A14" s="24" t="s">
        <v>64</v>
      </c>
      <c r="C14" s="84" t="str">
        <f>CONCATENATE("Offeror.Bus.Type is ",Offeror.Bus.Type)</f>
        <v>Offeror.Bus.Type is Large Business</v>
      </c>
    </row>
    <row r="15" spans="1:4" ht="14.5" x14ac:dyDescent="0.35">
      <c r="A15" s="65" t="str">
        <f>IF(Offeror.Bus.Type = "", "",IF(Offeror.Bus.Type = "Academia","Academia","General"))</f>
        <v>General</v>
      </c>
      <c r="B15" s="55" t="s">
        <v>65</v>
      </c>
      <c r="D15" s="70" t="s">
        <v>66</v>
      </c>
    </row>
    <row r="16" spans="1:4" ht="13" x14ac:dyDescent="0.3">
      <c r="A16" s="24"/>
      <c r="B16" s="55"/>
    </row>
    <row r="17" spans="1:4" ht="13" x14ac:dyDescent="0.3">
      <c r="A17" s="24" t="s">
        <v>67</v>
      </c>
      <c r="B17" s="55" t="s">
        <v>68</v>
      </c>
    </row>
    <row r="18" spans="1:4" x14ac:dyDescent="0.25">
      <c r="A18" s="64" t="s">
        <v>69</v>
      </c>
      <c r="B18" s="55" t="s">
        <v>70</v>
      </c>
    </row>
    <row r="19" spans="1:4" ht="13" x14ac:dyDescent="0.3">
      <c r="A19" s="24"/>
      <c r="B19" s="55"/>
    </row>
    <row r="20" spans="1:4" ht="14.5" x14ac:dyDescent="0.35">
      <c r="A20" s="69" t="s">
        <v>71</v>
      </c>
      <c r="B20" s="55"/>
      <c r="D20" s="70" t="s">
        <v>72</v>
      </c>
    </row>
    <row r="21" spans="1:4" x14ac:dyDescent="0.25">
      <c r="A21" s="64" t="s">
        <v>73</v>
      </c>
      <c r="B21" s="55"/>
    </row>
    <row r="22" spans="1:4" x14ac:dyDescent="0.25">
      <c r="A22" s="64" t="s">
        <v>74</v>
      </c>
      <c r="B22" s="55"/>
    </row>
    <row r="23" spans="1:4" x14ac:dyDescent="0.25">
      <c r="A23" s="64" t="s">
        <v>75</v>
      </c>
      <c r="B23" s="55"/>
    </row>
    <row r="24" spans="1:4" x14ac:dyDescent="0.25">
      <c r="A24" s="64" t="s">
        <v>76</v>
      </c>
      <c r="B24" s="55"/>
    </row>
    <row r="25" spans="1:4" x14ac:dyDescent="0.25">
      <c r="A25" s="55"/>
      <c r="B25" s="55"/>
    </row>
    <row r="26" spans="1:4" ht="13" x14ac:dyDescent="0.3">
      <c r="A26" s="69" t="s">
        <v>77</v>
      </c>
      <c r="B26" s="55"/>
    </row>
    <row r="27" spans="1:4" x14ac:dyDescent="0.25">
      <c r="A27" s="64" t="s">
        <v>73</v>
      </c>
      <c r="B27" s="55"/>
    </row>
    <row r="28" spans="1:4" x14ac:dyDescent="0.25">
      <c r="A28" s="64" t="s">
        <v>78</v>
      </c>
      <c r="B28" s="55"/>
    </row>
    <row r="29" spans="1:4" x14ac:dyDescent="0.25">
      <c r="A29" s="64" t="s">
        <v>79</v>
      </c>
      <c r="B29" s="55"/>
    </row>
    <row r="30" spans="1:4" x14ac:dyDescent="0.25">
      <c r="A30" s="64" t="s">
        <v>75</v>
      </c>
      <c r="B30" s="55"/>
    </row>
    <row r="31" spans="1:4" x14ac:dyDescent="0.25">
      <c r="A31" s="64" t="s">
        <v>80</v>
      </c>
      <c r="B31" s="55"/>
    </row>
    <row r="32" spans="1:4" x14ac:dyDescent="0.25">
      <c r="A32" s="55"/>
      <c r="B32" s="55"/>
    </row>
    <row r="33" spans="1:2" ht="13" x14ac:dyDescent="0.3">
      <c r="A33" s="24" t="s">
        <v>81</v>
      </c>
      <c r="B33" s="55"/>
    </row>
    <row r="34" spans="1:2" x14ac:dyDescent="0.25">
      <c r="A34" s="64" t="s">
        <v>82</v>
      </c>
      <c r="B34" s="55"/>
    </row>
    <row r="35" spans="1:2" x14ac:dyDescent="0.25">
      <c r="A35" s="64" t="s">
        <v>83</v>
      </c>
      <c r="B35" s="55"/>
    </row>
    <row r="36" spans="1:2" x14ac:dyDescent="0.25">
      <c r="A36" s="64" t="s">
        <v>84</v>
      </c>
      <c r="B36" s="55"/>
    </row>
    <row r="37" spans="1:2" x14ac:dyDescent="0.25">
      <c r="A37" s="64" t="s">
        <v>85</v>
      </c>
      <c r="B37" s="55"/>
    </row>
    <row r="38" spans="1:2" x14ac:dyDescent="0.25">
      <c r="A38" s="55"/>
      <c r="B38" s="55"/>
    </row>
    <row r="39" spans="1:2" ht="13" x14ac:dyDescent="0.3">
      <c r="A39" s="24" t="s">
        <v>86</v>
      </c>
      <c r="B39" s="55"/>
    </row>
    <row r="40" spans="1:2" x14ac:dyDescent="0.25">
      <c r="A40" s="64" t="s">
        <v>87</v>
      </c>
      <c r="B40" s="55"/>
    </row>
    <row r="41" spans="1:2" x14ac:dyDescent="0.25">
      <c r="A41" s="64" t="s">
        <v>88</v>
      </c>
      <c r="B41" s="55"/>
    </row>
    <row r="42" spans="1:2" x14ac:dyDescent="0.25">
      <c r="A42" s="64" t="s">
        <v>89</v>
      </c>
      <c r="B42" s="55"/>
    </row>
    <row r="43" spans="1:2" x14ac:dyDescent="0.25">
      <c r="A43" s="64" t="s">
        <v>90</v>
      </c>
      <c r="B43" s="55"/>
    </row>
    <row r="44" spans="1:2" x14ac:dyDescent="0.25">
      <c r="A44" s="64" t="s">
        <v>91</v>
      </c>
      <c r="B44" s="55"/>
    </row>
    <row r="45" spans="1:2" x14ac:dyDescent="0.25">
      <c r="A45" s="64" t="s">
        <v>92</v>
      </c>
      <c r="B45" s="55"/>
    </row>
    <row r="46" spans="1:2" x14ac:dyDescent="0.25">
      <c r="A46" s="64" t="s">
        <v>93</v>
      </c>
      <c r="B46" s="55"/>
    </row>
    <row r="47" spans="1:2" x14ac:dyDescent="0.25">
      <c r="A47" s="64" t="s">
        <v>94</v>
      </c>
      <c r="B47" s="55"/>
    </row>
    <row r="48" spans="1:2" x14ac:dyDescent="0.25">
      <c r="A48" s="64" t="s">
        <v>95</v>
      </c>
      <c r="B48" s="55"/>
    </row>
    <row r="49" spans="1:2" x14ac:dyDescent="0.25">
      <c r="A49" s="64" t="s">
        <v>96</v>
      </c>
      <c r="B49" s="55"/>
    </row>
    <row r="50" spans="1:2" x14ac:dyDescent="0.25">
      <c r="A50" s="64" t="s">
        <v>97</v>
      </c>
      <c r="B50" s="55"/>
    </row>
    <row r="51" spans="1:2" x14ac:dyDescent="0.25">
      <c r="A51" s="64" t="s">
        <v>75</v>
      </c>
      <c r="B51" s="55"/>
    </row>
    <row r="52" spans="1:2" x14ac:dyDescent="0.25">
      <c r="A52" s="55"/>
      <c r="B52" s="55"/>
    </row>
    <row r="53" spans="1:2" ht="13" x14ac:dyDescent="0.3">
      <c r="A53" s="24" t="s">
        <v>98</v>
      </c>
      <c r="B53" s="55"/>
    </row>
    <row r="54" spans="1:2" x14ac:dyDescent="0.25">
      <c r="A54" s="64" t="s">
        <v>75</v>
      </c>
      <c r="B54" s="55"/>
    </row>
    <row r="55" spans="1:2" x14ac:dyDescent="0.25">
      <c r="A55" s="55"/>
      <c r="B55" s="55"/>
    </row>
    <row r="56" spans="1:2" ht="13" x14ac:dyDescent="0.3">
      <c r="A56" s="24" t="s">
        <v>99</v>
      </c>
      <c r="B56" s="55"/>
    </row>
    <row r="57" spans="1:2" x14ac:dyDescent="0.25">
      <c r="A57" s="64" t="s">
        <v>100</v>
      </c>
      <c r="B57" s="55"/>
    </row>
    <row r="58" spans="1:2" x14ac:dyDescent="0.25">
      <c r="A58" s="64" t="s">
        <v>101</v>
      </c>
    </row>
    <row r="59" spans="1:2" x14ac:dyDescent="0.25">
      <c r="A59" s="55"/>
      <c r="B59" s="55"/>
    </row>
    <row r="60" spans="1:2" ht="13" x14ac:dyDescent="0.3">
      <c r="A60" s="24" t="s">
        <v>102</v>
      </c>
      <c r="B60" s="55"/>
    </row>
    <row r="61" spans="1:2" x14ac:dyDescent="0.25">
      <c r="A61" s="64" t="s">
        <v>103</v>
      </c>
      <c r="B61" s="55"/>
    </row>
    <row r="62" spans="1:2" x14ac:dyDescent="0.25">
      <c r="A62" s="64" t="s">
        <v>104</v>
      </c>
      <c r="B62" s="55"/>
    </row>
    <row r="63" spans="1:2" x14ac:dyDescent="0.25">
      <c r="A63" s="64" t="s">
        <v>105</v>
      </c>
      <c r="B63" s="55"/>
    </row>
    <row r="64" spans="1:2" x14ac:dyDescent="0.25">
      <c r="A64" s="64" t="s">
        <v>106</v>
      </c>
      <c r="B64" s="55"/>
    </row>
    <row r="65" spans="1:2" x14ac:dyDescent="0.25">
      <c r="A65" s="55"/>
      <c r="B65" s="55"/>
    </row>
    <row r="66" spans="1:2" ht="13" x14ac:dyDescent="0.3">
      <c r="A66" s="24" t="s">
        <v>107</v>
      </c>
      <c r="B66" s="55"/>
    </row>
    <row r="67" spans="1:2" x14ac:dyDescent="0.25">
      <c r="A67" s="64" t="s">
        <v>108</v>
      </c>
      <c r="B67" s="55"/>
    </row>
    <row r="68" spans="1:2" x14ac:dyDescent="0.25">
      <c r="A68" s="64" t="s">
        <v>109</v>
      </c>
      <c r="B68" s="55"/>
    </row>
    <row r="69" spans="1:2" x14ac:dyDescent="0.25">
      <c r="A69" s="64" t="s">
        <v>110</v>
      </c>
      <c r="B69" s="55"/>
    </row>
    <row r="70" spans="1:2" x14ac:dyDescent="0.25">
      <c r="A70" s="64" t="s">
        <v>111</v>
      </c>
      <c r="B70" s="55"/>
    </row>
    <row r="71" spans="1:2" x14ac:dyDescent="0.25">
      <c r="A71" s="55"/>
      <c r="B71" s="55"/>
    </row>
    <row r="72" spans="1:2" ht="13" x14ac:dyDescent="0.3">
      <c r="A72" s="24" t="s">
        <v>112</v>
      </c>
      <c r="B72" s="55"/>
    </row>
    <row r="73" spans="1:2" x14ac:dyDescent="0.25">
      <c r="A73" s="64" t="s">
        <v>113</v>
      </c>
      <c r="B73" s="55"/>
    </row>
    <row r="74" spans="1:2" x14ac:dyDescent="0.25">
      <c r="A74" s="64" t="s">
        <v>114</v>
      </c>
      <c r="B74" s="55"/>
    </row>
    <row r="75" spans="1:2" x14ac:dyDescent="0.25">
      <c r="A75" s="64" t="s">
        <v>115</v>
      </c>
      <c r="B75" s="55"/>
    </row>
    <row r="76" spans="1:2" x14ac:dyDescent="0.25">
      <c r="A76" s="64" t="s">
        <v>116</v>
      </c>
      <c r="B76" s="55"/>
    </row>
    <row r="77" spans="1:2" x14ac:dyDescent="0.25">
      <c r="A77" s="55"/>
      <c r="B77" s="55"/>
    </row>
    <row r="78" spans="1:2" ht="13" x14ac:dyDescent="0.3">
      <c r="A78" s="24" t="s">
        <v>117</v>
      </c>
      <c r="B78" s="55"/>
    </row>
    <row r="79" spans="1:2" x14ac:dyDescent="0.25">
      <c r="A79" s="64" t="s">
        <v>118</v>
      </c>
      <c r="B79" s="55"/>
    </row>
    <row r="80" spans="1:2" x14ac:dyDescent="0.25">
      <c r="A80" s="64" t="s">
        <v>119</v>
      </c>
      <c r="B80" s="55"/>
    </row>
    <row r="81" spans="1:2" x14ac:dyDescent="0.25">
      <c r="A81" s="64" t="s">
        <v>120</v>
      </c>
      <c r="B81" s="55"/>
    </row>
    <row r="82" spans="1:2" x14ac:dyDescent="0.25">
      <c r="A82" s="64" t="s">
        <v>121</v>
      </c>
      <c r="B82" s="55"/>
    </row>
    <row r="83" spans="1:2" x14ac:dyDescent="0.25">
      <c r="A83" s="55"/>
      <c r="B83" s="55"/>
    </row>
    <row r="84" spans="1:2" ht="13" x14ac:dyDescent="0.3">
      <c r="A84" s="24" t="s">
        <v>122</v>
      </c>
      <c r="B84" s="55"/>
    </row>
    <row r="85" spans="1:2" x14ac:dyDescent="0.25">
      <c r="A85" s="64" t="s">
        <v>123</v>
      </c>
      <c r="B85" s="55"/>
    </row>
    <row r="86" spans="1:2" x14ac:dyDescent="0.25">
      <c r="A86" s="64" t="s">
        <v>124</v>
      </c>
      <c r="B86" s="55"/>
    </row>
    <row r="87" spans="1:2" x14ac:dyDescent="0.25">
      <c r="A87" s="64" t="s">
        <v>125</v>
      </c>
      <c r="B87" s="55"/>
    </row>
    <row r="88" spans="1:2" x14ac:dyDescent="0.25">
      <c r="A88" s="64" t="s">
        <v>126</v>
      </c>
      <c r="B88" s="55"/>
    </row>
    <row r="89" spans="1:2" x14ac:dyDescent="0.25">
      <c r="A89" s="64" t="s">
        <v>127</v>
      </c>
      <c r="B89" s="55"/>
    </row>
    <row r="90" spans="1:2" x14ac:dyDescent="0.25">
      <c r="A90" s="64" t="s">
        <v>128</v>
      </c>
      <c r="B90" s="55"/>
    </row>
    <row r="91" spans="1:2" x14ac:dyDescent="0.25">
      <c r="A91" s="64" t="s">
        <v>129</v>
      </c>
      <c r="B91" s="55"/>
    </row>
    <row r="92" spans="1:2" x14ac:dyDescent="0.25">
      <c r="A92" s="64" t="s">
        <v>130</v>
      </c>
      <c r="B92" s="55"/>
    </row>
    <row r="93" spans="1:2" x14ac:dyDescent="0.25">
      <c r="B93" s="55"/>
    </row>
    <row r="94" spans="1:2" x14ac:dyDescent="0.25">
      <c r="A94" s="55"/>
      <c r="B94" s="55"/>
    </row>
    <row r="95" spans="1:2" ht="13" x14ac:dyDescent="0.3">
      <c r="A95" s="24" t="s">
        <v>131</v>
      </c>
      <c r="B95" s="55"/>
    </row>
    <row r="96" spans="1:2" x14ac:dyDescent="0.25">
      <c r="A96" s="64" t="s">
        <v>75</v>
      </c>
      <c r="B96" s="55"/>
    </row>
    <row r="97" spans="1:2" x14ac:dyDescent="0.25">
      <c r="A97" s="55"/>
      <c r="B97" s="55"/>
    </row>
    <row r="99" spans="1:2" s="67" customFormat="1" ht="13" x14ac:dyDescent="0.3">
      <c r="A99" s="66"/>
    </row>
    <row r="100" spans="1:2" x14ac:dyDescent="0.25">
      <c r="A100" s="55"/>
    </row>
    <row r="101" spans="1:2" ht="13" x14ac:dyDescent="0.3">
      <c r="A101" s="24" t="s">
        <v>132</v>
      </c>
    </row>
    <row r="102" spans="1:2" x14ac:dyDescent="0.25">
      <c r="A102" s="64" t="s">
        <v>133</v>
      </c>
    </row>
    <row r="103" spans="1:2" x14ac:dyDescent="0.25">
      <c r="A103" s="64" t="s">
        <v>134</v>
      </c>
    </row>
    <row r="104" spans="1:2" x14ac:dyDescent="0.25">
      <c r="A104" s="64" t="s">
        <v>135</v>
      </c>
    </row>
    <row r="105" spans="1:2" x14ac:dyDescent="0.25">
      <c r="A105" s="64" t="s">
        <v>136</v>
      </c>
    </row>
    <row r="106" spans="1:2" x14ac:dyDescent="0.25">
      <c r="A106" s="64" t="s">
        <v>137</v>
      </c>
    </row>
    <row r="107" spans="1:2" x14ac:dyDescent="0.25">
      <c r="A107" s="64" t="s">
        <v>138</v>
      </c>
    </row>
    <row r="108" spans="1:2" x14ac:dyDescent="0.25">
      <c r="A108" s="54" t="s">
        <v>139</v>
      </c>
    </row>
    <row r="109" spans="1:2" x14ac:dyDescent="0.25">
      <c r="A109" s="54" t="s">
        <v>140</v>
      </c>
    </row>
    <row r="110" spans="1:2" x14ac:dyDescent="0.25">
      <c r="A110" s="54" t="s">
        <v>141</v>
      </c>
    </row>
    <row r="111" spans="1:2" x14ac:dyDescent="0.25">
      <c r="A111" s="54" t="s">
        <v>142</v>
      </c>
    </row>
    <row r="112" spans="1:2" x14ac:dyDescent="0.25">
      <c r="A112" s="54" t="s">
        <v>143</v>
      </c>
    </row>
    <row r="113" spans="1:1" x14ac:dyDescent="0.25">
      <c r="A113" s="64" t="s">
        <v>144</v>
      </c>
    </row>
    <row r="114" spans="1:1" x14ac:dyDescent="0.25">
      <c r="A114" s="64" t="s">
        <v>145</v>
      </c>
    </row>
    <row r="115" spans="1:1" x14ac:dyDescent="0.25">
      <c r="A115" s="64" t="s">
        <v>146</v>
      </c>
    </row>
    <row r="116" spans="1:1" x14ac:dyDescent="0.25">
      <c r="A116" s="64" t="s">
        <v>147</v>
      </c>
    </row>
    <row r="117" spans="1:1" x14ac:dyDescent="0.25">
      <c r="A117" s="64" t="s">
        <v>148</v>
      </c>
    </row>
    <row r="118" spans="1:1" x14ac:dyDescent="0.25">
      <c r="A118" s="64" t="s">
        <v>149</v>
      </c>
    </row>
    <row r="119" spans="1:1" x14ac:dyDescent="0.25">
      <c r="A119" s="55"/>
    </row>
    <row r="120" spans="1:1" x14ac:dyDescent="0.25">
      <c r="A120" s="55"/>
    </row>
    <row r="121" spans="1:1" ht="13" x14ac:dyDescent="0.3">
      <c r="A121" s="66"/>
    </row>
    <row r="122" spans="1:1" s="67" customFormat="1" x14ac:dyDescent="0.25">
      <c r="A122" s="85"/>
    </row>
    <row r="123" spans="1:1" ht="13" x14ac:dyDescent="0.3">
      <c r="A123" s="285" t="s">
        <v>150</v>
      </c>
    </row>
    <row r="124" spans="1:1" x14ac:dyDescent="0.25">
      <c r="A124" s="286" t="s">
        <v>151</v>
      </c>
    </row>
    <row r="125" spans="1:1" x14ac:dyDescent="0.25">
      <c r="A125" s="286" t="s">
        <v>152</v>
      </c>
    </row>
    <row r="126" spans="1:1" x14ac:dyDescent="0.25">
      <c r="A126" s="286" t="s">
        <v>153</v>
      </c>
    </row>
    <row r="127" spans="1:1" x14ac:dyDescent="0.25">
      <c r="A127" s="286" t="s">
        <v>154</v>
      </c>
    </row>
    <row r="128" spans="1:1" x14ac:dyDescent="0.25">
      <c r="A128" s="85"/>
    </row>
    <row r="129" spans="1:1" ht="13" x14ac:dyDescent="0.3">
      <c r="A129" s="287"/>
    </row>
    <row r="130" spans="1:1" s="67" customFormat="1" x14ac:dyDescent="0.25">
      <c r="A130" s="85"/>
    </row>
    <row r="131" spans="1:1" ht="13" x14ac:dyDescent="0.3">
      <c r="A131" s="285" t="s">
        <v>155</v>
      </c>
    </row>
    <row r="132" spans="1:1" x14ac:dyDescent="0.25">
      <c r="A132" s="286" t="s">
        <v>151</v>
      </c>
    </row>
    <row r="133" spans="1:1" x14ac:dyDescent="0.25">
      <c r="A133" s="286" t="s">
        <v>156</v>
      </c>
    </row>
    <row r="134" spans="1:1" x14ac:dyDescent="0.25">
      <c r="A134" s="286" t="s">
        <v>157</v>
      </c>
    </row>
    <row r="135" spans="1:1" x14ac:dyDescent="0.25">
      <c r="A135" s="286" t="s">
        <v>158</v>
      </c>
    </row>
    <row r="136" spans="1:1" x14ac:dyDescent="0.25">
      <c r="A136" s="286" t="s">
        <v>159</v>
      </c>
    </row>
    <row r="137" spans="1:1" x14ac:dyDescent="0.25">
      <c r="A137" s="83"/>
    </row>
    <row r="138" spans="1:1" x14ac:dyDescent="0.25">
      <c r="A138" s="55"/>
    </row>
    <row r="139" spans="1:1" x14ac:dyDescent="0.25">
      <c r="A139" s="55"/>
    </row>
    <row r="140" spans="1:1" x14ac:dyDescent="0.25">
      <c r="A140" s="55"/>
    </row>
    <row r="141" spans="1:1" x14ac:dyDescent="0.25">
      <c r="A141" s="55"/>
    </row>
    <row r="142" spans="1:1" x14ac:dyDescent="0.25">
      <c r="A142" s="55"/>
    </row>
    <row r="143" spans="1:1" x14ac:dyDescent="0.25">
      <c r="A143" s="55"/>
    </row>
    <row r="144" spans="1:1" x14ac:dyDescent="0.25">
      <c r="A144" s="55"/>
    </row>
    <row r="145" spans="1:1" x14ac:dyDescent="0.25">
      <c r="A145" s="55"/>
    </row>
    <row r="146" spans="1:1" x14ac:dyDescent="0.25">
      <c r="A146" s="55"/>
    </row>
    <row r="168" spans="1:1" x14ac:dyDescent="0.25">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pageSetUpPr fitToPage="1"/>
  </sheetPr>
  <dimension ref="A1:P68"/>
  <sheetViews>
    <sheetView tabSelected="1" view="pageBreakPreview" zoomScaleNormal="85" zoomScaleSheetLayoutView="100" workbookViewId="0">
      <selection activeCell="B2" sqref="B2:C2"/>
    </sheetView>
  </sheetViews>
  <sheetFormatPr defaultColWidth="8.81640625" defaultRowHeight="14.5" x14ac:dyDescent="0.25"/>
  <cols>
    <col min="1" max="1" width="2.1796875" style="511" customWidth="1"/>
    <col min="2" max="2" width="22.1796875" style="511" customWidth="1"/>
    <col min="3" max="3" width="134.81640625" style="511" customWidth="1"/>
    <col min="4" max="4" width="2.81640625" style="511" customWidth="1"/>
    <col min="5" max="16384" width="8.81640625" style="511"/>
  </cols>
  <sheetData>
    <row r="1" spans="1:4" x14ac:dyDescent="0.25">
      <c r="A1" s="1204"/>
      <c r="B1" s="1205"/>
      <c r="C1" s="1205"/>
      <c r="D1" s="1206"/>
    </row>
    <row r="2" spans="1:4" ht="34.5" customHeight="1" x14ac:dyDescent="0.25">
      <c r="A2" s="821"/>
      <c r="B2" s="1209" t="s">
        <v>161</v>
      </c>
      <c r="C2" s="1209"/>
      <c r="D2" s="823"/>
    </row>
    <row r="3" spans="1:4" x14ac:dyDescent="0.25">
      <c r="A3" s="821"/>
      <c r="B3" s="1213"/>
      <c r="C3" s="1213"/>
      <c r="D3" s="823"/>
    </row>
    <row r="4" spans="1:4" ht="48.65" customHeight="1" x14ac:dyDescent="0.25">
      <c r="A4" s="821"/>
      <c r="B4" s="1207" t="s">
        <v>162</v>
      </c>
      <c r="C4" s="1207"/>
      <c r="D4" s="823"/>
    </row>
    <row r="5" spans="1:4" ht="40.5" customHeight="1" x14ac:dyDescent="0.25">
      <c r="A5" s="821"/>
      <c r="B5" s="1207" t="s">
        <v>163</v>
      </c>
      <c r="C5" s="1207"/>
      <c r="D5" s="823"/>
    </row>
    <row r="6" spans="1:4" ht="64.5" customHeight="1" x14ac:dyDescent="0.25">
      <c r="A6" s="821"/>
      <c r="B6" s="1208" t="s">
        <v>164</v>
      </c>
      <c r="C6" s="1208"/>
      <c r="D6" s="823"/>
    </row>
    <row r="7" spans="1:4" ht="33" customHeight="1" x14ac:dyDescent="0.25">
      <c r="A7" s="821"/>
      <c r="B7" s="1207" t="s">
        <v>165</v>
      </c>
      <c r="C7" s="1207"/>
      <c r="D7" s="823"/>
    </row>
    <row r="8" spans="1:4" x14ac:dyDescent="0.25">
      <c r="A8" s="821"/>
      <c r="B8" s="826"/>
      <c r="C8" s="827"/>
      <c r="D8" s="823"/>
    </row>
    <row r="9" spans="1:4" ht="24" customHeight="1" x14ac:dyDescent="0.25">
      <c r="A9" s="821"/>
      <c r="B9" s="1211" t="s">
        <v>166</v>
      </c>
      <c r="C9" s="1212"/>
      <c r="D9" s="823"/>
    </row>
    <row r="10" spans="1:4" ht="42" customHeight="1" x14ac:dyDescent="0.25">
      <c r="A10" s="821"/>
      <c r="B10" s="1217" t="s">
        <v>167</v>
      </c>
      <c r="C10" s="1158" t="s">
        <v>168</v>
      </c>
      <c r="D10" s="824"/>
    </row>
    <row r="11" spans="1:4" ht="64.5" customHeight="1" x14ac:dyDescent="0.25">
      <c r="A11" s="821"/>
      <c r="B11" s="1218"/>
      <c r="C11" s="1157" t="s">
        <v>169</v>
      </c>
      <c r="D11" s="825"/>
    </row>
    <row r="12" spans="1:4" ht="82" customHeight="1" x14ac:dyDescent="0.25">
      <c r="A12" s="821"/>
      <c r="B12" s="1218"/>
      <c r="C12" s="1148" t="s">
        <v>170</v>
      </c>
      <c r="D12" s="825"/>
    </row>
    <row r="13" spans="1:4" ht="23.15" customHeight="1" x14ac:dyDescent="0.25">
      <c r="A13" s="821"/>
      <c r="B13" s="1218"/>
      <c r="C13" s="1157" t="s">
        <v>171</v>
      </c>
      <c r="D13" s="825"/>
    </row>
    <row r="14" spans="1:4" ht="42" customHeight="1" x14ac:dyDescent="0.25">
      <c r="A14" s="821"/>
      <c r="B14" s="1219"/>
      <c r="C14" s="1157" t="s">
        <v>172</v>
      </c>
      <c r="D14" s="825"/>
    </row>
    <row r="15" spans="1:4" x14ac:dyDescent="0.25">
      <c r="A15" s="821"/>
      <c r="B15" s="828"/>
      <c r="C15" s="826"/>
      <c r="D15" s="823"/>
    </row>
    <row r="16" spans="1:4" ht="52" customHeight="1" x14ac:dyDescent="0.25">
      <c r="A16" s="821"/>
      <c r="B16" s="1214" t="s">
        <v>173</v>
      </c>
      <c r="C16" s="1157" t="s">
        <v>174</v>
      </c>
      <c r="D16" s="823"/>
    </row>
    <row r="17" spans="1:16" ht="33" customHeight="1" x14ac:dyDescent="0.25">
      <c r="A17" s="821"/>
      <c r="B17" s="1216"/>
      <c r="C17" s="1157" t="s">
        <v>175</v>
      </c>
      <c r="D17" s="823"/>
    </row>
    <row r="18" spans="1:16" x14ac:dyDescent="0.25">
      <c r="A18" s="821"/>
      <c r="B18" s="826"/>
      <c r="C18" s="826"/>
      <c r="D18" s="823"/>
    </row>
    <row r="19" spans="1:16" ht="107.15" customHeight="1" x14ac:dyDescent="0.25">
      <c r="A19" s="821"/>
      <c r="B19" s="1214" t="s">
        <v>176</v>
      </c>
      <c r="C19" s="1157" t="s">
        <v>177</v>
      </c>
      <c r="D19" s="823"/>
    </row>
    <row r="20" spans="1:16" ht="43.5" customHeight="1" x14ac:dyDescent="0.25">
      <c r="A20" s="821"/>
      <c r="B20" s="1215"/>
      <c r="C20" s="1157" t="s">
        <v>178</v>
      </c>
      <c r="D20" s="823"/>
    </row>
    <row r="21" spans="1:16" s="512" customFormat="1" ht="52" customHeight="1" x14ac:dyDescent="0.25">
      <c r="A21" s="822"/>
      <c r="B21" s="1215"/>
      <c r="C21" s="1157" t="s">
        <v>179</v>
      </c>
      <c r="D21" s="825"/>
      <c r="E21" s="513"/>
      <c r="F21" s="513"/>
      <c r="G21" s="513"/>
      <c r="H21" s="513"/>
      <c r="I21" s="513"/>
      <c r="J21" s="513"/>
      <c r="K21" s="513"/>
      <c r="L21" s="513"/>
      <c r="M21" s="513"/>
      <c r="N21" s="513"/>
      <c r="O21" s="513"/>
      <c r="P21" s="513"/>
    </row>
    <row r="22" spans="1:16" s="512" customFormat="1" ht="71.150000000000006" customHeight="1" x14ac:dyDescent="0.25">
      <c r="A22" s="822"/>
      <c r="B22" s="1216"/>
      <c r="C22" s="1157" t="s">
        <v>180</v>
      </c>
      <c r="D22" s="825"/>
      <c r="E22" s="513"/>
      <c r="F22" s="513"/>
      <c r="G22" s="513"/>
      <c r="H22" s="513"/>
      <c r="I22" s="513"/>
      <c r="J22" s="513"/>
      <c r="K22" s="513"/>
      <c r="L22" s="513"/>
      <c r="M22" s="513"/>
      <c r="N22" s="513"/>
      <c r="O22" s="513"/>
      <c r="P22" s="513"/>
    </row>
    <row r="23" spans="1:16" s="512" customFormat="1" x14ac:dyDescent="0.25">
      <c r="A23" s="822"/>
      <c r="B23" s="829"/>
      <c r="C23" s="827"/>
      <c r="D23" s="825"/>
      <c r="E23" s="513"/>
      <c r="F23" s="513"/>
      <c r="G23" s="513"/>
      <c r="H23" s="513"/>
      <c r="I23" s="513"/>
      <c r="J23" s="513"/>
      <c r="K23" s="513"/>
      <c r="L23" s="513"/>
      <c r="M23" s="513"/>
      <c r="N23" s="513"/>
      <c r="O23" s="513"/>
      <c r="P23" s="513"/>
    </row>
    <row r="24" spans="1:16" s="512" customFormat="1" ht="42.65" customHeight="1" x14ac:dyDescent="0.25">
      <c r="A24" s="822"/>
      <c r="B24" s="1214" t="s">
        <v>181</v>
      </c>
      <c r="C24" s="1157" t="s">
        <v>182</v>
      </c>
      <c r="D24" s="825"/>
      <c r="E24" s="514"/>
      <c r="F24" s="514"/>
      <c r="G24" s="514"/>
      <c r="H24" s="514"/>
      <c r="I24" s="514"/>
      <c r="J24" s="514"/>
      <c r="K24" s="514"/>
      <c r="L24" s="514"/>
      <c r="M24" s="514"/>
      <c r="N24" s="514"/>
      <c r="O24" s="514"/>
      <c r="P24" s="514"/>
    </row>
    <row r="25" spans="1:16" s="512" customFormat="1" ht="136" customHeight="1" x14ac:dyDescent="0.25">
      <c r="A25" s="822"/>
      <c r="B25" s="1215"/>
      <c r="C25" s="1157" t="s">
        <v>183</v>
      </c>
      <c r="D25" s="825"/>
      <c r="E25" s="514"/>
      <c r="F25" s="514"/>
      <c r="G25" s="514"/>
      <c r="H25" s="514"/>
      <c r="I25" s="514"/>
      <c r="J25" s="514"/>
      <c r="K25" s="514"/>
      <c r="L25" s="514"/>
      <c r="M25" s="514"/>
      <c r="N25" s="514"/>
      <c r="O25" s="514"/>
      <c r="P25" s="514"/>
    </row>
    <row r="26" spans="1:16" s="512" customFormat="1" ht="78.650000000000006" customHeight="1" x14ac:dyDescent="0.25">
      <c r="A26" s="822"/>
      <c r="B26" s="1215"/>
      <c r="C26" s="1157" t="s">
        <v>184</v>
      </c>
      <c r="D26" s="825"/>
      <c r="E26" s="514"/>
      <c r="F26" s="514"/>
      <c r="G26" s="514"/>
      <c r="H26" s="514"/>
      <c r="I26" s="514"/>
      <c r="J26" s="514"/>
      <c r="K26" s="514"/>
      <c r="L26" s="514"/>
      <c r="M26" s="514"/>
      <c r="N26" s="514"/>
      <c r="O26" s="514"/>
      <c r="P26" s="514"/>
    </row>
    <row r="27" spans="1:16" s="512" customFormat="1" ht="67" customHeight="1" x14ac:dyDescent="0.25">
      <c r="A27" s="822"/>
      <c r="B27" s="1215"/>
      <c r="C27" s="1157" t="s">
        <v>185</v>
      </c>
      <c r="D27" s="825"/>
      <c r="E27" s="514"/>
      <c r="F27" s="514"/>
      <c r="G27" s="514"/>
      <c r="H27" s="514"/>
      <c r="I27" s="514"/>
      <c r="J27" s="514"/>
      <c r="K27" s="514"/>
      <c r="L27" s="514"/>
      <c r="M27" s="514"/>
      <c r="N27" s="514"/>
      <c r="O27" s="514"/>
      <c r="P27" s="514"/>
    </row>
    <row r="28" spans="1:16" s="512" customFormat="1" ht="35.15" customHeight="1" x14ac:dyDescent="0.25">
      <c r="A28" s="822"/>
      <c r="B28" s="1216"/>
      <c r="C28" s="1157" t="s">
        <v>186</v>
      </c>
      <c r="D28" s="825"/>
      <c r="E28" s="514"/>
      <c r="F28" s="514"/>
      <c r="G28" s="514"/>
      <c r="H28" s="514"/>
      <c r="I28" s="514"/>
      <c r="J28" s="514"/>
      <c r="K28" s="514"/>
      <c r="L28" s="514"/>
      <c r="M28" s="514"/>
      <c r="N28" s="514"/>
      <c r="O28" s="514"/>
      <c r="P28" s="514"/>
    </row>
    <row r="29" spans="1:16" s="512" customFormat="1" x14ac:dyDescent="0.25">
      <c r="A29" s="822"/>
      <c r="B29" s="829"/>
      <c r="C29" s="827"/>
      <c r="D29" s="825"/>
      <c r="E29" s="514"/>
      <c r="F29" s="514"/>
      <c r="G29" s="514"/>
      <c r="H29" s="514"/>
      <c r="I29" s="514"/>
      <c r="J29" s="514"/>
      <c r="K29" s="514"/>
      <c r="L29" s="514"/>
      <c r="M29" s="514"/>
      <c r="N29" s="514"/>
      <c r="O29" s="514"/>
      <c r="P29" s="514"/>
    </row>
    <row r="30" spans="1:16" s="512" customFormat="1" ht="39" customHeight="1" x14ac:dyDescent="0.25">
      <c r="A30" s="822"/>
      <c r="B30" s="1214" t="s">
        <v>187</v>
      </c>
      <c r="C30" s="1157" t="s">
        <v>188</v>
      </c>
      <c r="D30" s="825"/>
      <c r="E30" s="514"/>
      <c r="F30" s="514"/>
      <c r="G30" s="514"/>
      <c r="H30" s="514"/>
      <c r="I30" s="514"/>
      <c r="J30" s="514"/>
      <c r="K30" s="514"/>
      <c r="L30" s="514"/>
      <c r="M30" s="514"/>
      <c r="N30" s="514"/>
      <c r="O30" s="514"/>
      <c r="P30" s="514"/>
    </row>
    <row r="31" spans="1:16" ht="80.150000000000006" customHeight="1" x14ac:dyDescent="0.25">
      <c r="A31" s="821"/>
      <c r="B31" s="1215"/>
      <c r="C31" s="1157" t="s">
        <v>189</v>
      </c>
      <c r="D31" s="823"/>
    </row>
    <row r="32" spans="1:16" ht="47.5" customHeight="1" x14ac:dyDescent="0.25">
      <c r="A32" s="821"/>
      <c r="B32" s="1216"/>
      <c r="C32" s="1157" t="s">
        <v>190</v>
      </c>
      <c r="D32" s="823"/>
    </row>
    <row r="33" spans="1:4" ht="18" customHeight="1" x14ac:dyDescent="0.25">
      <c r="A33" s="821"/>
      <c r="B33" s="826"/>
      <c r="C33" s="826"/>
      <c r="D33" s="823"/>
    </row>
    <row r="34" spans="1:4" ht="27" customHeight="1" x14ac:dyDescent="0.25">
      <c r="A34" s="821"/>
      <c r="B34" s="1209" t="s">
        <v>191</v>
      </c>
      <c r="C34" s="1209"/>
      <c r="D34" s="823"/>
    </row>
    <row r="35" spans="1:4" ht="32.15" customHeight="1" x14ac:dyDescent="0.25">
      <c r="A35" s="821"/>
      <c r="B35" s="1210" t="s">
        <v>192</v>
      </c>
      <c r="C35" s="1210"/>
      <c r="D35" s="823"/>
    </row>
    <row r="36" spans="1:4" ht="113.15" customHeight="1" x14ac:dyDescent="0.25">
      <c r="A36" s="821"/>
      <c r="B36" s="1210" t="s">
        <v>193</v>
      </c>
      <c r="C36" s="1210"/>
      <c r="D36" s="823"/>
    </row>
    <row r="37" spans="1:4" x14ac:dyDescent="0.25">
      <c r="A37" s="821"/>
      <c r="B37" s="826"/>
      <c r="C37" s="826"/>
      <c r="D37" s="823"/>
    </row>
    <row r="38" spans="1:4" x14ac:dyDescent="0.25">
      <c r="A38" s="821"/>
      <c r="B38" s="826"/>
      <c r="C38" s="826"/>
      <c r="D38" s="826"/>
    </row>
    <row r="39" spans="1:4" x14ac:dyDescent="0.25">
      <c r="A39" s="826"/>
      <c r="B39" s="826"/>
      <c r="C39" s="826"/>
      <c r="D39" s="826"/>
    </row>
    <row r="49" s="511" customFormat="1" x14ac:dyDescent="0.25"/>
    <row r="50" s="511" customFormat="1" x14ac:dyDescent="0.25"/>
    <row r="51" s="511" customFormat="1" x14ac:dyDescent="0.25"/>
    <row r="52" s="511" customFormat="1" x14ac:dyDescent="0.25"/>
    <row r="53" s="511" customFormat="1" x14ac:dyDescent="0.25"/>
    <row r="54" s="511" customFormat="1" x14ac:dyDescent="0.25"/>
    <row r="55" s="511" customFormat="1" x14ac:dyDescent="0.25"/>
    <row r="56" s="511" customFormat="1" x14ac:dyDescent="0.25"/>
    <row r="57" s="511" customFormat="1" x14ac:dyDescent="0.25"/>
    <row r="58" s="511" customFormat="1" x14ac:dyDescent="0.25"/>
    <row r="59" s="511" customFormat="1" x14ac:dyDescent="0.25"/>
    <row r="60" s="511" customFormat="1" x14ac:dyDescent="0.25"/>
    <row r="61" s="511" customFormat="1" x14ac:dyDescent="0.25"/>
    <row r="62" s="511" customFormat="1" x14ac:dyDescent="0.25"/>
    <row r="63" s="511" customFormat="1" x14ac:dyDescent="0.25"/>
    <row r="64" s="511" customFormat="1" x14ac:dyDescent="0.25"/>
    <row r="65" s="511" customFormat="1" x14ac:dyDescent="0.25"/>
    <row r="66" s="511" customFormat="1" x14ac:dyDescent="0.25"/>
    <row r="67" s="511" customFormat="1" x14ac:dyDescent="0.25"/>
    <row r="68" s="511" customFormat="1" x14ac:dyDescent="0.25"/>
  </sheetData>
  <mergeCells count="16">
    <mergeCell ref="B35:C35"/>
    <mergeCell ref="B36:C36"/>
    <mergeCell ref="B9:C9"/>
    <mergeCell ref="B34:C34"/>
    <mergeCell ref="B3:C3"/>
    <mergeCell ref="B24:B28"/>
    <mergeCell ref="B19:B22"/>
    <mergeCell ref="B16:B17"/>
    <mergeCell ref="B10:B14"/>
    <mergeCell ref="B30:B32"/>
    <mergeCell ref="A1:D1"/>
    <mergeCell ref="B4:C4"/>
    <mergeCell ref="B5:C5"/>
    <mergeCell ref="B6:C6"/>
    <mergeCell ref="B7:C7"/>
    <mergeCell ref="B2:C2"/>
  </mergeCells>
  <pageMargins left="0.7" right="0.7" top="0.75" bottom="0.75" header="0.3" footer="0.3"/>
  <pageSetup scale="80" fitToHeight="0"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39"/>
  <sheetViews>
    <sheetView showGridLines="0" showRuler="0" view="pageBreakPreview" zoomScaleNormal="85" zoomScaleSheetLayoutView="100" workbookViewId="0">
      <selection activeCell="B2" sqref="B2:P2"/>
    </sheetView>
  </sheetViews>
  <sheetFormatPr defaultColWidth="8.453125" defaultRowHeight="13" x14ac:dyDescent="0.25"/>
  <cols>
    <col min="1" max="1" width="3.81640625" style="292" customWidth="1"/>
    <col min="2" max="2" width="8.453125" style="292" customWidth="1"/>
    <col min="3" max="3" width="16.54296875" style="292" customWidth="1"/>
    <col min="4" max="4" width="41.81640625" style="292" customWidth="1"/>
    <col min="5" max="5" width="27.1796875" style="292" customWidth="1"/>
    <col min="6" max="7" width="8.453125" style="292"/>
    <col min="8" max="8" width="10.453125" style="292" customWidth="1"/>
    <col min="9" max="9" width="8.453125" style="292"/>
    <col min="10" max="10" width="8.453125" style="292" customWidth="1"/>
    <col min="11" max="11" width="8.453125" style="292"/>
    <col min="12" max="12" width="9" style="292" bestFit="1" customWidth="1"/>
    <col min="13" max="14" width="8.453125" style="292"/>
    <col min="15" max="15" width="8.453125" style="292" customWidth="1"/>
    <col min="16" max="16" width="8.453125" style="292"/>
    <col min="17" max="17" width="6.7265625" style="292" customWidth="1"/>
    <col min="18" max="18" width="8.453125" style="292"/>
    <col min="19" max="19" width="5.81640625" style="292" customWidth="1"/>
    <col min="20" max="16384" width="8.453125" style="292"/>
  </cols>
  <sheetData>
    <row r="1" spans="1:21" ht="16" customHeight="1" x14ac:dyDescent="0.25">
      <c r="A1" s="838"/>
      <c r="B1" s="838"/>
      <c r="C1" s="838"/>
      <c r="D1" s="838"/>
      <c r="E1" s="838"/>
      <c r="F1" s="838"/>
      <c r="G1" s="838"/>
      <c r="H1" s="838"/>
      <c r="I1" s="838"/>
      <c r="J1" s="838"/>
      <c r="K1" s="838"/>
      <c r="L1" s="838"/>
      <c r="M1" s="838"/>
      <c r="N1" s="838"/>
      <c r="O1" s="838"/>
      <c r="P1" s="838"/>
      <c r="Q1" s="838"/>
      <c r="R1" s="772"/>
      <c r="S1" s="772"/>
      <c r="T1" s="772"/>
      <c r="U1" s="772"/>
    </row>
    <row r="2" spans="1:21" ht="47.15" customHeight="1" x14ac:dyDescent="0.25">
      <c r="A2" s="838"/>
      <c r="B2" s="1220" t="s">
        <v>194</v>
      </c>
      <c r="C2" s="1220"/>
      <c r="D2" s="1220"/>
      <c r="E2" s="1220"/>
      <c r="F2" s="1220"/>
      <c r="G2" s="1220"/>
      <c r="H2" s="1220"/>
      <c r="I2" s="1220"/>
      <c r="J2" s="1220"/>
      <c r="K2" s="1220"/>
      <c r="L2" s="1220"/>
      <c r="M2" s="1220"/>
      <c r="N2" s="1220"/>
      <c r="O2" s="1220"/>
      <c r="P2" s="1220"/>
      <c r="Q2" s="842"/>
      <c r="R2" s="778"/>
      <c r="S2" s="772"/>
      <c r="T2" s="772"/>
      <c r="U2" s="772"/>
    </row>
    <row r="3" spans="1:21" ht="10" customHeight="1" x14ac:dyDescent="0.25">
      <c r="A3" s="838"/>
      <c r="B3" s="841"/>
      <c r="C3" s="841"/>
      <c r="D3" s="841"/>
      <c r="E3" s="841"/>
      <c r="F3" s="841"/>
      <c r="G3" s="841"/>
      <c r="H3" s="841"/>
      <c r="I3" s="841"/>
      <c r="J3" s="841"/>
      <c r="K3" s="841"/>
      <c r="L3" s="841"/>
      <c r="M3" s="841"/>
      <c r="N3" s="841"/>
      <c r="O3" s="841"/>
      <c r="P3" s="841"/>
      <c r="Q3" s="842"/>
      <c r="R3" s="778"/>
      <c r="S3" s="772"/>
      <c r="T3" s="772"/>
      <c r="U3" s="772"/>
    </row>
    <row r="4" spans="1:21" ht="44.5" customHeight="1" x14ac:dyDescent="0.25">
      <c r="A4" s="838"/>
      <c r="B4" s="1255" t="s">
        <v>195</v>
      </c>
      <c r="C4" s="1255"/>
      <c r="D4" s="1221" t="s">
        <v>196</v>
      </c>
      <c r="E4" s="1221"/>
      <c r="F4" s="838"/>
      <c r="G4" s="1221" t="s">
        <v>197</v>
      </c>
      <c r="H4" s="1221"/>
      <c r="I4" s="1221"/>
      <c r="J4" s="838"/>
      <c r="K4" s="838"/>
      <c r="L4" s="838"/>
      <c r="M4" s="838"/>
      <c r="N4" s="838"/>
      <c r="O4" s="838"/>
      <c r="P4" s="838"/>
      <c r="Q4" s="838"/>
      <c r="R4" s="772"/>
      <c r="S4" s="772"/>
      <c r="T4" s="772"/>
      <c r="U4" s="772"/>
    </row>
    <row r="5" spans="1:21" ht="25.5" customHeight="1" x14ac:dyDescent="0.25">
      <c r="A5" s="838"/>
      <c r="B5" s="1255" t="s">
        <v>198</v>
      </c>
      <c r="C5" s="1255"/>
      <c r="D5" s="1222" t="s">
        <v>196</v>
      </c>
      <c r="E5" s="1222"/>
      <c r="F5" s="839"/>
      <c r="G5" s="1222" t="s">
        <v>199</v>
      </c>
      <c r="H5" s="1222"/>
      <c r="I5" s="1222"/>
      <c r="J5" s="838"/>
      <c r="K5" s="839"/>
      <c r="L5" s="839"/>
      <c r="M5" s="839"/>
      <c r="N5" s="839"/>
      <c r="O5" s="839"/>
      <c r="P5" s="839"/>
      <c r="Q5" s="839"/>
      <c r="R5" s="772"/>
      <c r="S5" s="772"/>
      <c r="T5" s="772"/>
      <c r="U5" s="772"/>
    </row>
    <row r="6" spans="1:21" ht="25.5" customHeight="1" x14ac:dyDescent="0.25">
      <c r="A6" s="838"/>
      <c r="B6" s="1255" t="s">
        <v>200</v>
      </c>
      <c r="C6" s="1255"/>
      <c r="D6" s="1222" t="s">
        <v>201</v>
      </c>
      <c r="E6" s="1222"/>
      <c r="F6" s="839"/>
      <c r="G6" s="839"/>
      <c r="H6" s="839"/>
      <c r="I6" s="839"/>
      <c r="J6" s="839"/>
      <c r="K6" s="839"/>
      <c r="L6" s="839"/>
      <c r="M6" s="839"/>
      <c r="N6" s="839"/>
      <c r="O6" s="839"/>
      <c r="P6" s="839"/>
      <c r="Q6" s="839"/>
      <c r="R6" s="772"/>
      <c r="S6" s="772"/>
      <c r="T6" s="772"/>
      <c r="U6" s="772"/>
    </row>
    <row r="7" spans="1:21" ht="30" customHeight="1" x14ac:dyDescent="0.25">
      <c r="A7" s="838"/>
      <c r="B7" s="1223" t="s">
        <v>202</v>
      </c>
      <c r="C7" s="1224"/>
      <c r="D7" s="1222" t="s">
        <v>203</v>
      </c>
      <c r="E7" s="1222"/>
      <c r="F7" s="839"/>
      <c r="G7" s="839"/>
      <c r="H7" s="839"/>
      <c r="I7" s="839"/>
      <c r="J7" s="839"/>
      <c r="K7" s="839"/>
      <c r="L7" s="839"/>
      <c r="M7" s="839"/>
      <c r="N7" s="839"/>
      <c r="O7" s="839"/>
      <c r="P7" s="839"/>
      <c r="Q7" s="839"/>
      <c r="R7" s="772"/>
      <c r="S7" s="772"/>
      <c r="T7" s="772"/>
      <c r="U7" s="772"/>
    </row>
    <row r="8" spans="1:21" ht="15.5" x14ac:dyDescent="0.25">
      <c r="A8" s="838"/>
      <c r="B8" s="838"/>
      <c r="C8" s="838"/>
      <c r="D8" s="839"/>
      <c r="E8" s="839"/>
      <c r="F8" s="839"/>
      <c r="G8" s="839"/>
      <c r="H8" s="839"/>
      <c r="I8" s="839"/>
      <c r="J8" s="839"/>
      <c r="K8" s="839"/>
      <c r="L8" s="839"/>
      <c r="M8" s="839"/>
      <c r="N8" s="839"/>
      <c r="O8" s="839"/>
      <c r="P8" s="839"/>
      <c r="Q8" s="839"/>
      <c r="R8" s="772"/>
      <c r="S8" s="772"/>
      <c r="T8" s="772"/>
      <c r="U8" s="772"/>
    </row>
    <row r="9" spans="1:21" ht="25.5" customHeight="1" x14ac:dyDescent="0.25">
      <c r="A9" s="838"/>
      <c r="B9" s="838"/>
      <c r="C9" s="1253" t="s">
        <v>194</v>
      </c>
      <c r="D9" s="1253"/>
      <c r="E9" s="839"/>
      <c r="F9" s="839"/>
      <c r="G9" s="839"/>
      <c r="H9" s="839"/>
      <c r="I9" s="839"/>
      <c r="J9" s="839"/>
      <c r="K9" s="839"/>
      <c r="L9" s="839"/>
      <c r="M9" s="839"/>
      <c r="N9" s="839"/>
      <c r="O9" s="839"/>
      <c r="P9" s="839"/>
      <c r="Q9" s="839"/>
      <c r="R9" s="772"/>
      <c r="S9" s="772"/>
      <c r="T9" s="772"/>
      <c r="U9" s="772"/>
    </row>
    <row r="10" spans="1:21" ht="15.75" customHeight="1" x14ac:dyDescent="0.25">
      <c r="A10" s="838"/>
      <c r="B10" s="838"/>
      <c r="C10" s="1237" t="s">
        <v>204</v>
      </c>
      <c r="D10" s="1238"/>
      <c r="E10" s="1238"/>
      <c r="F10" s="1238"/>
      <c r="G10" s="1238"/>
      <c r="H10" s="1238"/>
      <c r="I10" s="1238"/>
      <c r="J10" s="1238"/>
      <c r="K10" s="1238"/>
      <c r="L10" s="1238"/>
      <c r="M10" s="1238"/>
      <c r="N10" s="1238"/>
      <c r="O10" s="1238"/>
      <c r="P10" s="1238"/>
      <c r="Q10" s="843"/>
      <c r="R10" s="774"/>
      <c r="S10" s="772"/>
      <c r="T10" s="772"/>
      <c r="U10" s="772"/>
    </row>
    <row r="11" spans="1:21" ht="76.5" customHeight="1" x14ac:dyDescent="0.25">
      <c r="A11" s="838"/>
      <c r="B11" s="838"/>
      <c r="C11" s="1239"/>
      <c r="D11" s="1240"/>
      <c r="E11" s="1240"/>
      <c r="F11" s="1240"/>
      <c r="G11" s="1240"/>
      <c r="H11" s="1240"/>
      <c r="I11" s="1240"/>
      <c r="J11" s="1240"/>
      <c r="K11" s="1240"/>
      <c r="L11" s="1240"/>
      <c r="M11" s="1240"/>
      <c r="N11" s="1240"/>
      <c r="O11" s="1240"/>
      <c r="P11" s="1240"/>
      <c r="Q11" s="843"/>
      <c r="R11" s="774"/>
      <c r="S11" s="772"/>
      <c r="T11" s="772"/>
      <c r="U11" s="772"/>
    </row>
    <row r="12" spans="1:21" ht="59.5" customHeight="1" x14ac:dyDescent="0.25">
      <c r="A12" s="838"/>
      <c r="B12" s="838"/>
      <c r="C12" s="1241" t="s">
        <v>205</v>
      </c>
      <c r="D12" s="1242"/>
      <c r="E12" s="1242"/>
      <c r="F12" s="1242"/>
      <c r="G12" s="1242"/>
      <c r="H12" s="1242"/>
      <c r="I12" s="1242"/>
      <c r="J12" s="1242"/>
      <c r="K12" s="1242"/>
      <c r="L12" s="1242"/>
      <c r="M12" s="1242"/>
      <c r="N12" s="1242"/>
      <c r="O12" s="1242"/>
      <c r="P12" s="1242"/>
      <c r="Q12" s="844"/>
      <c r="R12" s="776"/>
      <c r="S12" s="772"/>
      <c r="T12" s="772"/>
      <c r="U12" s="772"/>
    </row>
    <row r="13" spans="1:21" ht="28" customHeight="1" x14ac:dyDescent="0.25">
      <c r="A13" s="838"/>
      <c r="B13" s="838"/>
      <c r="C13" s="1243" t="s">
        <v>206</v>
      </c>
      <c r="D13" s="1244"/>
      <c r="E13" s="1244"/>
      <c r="F13" s="1244"/>
      <c r="G13" s="1244"/>
      <c r="H13" s="1244"/>
      <c r="I13" s="1244"/>
      <c r="J13" s="1244"/>
      <c r="K13" s="1244"/>
      <c r="L13" s="1244"/>
      <c r="M13" s="1244"/>
      <c r="N13" s="1244"/>
      <c r="O13" s="1244"/>
      <c r="P13" s="1244"/>
      <c r="Q13" s="845"/>
      <c r="R13" s="777"/>
      <c r="S13" s="772"/>
      <c r="T13" s="772"/>
      <c r="U13" s="772"/>
    </row>
    <row r="14" spans="1:21" ht="18" customHeight="1" x14ac:dyDescent="0.25">
      <c r="A14" s="838"/>
      <c r="B14" s="838"/>
      <c r="C14" s="1248" t="s">
        <v>207</v>
      </c>
      <c r="D14" s="1249"/>
      <c r="E14" s="1249"/>
      <c r="F14" s="1249"/>
      <c r="G14" s="1249"/>
      <c r="H14" s="1249"/>
      <c r="I14" s="1249"/>
      <c r="J14" s="1249"/>
      <c r="K14" s="1249"/>
      <c r="L14" s="1249"/>
      <c r="M14" s="1249"/>
      <c r="N14" s="1249"/>
      <c r="O14" s="1249"/>
      <c r="P14" s="1249"/>
      <c r="Q14" s="843"/>
      <c r="R14" s="774"/>
      <c r="S14" s="772"/>
      <c r="T14" s="772"/>
      <c r="U14" s="772"/>
    </row>
    <row r="15" spans="1:21" ht="18" customHeight="1" x14ac:dyDescent="0.25">
      <c r="A15" s="838"/>
      <c r="B15" s="839"/>
      <c r="C15" s="1250"/>
      <c r="D15" s="1251"/>
      <c r="E15" s="1251"/>
      <c r="F15" s="1251"/>
      <c r="G15" s="1251"/>
      <c r="H15" s="1251"/>
      <c r="I15" s="1251"/>
      <c r="J15" s="1251"/>
      <c r="K15" s="1251"/>
      <c r="L15" s="1251"/>
      <c r="M15" s="1251"/>
      <c r="N15" s="1251"/>
      <c r="O15" s="1251"/>
      <c r="P15" s="1252"/>
      <c r="Q15" s="843"/>
      <c r="R15" s="774"/>
      <c r="S15" s="772"/>
      <c r="T15" s="772"/>
      <c r="U15" s="772"/>
    </row>
    <row r="16" spans="1:21" ht="34.4" customHeight="1" x14ac:dyDescent="0.25">
      <c r="A16" s="838"/>
      <c r="B16" s="839"/>
      <c r="C16" s="1247" t="s">
        <v>208</v>
      </c>
      <c r="D16" s="1247"/>
      <c r="E16" s="1247"/>
      <c r="F16" s="1247"/>
      <c r="G16" s="1247"/>
      <c r="H16" s="1247"/>
      <c r="I16" s="1247"/>
      <c r="J16" s="1247"/>
      <c r="K16" s="1247"/>
      <c r="L16" s="1247"/>
      <c r="M16" s="1247"/>
      <c r="N16" s="1247"/>
      <c r="O16" s="1247"/>
      <c r="P16" s="1247"/>
      <c r="Q16" s="839"/>
      <c r="R16" s="772"/>
      <c r="S16" s="772"/>
      <c r="T16" s="772"/>
      <c r="U16" s="772"/>
    </row>
    <row r="17" spans="1:155" ht="31.4" customHeight="1" x14ac:dyDescent="0.25">
      <c r="A17" s="838"/>
      <c r="B17" s="839"/>
      <c r="C17" s="1245" t="s">
        <v>209</v>
      </c>
      <c r="D17" s="1245"/>
      <c r="E17" s="1245"/>
      <c r="F17" s="1245"/>
      <c r="G17" s="1245"/>
      <c r="H17" s="1245"/>
      <c r="I17" s="1245"/>
      <c r="J17" s="1245"/>
      <c r="K17" s="1245"/>
      <c r="L17" s="1245"/>
      <c r="M17" s="1245"/>
      <c r="N17" s="1245"/>
      <c r="O17" s="1245"/>
      <c r="P17" s="1245"/>
      <c r="Q17" s="838"/>
      <c r="R17" s="772"/>
      <c r="S17" s="739"/>
      <c r="T17" s="739"/>
      <c r="U17" s="739"/>
    </row>
    <row r="18" spans="1:155" ht="30" customHeight="1" x14ac:dyDescent="0.25">
      <c r="A18" s="838"/>
      <c r="B18" s="839"/>
      <c r="C18" s="1245" t="s">
        <v>210</v>
      </c>
      <c r="D18" s="1246"/>
      <c r="E18" s="1246"/>
      <c r="F18" s="1246"/>
      <c r="G18" s="1246"/>
      <c r="H18" s="1246"/>
      <c r="I18" s="1246"/>
      <c r="J18" s="1246"/>
      <c r="K18" s="1246"/>
      <c r="L18" s="1246"/>
      <c r="M18" s="1246"/>
      <c r="N18" s="1246"/>
      <c r="O18" s="1246"/>
      <c r="P18" s="1246"/>
      <c r="Q18" s="846"/>
      <c r="R18" s="739"/>
      <c r="S18" s="739"/>
      <c r="T18" s="739"/>
      <c r="U18" s="739"/>
    </row>
    <row r="19" spans="1:155" ht="25" customHeight="1" x14ac:dyDescent="0.25">
      <c r="A19" s="838"/>
      <c r="B19" s="839"/>
      <c r="C19" s="1245" t="s">
        <v>211</v>
      </c>
      <c r="D19" s="1246"/>
      <c r="E19" s="1246"/>
      <c r="F19" s="1246"/>
      <c r="G19" s="1246"/>
      <c r="H19" s="1246"/>
      <c r="I19" s="1246"/>
      <c r="J19" s="1246"/>
      <c r="K19" s="1246"/>
      <c r="L19" s="1246"/>
      <c r="M19" s="1246"/>
      <c r="N19" s="1246"/>
      <c r="O19" s="1246"/>
      <c r="P19" s="1246"/>
      <c r="Q19" s="846"/>
      <c r="R19" s="739"/>
      <c r="S19" s="739"/>
      <c r="T19" s="739"/>
      <c r="U19" s="739"/>
    </row>
    <row r="20" spans="1:155" ht="23.5" customHeight="1" x14ac:dyDescent="0.25">
      <c r="A20" s="838"/>
      <c r="B20" s="839"/>
      <c r="C20" s="1245" t="s">
        <v>212</v>
      </c>
      <c r="D20" s="1246"/>
      <c r="E20" s="1246"/>
      <c r="F20" s="1246"/>
      <c r="G20" s="1246"/>
      <c r="H20" s="1246"/>
      <c r="I20" s="1246"/>
      <c r="J20" s="1246"/>
      <c r="K20" s="1246"/>
      <c r="L20" s="1246"/>
      <c r="M20" s="1246"/>
      <c r="N20" s="1246"/>
      <c r="O20" s="1246"/>
      <c r="P20" s="1246"/>
      <c r="Q20" s="846"/>
      <c r="R20" s="739"/>
      <c r="S20" s="739"/>
      <c r="T20" s="739"/>
      <c r="U20" s="739"/>
    </row>
    <row r="21" spans="1:155" ht="18" customHeight="1" thickBot="1" x14ac:dyDescent="0.3">
      <c r="A21" s="838"/>
      <c r="B21" s="839"/>
      <c r="C21" s="1254"/>
      <c r="D21" s="1254"/>
      <c r="E21" s="1254"/>
      <c r="F21" s="1254"/>
      <c r="G21" s="847"/>
      <c r="H21" s="847"/>
      <c r="I21" s="847"/>
      <c r="J21" s="847"/>
      <c r="K21" s="847"/>
      <c r="L21" s="847"/>
      <c r="M21" s="847"/>
      <c r="N21" s="847"/>
      <c r="O21" s="847"/>
      <c r="P21" s="847"/>
      <c r="Q21" s="846"/>
      <c r="R21" s="739"/>
      <c r="S21" s="739"/>
      <c r="T21" s="739"/>
      <c r="U21" s="739"/>
    </row>
    <row r="22" spans="1:155" s="520" customFormat="1" ht="44.15" customHeight="1" thickBot="1" x14ac:dyDescent="0.3">
      <c r="A22" s="839"/>
      <c r="B22" s="839"/>
      <c r="C22" s="1225" t="s">
        <v>213</v>
      </c>
      <c r="D22" s="1226"/>
      <c r="E22" s="1226"/>
      <c r="F22" s="1227"/>
      <c r="G22" s="839"/>
      <c r="H22" s="839"/>
      <c r="I22" s="839"/>
      <c r="J22" s="1228" t="s">
        <v>214</v>
      </c>
      <c r="K22" s="1229"/>
      <c r="L22" s="1229"/>
      <c r="M22" s="1229"/>
      <c r="N22" s="1230"/>
      <c r="O22" s="848"/>
      <c r="P22" s="839"/>
      <c r="Q22" s="839"/>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5" x14ac:dyDescent="0.25">
      <c r="A23" s="839"/>
      <c r="B23" s="839"/>
      <c r="C23" s="830"/>
      <c r="D23" s="831" t="str">
        <f>'Total Amount'!B32</f>
        <v>Total Direct Labor</v>
      </c>
      <c r="E23" s="832">
        <f>'Total Amount'!X32</f>
        <v>0</v>
      </c>
      <c r="F23" s="833"/>
      <c r="G23" s="839"/>
      <c r="H23" s="839"/>
      <c r="I23" s="839"/>
      <c r="J23" s="1231"/>
      <c r="K23" s="1232"/>
      <c r="L23" s="1232"/>
      <c r="M23" s="1232"/>
      <c r="N23" s="1233"/>
      <c r="O23" s="848"/>
      <c r="P23" s="839"/>
      <c r="Q23" s="839"/>
      <c r="R23" s="773"/>
      <c r="S23" s="773"/>
      <c r="T23" s="773"/>
      <c r="U23" s="773"/>
    </row>
    <row r="24" spans="1:155" s="519" customFormat="1" ht="15.5" x14ac:dyDescent="0.25">
      <c r="A24" s="839"/>
      <c r="B24" s="839"/>
      <c r="C24" s="830"/>
      <c r="D24" s="831" t="str">
        <f>'Total Amount'!B39</f>
        <v>Total Subproposers</v>
      </c>
      <c r="E24" s="832">
        <f>'Total Amount'!W39</f>
        <v>0</v>
      </c>
      <c r="F24" s="833"/>
      <c r="G24" s="839"/>
      <c r="H24" s="839"/>
      <c r="I24" s="839"/>
      <c r="J24" s="1231"/>
      <c r="K24" s="1232"/>
      <c r="L24" s="1232"/>
      <c r="M24" s="1232"/>
      <c r="N24" s="1233"/>
      <c r="O24" s="848"/>
      <c r="P24" s="839"/>
      <c r="Q24" s="839"/>
      <c r="R24" s="773"/>
      <c r="S24" s="773"/>
      <c r="T24" s="773"/>
      <c r="U24" s="773"/>
    </row>
    <row r="25" spans="1:155" s="519" customFormat="1" ht="15.5" x14ac:dyDescent="0.25">
      <c r="A25" s="839"/>
      <c r="B25" s="839"/>
      <c r="C25" s="830"/>
      <c r="D25" s="831" t="str">
        <f>'Total Amount'!B47</f>
        <v>Total Consultants</v>
      </c>
      <c r="E25" s="832">
        <f>'Total Amount'!X47</f>
        <v>0</v>
      </c>
      <c r="F25" s="833"/>
      <c r="G25" s="839"/>
      <c r="H25" s="839"/>
      <c r="I25" s="839"/>
      <c r="J25" s="1231"/>
      <c r="K25" s="1232"/>
      <c r="L25" s="1232"/>
      <c r="M25" s="1232"/>
      <c r="N25" s="1233"/>
      <c r="O25" s="848"/>
      <c r="P25" s="839"/>
      <c r="Q25" s="839"/>
      <c r="R25" s="773"/>
      <c r="S25" s="773"/>
      <c r="T25" s="773"/>
      <c r="U25" s="773"/>
    </row>
    <row r="26" spans="1:155" s="519" customFormat="1" ht="15.5" x14ac:dyDescent="0.25">
      <c r="A26" s="839"/>
      <c r="B26" s="839"/>
      <c r="C26" s="830"/>
      <c r="D26" s="831" t="str">
        <f>'Total Amount'!B54</f>
        <v>Total Other Direct Costs</v>
      </c>
      <c r="E26" s="832">
        <f>'Total Amount'!W54</f>
        <v>0</v>
      </c>
      <c r="F26" s="833"/>
      <c r="G26" s="839"/>
      <c r="H26" s="839"/>
      <c r="I26" s="839"/>
      <c r="J26" s="1231"/>
      <c r="K26" s="1232"/>
      <c r="L26" s="1232"/>
      <c r="M26" s="1232"/>
      <c r="N26" s="1233"/>
      <c r="O26" s="839"/>
      <c r="P26" s="839"/>
      <c r="Q26" s="839"/>
      <c r="R26" s="773"/>
      <c r="S26" s="773"/>
      <c r="T26" s="773"/>
      <c r="U26" s="773"/>
    </row>
    <row r="27" spans="1:155" s="519" customFormat="1" ht="15.5" x14ac:dyDescent="0.25">
      <c r="A27" s="839"/>
      <c r="B27" s="839"/>
      <c r="C27" s="830"/>
      <c r="D27" s="831" t="str">
        <f>'Total Amount'!B59</f>
        <v>Total Material Handling</v>
      </c>
      <c r="E27" s="832">
        <f>'Total Amount'!W59</f>
        <v>0</v>
      </c>
      <c r="F27" s="833"/>
      <c r="G27" s="839"/>
      <c r="H27" s="839"/>
      <c r="I27" s="839"/>
      <c r="J27" s="1231"/>
      <c r="K27" s="1232"/>
      <c r="L27" s="1232"/>
      <c r="M27" s="1232"/>
      <c r="N27" s="1233"/>
      <c r="O27" s="839"/>
      <c r="P27" s="839"/>
      <c r="Q27" s="839"/>
      <c r="R27" s="773"/>
      <c r="S27" s="773"/>
      <c r="T27" s="773"/>
      <c r="U27" s="773"/>
    </row>
    <row r="28" spans="1:155" s="519" customFormat="1" ht="31" x14ac:dyDescent="0.25">
      <c r="A28" s="839"/>
      <c r="B28" s="839"/>
      <c r="C28" s="830"/>
      <c r="D28" s="831" t="str">
        <f>'Total Amount'!B61</f>
        <v>SUBTOTAL PRIOR TO INDIRECTS AND PROFIT</v>
      </c>
      <c r="E28" s="832">
        <f>'Total Amount'!W62</f>
        <v>0</v>
      </c>
      <c r="F28" s="833"/>
      <c r="G28" s="839"/>
      <c r="H28" s="839"/>
      <c r="I28" s="839"/>
      <c r="J28" s="1234"/>
      <c r="K28" s="1235"/>
      <c r="L28" s="1235"/>
      <c r="M28" s="1235"/>
      <c r="N28" s="1236"/>
      <c r="O28" s="839"/>
      <c r="P28" s="839"/>
      <c r="Q28" s="839"/>
      <c r="R28" s="773"/>
      <c r="S28" s="773"/>
      <c r="T28" s="773"/>
      <c r="U28" s="773"/>
    </row>
    <row r="29" spans="1:155" s="519" customFormat="1" ht="15.5" x14ac:dyDescent="0.25">
      <c r="A29" s="839"/>
      <c r="B29" s="839"/>
      <c r="C29" s="830"/>
      <c r="D29" s="831" t="str">
        <f>'Total Amount'!B67</f>
        <v>Total G&amp;A</v>
      </c>
      <c r="E29" s="832">
        <f>'Total Amount'!W67</f>
        <v>0</v>
      </c>
      <c r="F29" s="833"/>
      <c r="G29" s="839"/>
      <c r="H29" s="839"/>
      <c r="I29" s="839"/>
      <c r="J29" s="839"/>
      <c r="K29" s="839"/>
      <c r="L29" s="839"/>
      <c r="M29" s="839"/>
      <c r="N29" s="839"/>
      <c r="O29" s="839"/>
      <c r="P29" s="839"/>
      <c r="Q29" s="839"/>
      <c r="R29" s="773"/>
      <c r="S29" s="773"/>
      <c r="T29" s="773"/>
      <c r="U29" s="773"/>
    </row>
    <row r="30" spans="1:155" s="519" customFormat="1" ht="15.5" x14ac:dyDescent="0.25">
      <c r="A30" s="839"/>
      <c r="B30" s="839"/>
      <c r="C30" s="830"/>
      <c r="D30" s="831" t="str">
        <f>'Total Amount'!B69</f>
        <v>SUBTOTAL PRIOR TO FCCM</v>
      </c>
      <c r="E30" s="832">
        <f>'Total Amount'!W70</f>
        <v>0</v>
      </c>
      <c r="F30" s="833"/>
      <c r="G30" s="839"/>
      <c r="H30" s="839"/>
      <c r="I30" s="839"/>
      <c r="J30" s="839"/>
      <c r="K30" s="839"/>
      <c r="L30" s="839"/>
      <c r="M30" s="839"/>
      <c r="N30" s="839"/>
      <c r="O30" s="839"/>
      <c r="P30" s="839"/>
      <c r="Q30" s="839"/>
      <c r="R30" s="773"/>
      <c r="S30" s="773"/>
      <c r="T30" s="773"/>
      <c r="U30" s="773"/>
    </row>
    <row r="31" spans="1:155" s="519" customFormat="1" ht="15.5" x14ac:dyDescent="0.25">
      <c r="A31" s="839"/>
      <c r="B31" s="839"/>
      <c r="C31" s="830"/>
      <c r="D31" s="831" t="str">
        <f>'Total Amount'!B75</f>
        <v>Total FCCM</v>
      </c>
      <c r="E31" s="832">
        <f>'Total Amount'!W75</f>
        <v>0</v>
      </c>
      <c r="F31" s="833"/>
      <c r="G31" s="839"/>
      <c r="H31" s="839"/>
      <c r="I31" s="839"/>
      <c r="J31" s="839"/>
      <c r="K31" s="839"/>
      <c r="L31" s="839"/>
      <c r="M31" s="839"/>
      <c r="N31" s="839"/>
      <c r="O31" s="839"/>
      <c r="P31" s="839"/>
      <c r="Q31" s="839"/>
      <c r="R31" s="773"/>
      <c r="S31" s="773"/>
      <c r="T31" s="773"/>
      <c r="U31" s="773"/>
    </row>
    <row r="32" spans="1:155" s="519" customFormat="1" ht="15.5" x14ac:dyDescent="0.25">
      <c r="A32" s="839"/>
      <c r="B32" s="839"/>
      <c r="C32" s="830"/>
      <c r="D32" s="831" t="str">
        <f>'Total Amount'!B77</f>
        <v>SUBTOTAL PRIOR TO FEE/PROFIT</v>
      </c>
      <c r="E32" s="832">
        <f>'Total Amount'!W78</f>
        <v>0</v>
      </c>
      <c r="F32" s="833"/>
      <c r="G32" s="839"/>
      <c r="H32" s="839"/>
      <c r="I32" s="839"/>
      <c r="J32" s="839"/>
      <c r="K32" s="839"/>
      <c r="L32" s="839"/>
      <c r="M32" s="839"/>
      <c r="N32" s="839"/>
      <c r="O32" s="839"/>
      <c r="P32" s="839"/>
      <c r="Q32" s="839"/>
      <c r="R32" s="773"/>
      <c r="S32" s="773"/>
      <c r="T32" s="773"/>
      <c r="U32" s="773"/>
    </row>
    <row r="33" spans="1:21" s="519" customFormat="1" ht="15.75" customHeight="1" x14ac:dyDescent="0.25">
      <c r="A33" s="839"/>
      <c r="B33" s="839"/>
      <c r="C33" s="830"/>
      <c r="D33" s="831" t="str">
        <f>'Total Amount'!B80</f>
        <v>Fee, or Profit</v>
      </c>
      <c r="E33" s="832">
        <f>'Total Amount'!W81</f>
        <v>0</v>
      </c>
      <c r="F33" s="833"/>
      <c r="G33" s="839"/>
      <c r="H33" s="839"/>
      <c r="I33" s="839"/>
      <c r="J33" s="839"/>
      <c r="K33" s="839"/>
      <c r="L33" s="839"/>
      <c r="M33" s="839"/>
      <c r="N33" s="839"/>
      <c r="O33" s="839"/>
      <c r="P33" s="839"/>
      <c r="Q33" s="839"/>
      <c r="R33" s="773"/>
      <c r="S33" s="773"/>
      <c r="T33" s="773"/>
      <c r="U33" s="773"/>
    </row>
    <row r="34" spans="1:21" s="519" customFormat="1" ht="17.25" customHeight="1" x14ac:dyDescent="0.25">
      <c r="A34" s="839"/>
      <c r="B34" s="839"/>
      <c r="C34" s="834"/>
      <c r="D34" s="835" t="str">
        <f>'Total Amount'!B83</f>
        <v>Total Estimated Costs</v>
      </c>
      <c r="E34" s="836">
        <f>'Total Amount'!X84</f>
        <v>0</v>
      </c>
      <c r="F34" s="837"/>
      <c r="G34" s="839"/>
      <c r="H34" s="839"/>
      <c r="I34" s="839"/>
      <c r="J34" s="839"/>
      <c r="K34" s="839"/>
      <c r="L34" s="839"/>
      <c r="M34" s="839"/>
      <c r="N34" s="839"/>
      <c r="O34" s="839"/>
      <c r="P34" s="839"/>
      <c r="Q34" s="839"/>
      <c r="R34" s="773"/>
      <c r="S34" s="773"/>
      <c r="T34" s="773"/>
      <c r="U34" s="773"/>
    </row>
    <row r="35" spans="1:21" s="519" customFormat="1" ht="15.5" x14ac:dyDescent="0.25">
      <c r="A35" s="840"/>
      <c r="B35" s="840"/>
      <c r="C35" s="840"/>
      <c r="D35" s="840"/>
      <c r="E35" s="840"/>
      <c r="F35" s="840"/>
      <c r="G35" s="840"/>
      <c r="H35" s="840"/>
      <c r="I35" s="840"/>
      <c r="J35" s="840"/>
      <c r="K35" s="840"/>
      <c r="L35" s="840"/>
      <c r="M35" s="840"/>
      <c r="N35" s="840"/>
      <c r="O35" s="840"/>
      <c r="P35" s="840"/>
      <c r="Q35" s="840"/>
      <c r="R35" s="773"/>
      <c r="S35" s="773"/>
      <c r="T35" s="773"/>
      <c r="U35" s="773"/>
    </row>
    <row r="36" spans="1:21" s="519" customFormat="1" ht="15.5" x14ac:dyDescent="0.25"/>
    <row r="37" spans="1:21" s="519" customFormat="1" ht="15.5" x14ac:dyDescent="0.25">
      <c r="C37" s="292"/>
      <c r="D37" s="292"/>
      <c r="E37" s="292"/>
      <c r="F37" s="292"/>
      <c r="G37" s="292"/>
    </row>
    <row r="38" spans="1:21" s="519" customFormat="1" ht="15.5" x14ac:dyDescent="0.25">
      <c r="B38" s="292"/>
      <c r="C38" s="521"/>
      <c r="D38" s="521"/>
      <c r="E38" s="521"/>
      <c r="F38" s="521"/>
      <c r="G38" s="521"/>
      <c r="H38" s="292"/>
      <c r="I38" s="292"/>
      <c r="J38" s="292"/>
      <c r="K38" s="292"/>
      <c r="L38" s="292"/>
      <c r="M38" s="292"/>
      <c r="N38" s="292"/>
      <c r="O38" s="292"/>
      <c r="P38" s="292"/>
      <c r="Q38" s="292"/>
    </row>
    <row r="39" spans="1:21" ht="24" customHeight="1" x14ac:dyDescent="0.25">
      <c r="H39" s="521"/>
      <c r="I39" s="521"/>
      <c r="J39" s="521"/>
      <c r="K39" s="521"/>
      <c r="L39" s="521"/>
      <c r="M39" s="521"/>
      <c r="N39" s="521"/>
      <c r="O39" s="521"/>
      <c r="P39" s="521"/>
    </row>
  </sheetData>
  <mergeCells count="24">
    <mergeCell ref="C9:D9"/>
    <mergeCell ref="C21:F21"/>
    <mergeCell ref="B4:C4"/>
    <mergeCell ref="B5:C5"/>
    <mergeCell ref="B6:C6"/>
    <mergeCell ref="C19:P19"/>
    <mergeCell ref="C18:P18"/>
    <mergeCell ref="C22:F22"/>
    <mergeCell ref="J22:N28"/>
    <mergeCell ref="C10:P11"/>
    <mergeCell ref="C12:P12"/>
    <mergeCell ref="C13:P13"/>
    <mergeCell ref="C20:P20"/>
    <mergeCell ref="C17:P17"/>
    <mergeCell ref="C16:P16"/>
    <mergeCell ref="C14:P15"/>
    <mergeCell ref="B2:P2"/>
    <mergeCell ref="D4:E4"/>
    <mergeCell ref="D5:E5"/>
    <mergeCell ref="D6:E6"/>
    <mergeCell ref="D7:E7"/>
    <mergeCell ref="G4:I4"/>
    <mergeCell ref="G5:I5"/>
    <mergeCell ref="B7:C7"/>
  </mergeCells>
  <phoneticPr fontId="4" type="noConversion"/>
  <dataValidations count="1">
    <dataValidation type="list" allowBlank="1" showInputMessage="1" showErrorMessage="1" sqref="J6" xr:uid="{00000000-0002-0000-0000-000000000000}">
      <formula1>Offeror_Business_Types</formula1>
    </dataValidation>
  </dataValidations>
  <pageMargins left="1" right="1" top="1" bottom="1" header="0.5" footer="0.5"/>
  <pageSetup paperSize="5" scale="77" fitToHeight="0" orientation="landscape" horizontalDpi="1200" verticalDpi="1200" r:id="rId1"/>
  <headerFooter alignWithMargins="0">
    <oddHeader>&amp;RARPA-H OT Cost Workbook, June 2025 version</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G5" sqref="G5"/>
    </sheetView>
  </sheetViews>
  <sheetFormatPr defaultColWidth="8.81640625" defaultRowHeight="13" x14ac:dyDescent="0.25"/>
  <cols>
    <col min="1" max="1" width="2.7265625" style="292" customWidth="1"/>
    <col min="2" max="2" width="26.81640625" style="292" customWidth="1"/>
    <col min="3" max="3" width="18.26953125" style="292" customWidth="1"/>
    <col min="4" max="4" width="15.1796875" style="292" customWidth="1"/>
    <col min="5" max="5" width="15.453125" style="292" customWidth="1"/>
    <col min="6" max="6" width="13.81640625" style="292" customWidth="1"/>
    <col min="7" max="7" width="12.1796875" style="292" customWidth="1"/>
    <col min="8" max="8" width="16.453125" style="292" customWidth="1"/>
    <col min="9" max="9" width="4" style="292" customWidth="1"/>
    <col min="10" max="16384" width="8.81640625" style="292"/>
  </cols>
  <sheetData>
    <row r="1" spans="1:9" x14ac:dyDescent="0.25">
      <c r="A1" s="838"/>
      <c r="B1" s="838"/>
      <c r="C1" s="838"/>
      <c r="D1" s="838"/>
      <c r="E1" s="838"/>
      <c r="F1" s="838"/>
      <c r="G1" s="838"/>
      <c r="H1" s="838"/>
      <c r="I1" s="838"/>
    </row>
    <row r="2" spans="1:9" ht="30.65" customHeight="1" x14ac:dyDescent="0.25">
      <c r="A2" s="838"/>
      <c r="B2" s="1209" t="s">
        <v>215</v>
      </c>
      <c r="C2" s="1209"/>
      <c r="D2" s="1209"/>
      <c r="E2" s="1209"/>
      <c r="F2" s="1209"/>
      <c r="G2" s="1209"/>
      <c r="H2" s="1209"/>
      <c r="I2" s="838"/>
    </row>
    <row r="3" spans="1:9" x14ac:dyDescent="0.25">
      <c r="A3" s="838"/>
      <c r="B3" s="838"/>
      <c r="C3" s="838"/>
      <c r="D3" s="838"/>
      <c r="E3" s="838"/>
      <c r="F3" s="838"/>
      <c r="G3" s="838"/>
      <c r="H3" s="838"/>
      <c r="I3" s="838"/>
    </row>
    <row r="4" spans="1:9" ht="38.5" customHeight="1" x14ac:dyDescent="0.25">
      <c r="A4" s="838"/>
      <c r="B4" s="1260" t="s">
        <v>216</v>
      </c>
      <c r="C4" s="1261"/>
      <c r="D4" s="1259" t="s">
        <v>217</v>
      </c>
      <c r="E4" s="1259"/>
      <c r="F4" s="838"/>
      <c r="G4" s="838"/>
      <c r="H4" s="838"/>
      <c r="I4" s="838"/>
    </row>
    <row r="5" spans="1:9" ht="159.65" customHeight="1" x14ac:dyDescent="0.25">
      <c r="A5" s="838"/>
      <c r="B5" s="1159" t="s">
        <v>56</v>
      </c>
      <c r="C5" s="1202" t="s">
        <v>218</v>
      </c>
      <c r="D5" s="612" t="s">
        <v>219</v>
      </c>
      <c r="E5" s="479" t="s">
        <v>220</v>
      </c>
      <c r="F5" s="838"/>
      <c r="G5" s="838"/>
      <c r="H5" s="838"/>
      <c r="I5" s="838"/>
    </row>
    <row r="6" spans="1:9" x14ac:dyDescent="0.25">
      <c r="A6" s="838"/>
      <c r="B6" s="838"/>
      <c r="C6" s="838"/>
      <c r="D6" s="838"/>
      <c r="E6" s="838"/>
      <c r="F6" s="838"/>
      <c r="G6" s="838"/>
      <c r="H6" s="838"/>
      <c r="I6" s="838"/>
    </row>
    <row r="7" spans="1:9" hidden="1" x14ac:dyDescent="0.25">
      <c r="A7" s="838"/>
      <c r="B7" s="849"/>
      <c r="C7" s="838"/>
      <c r="D7" s="838"/>
      <c r="E7" s="838"/>
      <c r="F7" s="838"/>
      <c r="G7" s="838"/>
      <c r="H7" s="838"/>
      <c r="I7" s="838"/>
    </row>
    <row r="8" spans="1:9" hidden="1" x14ac:dyDescent="0.25">
      <c r="A8" s="838"/>
      <c r="B8" s="838"/>
      <c r="C8" s="838"/>
      <c r="D8" s="838"/>
      <c r="E8" s="838"/>
      <c r="F8" s="838"/>
      <c r="G8" s="838"/>
      <c r="H8" s="838"/>
      <c r="I8" s="838"/>
    </row>
    <row r="9" spans="1:9" hidden="1" x14ac:dyDescent="0.25">
      <c r="A9" s="838"/>
      <c r="B9" s="838"/>
      <c r="C9" s="838"/>
      <c r="D9" s="838"/>
      <c r="E9" s="838"/>
      <c r="F9" s="838"/>
      <c r="G9" s="838"/>
      <c r="H9" s="838"/>
      <c r="I9" s="838"/>
    </row>
    <row r="10" spans="1:9" x14ac:dyDescent="0.25">
      <c r="A10" s="838"/>
      <c r="B10" s="838"/>
      <c r="C10" s="838"/>
      <c r="D10" s="838"/>
      <c r="E10" s="838"/>
      <c r="F10" s="838"/>
      <c r="G10" s="838"/>
      <c r="H10" s="838"/>
      <c r="I10" s="838"/>
    </row>
    <row r="11" spans="1:9" s="519" customFormat="1" ht="22" customHeight="1" x14ac:dyDescent="0.25">
      <c r="A11" s="839"/>
      <c r="B11" s="1258" t="s">
        <v>221</v>
      </c>
      <c r="C11" s="1258"/>
      <c r="D11" s="1258"/>
      <c r="E11" s="1258"/>
      <c r="F11" s="1258"/>
      <c r="G11" s="1258"/>
      <c r="H11" s="1258"/>
      <c r="I11" s="839"/>
    </row>
    <row r="12" spans="1:9" s="519" customFormat="1" ht="40" customHeight="1" x14ac:dyDescent="0.25">
      <c r="A12" s="839"/>
      <c r="B12" s="1256" t="s">
        <v>222</v>
      </c>
      <c r="C12" s="1256"/>
      <c r="D12" s="1256"/>
      <c r="E12" s="1256"/>
      <c r="F12" s="1256"/>
      <c r="G12" s="1256"/>
      <c r="H12" s="1256"/>
      <c r="I12" s="839"/>
    </row>
    <row r="13" spans="1:9" s="519" customFormat="1" ht="42.65" customHeight="1" x14ac:dyDescent="0.25">
      <c r="A13" s="839"/>
      <c r="B13" s="1201" t="s">
        <v>223</v>
      </c>
      <c r="C13" s="779" t="s">
        <v>224</v>
      </c>
      <c r="D13" s="780" t="s">
        <v>225</v>
      </c>
      <c r="E13" s="781" t="s">
        <v>226</v>
      </c>
      <c r="F13" s="775" t="s">
        <v>227</v>
      </c>
      <c r="G13" s="782" t="s">
        <v>228</v>
      </c>
      <c r="H13" s="783" t="s">
        <v>229</v>
      </c>
      <c r="I13" s="839"/>
    </row>
    <row r="14" spans="1:9" s="519" customFormat="1" ht="15.5" x14ac:dyDescent="0.25">
      <c r="A14" s="839"/>
      <c r="B14" s="784" t="s">
        <v>230</v>
      </c>
      <c r="C14" s="850">
        <v>45809</v>
      </c>
      <c r="D14" s="850">
        <f>EDATE(C14,12)</f>
        <v>46174</v>
      </c>
      <c r="E14" s="850">
        <f>EDATE(D14,12)</f>
        <v>46539</v>
      </c>
      <c r="F14" s="850">
        <f>EDATE(E14,12)</f>
        <v>46905</v>
      </c>
      <c r="G14" s="850">
        <f>EDATE(F14,12)</f>
        <v>47270</v>
      </c>
      <c r="H14" s="850">
        <f>EDATE(G14,12)</f>
        <v>47635</v>
      </c>
      <c r="I14" s="839"/>
    </row>
    <row r="15" spans="1:9" s="519" customFormat="1" ht="15.5" x14ac:dyDescent="0.25">
      <c r="A15" s="839"/>
      <c r="B15" s="784" t="s">
        <v>231</v>
      </c>
      <c r="C15" s="850">
        <v>46173</v>
      </c>
      <c r="D15" s="850">
        <f>EDATE(C15,12)</f>
        <v>46538</v>
      </c>
      <c r="E15" s="850">
        <v>46904</v>
      </c>
      <c r="F15" s="850">
        <f>EDATE(E15,12)</f>
        <v>47269</v>
      </c>
      <c r="G15" s="850">
        <f>EDATE(F15,12)</f>
        <v>47634</v>
      </c>
      <c r="H15" s="850">
        <f>EDATE(G15,12)</f>
        <v>47999</v>
      </c>
      <c r="I15" s="839"/>
    </row>
    <row r="16" spans="1:9" s="519" customFormat="1" ht="5.5" customHeight="1" x14ac:dyDescent="0.25">
      <c r="A16" s="839"/>
      <c r="B16" s="839"/>
      <c r="C16" s="839"/>
      <c r="D16" s="839"/>
      <c r="E16" s="839"/>
      <c r="F16" s="839"/>
      <c r="G16" s="839"/>
      <c r="H16" s="839"/>
      <c r="I16" s="839"/>
    </row>
    <row r="17" spans="1:9" s="519" customFormat="1" ht="35.15" customHeight="1" x14ac:dyDescent="0.25">
      <c r="A17" s="839"/>
      <c r="B17" s="1256" t="s">
        <v>232</v>
      </c>
      <c r="C17" s="1256"/>
      <c r="D17" s="1256"/>
      <c r="E17" s="1256"/>
      <c r="F17" s="1256"/>
      <c r="G17" s="1256"/>
      <c r="H17" s="1256"/>
      <c r="I17" s="839"/>
    </row>
    <row r="18" spans="1:9" s="519" customFormat="1" ht="32.5" customHeight="1" x14ac:dyDescent="0.25">
      <c r="A18" s="839"/>
      <c r="B18" s="1257" t="s">
        <v>233</v>
      </c>
      <c r="C18" s="1257"/>
      <c r="D18" s="1257"/>
      <c r="E18" s="1257"/>
      <c r="F18" s="1257"/>
      <c r="G18" s="1257"/>
      <c r="H18" s="1257"/>
      <c r="I18" s="839"/>
    </row>
    <row r="19" spans="1:9" x14ac:dyDescent="0.25">
      <c r="A19" s="838"/>
      <c r="B19" s="838"/>
      <c r="C19" s="838"/>
      <c r="D19" s="838"/>
      <c r="E19" s="838"/>
      <c r="F19" s="838"/>
      <c r="G19" s="838"/>
      <c r="H19" s="838"/>
      <c r="I19" s="838"/>
    </row>
    <row r="143" spans="1:1" x14ac:dyDescent="0.25">
      <c r="A143" s="590"/>
    </row>
    <row r="144" spans="1:1" x14ac:dyDescent="0.25">
      <c r="A144" s="590"/>
    </row>
    <row r="145" spans="1:1" x14ac:dyDescent="0.25">
      <c r="A145" s="590"/>
    </row>
    <row r="146" spans="1:1" x14ac:dyDescent="0.25">
      <c r="A146" s="590"/>
    </row>
    <row r="147" spans="1:1" x14ac:dyDescent="0.25">
      <c r="A147" s="590"/>
    </row>
    <row r="148" spans="1:1" x14ac:dyDescent="0.25">
      <c r="A148" s="590"/>
    </row>
    <row r="149" spans="1:1" x14ac:dyDescent="0.25">
      <c r="A149" s="590"/>
    </row>
    <row r="150" spans="1:1" x14ac:dyDescent="0.25">
      <c r="A150" s="590"/>
    </row>
  </sheetData>
  <mergeCells count="7">
    <mergeCell ref="B2:H2"/>
    <mergeCell ref="B17:H17"/>
    <mergeCell ref="B18:H18"/>
    <mergeCell ref="B12:H12"/>
    <mergeCell ref="B11:H11"/>
    <mergeCell ref="D4:E4"/>
    <mergeCell ref="B4:C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1640625" defaultRowHeight="12.5" x14ac:dyDescent="0.25"/>
  <cols>
    <col min="2" max="2" width="35.453125" customWidth="1"/>
    <col min="3" max="10" width="14.453125" customWidth="1"/>
  </cols>
  <sheetData>
    <row r="1" spans="2:10" x14ac:dyDescent="0.25">
      <c r="B1" t="s">
        <v>234</v>
      </c>
      <c r="C1" s="83" t="str">
        <f>Period1_Label</f>
        <v>FY 1</v>
      </c>
      <c r="D1" s="83" t="str">
        <f>Period2_Label</f>
        <v>FY 2</v>
      </c>
      <c r="E1" s="83" t="str">
        <f>Period3_Label</f>
        <v>FY 3</v>
      </c>
      <c r="F1" s="83" t="str">
        <f>Period4_Label</f>
        <v>FY 4</v>
      </c>
      <c r="G1" s="83" t="str">
        <f>Period5_Label</f>
        <v>FY 5</v>
      </c>
      <c r="H1" s="83" t="str">
        <f>Period6_Label</f>
        <v>FY 6</v>
      </c>
    </row>
    <row r="2" spans="2:10" x14ac:dyDescent="0.25">
      <c r="B2" t="s">
        <v>235</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ht="13" x14ac:dyDescent="0.3">
      <c r="D5" t="s">
        <v>15</v>
      </c>
      <c r="E5" t="s">
        <v>236</v>
      </c>
      <c r="F5" t="s">
        <v>237</v>
      </c>
      <c r="G5" t="s">
        <v>238</v>
      </c>
      <c r="H5" t="s">
        <v>239</v>
      </c>
      <c r="I5" t="s">
        <v>240</v>
      </c>
      <c r="J5" s="81" t="s">
        <v>241</v>
      </c>
    </row>
    <row r="6" spans="2:10" x14ac:dyDescent="0.25">
      <c r="B6" t="s">
        <v>242</v>
      </c>
      <c r="C6" t="s">
        <v>243</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x14ac:dyDescent="0.25">
      <c r="B7" t="s">
        <v>244</v>
      </c>
      <c r="C7" t="s">
        <v>245</v>
      </c>
      <c r="D7" s="80">
        <f t="shared" ca="1" si="0"/>
        <v>0</v>
      </c>
      <c r="E7" s="80">
        <f t="shared" ca="1" si="0"/>
        <v>0</v>
      </c>
      <c r="F7" s="80">
        <f t="shared" ca="1" si="0"/>
        <v>0</v>
      </c>
      <c r="G7" s="80">
        <f t="shared" ca="1" si="0"/>
        <v>0</v>
      </c>
      <c r="H7" s="80">
        <f t="shared" ca="1" si="0"/>
        <v>0</v>
      </c>
      <c r="I7" s="80">
        <f t="shared" ca="1" si="0"/>
        <v>0</v>
      </c>
      <c r="J7" s="80">
        <f ca="1">SUM(D7:I7)</f>
        <v>0</v>
      </c>
    </row>
    <row r="8" spans="2:10" x14ac:dyDescent="0.25">
      <c r="B8" t="s">
        <v>246</v>
      </c>
      <c r="C8" t="s">
        <v>247</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x14ac:dyDescent="0.25">
      <c r="B9" t="s">
        <v>248</v>
      </c>
      <c r="C9" t="s">
        <v>249</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x14ac:dyDescent="0.25">
      <c r="B10" t="s">
        <v>250</v>
      </c>
      <c r="C10" t="s">
        <v>251</v>
      </c>
      <c r="D10" s="80">
        <f t="shared" ca="1" si="0"/>
        <v>0</v>
      </c>
      <c r="E10" s="80">
        <f t="shared" ca="1" si="0"/>
        <v>0</v>
      </c>
      <c r="F10" s="80">
        <f t="shared" ca="1" si="0"/>
        <v>0</v>
      </c>
      <c r="G10" s="80">
        <f t="shared" ca="1" si="0"/>
        <v>0</v>
      </c>
      <c r="H10" s="80">
        <f t="shared" ca="1" si="0"/>
        <v>0</v>
      </c>
      <c r="I10" s="80">
        <f t="shared" ca="1" si="0"/>
        <v>0</v>
      </c>
      <c r="J10" s="80">
        <f t="shared" ca="1" si="1"/>
        <v>0</v>
      </c>
    </row>
    <row r="11" spans="2:10" x14ac:dyDescent="0.25">
      <c r="B11" t="s">
        <v>252</v>
      </c>
      <c r="C11" t="s">
        <v>253</v>
      </c>
      <c r="D11" s="80">
        <f t="shared" ca="1" si="0"/>
        <v>0</v>
      </c>
      <c r="E11" s="80">
        <f t="shared" ca="1" si="0"/>
        <v>0</v>
      </c>
      <c r="F11" s="80">
        <f t="shared" ca="1" si="0"/>
        <v>0</v>
      </c>
      <c r="G11" s="80">
        <f t="shared" ca="1" si="0"/>
        <v>0</v>
      </c>
      <c r="H11" s="80">
        <f t="shared" ca="1" si="0"/>
        <v>0</v>
      </c>
      <c r="I11" s="80">
        <f t="shared" ca="1" si="0"/>
        <v>0</v>
      </c>
      <c r="J11" s="80">
        <f t="shared" ca="1" si="1"/>
        <v>0</v>
      </c>
    </row>
    <row r="12" spans="2:10" x14ac:dyDescent="0.25">
      <c r="B12" t="s">
        <v>254</v>
      </c>
      <c r="C12" t="s">
        <v>255</v>
      </c>
      <c r="D12" s="80">
        <f t="shared" ca="1" si="0"/>
        <v>0</v>
      </c>
      <c r="E12" s="80">
        <f t="shared" ca="1" si="0"/>
        <v>0</v>
      </c>
      <c r="F12" s="80">
        <f t="shared" ca="1" si="0"/>
        <v>0</v>
      </c>
      <c r="G12" s="80">
        <f t="shared" ca="1" si="0"/>
        <v>0</v>
      </c>
      <c r="H12" s="80">
        <f t="shared" ca="1" si="0"/>
        <v>0</v>
      </c>
      <c r="I12" s="80">
        <f t="shared" ca="1" si="0"/>
        <v>0</v>
      </c>
      <c r="J12" s="80">
        <f t="shared" ca="1" si="1"/>
        <v>0</v>
      </c>
    </row>
    <row r="13" spans="2:10" x14ac:dyDescent="0.25">
      <c r="B13" t="s">
        <v>256</v>
      </c>
      <c r="C13" t="s">
        <v>257</v>
      </c>
      <c r="D13" s="80">
        <f t="shared" ca="1" si="0"/>
        <v>0</v>
      </c>
      <c r="E13" s="80">
        <f t="shared" ca="1" si="0"/>
        <v>0</v>
      </c>
      <c r="F13" s="80">
        <f t="shared" ca="1" si="0"/>
        <v>0</v>
      </c>
      <c r="G13" s="80">
        <f t="shared" ca="1" si="0"/>
        <v>0</v>
      </c>
      <c r="H13" s="80">
        <f t="shared" ca="1" si="0"/>
        <v>0</v>
      </c>
      <c r="I13" s="80">
        <f t="shared" ca="1" si="0"/>
        <v>0</v>
      </c>
      <c r="J13" s="80">
        <f t="shared" ca="1" si="1"/>
        <v>0</v>
      </c>
    </row>
    <row r="14" spans="2:10" x14ac:dyDescent="0.25">
      <c r="B14" t="s">
        <v>258</v>
      </c>
      <c r="C14" t="s">
        <v>259</v>
      </c>
      <c r="D14" s="80">
        <f t="shared" ca="1" si="0"/>
        <v>0</v>
      </c>
      <c r="E14" s="80">
        <f t="shared" ca="1" si="0"/>
        <v>0</v>
      </c>
      <c r="F14" s="80">
        <f t="shared" ca="1" si="0"/>
        <v>0</v>
      </c>
      <c r="G14" s="80">
        <f t="shared" ca="1" si="0"/>
        <v>0</v>
      </c>
      <c r="H14" s="80">
        <f t="shared" ca="1" si="0"/>
        <v>0</v>
      </c>
      <c r="I14" s="80">
        <f t="shared" ca="1" si="0"/>
        <v>0</v>
      </c>
      <c r="J14" s="80">
        <f t="shared" ca="1" si="1"/>
        <v>0</v>
      </c>
    </row>
    <row r="15" spans="2:10" x14ac:dyDescent="0.25">
      <c r="B15" t="s">
        <v>260</v>
      </c>
      <c r="C15" t="s">
        <v>261</v>
      </c>
      <c r="D15" s="80">
        <f t="shared" ca="1" si="0"/>
        <v>0</v>
      </c>
      <c r="E15" s="80">
        <f t="shared" ca="1" si="0"/>
        <v>0</v>
      </c>
      <c r="F15" s="80">
        <f t="shared" ca="1" si="0"/>
        <v>0</v>
      </c>
      <c r="G15" s="80">
        <f t="shared" ca="1" si="0"/>
        <v>0</v>
      </c>
      <c r="H15" s="80">
        <f t="shared" ca="1" si="0"/>
        <v>0</v>
      </c>
      <c r="I15" s="80">
        <f t="shared" ca="1" si="0"/>
        <v>0</v>
      </c>
      <c r="J15" s="80">
        <f t="shared" ca="1" si="1"/>
        <v>0</v>
      </c>
    </row>
    <row r="16" spans="2:10" x14ac:dyDescent="0.25">
      <c r="B16" t="s">
        <v>262</v>
      </c>
      <c r="C16" t="s">
        <v>263</v>
      </c>
      <c r="D16" s="80">
        <f t="shared" ca="1" si="0"/>
        <v>0</v>
      </c>
      <c r="E16" s="80">
        <f t="shared" ca="1" si="0"/>
        <v>0</v>
      </c>
      <c r="F16" s="80">
        <f t="shared" ca="1" si="0"/>
        <v>0</v>
      </c>
      <c r="G16" s="80">
        <f t="shared" ca="1" si="0"/>
        <v>0</v>
      </c>
      <c r="H16" s="80">
        <f t="shared" ca="1" si="0"/>
        <v>0</v>
      </c>
      <c r="I16" s="80">
        <f t="shared" ca="1" si="0"/>
        <v>0</v>
      </c>
      <c r="J16" s="80">
        <f t="shared" ca="1" si="1"/>
        <v>0</v>
      </c>
    </row>
    <row r="17" spans="2:10" x14ac:dyDescent="0.25">
      <c r="B17" t="s">
        <v>264</v>
      </c>
      <c r="C17" t="s">
        <v>265</v>
      </c>
      <c r="D17" s="80">
        <f t="shared" ca="1" si="0"/>
        <v>0</v>
      </c>
      <c r="E17" s="80">
        <f t="shared" ca="1" si="0"/>
        <v>0</v>
      </c>
      <c r="F17" s="80">
        <f t="shared" ca="1" si="0"/>
        <v>0</v>
      </c>
      <c r="G17" s="80">
        <f t="shared" ca="1" si="0"/>
        <v>0</v>
      </c>
      <c r="H17" s="80">
        <f t="shared" ca="1" si="0"/>
        <v>0</v>
      </c>
      <c r="I17" s="80">
        <f t="shared" ca="1" si="0"/>
        <v>0</v>
      </c>
      <c r="J17" s="80">
        <f t="shared" ca="1" si="1"/>
        <v>0</v>
      </c>
    </row>
    <row r="18" spans="2:10" x14ac:dyDescent="0.25">
      <c r="B18" t="s">
        <v>266</v>
      </c>
      <c r="C18" t="s">
        <v>267</v>
      </c>
      <c r="D18" s="233">
        <f t="shared" ca="1" si="0"/>
        <v>0</v>
      </c>
      <c r="E18" s="233">
        <f t="shared" ca="1" si="0"/>
        <v>0</v>
      </c>
      <c r="F18" s="233">
        <f t="shared" ca="1" si="0"/>
        <v>0</v>
      </c>
      <c r="G18" s="233">
        <f t="shared" ca="1" si="0"/>
        <v>0</v>
      </c>
      <c r="H18" s="233">
        <f t="shared" ca="1" si="0"/>
        <v>0</v>
      </c>
      <c r="I18" s="233">
        <f t="shared" ca="1" si="0"/>
        <v>0</v>
      </c>
      <c r="J18" s="80"/>
    </row>
    <row r="19" spans="2:10" ht="13" x14ac:dyDescent="0.3">
      <c r="B19" s="81" t="s">
        <v>268</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x14ac:dyDescent="0.25">
      <c r="E21" s="235" t="s">
        <v>269</v>
      </c>
      <c r="F21" s="233" t="e">
        <f ca="1">SUM(D19:I19)</f>
        <v>#REF!</v>
      </c>
    </row>
    <row r="22" spans="2:10" x14ac:dyDescent="0.25">
      <c r="E22" s="235" t="s">
        <v>270</v>
      </c>
      <c r="F22" s="234" t="e">
        <f ca="1">J19</f>
        <v>#REF!</v>
      </c>
    </row>
    <row r="23" spans="2:10" ht="13" x14ac:dyDescent="0.3">
      <c r="E23" s="235" t="s">
        <v>271</v>
      </c>
      <c r="F23" s="236" t="e">
        <f ca="1">F21-F22</f>
        <v>#REF!</v>
      </c>
      <c r="G23" s="237" t="s">
        <v>272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view="pageBreakPreview" zoomScaleNormal="85" zoomScaleSheetLayoutView="100" workbookViewId="0">
      <selection activeCell="M20" sqref="M20"/>
    </sheetView>
  </sheetViews>
  <sheetFormatPr defaultColWidth="8.81640625" defaultRowHeight="13" x14ac:dyDescent="0.25"/>
  <cols>
    <col min="1" max="1" width="3.54296875" style="854" customWidth="1"/>
    <col min="2" max="2" width="19.81640625" style="854" customWidth="1"/>
    <col min="3" max="3" width="17.26953125" style="854" customWidth="1"/>
    <col min="4" max="4" width="21.26953125" style="854" customWidth="1"/>
    <col min="5" max="5" width="21.81640625" style="854" customWidth="1"/>
    <col min="6" max="6" width="13.81640625" style="854" customWidth="1"/>
    <col min="7" max="7" width="11.54296875" style="854" customWidth="1"/>
    <col min="8" max="8" width="11.26953125" style="854" customWidth="1"/>
    <col min="9" max="9" width="11.81640625" style="854" customWidth="1"/>
    <col min="10" max="10" width="9.54296875" style="854" customWidth="1"/>
    <col min="11" max="11" width="11.453125" style="854" customWidth="1"/>
    <col min="12" max="12" width="10.1796875" style="854" customWidth="1"/>
    <col min="13" max="13" width="10.7265625" style="854" customWidth="1"/>
    <col min="14" max="15" width="11.81640625" style="854" customWidth="1"/>
    <col min="16" max="16" width="12.453125" style="854" customWidth="1"/>
    <col min="17" max="17" width="25.453125" style="854" customWidth="1"/>
    <col min="18" max="18" width="5.26953125" style="854" customWidth="1"/>
    <col min="19" max="20" width="10.453125" style="854" customWidth="1"/>
    <col min="21" max="21" width="8.81640625" style="854"/>
    <col min="22" max="22" width="11.453125" style="854" customWidth="1"/>
    <col min="23" max="23" width="12.453125" style="854" customWidth="1"/>
    <col min="24" max="25" width="11.453125" style="854" customWidth="1"/>
    <col min="26" max="26" width="10.453125" style="854" customWidth="1"/>
    <col min="27" max="27" width="9.453125" style="854" customWidth="1"/>
    <col min="28" max="28" width="11.453125" style="854" customWidth="1"/>
    <col min="29" max="29" width="12.453125" style="854" customWidth="1"/>
    <col min="30" max="30" width="12" style="854" customWidth="1"/>
    <col min="31" max="32" width="10.453125" style="854" customWidth="1"/>
    <col min="33" max="33" width="8.81640625" style="854"/>
    <col min="34" max="34" width="11.453125" style="854" customWidth="1"/>
    <col min="35" max="35" width="12.453125" style="854" customWidth="1"/>
    <col min="36" max="37" width="11.453125" style="854" customWidth="1"/>
    <col min="38" max="38" width="10.453125" style="854" customWidth="1"/>
    <col min="39" max="39" width="9.453125" style="854" customWidth="1"/>
    <col min="40" max="40" width="11.453125" style="854" customWidth="1"/>
    <col min="41" max="41" width="28.453125" style="854" bestFit="1" customWidth="1"/>
    <col min="42" max="16384" width="8.81640625" style="854"/>
  </cols>
  <sheetData>
    <row r="1" spans="1:82" s="853" customFormat="1" ht="27.65" customHeight="1" thickBot="1" x14ac:dyDescent="0.3">
      <c r="A1" s="851"/>
      <c r="B1" s="851"/>
      <c r="C1" s="852"/>
      <c r="D1" s="852"/>
      <c r="E1" s="851"/>
      <c r="F1" s="851"/>
      <c r="G1" s="851"/>
      <c r="H1" s="851"/>
      <c r="I1" s="851"/>
      <c r="J1" s="851"/>
      <c r="K1" s="851"/>
      <c r="L1" s="851"/>
      <c r="M1" s="851"/>
      <c r="N1" s="851"/>
      <c r="O1" s="851"/>
      <c r="P1" s="851"/>
      <c r="Q1" s="851"/>
      <c r="R1" s="851"/>
    </row>
    <row r="2" spans="1:82" ht="27" customHeight="1" thickBot="1" x14ac:dyDescent="0.3">
      <c r="A2" s="851"/>
      <c r="B2" s="1269" t="str">
        <f>General!D4</f>
        <v>Name</v>
      </c>
      <c r="C2" s="1270"/>
      <c r="D2" s="851"/>
      <c r="E2" s="1272" t="s">
        <v>273</v>
      </c>
      <c r="F2" s="1272"/>
      <c r="G2" s="1132"/>
      <c r="H2" s="1132"/>
      <c r="I2" s="1013"/>
      <c r="J2" s="851"/>
      <c r="K2" s="851"/>
      <c r="L2" s="851"/>
      <c r="M2" s="851"/>
      <c r="N2" s="851"/>
      <c r="O2" s="851"/>
      <c r="P2" s="851"/>
      <c r="Q2" s="851"/>
      <c r="R2" s="851"/>
      <c r="S2" s="853"/>
      <c r="T2" s="853"/>
      <c r="U2" s="853"/>
      <c r="V2" s="853"/>
      <c r="W2" s="853"/>
      <c r="X2" s="853"/>
      <c r="Y2" s="853"/>
      <c r="Z2" s="853"/>
      <c r="AA2" s="853"/>
      <c r="AB2" s="853"/>
      <c r="AC2" s="853"/>
      <c r="AD2" s="853"/>
      <c r="AE2" s="853"/>
      <c r="AF2" s="853"/>
      <c r="AG2" s="853"/>
      <c r="AH2" s="853"/>
      <c r="AI2" s="853"/>
      <c r="AJ2" s="853"/>
      <c r="AK2" s="853"/>
      <c r="AL2" s="853"/>
      <c r="AM2" s="853"/>
      <c r="AN2" s="853"/>
      <c r="AO2" s="853"/>
      <c r="AP2" s="853"/>
      <c r="AQ2" s="853"/>
      <c r="AR2" s="853"/>
      <c r="AS2" s="853"/>
      <c r="AT2" s="853"/>
      <c r="AU2" s="853"/>
      <c r="AV2" s="853"/>
      <c r="AW2" s="853"/>
      <c r="AX2" s="853"/>
      <c r="AY2" s="853"/>
      <c r="AZ2" s="853"/>
      <c r="BA2" s="853"/>
      <c r="BB2" s="853"/>
      <c r="BC2" s="853"/>
      <c r="BD2" s="853"/>
      <c r="BE2" s="853"/>
      <c r="BF2" s="853"/>
      <c r="BG2" s="853"/>
      <c r="BH2" s="853"/>
      <c r="BI2" s="853"/>
      <c r="BJ2" s="853"/>
      <c r="BK2" s="853"/>
      <c r="BL2" s="853"/>
      <c r="BM2" s="853"/>
      <c r="BN2" s="853"/>
      <c r="BO2" s="853"/>
      <c r="BP2" s="853"/>
      <c r="BQ2" s="853"/>
      <c r="BR2" s="853"/>
      <c r="BS2" s="853"/>
      <c r="BT2" s="853"/>
      <c r="BU2" s="853"/>
      <c r="BV2" s="853"/>
      <c r="BW2" s="853"/>
      <c r="BX2" s="853"/>
      <c r="BY2" s="853"/>
      <c r="BZ2" s="853"/>
      <c r="CA2" s="853"/>
      <c r="CB2" s="853"/>
      <c r="CC2" s="853"/>
      <c r="CD2" s="853"/>
    </row>
    <row r="3" spans="1:82" x14ac:dyDescent="0.25">
      <c r="A3" s="851"/>
      <c r="B3" s="855"/>
      <c r="C3" s="851"/>
      <c r="D3" s="851"/>
      <c r="E3" s="851"/>
      <c r="F3" s="851"/>
      <c r="G3" s="851"/>
      <c r="H3" s="851"/>
      <c r="I3" s="851"/>
      <c r="J3" s="851"/>
      <c r="K3" s="851"/>
      <c r="L3" s="851"/>
      <c r="M3" s="851"/>
      <c r="N3" s="851"/>
      <c r="O3" s="851"/>
      <c r="P3" s="851"/>
      <c r="Q3" s="851"/>
      <c r="R3" s="851"/>
      <c r="S3" s="853"/>
      <c r="T3" s="853"/>
      <c r="U3" s="853"/>
      <c r="V3" s="853"/>
      <c r="W3" s="853"/>
      <c r="X3" s="853"/>
      <c r="Y3" s="853"/>
      <c r="Z3" s="853"/>
      <c r="AA3" s="853"/>
      <c r="AB3" s="853"/>
      <c r="AC3" s="853"/>
      <c r="AD3" s="853"/>
      <c r="AE3" s="853"/>
      <c r="AF3" s="853"/>
      <c r="AG3" s="853"/>
      <c r="AH3" s="853"/>
      <c r="AI3" s="853"/>
      <c r="AJ3" s="853"/>
      <c r="AK3" s="853"/>
      <c r="AL3" s="853"/>
      <c r="AM3" s="853"/>
      <c r="AN3" s="853"/>
      <c r="AO3" s="853"/>
      <c r="AP3" s="853"/>
      <c r="AQ3" s="853"/>
      <c r="AR3" s="853"/>
      <c r="AS3" s="853"/>
      <c r="AT3" s="853"/>
      <c r="AU3" s="853"/>
      <c r="AV3" s="853"/>
      <c r="AW3" s="853"/>
      <c r="AX3" s="853"/>
      <c r="AY3" s="853"/>
      <c r="AZ3" s="853"/>
      <c r="BA3" s="853"/>
      <c r="BB3" s="853"/>
      <c r="BC3" s="853"/>
      <c r="BD3" s="853"/>
      <c r="BE3" s="853"/>
      <c r="BF3" s="853"/>
      <c r="BG3" s="853"/>
      <c r="BH3" s="853"/>
      <c r="BI3" s="853"/>
      <c r="BJ3" s="853"/>
      <c r="BK3" s="853"/>
      <c r="BL3" s="853"/>
      <c r="BM3" s="853"/>
      <c r="BN3" s="853"/>
      <c r="BO3" s="853"/>
      <c r="BP3" s="853"/>
      <c r="BQ3" s="853"/>
      <c r="BR3" s="853"/>
      <c r="BS3" s="853"/>
      <c r="BT3" s="853"/>
      <c r="BU3" s="853"/>
      <c r="BV3" s="853"/>
      <c r="BW3" s="853"/>
      <c r="BX3" s="853"/>
      <c r="BY3" s="853"/>
      <c r="BZ3" s="853"/>
      <c r="CA3" s="853"/>
      <c r="CB3" s="853"/>
      <c r="CC3" s="853"/>
      <c r="CD3" s="853"/>
    </row>
    <row r="4" spans="1:82" x14ac:dyDescent="0.25">
      <c r="A4" s="851"/>
      <c r="B4" s="855"/>
      <c r="C4" s="851"/>
      <c r="D4" s="851"/>
      <c r="E4" s="851"/>
      <c r="F4" s="851"/>
      <c r="G4" s="851"/>
      <c r="H4" s="851"/>
      <c r="I4" s="851"/>
      <c r="J4" s="851"/>
      <c r="K4" s="851"/>
      <c r="L4" s="851"/>
      <c r="M4" s="851"/>
      <c r="N4" s="851"/>
      <c r="O4" s="851"/>
      <c r="P4" s="851"/>
      <c r="Q4" s="851"/>
      <c r="R4" s="851"/>
      <c r="S4" s="853"/>
      <c r="T4" s="853"/>
      <c r="U4" s="853"/>
      <c r="V4" s="853"/>
      <c r="W4" s="853"/>
      <c r="X4" s="853"/>
      <c r="Y4" s="853"/>
      <c r="Z4" s="853"/>
      <c r="AA4" s="853"/>
      <c r="AB4" s="853"/>
      <c r="AC4" s="853"/>
      <c r="AD4" s="853"/>
      <c r="AE4" s="853"/>
      <c r="AF4" s="853"/>
      <c r="AG4" s="853"/>
      <c r="AH4" s="853"/>
      <c r="AI4" s="853"/>
      <c r="AJ4" s="853"/>
      <c r="AK4" s="853"/>
      <c r="AL4" s="853"/>
      <c r="AM4" s="853"/>
      <c r="AN4" s="853"/>
      <c r="AO4" s="853"/>
      <c r="AP4" s="853"/>
      <c r="AQ4" s="853"/>
      <c r="AR4" s="853"/>
      <c r="AS4" s="853"/>
      <c r="AT4" s="853"/>
      <c r="AU4" s="853"/>
      <c r="AV4" s="853"/>
      <c r="AW4" s="853"/>
      <c r="AX4" s="853"/>
      <c r="AY4" s="853"/>
      <c r="AZ4" s="853"/>
      <c r="BA4" s="853"/>
      <c r="BB4" s="853"/>
      <c r="BC4" s="853"/>
      <c r="BD4" s="853"/>
      <c r="BE4" s="853"/>
      <c r="BF4" s="853"/>
      <c r="BG4" s="853"/>
      <c r="BH4" s="853"/>
      <c r="BI4" s="853"/>
      <c r="BJ4" s="853"/>
      <c r="BK4" s="853"/>
      <c r="BL4" s="853"/>
      <c r="BM4" s="853"/>
      <c r="BN4" s="853"/>
      <c r="BO4" s="853"/>
      <c r="BP4" s="853"/>
      <c r="BQ4" s="853"/>
      <c r="BR4" s="853"/>
      <c r="BS4" s="853"/>
      <c r="BT4" s="853"/>
      <c r="BU4" s="853"/>
      <c r="BV4" s="853"/>
      <c r="BW4" s="853"/>
      <c r="BX4" s="853"/>
      <c r="BY4" s="853"/>
      <c r="BZ4" s="853"/>
      <c r="CA4" s="853"/>
      <c r="CB4" s="853"/>
      <c r="CC4" s="853"/>
      <c r="CD4" s="853"/>
    </row>
    <row r="5" spans="1:82" s="857" customFormat="1" ht="30.65" customHeight="1" thickBot="1" x14ac:dyDescent="0.3">
      <c r="A5" s="851"/>
      <c r="B5" s="1162" t="s">
        <v>274</v>
      </c>
      <c r="C5" s="1146" t="s">
        <v>275</v>
      </c>
      <c r="D5" s="1283" t="s">
        <v>276</v>
      </c>
      <c r="E5" s="1283"/>
      <c r="F5" s="856" t="str">
        <f>Period1_Label</f>
        <v>FY 1</v>
      </c>
      <c r="G5" s="1281" t="str">
        <f>Period2_Label</f>
        <v>FY 2</v>
      </c>
      <c r="H5" s="1281"/>
      <c r="I5" s="1282" t="str">
        <f>Period3_Label</f>
        <v>FY 3</v>
      </c>
      <c r="J5" s="1282"/>
      <c r="K5" s="1279" t="str">
        <f>Period4_Label</f>
        <v>FY 4</v>
      </c>
      <c r="L5" s="1279"/>
      <c r="M5" s="1280" t="str">
        <f>Period5_Label</f>
        <v>FY 5</v>
      </c>
      <c r="N5" s="1280"/>
      <c r="O5" s="1278" t="str">
        <f>Period6_Label</f>
        <v>FY 6</v>
      </c>
      <c r="P5" s="1278"/>
      <c r="Q5" s="1276" t="s">
        <v>277</v>
      </c>
      <c r="R5" s="851"/>
      <c r="S5" s="853"/>
      <c r="T5" s="853"/>
      <c r="U5" s="853"/>
      <c r="V5" s="853"/>
      <c r="W5" s="853"/>
      <c r="X5" s="853"/>
      <c r="Y5" s="853"/>
      <c r="Z5" s="853"/>
      <c r="AA5" s="853"/>
      <c r="AB5" s="853"/>
      <c r="AC5" s="853"/>
      <c r="AD5" s="853"/>
      <c r="AE5" s="853"/>
      <c r="AF5" s="853"/>
      <c r="AG5" s="853"/>
      <c r="AH5" s="853"/>
      <c r="AI5" s="853"/>
      <c r="AJ5" s="853"/>
      <c r="AK5" s="853"/>
      <c r="AL5" s="853"/>
      <c r="AM5" s="853"/>
      <c r="AN5" s="853"/>
      <c r="AO5" s="853"/>
      <c r="AP5" s="853"/>
      <c r="AQ5" s="853"/>
      <c r="AR5" s="853"/>
      <c r="AS5" s="853"/>
      <c r="AT5" s="853"/>
      <c r="AU5" s="853"/>
      <c r="AV5" s="853"/>
      <c r="AW5" s="853"/>
      <c r="AX5" s="853"/>
      <c r="AY5" s="853"/>
      <c r="AZ5" s="853"/>
      <c r="BA5" s="853"/>
      <c r="BB5" s="853"/>
      <c r="BC5" s="853"/>
      <c r="BD5" s="853"/>
      <c r="BE5" s="853"/>
      <c r="BF5" s="853"/>
      <c r="BG5" s="853"/>
      <c r="BH5" s="853"/>
      <c r="BI5" s="853"/>
      <c r="BJ5" s="853"/>
      <c r="BK5" s="853"/>
      <c r="BL5" s="853"/>
      <c r="BM5" s="853"/>
      <c r="BN5" s="853"/>
      <c r="BO5" s="853"/>
      <c r="BP5" s="853"/>
      <c r="BQ5" s="853"/>
      <c r="BR5" s="853"/>
      <c r="BS5" s="853"/>
      <c r="BT5" s="853"/>
      <c r="BU5" s="853"/>
      <c r="BV5" s="853"/>
      <c r="BW5" s="853"/>
      <c r="BX5" s="853"/>
      <c r="BY5" s="853"/>
      <c r="BZ5" s="853"/>
      <c r="CA5" s="853"/>
      <c r="CB5" s="853"/>
      <c r="CC5" s="853"/>
      <c r="CD5" s="853"/>
    </row>
    <row r="6" spans="1:82" s="862" customFormat="1" ht="87" customHeight="1" x14ac:dyDescent="0.25">
      <c r="A6" s="858"/>
      <c r="B6" s="859" t="s">
        <v>278</v>
      </c>
      <c r="C6" s="860" t="s">
        <v>278</v>
      </c>
      <c r="D6" s="1274" t="s">
        <v>279</v>
      </c>
      <c r="E6" s="1275"/>
      <c r="F6" s="1284" t="s">
        <v>280</v>
      </c>
      <c r="G6" s="1262" t="s">
        <v>281</v>
      </c>
      <c r="H6" s="861" t="s">
        <v>282</v>
      </c>
      <c r="I6" s="1262" t="s">
        <v>283</v>
      </c>
      <c r="J6" s="861" t="s">
        <v>282</v>
      </c>
      <c r="K6" s="1262" t="s">
        <v>281</v>
      </c>
      <c r="L6" s="861" t="s">
        <v>282</v>
      </c>
      <c r="M6" s="1262" t="s">
        <v>283</v>
      </c>
      <c r="N6" s="861" t="s">
        <v>282</v>
      </c>
      <c r="O6" s="1262" t="s">
        <v>281</v>
      </c>
      <c r="P6" s="861" t="s">
        <v>282</v>
      </c>
      <c r="Q6" s="1277"/>
      <c r="R6" s="851"/>
      <c r="S6" s="853"/>
      <c r="T6" s="853"/>
      <c r="U6" s="853"/>
      <c r="V6" s="853"/>
      <c r="W6" s="853"/>
      <c r="X6" s="853"/>
      <c r="Y6" s="853"/>
      <c r="Z6" s="853"/>
      <c r="AA6" s="853"/>
      <c r="AB6" s="853"/>
      <c r="AC6" s="853"/>
      <c r="AD6" s="853"/>
      <c r="AE6" s="853"/>
      <c r="AF6" s="853"/>
      <c r="AG6" s="853"/>
      <c r="AH6" s="853"/>
      <c r="AI6" s="853"/>
      <c r="AJ6" s="853"/>
      <c r="AK6" s="853"/>
      <c r="AL6" s="853"/>
      <c r="AM6" s="853"/>
      <c r="AN6" s="853"/>
      <c r="AO6" s="853"/>
      <c r="AP6" s="853"/>
      <c r="AQ6" s="853"/>
      <c r="AR6" s="853"/>
      <c r="AS6" s="853"/>
      <c r="AT6" s="853"/>
      <c r="AU6" s="853"/>
      <c r="AV6" s="853"/>
      <c r="AW6" s="853"/>
      <c r="AX6" s="853"/>
      <c r="AY6" s="853"/>
      <c r="AZ6" s="853"/>
      <c r="BA6" s="853"/>
      <c r="BB6" s="853"/>
      <c r="BC6" s="853"/>
      <c r="BD6" s="853"/>
      <c r="BE6" s="853"/>
      <c r="BF6" s="853"/>
      <c r="BG6" s="853"/>
      <c r="BH6" s="853"/>
      <c r="BI6" s="853"/>
      <c r="BJ6" s="853"/>
      <c r="BK6" s="853"/>
      <c r="BL6" s="853"/>
      <c r="BM6" s="853"/>
      <c r="BN6" s="853"/>
      <c r="BO6" s="853"/>
      <c r="BP6" s="853"/>
      <c r="BQ6" s="853"/>
      <c r="BR6" s="853"/>
      <c r="BS6" s="853"/>
      <c r="BT6" s="853"/>
      <c r="BU6" s="853"/>
      <c r="BV6" s="853"/>
      <c r="BW6" s="853"/>
      <c r="BX6" s="853"/>
      <c r="BY6" s="853"/>
      <c r="BZ6" s="853"/>
      <c r="CA6" s="853"/>
      <c r="CB6" s="853"/>
      <c r="CC6" s="853"/>
      <c r="CD6" s="853"/>
    </row>
    <row r="7" spans="1:82" ht="39" x14ac:dyDescent="0.25">
      <c r="A7" s="851"/>
      <c r="B7" s="863" t="s">
        <v>284</v>
      </c>
      <c r="C7" s="864" t="s">
        <v>285</v>
      </c>
      <c r="D7" s="945" t="s">
        <v>286</v>
      </c>
      <c r="E7" s="945" t="s">
        <v>287</v>
      </c>
      <c r="F7" s="1285"/>
      <c r="G7" s="1263"/>
      <c r="H7" s="865" t="s">
        <v>280</v>
      </c>
      <c r="I7" s="1263"/>
      <c r="J7" s="865" t="s">
        <v>280</v>
      </c>
      <c r="K7" s="1263"/>
      <c r="L7" s="865" t="s">
        <v>280</v>
      </c>
      <c r="M7" s="1263"/>
      <c r="N7" s="865" t="s">
        <v>280</v>
      </c>
      <c r="O7" s="1263"/>
      <c r="P7" s="865" t="s">
        <v>280</v>
      </c>
      <c r="Q7" s="866" t="s">
        <v>288</v>
      </c>
      <c r="R7" s="851"/>
      <c r="S7" s="853"/>
      <c r="T7" s="853"/>
      <c r="U7" s="853"/>
      <c r="V7" s="853"/>
      <c r="W7" s="853"/>
      <c r="X7" s="853"/>
      <c r="Y7" s="853"/>
      <c r="Z7" s="853"/>
      <c r="AA7" s="853"/>
      <c r="AB7" s="853"/>
      <c r="AC7" s="853"/>
      <c r="AD7" s="853"/>
      <c r="AE7" s="853"/>
      <c r="AF7" s="853"/>
      <c r="AG7" s="853"/>
      <c r="AH7" s="853"/>
      <c r="AI7" s="853"/>
      <c r="AJ7" s="853"/>
      <c r="AK7" s="853"/>
      <c r="AL7" s="853"/>
      <c r="AM7" s="853"/>
      <c r="AN7" s="853"/>
      <c r="AO7" s="853"/>
      <c r="AP7" s="853"/>
      <c r="AQ7" s="853"/>
      <c r="AR7" s="853"/>
      <c r="AS7" s="853"/>
      <c r="AT7" s="853"/>
      <c r="AU7" s="853"/>
      <c r="AV7" s="853"/>
      <c r="AW7" s="853"/>
      <c r="AX7" s="853"/>
      <c r="AY7" s="853"/>
      <c r="AZ7" s="853"/>
      <c r="BA7" s="853"/>
      <c r="BB7" s="853"/>
      <c r="BC7" s="853"/>
      <c r="BD7" s="853"/>
      <c r="BE7" s="853"/>
      <c r="BF7" s="853"/>
      <c r="BG7" s="853"/>
      <c r="BH7" s="853"/>
      <c r="BI7" s="853"/>
      <c r="BJ7" s="853"/>
      <c r="BK7" s="853"/>
      <c r="BL7" s="853"/>
      <c r="BM7" s="853"/>
      <c r="BN7" s="853"/>
      <c r="BO7" s="853"/>
      <c r="BP7" s="853"/>
      <c r="BQ7" s="853"/>
      <c r="BR7" s="853"/>
      <c r="BS7" s="853"/>
      <c r="BT7" s="853"/>
      <c r="BU7" s="853"/>
      <c r="BV7" s="853"/>
      <c r="BW7" s="853"/>
      <c r="BX7" s="853"/>
      <c r="BY7" s="853"/>
      <c r="BZ7" s="853"/>
      <c r="CA7" s="853"/>
      <c r="CB7" s="853"/>
      <c r="CC7" s="853"/>
      <c r="CD7" s="853"/>
    </row>
    <row r="8" spans="1:82" x14ac:dyDescent="0.25">
      <c r="A8" s="851"/>
      <c r="B8" s="1161"/>
      <c r="C8" s="1161"/>
      <c r="D8" s="867"/>
      <c r="E8" s="868"/>
      <c r="F8" s="869">
        <v>0</v>
      </c>
      <c r="G8" s="870">
        <v>0</v>
      </c>
      <c r="H8" s="871">
        <f>F8*(1+G8)</f>
        <v>0</v>
      </c>
      <c r="I8" s="870">
        <v>0</v>
      </c>
      <c r="J8" s="871">
        <f>H8*(1+I8)</f>
        <v>0</v>
      </c>
      <c r="K8" s="870">
        <v>0</v>
      </c>
      <c r="L8" s="871">
        <f>J8*(1+K8)</f>
        <v>0</v>
      </c>
      <c r="M8" s="870">
        <v>0</v>
      </c>
      <c r="N8" s="871">
        <f>L8*(1+M8)</f>
        <v>0</v>
      </c>
      <c r="O8" s="870">
        <v>0</v>
      </c>
      <c r="P8" s="871">
        <f>N8*(1+O8)</f>
        <v>0</v>
      </c>
      <c r="Q8" s="1161"/>
      <c r="R8" s="851"/>
      <c r="S8" s="853"/>
      <c r="T8" s="853"/>
      <c r="U8" s="853"/>
      <c r="V8" s="853"/>
      <c r="W8" s="853"/>
      <c r="X8" s="853"/>
      <c r="Y8" s="853"/>
      <c r="Z8" s="853"/>
      <c r="AA8" s="853"/>
      <c r="AB8" s="853"/>
      <c r="AC8" s="853"/>
      <c r="AD8" s="853"/>
      <c r="AE8" s="853"/>
      <c r="AF8" s="853"/>
      <c r="AG8" s="853"/>
      <c r="AH8" s="853"/>
      <c r="AI8" s="853"/>
      <c r="AJ8" s="853"/>
      <c r="AK8" s="853"/>
      <c r="AL8" s="853"/>
      <c r="AM8" s="853"/>
      <c r="AN8" s="853"/>
      <c r="AO8" s="853"/>
      <c r="AP8" s="853"/>
      <c r="AQ8" s="853"/>
      <c r="AR8" s="853"/>
      <c r="AS8" s="853"/>
      <c r="AT8" s="853"/>
      <c r="AU8" s="853"/>
      <c r="AV8" s="853"/>
      <c r="AW8" s="853"/>
      <c r="AX8" s="853"/>
      <c r="AY8" s="853"/>
      <c r="AZ8" s="853"/>
      <c r="BA8" s="853"/>
      <c r="BB8" s="853"/>
      <c r="BC8" s="853"/>
      <c r="BD8" s="853"/>
      <c r="BE8" s="853"/>
      <c r="BF8" s="853"/>
      <c r="BG8" s="853"/>
      <c r="BH8" s="853"/>
      <c r="BI8" s="853"/>
      <c r="BJ8" s="853"/>
      <c r="BK8" s="853"/>
      <c r="BL8" s="853"/>
      <c r="BM8" s="853"/>
      <c r="BN8" s="853"/>
      <c r="BO8" s="853"/>
      <c r="BP8" s="853"/>
      <c r="BQ8" s="853"/>
      <c r="BR8" s="853"/>
      <c r="BS8" s="853"/>
      <c r="BT8" s="853"/>
      <c r="BU8" s="853"/>
      <c r="BV8" s="853"/>
      <c r="BW8" s="853"/>
      <c r="BX8" s="853"/>
      <c r="BY8" s="853"/>
      <c r="BZ8" s="853"/>
      <c r="CA8" s="853"/>
      <c r="CB8" s="853"/>
      <c r="CC8" s="853"/>
      <c r="CD8" s="853"/>
    </row>
    <row r="9" spans="1:82" x14ac:dyDescent="0.25">
      <c r="A9" s="851"/>
      <c r="B9" s="1161"/>
      <c r="C9" s="1161" t="str">
        <f>IF(ISBLANK(D9),"","Select an ARPA-H Category")</f>
        <v/>
      </c>
      <c r="D9" s="867"/>
      <c r="E9" s="868"/>
      <c r="F9" s="869">
        <v>0</v>
      </c>
      <c r="G9" s="870">
        <v>0</v>
      </c>
      <c r="H9" s="871">
        <f t="shared" ref="H9:P31" si="0">F9*(1+G9)</f>
        <v>0</v>
      </c>
      <c r="I9" s="870">
        <v>0</v>
      </c>
      <c r="J9" s="871">
        <f t="shared" si="0"/>
        <v>0</v>
      </c>
      <c r="K9" s="870">
        <v>0</v>
      </c>
      <c r="L9" s="871">
        <f t="shared" si="0"/>
        <v>0</v>
      </c>
      <c r="M9" s="870">
        <v>0</v>
      </c>
      <c r="N9" s="871">
        <f t="shared" si="0"/>
        <v>0</v>
      </c>
      <c r="O9" s="870">
        <v>0</v>
      </c>
      <c r="P9" s="871">
        <f t="shared" si="0"/>
        <v>0</v>
      </c>
      <c r="Q9" s="1161"/>
      <c r="R9" s="851"/>
      <c r="S9" s="853"/>
      <c r="T9" s="853"/>
      <c r="U9" s="853"/>
      <c r="V9" s="853"/>
      <c r="W9" s="853"/>
      <c r="X9" s="853"/>
      <c r="Y9" s="853"/>
      <c r="Z9" s="853"/>
      <c r="AA9" s="853"/>
      <c r="AB9" s="853"/>
      <c r="AC9" s="853"/>
      <c r="AD9" s="853"/>
      <c r="AE9" s="853"/>
      <c r="AF9" s="853"/>
      <c r="AG9" s="853"/>
      <c r="AH9" s="853"/>
      <c r="AI9" s="853"/>
      <c r="AJ9" s="853"/>
      <c r="AK9" s="853"/>
      <c r="AL9" s="853"/>
      <c r="AM9" s="853"/>
      <c r="AN9" s="853"/>
      <c r="AO9" s="853"/>
      <c r="AP9" s="853"/>
      <c r="AQ9" s="853"/>
      <c r="AR9" s="853"/>
      <c r="AS9" s="853"/>
      <c r="AT9" s="853"/>
      <c r="AU9" s="853"/>
      <c r="AV9" s="853"/>
      <c r="AW9" s="853"/>
      <c r="AX9" s="853"/>
      <c r="AY9" s="853"/>
      <c r="AZ9" s="853"/>
      <c r="BA9" s="853"/>
      <c r="BB9" s="853"/>
      <c r="BC9" s="853"/>
      <c r="BD9" s="853"/>
      <c r="BE9" s="853"/>
      <c r="BF9" s="853"/>
      <c r="BG9" s="853"/>
      <c r="BH9" s="853"/>
      <c r="BI9" s="853"/>
      <c r="BJ9" s="853"/>
      <c r="BK9" s="853"/>
      <c r="BL9" s="853"/>
      <c r="BM9" s="853"/>
      <c r="BN9" s="853"/>
      <c r="BO9" s="853"/>
      <c r="BP9" s="853"/>
      <c r="BQ9" s="853"/>
      <c r="BR9" s="853"/>
      <c r="BS9" s="853"/>
      <c r="BT9" s="853"/>
      <c r="BU9" s="853"/>
      <c r="BV9" s="853"/>
      <c r="BW9" s="853"/>
      <c r="BX9" s="853"/>
      <c r="BY9" s="853"/>
      <c r="BZ9" s="853"/>
      <c r="CA9" s="853"/>
      <c r="CB9" s="853"/>
      <c r="CC9" s="853"/>
      <c r="CD9" s="853"/>
    </row>
    <row r="10" spans="1:82" x14ac:dyDescent="0.25">
      <c r="A10" s="851"/>
      <c r="B10" s="1161"/>
      <c r="C10" s="1161" t="str">
        <f>IF(ISBLANK(D10),"","Select an ARPA-H Category")</f>
        <v/>
      </c>
      <c r="D10" s="867"/>
      <c r="E10" s="868"/>
      <c r="F10" s="869">
        <v>0</v>
      </c>
      <c r="G10" s="870">
        <v>0</v>
      </c>
      <c r="H10" s="871">
        <f t="shared" si="0"/>
        <v>0</v>
      </c>
      <c r="I10" s="870">
        <v>0</v>
      </c>
      <c r="J10" s="871">
        <f t="shared" si="0"/>
        <v>0</v>
      </c>
      <c r="K10" s="870">
        <v>0</v>
      </c>
      <c r="L10" s="871">
        <f t="shared" si="0"/>
        <v>0</v>
      </c>
      <c r="M10" s="870">
        <v>0</v>
      </c>
      <c r="N10" s="871">
        <f t="shared" si="0"/>
        <v>0</v>
      </c>
      <c r="O10" s="870">
        <v>0</v>
      </c>
      <c r="P10" s="871">
        <f t="shared" si="0"/>
        <v>0</v>
      </c>
      <c r="Q10" s="1161"/>
      <c r="R10" s="851"/>
      <c r="S10" s="853"/>
      <c r="T10" s="853"/>
      <c r="U10" s="853"/>
      <c r="V10" s="853"/>
      <c r="W10" s="853"/>
      <c r="X10" s="853"/>
      <c r="Y10" s="853"/>
      <c r="Z10" s="853"/>
      <c r="AA10" s="853"/>
      <c r="AB10" s="853"/>
      <c r="AC10" s="853"/>
      <c r="AD10" s="853"/>
      <c r="AE10" s="853"/>
      <c r="AF10" s="853"/>
      <c r="AG10" s="853"/>
      <c r="AH10" s="853"/>
      <c r="AI10" s="853"/>
      <c r="AJ10" s="853"/>
      <c r="AK10" s="853"/>
      <c r="AL10" s="853"/>
      <c r="AM10" s="853"/>
      <c r="AN10" s="853"/>
      <c r="AO10" s="853"/>
      <c r="AP10" s="853"/>
      <c r="AQ10" s="853"/>
      <c r="AR10" s="853"/>
      <c r="AS10" s="853"/>
      <c r="AT10" s="853"/>
      <c r="AU10" s="853"/>
      <c r="AV10" s="853"/>
      <c r="AW10" s="853"/>
      <c r="AX10" s="853"/>
      <c r="AY10" s="853"/>
      <c r="AZ10" s="853"/>
      <c r="BA10" s="853"/>
      <c r="BB10" s="853"/>
      <c r="BC10" s="853"/>
      <c r="BD10" s="853"/>
      <c r="BE10" s="853"/>
      <c r="BF10" s="853"/>
      <c r="BG10" s="853"/>
      <c r="BH10" s="853"/>
      <c r="BI10" s="853"/>
      <c r="BJ10" s="853"/>
      <c r="BK10" s="853"/>
      <c r="BL10" s="853"/>
      <c r="BM10" s="853"/>
      <c r="BN10" s="853"/>
      <c r="BO10" s="853"/>
      <c r="BP10" s="853"/>
      <c r="BQ10" s="853"/>
      <c r="BR10" s="853"/>
      <c r="BS10" s="853"/>
      <c r="BT10" s="853"/>
      <c r="BU10" s="853"/>
      <c r="BV10" s="853"/>
      <c r="BW10" s="853"/>
      <c r="BX10" s="853"/>
      <c r="BY10" s="853"/>
      <c r="BZ10" s="853"/>
      <c r="CA10" s="853"/>
      <c r="CB10" s="853"/>
      <c r="CC10" s="853"/>
      <c r="CD10" s="853"/>
    </row>
    <row r="11" spans="1:82" x14ac:dyDescent="0.25">
      <c r="A11" s="851"/>
      <c r="B11" s="1161"/>
      <c r="C11" s="1161" t="str">
        <f>IF(ISBLANK(D11),"","Select an ARPA-H Category")</f>
        <v/>
      </c>
      <c r="D11" s="867"/>
      <c r="E11" s="868"/>
      <c r="F11" s="869">
        <v>0</v>
      </c>
      <c r="G11" s="870">
        <v>0</v>
      </c>
      <c r="H11" s="871">
        <f t="shared" si="0"/>
        <v>0</v>
      </c>
      <c r="I11" s="870">
        <v>0</v>
      </c>
      <c r="J11" s="871">
        <f t="shared" si="0"/>
        <v>0</v>
      </c>
      <c r="K11" s="870">
        <v>0</v>
      </c>
      <c r="L11" s="871">
        <f t="shared" si="0"/>
        <v>0</v>
      </c>
      <c r="M11" s="870">
        <v>0</v>
      </c>
      <c r="N11" s="871">
        <f t="shared" si="0"/>
        <v>0</v>
      </c>
      <c r="O11" s="870">
        <v>0</v>
      </c>
      <c r="P11" s="871">
        <f t="shared" si="0"/>
        <v>0</v>
      </c>
      <c r="Q11" s="1161"/>
      <c r="R11" s="851"/>
      <c r="S11" s="853"/>
      <c r="T11" s="853"/>
      <c r="U11" s="853"/>
      <c r="V11" s="853"/>
      <c r="W11" s="853"/>
      <c r="X11" s="853"/>
      <c r="Y11" s="853"/>
      <c r="Z11" s="853"/>
      <c r="AA11" s="853"/>
      <c r="AB11" s="853"/>
      <c r="AC11" s="853"/>
      <c r="AD11" s="853"/>
      <c r="AE11" s="853"/>
      <c r="AF11" s="853"/>
      <c r="AG11" s="853"/>
      <c r="AH11" s="853"/>
      <c r="AI11" s="853"/>
      <c r="AJ11" s="853"/>
      <c r="AK11" s="853"/>
      <c r="AL11" s="853"/>
      <c r="AM11" s="853"/>
      <c r="AN11" s="853"/>
      <c r="AO11" s="853"/>
      <c r="AP11" s="853"/>
      <c r="AQ11" s="853"/>
      <c r="AR11" s="853"/>
      <c r="AS11" s="853"/>
      <c r="AT11" s="853"/>
      <c r="AU11" s="853"/>
      <c r="AV11" s="853"/>
      <c r="AW11" s="853"/>
      <c r="AX11" s="853"/>
      <c r="AY11" s="853"/>
      <c r="AZ11" s="853"/>
      <c r="BA11" s="853"/>
      <c r="BB11" s="853"/>
      <c r="BC11" s="853"/>
      <c r="BD11" s="853"/>
      <c r="BE11" s="853"/>
      <c r="BF11" s="853"/>
      <c r="BG11" s="853"/>
      <c r="BH11" s="853"/>
      <c r="BI11" s="853"/>
      <c r="BJ11" s="853"/>
      <c r="BK11" s="853"/>
      <c r="BL11" s="853"/>
      <c r="BM11" s="853"/>
      <c r="BN11" s="853"/>
      <c r="BO11" s="853"/>
      <c r="BP11" s="853"/>
      <c r="BQ11" s="853"/>
      <c r="BR11" s="853"/>
      <c r="BS11" s="853"/>
      <c r="BT11" s="853"/>
      <c r="BU11" s="853"/>
      <c r="BV11" s="853"/>
      <c r="BW11" s="853"/>
      <c r="BX11" s="853"/>
      <c r="BY11" s="853"/>
      <c r="BZ11" s="853"/>
      <c r="CA11" s="853"/>
      <c r="CB11" s="853"/>
      <c r="CC11" s="853"/>
      <c r="CD11" s="853"/>
    </row>
    <row r="12" spans="1:82" x14ac:dyDescent="0.25">
      <c r="A12" s="851"/>
      <c r="B12" s="1161"/>
      <c r="C12" s="1161" t="str">
        <f>IF(ISBLANK(D12),"","Select an ARPA-H Category")</f>
        <v/>
      </c>
      <c r="D12" s="867"/>
      <c r="E12" s="868"/>
      <c r="F12" s="869">
        <v>0</v>
      </c>
      <c r="G12" s="870">
        <v>0</v>
      </c>
      <c r="H12" s="871">
        <f t="shared" si="0"/>
        <v>0</v>
      </c>
      <c r="I12" s="870">
        <v>0</v>
      </c>
      <c r="J12" s="871">
        <f t="shared" si="0"/>
        <v>0</v>
      </c>
      <c r="K12" s="870">
        <v>0</v>
      </c>
      <c r="L12" s="871">
        <f t="shared" si="0"/>
        <v>0</v>
      </c>
      <c r="M12" s="870">
        <v>0</v>
      </c>
      <c r="N12" s="871">
        <f t="shared" si="0"/>
        <v>0</v>
      </c>
      <c r="O12" s="870">
        <v>0</v>
      </c>
      <c r="P12" s="871">
        <f t="shared" si="0"/>
        <v>0</v>
      </c>
      <c r="Q12" s="1161"/>
      <c r="R12" s="851"/>
      <c r="S12" s="853"/>
      <c r="T12" s="853"/>
      <c r="U12" s="853"/>
      <c r="V12" s="853"/>
      <c r="W12" s="853"/>
      <c r="X12" s="853"/>
      <c r="Y12" s="853"/>
      <c r="Z12" s="853"/>
      <c r="AA12" s="853"/>
      <c r="AB12" s="853"/>
      <c r="AC12" s="853"/>
      <c r="AD12" s="853"/>
      <c r="AE12" s="853"/>
      <c r="AF12" s="853"/>
      <c r="AG12" s="853"/>
      <c r="AH12" s="853"/>
      <c r="AI12" s="853"/>
      <c r="AJ12" s="853"/>
      <c r="AK12" s="853"/>
      <c r="AL12" s="853"/>
      <c r="AM12" s="853"/>
      <c r="AN12" s="853"/>
      <c r="AO12" s="853"/>
      <c r="AP12" s="853"/>
      <c r="AQ12" s="853"/>
      <c r="AR12" s="853"/>
      <c r="AS12" s="853"/>
      <c r="AT12" s="853"/>
      <c r="AU12" s="853"/>
      <c r="AV12" s="853"/>
      <c r="AW12" s="853"/>
      <c r="AX12" s="853"/>
      <c r="AY12" s="853"/>
      <c r="AZ12" s="853"/>
      <c r="BA12" s="853"/>
      <c r="BB12" s="853"/>
      <c r="BC12" s="853"/>
      <c r="BD12" s="853"/>
      <c r="BE12" s="853"/>
      <c r="BF12" s="853"/>
      <c r="BG12" s="853"/>
      <c r="BH12" s="853"/>
      <c r="BI12" s="853"/>
      <c r="BJ12" s="853"/>
      <c r="BK12" s="853"/>
      <c r="BL12" s="853"/>
      <c r="BM12" s="853"/>
      <c r="BN12" s="853"/>
      <c r="BO12" s="853"/>
      <c r="BP12" s="853"/>
      <c r="BQ12" s="853"/>
      <c r="BR12" s="853"/>
      <c r="BS12" s="853"/>
      <c r="BT12" s="853"/>
      <c r="BU12" s="853"/>
      <c r="BV12" s="853"/>
      <c r="BW12" s="853"/>
      <c r="BX12" s="853"/>
      <c r="BY12" s="853"/>
      <c r="BZ12" s="853"/>
      <c r="CA12" s="853"/>
      <c r="CB12" s="853"/>
      <c r="CC12" s="853"/>
      <c r="CD12" s="853"/>
    </row>
    <row r="13" spans="1:82" x14ac:dyDescent="0.25">
      <c r="A13" s="851"/>
      <c r="B13" s="1161"/>
      <c r="C13" s="1161" t="str">
        <f t="shared" ref="C13:C31" si="1">IF(ISBLANK(D13),"","Select an ARPA-H Category")</f>
        <v/>
      </c>
      <c r="D13" s="867"/>
      <c r="E13" s="868"/>
      <c r="F13" s="869">
        <v>0</v>
      </c>
      <c r="G13" s="870">
        <v>0</v>
      </c>
      <c r="H13" s="871">
        <f t="shared" si="0"/>
        <v>0</v>
      </c>
      <c r="I13" s="870">
        <v>0</v>
      </c>
      <c r="J13" s="871">
        <f t="shared" si="0"/>
        <v>0</v>
      </c>
      <c r="K13" s="870">
        <v>0</v>
      </c>
      <c r="L13" s="871">
        <f t="shared" si="0"/>
        <v>0</v>
      </c>
      <c r="M13" s="870">
        <v>0</v>
      </c>
      <c r="N13" s="871">
        <f t="shared" si="0"/>
        <v>0</v>
      </c>
      <c r="O13" s="870">
        <v>0</v>
      </c>
      <c r="P13" s="871">
        <f t="shared" si="0"/>
        <v>0</v>
      </c>
      <c r="Q13" s="1161"/>
      <c r="R13" s="851"/>
      <c r="S13" s="853"/>
      <c r="T13" s="853"/>
      <c r="U13" s="853"/>
      <c r="V13" s="853"/>
      <c r="W13" s="853"/>
      <c r="X13" s="853"/>
      <c r="Y13" s="853"/>
      <c r="Z13" s="853"/>
      <c r="AA13" s="853"/>
      <c r="AB13" s="853"/>
      <c r="AC13" s="853"/>
      <c r="AD13" s="853"/>
      <c r="AE13" s="853"/>
      <c r="AF13" s="853"/>
      <c r="AG13" s="853"/>
      <c r="AH13" s="853"/>
      <c r="AI13" s="853"/>
      <c r="AJ13" s="853"/>
      <c r="AK13" s="853"/>
      <c r="AL13" s="853"/>
      <c r="AM13" s="853"/>
      <c r="AN13" s="853"/>
      <c r="AO13" s="853"/>
      <c r="AP13" s="853"/>
      <c r="AQ13" s="853"/>
      <c r="AR13" s="853"/>
      <c r="AS13" s="853"/>
      <c r="AT13" s="853"/>
      <c r="AU13" s="853"/>
      <c r="AV13" s="853"/>
      <c r="AW13" s="853"/>
      <c r="AX13" s="853"/>
      <c r="AY13" s="853"/>
      <c r="AZ13" s="853"/>
      <c r="BA13" s="853"/>
      <c r="BB13" s="853"/>
      <c r="BC13" s="853"/>
      <c r="BD13" s="853"/>
      <c r="BE13" s="853"/>
      <c r="BF13" s="853"/>
      <c r="BG13" s="853"/>
      <c r="BH13" s="853"/>
      <c r="BI13" s="853"/>
      <c r="BJ13" s="853"/>
      <c r="BK13" s="853"/>
      <c r="BL13" s="853"/>
      <c r="BM13" s="853"/>
      <c r="BN13" s="853"/>
      <c r="BO13" s="853"/>
      <c r="BP13" s="853"/>
      <c r="BQ13" s="853"/>
      <c r="BR13" s="853"/>
      <c r="BS13" s="853"/>
      <c r="BT13" s="853"/>
      <c r="BU13" s="853"/>
      <c r="BV13" s="853"/>
      <c r="BW13" s="853"/>
      <c r="BX13" s="853"/>
      <c r="BY13" s="853"/>
      <c r="BZ13" s="853"/>
      <c r="CA13" s="853"/>
      <c r="CB13" s="853"/>
      <c r="CC13" s="853"/>
      <c r="CD13" s="853"/>
    </row>
    <row r="14" spans="1:82" x14ac:dyDescent="0.25">
      <c r="A14" s="851"/>
      <c r="B14" s="1161"/>
      <c r="C14" s="1161" t="str">
        <f t="shared" si="1"/>
        <v/>
      </c>
      <c r="D14" s="867"/>
      <c r="E14" s="868"/>
      <c r="F14" s="869">
        <v>0</v>
      </c>
      <c r="G14" s="870">
        <v>0</v>
      </c>
      <c r="H14" s="871">
        <f t="shared" si="0"/>
        <v>0</v>
      </c>
      <c r="I14" s="870">
        <v>0</v>
      </c>
      <c r="J14" s="871">
        <f t="shared" si="0"/>
        <v>0</v>
      </c>
      <c r="K14" s="870">
        <v>0</v>
      </c>
      <c r="L14" s="871">
        <f t="shared" si="0"/>
        <v>0</v>
      </c>
      <c r="M14" s="870">
        <v>0</v>
      </c>
      <c r="N14" s="871">
        <f t="shared" si="0"/>
        <v>0</v>
      </c>
      <c r="O14" s="870">
        <v>0</v>
      </c>
      <c r="P14" s="871">
        <f t="shared" si="0"/>
        <v>0</v>
      </c>
      <c r="Q14" s="1161"/>
      <c r="R14" s="851"/>
      <c r="S14" s="853"/>
      <c r="T14" s="853"/>
      <c r="U14" s="853"/>
      <c r="V14" s="853"/>
      <c r="W14" s="853"/>
      <c r="X14" s="853"/>
      <c r="Y14" s="853"/>
      <c r="Z14" s="853"/>
      <c r="AA14" s="853"/>
      <c r="AB14" s="853"/>
      <c r="AC14" s="853"/>
      <c r="AD14" s="853"/>
      <c r="AE14" s="853"/>
      <c r="AF14" s="853"/>
      <c r="AG14" s="853"/>
      <c r="AH14" s="853"/>
      <c r="AI14" s="853"/>
      <c r="AJ14" s="853"/>
      <c r="AK14" s="853"/>
      <c r="AL14" s="853"/>
      <c r="AM14" s="853"/>
      <c r="AN14" s="853"/>
      <c r="AO14" s="853"/>
      <c r="AP14" s="853"/>
      <c r="AQ14" s="853"/>
      <c r="AR14" s="853"/>
      <c r="AS14" s="853"/>
      <c r="AT14" s="853"/>
      <c r="AU14" s="853"/>
      <c r="AV14" s="853"/>
      <c r="AW14" s="853"/>
      <c r="AX14" s="853"/>
      <c r="AY14" s="853"/>
      <c r="AZ14" s="853"/>
      <c r="BA14" s="853"/>
      <c r="BB14" s="853"/>
      <c r="BC14" s="853"/>
      <c r="BD14" s="853"/>
      <c r="BE14" s="853"/>
      <c r="BF14" s="853"/>
      <c r="BG14" s="853"/>
      <c r="BH14" s="853"/>
      <c r="BI14" s="853"/>
      <c r="BJ14" s="853"/>
      <c r="BK14" s="853"/>
      <c r="BL14" s="853"/>
      <c r="BM14" s="853"/>
      <c r="BN14" s="853"/>
      <c r="BO14" s="853"/>
      <c r="BP14" s="853"/>
      <c r="BQ14" s="853"/>
      <c r="BR14" s="853"/>
      <c r="BS14" s="853"/>
      <c r="BT14" s="853"/>
      <c r="BU14" s="853"/>
      <c r="BV14" s="853"/>
      <c r="BW14" s="853"/>
      <c r="BX14" s="853"/>
      <c r="BY14" s="853"/>
      <c r="BZ14" s="853"/>
      <c r="CA14" s="853"/>
      <c r="CB14" s="853"/>
      <c r="CC14" s="853"/>
      <c r="CD14" s="853"/>
    </row>
    <row r="15" spans="1:82" x14ac:dyDescent="0.25">
      <c r="A15" s="851"/>
      <c r="B15" s="1161"/>
      <c r="C15" s="1161" t="str">
        <f>IF(ISBLANK(D15),"","Select an ARPA-H Category")</f>
        <v/>
      </c>
      <c r="D15" s="867"/>
      <c r="E15" s="868"/>
      <c r="F15" s="869">
        <v>0</v>
      </c>
      <c r="G15" s="870">
        <v>0</v>
      </c>
      <c r="H15" s="871">
        <f t="shared" si="0"/>
        <v>0</v>
      </c>
      <c r="I15" s="870">
        <v>0</v>
      </c>
      <c r="J15" s="871">
        <f t="shared" si="0"/>
        <v>0</v>
      </c>
      <c r="K15" s="870">
        <v>0</v>
      </c>
      <c r="L15" s="871">
        <f t="shared" si="0"/>
        <v>0</v>
      </c>
      <c r="M15" s="870">
        <v>0</v>
      </c>
      <c r="N15" s="871">
        <f t="shared" si="0"/>
        <v>0</v>
      </c>
      <c r="O15" s="870">
        <v>0</v>
      </c>
      <c r="P15" s="871">
        <f t="shared" si="0"/>
        <v>0</v>
      </c>
      <c r="Q15" s="1161"/>
      <c r="R15" s="851"/>
      <c r="S15" s="853"/>
      <c r="T15" s="853"/>
      <c r="U15" s="853"/>
      <c r="V15" s="853"/>
      <c r="W15" s="853"/>
      <c r="X15" s="853"/>
      <c r="Y15" s="853"/>
      <c r="Z15" s="853"/>
      <c r="AA15" s="853"/>
      <c r="AB15" s="853"/>
      <c r="AC15" s="853"/>
      <c r="AD15" s="853"/>
      <c r="AE15" s="853"/>
      <c r="AF15" s="853"/>
      <c r="AG15" s="853"/>
      <c r="AH15" s="853"/>
      <c r="AI15" s="853"/>
      <c r="AJ15" s="853"/>
      <c r="AK15" s="853"/>
      <c r="AL15" s="853"/>
      <c r="AM15" s="853"/>
      <c r="AN15" s="853"/>
      <c r="AO15" s="853"/>
      <c r="AP15" s="853"/>
      <c r="AQ15" s="853"/>
      <c r="AR15" s="853"/>
      <c r="AS15" s="853"/>
      <c r="AT15" s="853"/>
      <c r="AU15" s="853"/>
      <c r="AV15" s="853"/>
      <c r="AW15" s="853"/>
      <c r="AX15" s="853"/>
      <c r="AY15" s="853"/>
      <c r="AZ15" s="853"/>
      <c r="BA15" s="853"/>
      <c r="BB15" s="853"/>
      <c r="BC15" s="853"/>
      <c r="BD15" s="853"/>
      <c r="BE15" s="853"/>
      <c r="BF15" s="853"/>
      <c r="BG15" s="853"/>
      <c r="BH15" s="853"/>
      <c r="BI15" s="853"/>
      <c r="BJ15" s="853"/>
      <c r="BK15" s="853"/>
      <c r="BL15" s="853"/>
      <c r="BM15" s="853"/>
      <c r="BN15" s="853"/>
      <c r="BO15" s="853"/>
      <c r="BP15" s="853"/>
      <c r="BQ15" s="853"/>
      <c r="BR15" s="853"/>
      <c r="BS15" s="853"/>
      <c r="BT15" s="853"/>
      <c r="BU15" s="853"/>
      <c r="BV15" s="853"/>
      <c r="BW15" s="853"/>
      <c r="BX15" s="853"/>
      <c r="BY15" s="853"/>
      <c r="BZ15" s="853"/>
      <c r="CA15" s="853"/>
      <c r="CB15" s="853"/>
      <c r="CC15" s="853"/>
      <c r="CD15" s="853"/>
    </row>
    <row r="16" spans="1:82" x14ac:dyDescent="0.25">
      <c r="A16" s="851"/>
      <c r="B16" s="1161"/>
      <c r="C16" s="1161" t="str">
        <f t="shared" si="1"/>
        <v/>
      </c>
      <c r="D16" s="867"/>
      <c r="E16" s="868"/>
      <c r="F16" s="869">
        <v>0</v>
      </c>
      <c r="G16" s="870">
        <v>0</v>
      </c>
      <c r="H16" s="871">
        <f t="shared" si="0"/>
        <v>0</v>
      </c>
      <c r="I16" s="870">
        <v>0</v>
      </c>
      <c r="J16" s="871">
        <f t="shared" si="0"/>
        <v>0</v>
      </c>
      <c r="K16" s="870">
        <v>0</v>
      </c>
      <c r="L16" s="871">
        <f t="shared" si="0"/>
        <v>0</v>
      </c>
      <c r="M16" s="870">
        <v>0</v>
      </c>
      <c r="N16" s="871">
        <f t="shared" si="0"/>
        <v>0</v>
      </c>
      <c r="O16" s="870">
        <v>0</v>
      </c>
      <c r="P16" s="871">
        <f t="shared" si="0"/>
        <v>0</v>
      </c>
      <c r="Q16" s="1161"/>
      <c r="R16" s="851"/>
      <c r="S16" s="853"/>
      <c r="T16" s="853"/>
      <c r="U16" s="853"/>
      <c r="V16" s="853"/>
      <c r="W16" s="853"/>
      <c r="X16" s="853"/>
      <c r="Y16" s="853"/>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W16" s="853"/>
      <c r="AX16" s="853"/>
      <c r="AY16" s="853"/>
      <c r="AZ16" s="853"/>
      <c r="BA16" s="853"/>
      <c r="BB16" s="853"/>
      <c r="BC16" s="853"/>
      <c r="BD16" s="853"/>
      <c r="BE16" s="853"/>
      <c r="BF16" s="853"/>
      <c r="BG16" s="853"/>
      <c r="BH16" s="853"/>
      <c r="BI16" s="853"/>
      <c r="BJ16" s="853"/>
      <c r="BK16" s="853"/>
      <c r="BL16" s="853"/>
      <c r="BM16" s="853"/>
      <c r="BN16" s="853"/>
      <c r="BO16" s="853"/>
      <c r="BP16" s="853"/>
      <c r="BQ16" s="853"/>
      <c r="BR16" s="853"/>
      <c r="BS16" s="853"/>
      <c r="BT16" s="853"/>
      <c r="BU16" s="853"/>
      <c r="BV16" s="853"/>
      <c r="BW16" s="853"/>
      <c r="BX16" s="853"/>
      <c r="BY16" s="853"/>
      <c r="BZ16" s="853"/>
      <c r="CA16" s="853"/>
      <c r="CB16" s="853"/>
      <c r="CC16" s="853"/>
      <c r="CD16" s="853"/>
    </row>
    <row r="17" spans="1:82" x14ac:dyDescent="0.25">
      <c r="A17" s="851"/>
      <c r="B17" s="1161"/>
      <c r="C17" s="1161" t="str">
        <f t="shared" si="1"/>
        <v/>
      </c>
      <c r="D17" s="867"/>
      <c r="E17" s="868"/>
      <c r="F17" s="869">
        <v>0</v>
      </c>
      <c r="G17" s="870">
        <v>0</v>
      </c>
      <c r="H17" s="871">
        <f t="shared" si="0"/>
        <v>0</v>
      </c>
      <c r="I17" s="870">
        <v>0</v>
      </c>
      <c r="J17" s="871">
        <f t="shared" si="0"/>
        <v>0</v>
      </c>
      <c r="K17" s="870">
        <v>0</v>
      </c>
      <c r="L17" s="871">
        <f t="shared" si="0"/>
        <v>0</v>
      </c>
      <c r="M17" s="870">
        <v>0</v>
      </c>
      <c r="N17" s="871">
        <f t="shared" si="0"/>
        <v>0</v>
      </c>
      <c r="O17" s="870">
        <v>0</v>
      </c>
      <c r="P17" s="871">
        <f t="shared" si="0"/>
        <v>0</v>
      </c>
      <c r="Q17" s="1161"/>
      <c r="R17" s="851"/>
      <c r="S17" s="853"/>
      <c r="T17" s="853"/>
      <c r="U17" s="853"/>
      <c r="V17" s="853"/>
      <c r="W17" s="853"/>
      <c r="X17" s="853"/>
      <c r="Y17" s="853"/>
      <c r="Z17" s="853"/>
      <c r="AA17" s="853"/>
      <c r="AB17" s="853"/>
      <c r="AC17" s="853"/>
      <c r="AD17" s="853"/>
      <c r="AE17" s="853"/>
      <c r="AF17" s="853"/>
      <c r="AG17" s="853"/>
      <c r="AH17" s="853"/>
      <c r="AI17" s="853"/>
      <c r="AJ17" s="853"/>
      <c r="AK17" s="853"/>
      <c r="AL17" s="853"/>
      <c r="AM17" s="853"/>
      <c r="AN17" s="853"/>
      <c r="AO17" s="853"/>
      <c r="AP17" s="853"/>
      <c r="AQ17" s="853"/>
      <c r="AR17" s="853"/>
      <c r="AS17" s="853"/>
      <c r="AT17" s="853"/>
      <c r="AU17" s="853"/>
      <c r="AV17" s="853"/>
      <c r="AW17" s="853"/>
      <c r="AX17" s="853"/>
      <c r="AY17" s="853"/>
      <c r="AZ17" s="853"/>
      <c r="BA17" s="853"/>
      <c r="BB17" s="853"/>
      <c r="BC17" s="853"/>
      <c r="BD17" s="853"/>
      <c r="BE17" s="853"/>
      <c r="BF17" s="853"/>
      <c r="BG17" s="853"/>
      <c r="BH17" s="853"/>
      <c r="BI17" s="853"/>
      <c r="BJ17" s="853"/>
      <c r="BK17" s="853"/>
      <c r="BL17" s="853"/>
      <c r="BM17" s="853"/>
      <c r="BN17" s="853"/>
      <c r="BO17" s="853"/>
      <c r="BP17" s="853"/>
      <c r="BQ17" s="853"/>
      <c r="BR17" s="853"/>
      <c r="BS17" s="853"/>
      <c r="BT17" s="853"/>
      <c r="BU17" s="853"/>
      <c r="BV17" s="853"/>
      <c r="BW17" s="853"/>
      <c r="BX17" s="853"/>
      <c r="BY17" s="853"/>
      <c r="BZ17" s="853"/>
      <c r="CA17" s="853"/>
      <c r="CB17" s="853"/>
      <c r="CC17" s="853"/>
      <c r="CD17" s="853"/>
    </row>
    <row r="18" spans="1:82" x14ac:dyDescent="0.25">
      <c r="A18" s="851"/>
      <c r="B18" s="1161"/>
      <c r="C18" s="1161" t="str">
        <f t="shared" si="1"/>
        <v/>
      </c>
      <c r="D18" s="867"/>
      <c r="E18" s="868"/>
      <c r="F18" s="869">
        <v>0</v>
      </c>
      <c r="G18" s="870">
        <v>0</v>
      </c>
      <c r="H18" s="871">
        <f t="shared" si="0"/>
        <v>0</v>
      </c>
      <c r="I18" s="870">
        <v>0</v>
      </c>
      <c r="J18" s="871">
        <f t="shared" si="0"/>
        <v>0</v>
      </c>
      <c r="K18" s="870">
        <v>0</v>
      </c>
      <c r="L18" s="871">
        <f t="shared" si="0"/>
        <v>0</v>
      </c>
      <c r="M18" s="870">
        <v>0</v>
      </c>
      <c r="N18" s="871">
        <f t="shared" si="0"/>
        <v>0</v>
      </c>
      <c r="O18" s="870">
        <v>0</v>
      </c>
      <c r="P18" s="871">
        <f t="shared" si="0"/>
        <v>0</v>
      </c>
      <c r="Q18" s="1161"/>
      <c r="R18" s="851"/>
      <c r="S18" s="853"/>
      <c r="T18" s="853"/>
      <c r="U18" s="853"/>
      <c r="V18" s="853"/>
      <c r="W18" s="853"/>
      <c r="X18" s="853"/>
      <c r="Y18" s="853"/>
      <c r="Z18" s="853"/>
      <c r="AA18" s="853"/>
      <c r="AB18" s="853"/>
      <c r="AC18" s="853"/>
      <c r="AD18" s="853"/>
      <c r="AE18" s="853"/>
      <c r="AF18" s="853"/>
      <c r="AG18" s="853"/>
      <c r="AH18" s="853"/>
      <c r="AI18" s="853"/>
      <c r="AJ18" s="853"/>
      <c r="AK18" s="853"/>
      <c r="AL18" s="853"/>
      <c r="AM18" s="853"/>
      <c r="AN18" s="853"/>
      <c r="AO18" s="853"/>
      <c r="AP18" s="853"/>
      <c r="AQ18" s="853"/>
      <c r="AR18" s="853"/>
      <c r="AS18" s="853"/>
      <c r="AT18" s="853"/>
      <c r="AU18" s="853"/>
      <c r="AV18" s="853"/>
      <c r="AW18" s="853"/>
      <c r="AX18" s="853"/>
      <c r="AY18" s="853"/>
      <c r="AZ18" s="853"/>
      <c r="BA18" s="853"/>
      <c r="BB18" s="853"/>
      <c r="BC18" s="853"/>
      <c r="BD18" s="853"/>
      <c r="BE18" s="853"/>
      <c r="BF18" s="853"/>
      <c r="BG18" s="853"/>
      <c r="BH18" s="853"/>
      <c r="BI18" s="853"/>
      <c r="BJ18" s="853"/>
      <c r="BK18" s="853"/>
      <c r="BL18" s="853"/>
      <c r="BM18" s="853"/>
      <c r="BN18" s="853"/>
      <c r="BO18" s="853"/>
      <c r="BP18" s="853"/>
      <c r="BQ18" s="853"/>
      <c r="BR18" s="853"/>
      <c r="BS18" s="853"/>
      <c r="BT18" s="853"/>
      <c r="BU18" s="853"/>
      <c r="BV18" s="853"/>
      <c r="BW18" s="853"/>
      <c r="BX18" s="853"/>
      <c r="BY18" s="853"/>
      <c r="BZ18" s="853"/>
      <c r="CA18" s="853"/>
      <c r="CB18" s="853"/>
      <c r="CC18" s="853"/>
      <c r="CD18" s="853"/>
    </row>
    <row r="19" spans="1:82" x14ac:dyDescent="0.25">
      <c r="A19" s="851"/>
      <c r="B19" s="1161"/>
      <c r="C19" s="1161" t="str">
        <f t="shared" si="1"/>
        <v/>
      </c>
      <c r="D19" s="867"/>
      <c r="E19" s="868"/>
      <c r="F19" s="869">
        <v>0</v>
      </c>
      <c r="G19" s="870">
        <v>0</v>
      </c>
      <c r="H19" s="871">
        <f t="shared" si="0"/>
        <v>0</v>
      </c>
      <c r="I19" s="870">
        <v>0</v>
      </c>
      <c r="J19" s="871">
        <f t="shared" si="0"/>
        <v>0</v>
      </c>
      <c r="K19" s="870">
        <v>0</v>
      </c>
      <c r="L19" s="871">
        <f t="shared" si="0"/>
        <v>0</v>
      </c>
      <c r="M19" s="870">
        <v>0</v>
      </c>
      <c r="N19" s="871">
        <f t="shared" si="0"/>
        <v>0</v>
      </c>
      <c r="O19" s="870">
        <v>0</v>
      </c>
      <c r="P19" s="871">
        <f t="shared" si="0"/>
        <v>0</v>
      </c>
      <c r="Q19" s="1161"/>
      <c r="R19" s="851"/>
      <c r="S19" s="853"/>
      <c r="T19" s="853"/>
      <c r="U19" s="853"/>
      <c r="V19" s="853"/>
      <c r="W19" s="853"/>
      <c r="X19" s="853"/>
      <c r="Y19" s="853"/>
      <c r="Z19" s="853"/>
      <c r="AA19" s="853"/>
      <c r="AB19" s="853"/>
      <c r="AC19" s="853"/>
      <c r="AD19" s="853"/>
      <c r="AE19" s="853"/>
      <c r="AF19" s="853"/>
      <c r="AG19" s="853"/>
      <c r="AH19" s="853"/>
      <c r="AI19" s="853"/>
      <c r="AJ19" s="853"/>
      <c r="AK19" s="853"/>
      <c r="AL19" s="853"/>
      <c r="AM19" s="853"/>
      <c r="AN19" s="853"/>
      <c r="AO19" s="853"/>
      <c r="AP19" s="853"/>
      <c r="AQ19" s="853"/>
      <c r="AR19" s="853"/>
      <c r="AS19" s="853"/>
      <c r="AT19" s="853"/>
      <c r="AU19" s="853"/>
      <c r="AV19" s="853"/>
      <c r="AW19" s="853"/>
      <c r="AX19" s="853"/>
      <c r="AY19" s="853"/>
      <c r="AZ19" s="853"/>
      <c r="BA19" s="853"/>
      <c r="BB19" s="853"/>
      <c r="BC19" s="853"/>
      <c r="BD19" s="853"/>
      <c r="BE19" s="853"/>
      <c r="BF19" s="853"/>
      <c r="BG19" s="853"/>
      <c r="BH19" s="853"/>
      <c r="BI19" s="853"/>
      <c r="BJ19" s="853"/>
      <c r="BK19" s="853"/>
      <c r="BL19" s="853"/>
      <c r="BM19" s="853"/>
      <c r="BN19" s="853"/>
      <c r="BO19" s="853"/>
      <c r="BP19" s="853"/>
      <c r="BQ19" s="853"/>
      <c r="BR19" s="853"/>
      <c r="BS19" s="853"/>
      <c r="BT19" s="853"/>
      <c r="BU19" s="853"/>
      <c r="BV19" s="853"/>
      <c r="BW19" s="853"/>
      <c r="BX19" s="853"/>
      <c r="BY19" s="853"/>
      <c r="BZ19" s="853"/>
      <c r="CA19" s="853"/>
      <c r="CB19" s="853"/>
      <c r="CC19" s="853"/>
      <c r="CD19" s="853"/>
    </row>
    <row r="20" spans="1:82" x14ac:dyDescent="0.25">
      <c r="A20" s="851"/>
      <c r="B20" s="1161"/>
      <c r="C20" s="1161" t="str">
        <f t="shared" si="1"/>
        <v/>
      </c>
      <c r="D20" s="867"/>
      <c r="E20" s="868"/>
      <c r="F20" s="869">
        <v>0</v>
      </c>
      <c r="G20" s="870">
        <v>0</v>
      </c>
      <c r="H20" s="871">
        <f t="shared" si="0"/>
        <v>0</v>
      </c>
      <c r="I20" s="870">
        <v>0</v>
      </c>
      <c r="J20" s="871">
        <f t="shared" si="0"/>
        <v>0</v>
      </c>
      <c r="K20" s="870">
        <v>0</v>
      </c>
      <c r="L20" s="871">
        <f t="shared" si="0"/>
        <v>0</v>
      </c>
      <c r="M20" s="870">
        <v>0</v>
      </c>
      <c r="N20" s="871">
        <f t="shared" si="0"/>
        <v>0</v>
      </c>
      <c r="O20" s="870">
        <v>0</v>
      </c>
      <c r="P20" s="871">
        <f t="shared" si="0"/>
        <v>0</v>
      </c>
      <c r="Q20" s="1161"/>
      <c r="R20" s="851"/>
      <c r="S20" s="853"/>
      <c r="T20" s="853"/>
      <c r="U20" s="853"/>
      <c r="V20" s="853"/>
      <c r="W20" s="853"/>
      <c r="X20" s="853"/>
      <c r="Y20" s="853"/>
      <c r="Z20" s="853"/>
      <c r="AA20" s="853"/>
      <c r="AB20" s="853"/>
      <c r="AC20" s="853"/>
      <c r="AD20" s="853"/>
      <c r="AE20" s="853"/>
      <c r="AF20" s="853"/>
      <c r="AG20" s="853"/>
      <c r="AH20" s="853"/>
      <c r="AI20" s="853"/>
      <c r="AJ20" s="853"/>
      <c r="AK20" s="853"/>
      <c r="AL20" s="853"/>
      <c r="AM20" s="853"/>
      <c r="AN20" s="853"/>
      <c r="AO20" s="853"/>
      <c r="AP20" s="853"/>
      <c r="AQ20" s="853"/>
      <c r="AR20" s="853"/>
      <c r="AS20" s="853"/>
      <c r="AT20" s="853"/>
      <c r="AU20" s="853"/>
      <c r="AV20" s="853"/>
      <c r="AW20" s="853"/>
      <c r="AX20" s="853"/>
      <c r="AY20" s="853"/>
      <c r="AZ20" s="853"/>
      <c r="BA20" s="853"/>
      <c r="BB20" s="853"/>
      <c r="BC20" s="853"/>
      <c r="BD20" s="853"/>
      <c r="BE20" s="853"/>
      <c r="BF20" s="853"/>
      <c r="BG20" s="853"/>
      <c r="BH20" s="853"/>
      <c r="BI20" s="853"/>
      <c r="BJ20" s="853"/>
      <c r="BK20" s="853"/>
      <c r="BL20" s="853"/>
      <c r="BM20" s="853"/>
      <c r="BN20" s="853"/>
      <c r="BO20" s="853"/>
      <c r="BP20" s="853"/>
      <c r="BQ20" s="853"/>
      <c r="BR20" s="853"/>
      <c r="BS20" s="853"/>
      <c r="BT20" s="853"/>
      <c r="BU20" s="853"/>
      <c r="BV20" s="853"/>
      <c r="BW20" s="853"/>
      <c r="BX20" s="853"/>
      <c r="BY20" s="853"/>
      <c r="BZ20" s="853"/>
      <c r="CA20" s="853"/>
      <c r="CB20" s="853"/>
      <c r="CC20" s="853"/>
      <c r="CD20" s="853"/>
    </row>
    <row r="21" spans="1:82" x14ac:dyDescent="0.25">
      <c r="A21" s="851"/>
      <c r="B21" s="1161"/>
      <c r="C21" s="1161" t="str">
        <f t="shared" si="1"/>
        <v/>
      </c>
      <c r="D21" s="867"/>
      <c r="E21" s="868"/>
      <c r="F21" s="869">
        <v>0</v>
      </c>
      <c r="G21" s="870">
        <v>0</v>
      </c>
      <c r="H21" s="871">
        <f t="shared" si="0"/>
        <v>0</v>
      </c>
      <c r="I21" s="870">
        <v>0</v>
      </c>
      <c r="J21" s="871">
        <f t="shared" si="0"/>
        <v>0</v>
      </c>
      <c r="K21" s="870">
        <v>0</v>
      </c>
      <c r="L21" s="871">
        <f t="shared" si="0"/>
        <v>0</v>
      </c>
      <c r="M21" s="870">
        <v>0</v>
      </c>
      <c r="N21" s="871">
        <f t="shared" si="0"/>
        <v>0</v>
      </c>
      <c r="O21" s="870">
        <v>0</v>
      </c>
      <c r="P21" s="871">
        <f t="shared" si="0"/>
        <v>0</v>
      </c>
      <c r="Q21" s="1161"/>
      <c r="R21" s="851"/>
      <c r="S21" s="853"/>
      <c r="T21" s="853"/>
      <c r="U21" s="853"/>
      <c r="V21" s="853"/>
      <c r="W21" s="853"/>
      <c r="X21" s="853"/>
      <c r="Y21" s="853"/>
      <c r="Z21" s="853"/>
      <c r="AA21" s="853"/>
      <c r="AB21" s="853"/>
      <c r="AC21" s="853"/>
      <c r="AD21" s="853"/>
      <c r="AE21" s="853"/>
      <c r="AF21" s="853"/>
      <c r="AG21" s="853"/>
      <c r="AH21" s="853"/>
      <c r="AI21" s="853"/>
      <c r="AJ21" s="853"/>
      <c r="AK21" s="853"/>
      <c r="AL21" s="853"/>
      <c r="AM21" s="853"/>
      <c r="AN21" s="853"/>
      <c r="AO21" s="853"/>
      <c r="AP21" s="853"/>
      <c r="AQ21" s="853"/>
      <c r="AR21" s="853"/>
      <c r="AS21" s="853"/>
      <c r="AT21" s="853"/>
      <c r="AU21" s="853"/>
      <c r="AV21" s="853"/>
      <c r="AW21" s="853"/>
      <c r="AX21" s="853"/>
      <c r="AY21" s="853"/>
      <c r="AZ21" s="853"/>
      <c r="BA21" s="853"/>
      <c r="BB21" s="853"/>
      <c r="BC21" s="853"/>
      <c r="BD21" s="853"/>
      <c r="BE21" s="853"/>
      <c r="BF21" s="853"/>
      <c r="BG21" s="853"/>
      <c r="BH21" s="853"/>
      <c r="BI21" s="853"/>
      <c r="BJ21" s="853"/>
      <c r="BK21" s="853"/>
      <c r="BL21" s="853"/>
      <c r="BM21" s="853"/>
      <c r="BN21" s="853"/>
      <c r="BO21" s="853"/>
      <c r="BP21" s="853"/>
      <c r="BQ21" s="853"/>
      <c r="BR21" s="853"/>
      <c r="BS21" s="853"/>
      <c r="BT21" s="853"/>
      <c r="BU21" s="853"/>
      <c r="BV21" s="853"/>
      <c r="BW21" s="853"/>
      <c r="BX21" s="853"/>
      <c r="BY21" s="853"/>
      <c r="BZ21" s="853"/>
      <c r="CA21" s="853"/>
      <c r="CB21" s="853"/>
      <c r="CC21" s="853"/>
      <c r="CD21" s="853"/>
    </row>
    <row r="22" spans="1:82" x14ac:dyDescent="0.25">
      <c r="A22" s="851"/>
      <c r="B22" s="1161"/>
      <c r="C22" s="1161" t="str">
        <f t="shared" si="1"/>
        <v/>
      </c>
      <c r="D22" s="867"/>
      <c r="E22" s="868"/>
      <c r="F22" s="869">
        <v>0</v>
      </c>
      <c r="G22" s="870">
        <v>0</v>
      </c>
      <c r="H22" s="871">
        <f t="shared" si="0"/>
        <v>0</v>
      </c>
      <c r="I22" s="870">
        <v>0</v>
      </c>
      <c r="J22" s="871">
        <f t="shared" si="0"/>
        <v>0</v>
      </c>
      <c r="K22" s="870">
        <v>0</v>
      </c>
      <c r="L22" s="871">
        <f t="shared" si="0"/>
        <v>0</v>
      </c>
      <c r="M22" s="870">
        <v>0</v>
      </c>
      <c r="N22" s="871">
        <f t="shared" si="0"/>
        <v>0</v>
      </c>
      <c r="O22" s="870">
        <v>0</v>
      </c>
      <c r="P22" s="871">
        <f t="shared" si="0"/>
        <v>0</v>
      </c>
      <c r="Q22" s="1161"/>
      <c r="R22" s="851"/>
      <c r="S22" s="853"/>
      <c r="T22" s="853"/>
      <c r="U22" s="853"/>
      <c r="V22" s="853"/>
      <c r="W22" s="853"/>
      <c r="X22" s="853"/>
      <c r="Y22" s="853"/>
      <c r="Z22" s="853"/>
      <c r="AA22" s="853"/>
      <c r="AB22" s="853"/>
      <c r="AC22" s="853"/>
      <c r="AD22" s="853"/>
      <c r="AE22" s="853"/>
      <c r="AF22" s="853"/>
      <c r="AG22" s="853"/>
      <c r="AH22" s="853"/>
      <c r="AI22" s="853"/>
      <c r="AJ22" s="853"/>
      <c r="AK22" s="853"/>
      <c r="AL22" s="853"/>
      <c r="AM22" s="853"/>
      <c r="AN22" s="853"/>
      <c r="AO22" s="853"/>
      <c r="AP22" s="853"/>
      <c r="AQ22" s="853"/>
      <c r="AR22" s="853"/>
      <c r="AS22" s="853"/>
      <c r="AT22" s="853"/>
      <c r="AU22" s="853"/>
      <c r="AV22" s="853"/>
      <c r="AW22" s="853"/>
      <c r="AX22" s="853"/>
      <c r="AY22" s="853"/>
      <c r="AZ22" s="853"/>
      <c r="BA22" s="853"/>
      <c r="BB22" s="853"/>
      <c r="BC22" s="853"/>
      <c r="BD22" s="853"/>
      <c r="BE22" s="853"/>
      <c r="BF22" s="853"/>
      <c r="BG22" s="853"/>
      <c r="BH22" s="853"/>
      <c r="BI22" s="853"/>
      <c r="BJ22" s="853"/>
      <c r="BK22" s="853"/>
      <c r="BL22" s="853"/>
      <c r="BM22" s="853"/>
      <c r="BN22" s="853"/>
      <c r="BO22" s="853"/>
      <c r="BP22" s="853"/>
      <c r="BQ22" s="853"/>
      <c r="BR22" s="853"/>
      <c r="BS22" s="853"/>
      <c r="BT22" s="853"/>
      <c r="BU22" s="853"/>
      <c r="BV22" s="853"/>
      <c r="BW22" s="853"/>
      <c r="BX22" s="853"/>
      <c r="BY22" s="853"/>
      <c r="BZ22" s="853"/>
      <c r="CA22" s="853"/>
      <c r="CB22" s="853"/>
      <c r="CC22" s="853"/>
      <c r="CD22" s="853"/>
    </row>
    <row r="23" spans="1:82" x14ac:dyDescent="0.25">
      <c r="A23" s="851"/>
      <c r="B23" s="1161"/>
      <c r="C23" s="1161" t="str">
        <f t="shared" si="1"/>
        <v/>
      </c>
      <c r="D23" s="867"/>
      <c r="E23" s="868"/>
      <c r="F23" s="869">
        <v>0</v>
      </c>
      <c r="G23" s="870">
        <v>0</v>
      </c>
      <c r="H23" s="871">
        <f t="shared" si="0"/>
        <v>0</v>
      </c>
      <c r="I23" s="870">
        <v>0</v>
      </c>
      <c r="J23" s="871">
        <f t="shared" si="0"/>
        <v>0</v>
      </c>
      <c r="K23" s="870">
        <v>0</v>
      </c>
      <c r="L23" s="871">
        <f t="shared" si="0"/>
        <v>0</v>
      </c>
      <c r="M23" s="870">
        <v>0</v>
      </c>
      <c r="N23" s="871">
        <f t="shared" si="0"/>
        <v>0</v>
      </c>
      <c r="O23" s="870">
        <v>0</v>
      </c>
      <c r="P23" s="871">
        <f t="shared" si="0"/>
        <v>0</v>
      </c>
      <c r="Q23" s="1161"/>
      <c r="R23" s="851"/>
      <c r="S23" s="853"/>
      <c r="T23" s="853"/>
      <c r="U23" s="853"/>
      <c r="V23" s="853"/>
      <c r="W23" s="853"/>
      <c r="X23" s="853"/>
      <c r="Y23" s="853"/>
      <c r="Z23" s="853"/>
      <c r="AA23" s="853"/>
      <c r="AB23" s="853"/>
      <c r="AC23" s="853"/>
      <c r="AD23" s="853"/>
      <c r="AE23" s="853"/>
      <c r="AF23" s="853"/>
      <c r="AG23" s="853"/>
      <c r="AH23" s="853"/>
      <c r="AI23" s="853"/>
      <c r="AJ23" s="853"/>
      <c r="AK23" s="853"/>
      <c r="AL23" s="853"/>
      <c r="AM23" s="853"/>
      <c r="AN23" s="853"/>
      <c r="AO23" s="853"/>
      <c r="AP23" s="853"/>
      <c r="AQ23" s="853"/>
      <c r="AR23" s="853"/>
      <c r="AS23" s="853"/>
      <c r="AT23" s="853"/>
      <c r="AU23" s="853"/>
      <c r="AV23" s="853"/>
      <c r="AW23" s="853"/>
      <c r="AX23" s="853"/>
      <c r="AY23" s="853"/>
      <c r="AZ23" s="853"/>
      <c r="BA23" s="853"/>
      <c r="BB23" s="853"/>
      <c r="BC23" s="853"/>
      <c r="BD23" s="853"/>
      <c r="BE23" s="853"/>
      <c r="BF23" s="853"/>
      <c r="BG23" s="853"/>
      <c r="BH23" s="853"/>
      <c r="BI23" s="853"/>
      <c r="BJ23" s="853"/>
      <c r="BK23" s="853"/>
      <c r="BL23" s="853"/>
      <c r="BM23" s="853"/>
      <c r="BN23" s="853"/>
      <c r="BO23" s="853"/>
      <c r="BP23" s="853"/>
      <c r="BQ23" s="853"/>
      <c r="BR23" s="853"/>
      <c r="BS23" s="853"/>
      <c r="BT23" s="853"/>
      <c r="BU23" s="853"/>
      <c r="BV23" s="853"/>
      <c r="BW23" s="853"/>
      <c r="BX23" s="853"/>
      <c r="BY23" s="853"/>
      <c r="BZ23" s="853"/>
      <c r="CA23" s="853"/>
      <c r="CB23" s="853"/>
      <c r="CC23" s="853"/>
      <c r="CD23" s="853"/>
    </row>
    <row r="24" spans="1:82" x14ac:dyDescent="0.25">
      <c r="A24" s="851"/>
      <c r="B24" s="1161"/>
      <c r="C24" s="1161" t="str">
        <f t="shared" si="1"/>
        <v/>
      </c>
      <c r="D24" s="867"/>
      <c r="E24" s="868"/>
      <c r="F24" s="869">
        <v>0</v>
      </c>
      <c r="G24" s="870">
        <v>0</v>
      </c>
      <c r="H24" s="871">
        <f t="shared" si="0"/>
        <v>0</v>
      </c>
      <c r="I24" s="870">
        <v>0</v>
      </c>
      <c r="J24" s="871">
        <f t="shared" si="0"/>
        <v>0</v>
      </c>
      <c r="K24" s="870">
        <v>0</v>
      </c>
      <c r="L24" s="871">
        <f t="shared" si="0"/>
        <v>0</v>
      </c>
      <c r="M24" s="870">
        <v>0</v>
      </c>
      <c r="N24" s="871">
        <f t="shared" si="0"/>
        <v>0</v>
      </c>
      <c r="O24" s="870">
        <v>0</v>
      </c>
      <c r="P24" s="871">
        <f t="shared" si="0"/>
        <v>0</v>
      </c>
      <c r="Q24" s="1161"/>
      <c r="R24" s="851"/>
      <c r="S24" s="853"/>
      <c r="T24" s="853"/>
      <c r="U24" s="853"/>
      <c r="V24" s="853"/>
      <c r="W24" s="853"/>
      <c r="X24" s="853"/>
      <c r="Y24" s="853"/>
      <c r="Z24" s="853"/>
      <c r="AA24" s="853"/>
      <c r="AB24" s="853"/>
      <c r="AC24" s="853"/>
      <c r="AD24" s="853"/>
      <c r="AE24" s="853"/>
      <c r="AF24" s="853"/>
      <c r="AG24" s="853"/>
      <c r="AH24" s="853"/>
      <c r="AI24" s="853"/>
      <c r="AJ24" s="853"/>
      <c r="AK24" s="853"/>
      <c r="AL24" s="853"/>
      <c r="AM24" s="853"/>
      <c r="AN24" s="853"/>
      <c r="AO24" s="853"/>
      <c r="AP24" s="853"/>
      <c r="AQ24" s="853"/>
      <c r="AR24" s="853"/>
      <c r="AS24" s="853"/>
      <c r="AT24" s="853"/>
      <c r="AU24" s="853"/>
      <c r="AV24" s="853"/>
      <c r="AW24" s="853"/>
      <c r="AX24" s="853"/>
      <c r="AY24" s="853"/>
      <c r="AZ24" s="853"/>
      <c r="BA24" s="853"/>
      <c r="BB24" s="853"/>
      <c r="BC24" s="853"/>
      <c r="BD24" s="853"/>
      <c r="BE24" s="853"/>
      <c r="BF24" s="853"/>
      <c r="BG24" s="853"/>
      <c r="BH24" s="853"/>
      <c r="BI24" s="853"/>
      <c r="BJ24" s="853"/>
      <c r="BK24" s="853"/>
      <c r="BL24" s="853"/>
      <c r="BM24" s="853"/>
      <c r="BN24" s="853"/>
      <c r="BO24" s="853"/>
      <c r="BP24" s="853"/>
      <c r="BQ24" s="853"/>
      <c r="BR24" s="853"/>
      <c r="BS24" s="853"/>
      <c r="BT24" s="853"/>
      <c r="BU24" s="853"/>
      <c r="BV24" s="853"/>
      <c r="BW24" s="853"/>
      <c r="BX24" s="853"/>
      <c r="BY24" s="853"/>
      <c r="BZ24" s="853"/>
      <c r="CA24" s="853"/>
      <c r="CB24" s="853"/>
      <c r="CC24" s="853"/>
      <c r="CD24" s="853"/>
    </row>
    <row r="25" spans="1:82" x14ac:dyDescent="0.25">
      <c r="A25" s="851"/>
      <c r="B25" s="1161"/>
      <c r="C25" s="1161" t="str">
        <f t="shared" si="1"/>
        <v/>
      </c>
      <c r="D25" s="867"/>
      <c r="E25" s="868"/>
      <c r="F25" s="869">
        <v>0</v>
      </c>
      <c r="G25" s="870">
        <v>0</v>
      </c>
      <c r="H25" s="871">
        <f t="shared" si="0"/>
        <v>0</v>
      </c>
      <c r="I25" s="870">
        <v>0</v>
      </c>
      <c r="J25" s="871">
        <f t="shared" si="0"/>
        <v>0</v>
      </c>
      <c r="K25" s="870">
        <v>0</v>
      </c>
      <c r="L25" s="871">
        <f t="shared" si="0"/>
        <v>0</v>
      </c>
      <c r="M25" s="870">
        <v>0</v>
      </c>
      <c r="N25" s="871">
        <f t="shared" si="0"/>
        <v>0</v>
      </c>
      <c r="O25" s="870">
        <v>0</v>
      </c>
      <c r="P25" s="871">
        <f t="shared" si="0"/>
        <v>0</v>
      </c>
      <c r="Q25" s="1161"/>
      <c r="R25" s="851"/>
      <c r="S25" s="853"/>
      <c r="T25" s="853"/>
      <c r="U25" s="853"/>
      <c r="V25" s="853"/>
      <c r="W25" s="853"/>
      <c r="X25" s="853"/>
      <c r="Y25" s="853"/>
      <c r="Z25" s="853"/>
      <c r="AA25" s="853"/>
      <c r="AB25" s="853"/>
      <c r="AC25" s="853"/>
      <c r="AD25" s="853"/>
      <c r="AE25" s="853"/>
      <c r="AF25" s="853"/>
      <c r="AG25" s="853"/>
      <c r="AH25" s="853"/>
      <c r="AI25" s="853"/>
      <c r="AJ25" s="853"/>
      <c r="AK25" s="853"/>
      <c r="AL25" s="853"/>
      <c r="AM25" s="853"/>
      <c r="AN25" s="853"/>
      <c r="AO25" s="853"/>
      <c r="AP25" s="853"/>
      <c r="AQ25" s="853"/>
      <c r="AR25" s="853"/>
      <c r="AS25" s="853"/>
      <c r="AT25" s="853"/>
      <c r="AU25" s="853"/>
      <c r="AV25" s="853"/>
      <c r="AW25" s="853"/>
      <c r="AX25" s="853"/>
      <c r="AY25" s="853"/>
      <c r="AZ25" s="853"/>
      <c r="BA25" s="853"/>
      <c r="BB25" s="853"/>
      <c r="BC25" s="853"/>
      <c r="BD25" s="853"/>
      <c r="BE25" s="853"/>
      <c r="BF25" s="853"/>
      <c r="BG25" s="853"/>
      <c r="BH25" s="853"/>
      <c r="BI25" s="853"/>
      <c r="BJ25" s="853"/>
      <c r="BK25" s="853"/>
      <c r="BL25" s="853"/>
      <c r="BM25" s="853"/>
      <c r="BN25" s="853"/>
      <c r="BO25" s="853"/>
      <c r="BP25" s="853"/>
      <c r="BQ25" s="853"/>
      <c r="BR25" s="853"/>
      <c r="BS25" s="853"/>
      <c r="BT25" s="853"/>
      <c r="BU25" s="853"/>
      <c r="BV25" s="853"/>
      <c r="BW25" s="853"/>
      <c r="BX25" s="853"/>
      <c r="BY25" s="853"/>
      <c r="BZ25" s="853"/>
      <c r="CA25" s="853"/>
      <c r="CB25" s="853"/>
      <c r="CC25" s="853"/>
      <c r="CD25" s="853"/>
    </row>
    <row r="26" spans="1:82" x14ac:dyDescent="0.25">
      <c r="A26" s="851"/>
      <c r="B26" s="1161"/>
      <c r="C26" s="1161" t="str">
        <f t="shared" si="1"/>
        <v/>
      </c>
      <c r="D26" s="867"/>
      <c r="E26" s="868"/>
      <c r="F26" s="869">
        <v>0</v>
      </c>
      <c r="G26" s="870">
        <v>0</v>
      </c>
      <c r="H26" s="871">
        <f t="shared" si="0"/>
        <v>0</v>
      </c>
      <c r="I26" s="870">
        <v>0</v>
      </c>
      <c r="J26" s="871">
        <f t="shared" si="0"/>
        <v>0</v>
      </c>
      <c r="K26" s="870">
        <v>0</v>
      </c>
      <c r="L26" s="871">
        <f t="shared" si="0"/>
        <v>0</v>
      </c>
      <c r="M26" s="870">
        <v>0</v>
      </c>
      <c r="N26" s="871">
        <f t="shared" si="0"/>
        <v>0</v>
      </c>
      <c r="O26" s="870">
        <v>0</v>
      </c>
      <c r="P26" s="871">
        <f t="shared" si="0"/>
        <v>0</v>
      </c>
      <c r="Q26" s="1161"/>
      <c r="R26" s="851"/>
      <c r="S26" s="853"/>
      <c r="T26" s="853"/>
      <c r="U26" s="853"/>
      <c r="V26" s="853"/>
      <c r="W26" s="853"/>
      <c r="X26" s="853"/>
      <c r="Y26" s="853"/>
      <c r="Z26" s="853"/>
      <c r="AA26" s="853"/>
      <c r="AB26" s="853"/>
      <c r="AC26" s="853"/>
      <c r="AD26" s="853"/>
      <c r="AE26" s="853"/>
      <c r="AF26" s="853"/>
      <c r="AG26" s="853"/>
      <c r="AH26" s="853"/>
      <c r="AI26" s="853"/>
      <c r="AJ26" s="853"/>
      <c r="AK26" s="853"/>
      <c r="AL26" s="853"/>
      <c r="AM26" s="853"/>
      <c r="AN26" s="853"/>
      <c r="AO26" s="853"/>
      <c r="AP26" s="853"/>
      <c r="AQ26" s="853"/>
      <c r="AR26" s="853"/>
      <c r="AS26" s="853"/>
      <c r="AT26" s="853"/>
      <c r="AU26" s="853"/>
      <c r="AV26" s="853"/>
      <c r="AW26" s="853"/>
      <c r="AX26" s="853"/>
      <c r="AY26" s="853"/>
      <c r="AZ26" s="853"/>
      <c r="BA26" s="853"/>
      <c r="BB26" s="853"/>
      <c r="BC26" s="853"/>
      <c r="BD26" s="853"/>
      <c r="BE26" s="853"/>
      <c r="BF26" s="853"/>
      <c r="BG26" s="853"/>
      <c r="BH26" s="853"/>
      <c r="BI26" s="853"/>
      <c r="BJ26" s="853"/>
      <c r="BK26" s="853"/>
      <c r="BL26" s="853"/>
      <c r="BM26" s="853"/>
      <c r="BN26" s="853"/>
      <c r="BO26" s="853"/>
      <c r="BP26" s="853"/>
      <c r="BQ26" s="853"/>
      <c r="BR26" s="853"/>
      <c r="BS26" s="853"/>
      <c r="BT26" s="853"/>
      <c r="BU26" s="853"/>
      <c r="BV26" s="853"/>
      <c r="BW26" s="853"/>
      <c r="BX26" s="853"/>
      <c r="BY26" s="853"/>
      <c r="BZ26" s="853"/>
      <c r="CA26" s="853"/>
      <c r="CB26" s="853"/>
      <c r="CC26" s="853"/>
      <c r="CD26" s="853"/>
    </row>
    <row r="27" spans="1:82" x14ac:dyDescent="0.25">
      <c r="A27" s="851"/>
      <c r="B27" s="1161"/>
      <c r="C27" s="1161" t="str">
        <f t="shared" si="1"/>
        <v/>
      </c>
      <c r="D27" s="867"/>
      <c r="E27" s="868"/>
      <c r="F27" s="869">
        <v>0</v>
      </c>
      <c r="G27" s="870">
        <v>0</v>
      </c>
      <c r="H27" s="871">
        <f t="shared" si="0"/>
        <v>0</v>
      </c>
      <c r="I27" s="870">
        <v>0</v>
      </c>
      <c r="J27" s="871">
        <f t="shared" si="0"/>
        <v>0</v>
      </c>
      <c r="K27" s="870">
        <v>0</v>
      </c>
      <c r="L27" s="871">
        <f t="shared" si="0"/>
        <v>0</v>
      </c>
      <c r="M27" s="870">
        <v>0</v>
      </c>
      <c r="N27" s="871">
        <f t="shared" si="0"/>
        <v>0</v>
      </c>
      <c r="O27" s="870">
        <v>0</v>
      </c>
      <c r="P27" s="871">
        <f t="shared" si="0"/>
        <v>0</v>
      </c>
      <c r="Q27" s="1161"/>
      <c r="R27" s="851"/>
      <c r="S27" s="853"/>
      <c r="T27" s="853"/>
      <c r="U27" s="853"/>
      <c r="V27" s="853"/>
      <c r="W27" s="853"/>
      <c r="X27" s="853"/>
      <c r="Y27" s="853"/>
      <c r="Z27" s="853"/>
      <c r="AA27" s="853"/>
      <c r="AB27" s="853"/>
      <c r="AC27" s="853"/>
      <c r="AD27" s="853"/>
      <c r="AE27" s="853"/>
      <c r="AF27" s="853"/>
      <c r="AG27" s="853"/>
      <c r="AH27" s="853"/>
      <c r="AI27" s="853"/>
      <c r="AJ27" s="853"/>
      <c r="AK27" s="853"/>
      <c r="AL27" s="853"/>
      <c r="AM27" s="853"/>
      <c r="AN27" s="853"/>
      <c r="AO27" s="853"/>
      <c r="AP27" s="853"/>
      <c r="AQ27" s="853"/>
      <c r="AR27" s="853"/>
      <c r="AS27" s="853"/>
      <c r="AT27" s="853"/>
      <c r="AU27" s="853"/>
      <c r="AV27" s="853"/>
      <c r="AW27" s="853"/>
      <c r="AX27" s="853"/>
      <c r="AY27" s="853"/>
      <c r="AZ27" s="853"/>
      <c r="BA27" s="853"/>
      <c r="BB27" s="853"/>
      <c r="BC27" s="853"/>
      <c r="BD27" s="853"/>
      <c r="BE27" s="853"/>
      <c r="BF27" s="853"/>
      <c r="BG27" s="853"/>
      <c r="BH27" s="853"/>
      <c r="BI27" s="853"/>
      <c r="BJ27" s="853"/>
      <c r="BK27" s="853"/>
      <c r="BL27" s="853"/>
      <c r="BM27" s="853"/>
      <c r="BN27" s="853"/>
      <c r="BO27" s="853"/>
      <c r="BP27" s="853"/>
      <c r="BQ27" s="853"/>
      <c r="BR27" s="853"/>
      <c r="BS27" s="853"/>
      <c r="BT27" s="853"/>
      <c r="BU27" s="853"/>
      <c r="BV27" s="853"/>
      <c r="BW27" s="853"/>
      <c r="BX27" s="853"/>
      <c r="BY27" s="853"/>
      <c r="BZ27" s="853"/>
      <c r="CA27" s="853"/>
      <c r="CB27" s="853"/>
      <c r="CC27" s="853"/>
      <c r="CD27" s="853"/>
    </row>
    <row r="28" spans="1:82" x14ac:dyDescent="0.25">
      <c r="A28" s="851"/>
      <c r="B28" s="1161"/>
      <c r="C28" s="1161" t="str">
        <f t="shared" si="1"/>
        <v/>
      </c>
      <c r="D28" s="867"/>
      <c r="E28" s="868"/>
      <c r="F28" s="869">
        <v>0</v>
      </c>
      <c r="G28" s="870">
        <v>0</v>
      </c>
      <c r="H28" s="871">
        <f t="shared" si="0"/>
        <v>0</v>
      </c>
      <c r="I28" s="870">
        <v>0</v>
      </c>
      <c r="J28" s="871">
        <f t="shared" si="0"/>
        <v>0</v>
      </c>
      <c r="K28" s="870">
        <v>0</v>
      </c>
      <c r="L28" s="871">
        <f t="shared" si="0"/>
        <v>0</v>
      </c>
      <c r="M28" s="870">
        <v>0</v>
      </c>
      <c r="N28" s="871">
        <f t="shared" si="0"/>
        <v>0</v>
      </c>
      <c r="O28" s="870">
        <v>0</v>
      </c>
      <c r="P28" s="871">
        <f t="shared" si="0"/>
        <v>0</v>
      </c>
      <c r="Q28" s="1161"/>
      <c r="R28" s="851"/>
      <c r="S28" s="853"/>
      <c r="T28" s="853"/>
      <c r="U28" s="853"/>
      <c r="V28" s="853"/>
      <c r="W28" s="853"/>
      <c r="X28" s="853"/>
      <c r="Y28" s="853"/>
      <c r="Z28" s="853"/>
      <c r="AA28" s="853"/>
      <c r="AB28" s="853"/>
      <c r="AC28" s="853"/>
      <c r="AD28" s="853"/>
      <c r="AE28" s="853"/>
      <c r="AF28" s="853"/>
      <c r="AG28" s="853"/>
      <c r="AH28" s="853"/>
      <c r="AI28" s="853"/>
      <c r="AJ28" s="853"/>
      <c r="AK28" s="853"/>
      <c r="AL28" s="853"/>
      <c r="AM28" s="853"/>
      <c r="AN28" s="853"/>
      <c r="AO28" s="853"/>
      <c r="AP28" s="853"/>
      <c r="AQ28" s="853"/>
      <c r="AR28" s="853"/>
      <c r="AS28" s="853"/>
      <c r="AT28" s="853"/>
      <c r="AU28" s="853"/>
      <c r="AV28" s="853"/>
      <c r="AW28" s="853"/>
      <c r="AX28" s="853"/>
      <c r="AY28" s="853"/>
      <c r="AZ28" s="853"/>
      <c r="BA28" s="853"/>
      <c r="BB28" s="853"/>
      <c r="BC28" s="853"/>
      <c r="BD28" s="853"/>
      <c r="BE28" s="853"/>
      <c r="BF28" s="853"/>
      <c r="BG28" s="853"/>
      <c r="BH28" s="853"/>
      <c r="BI28" s="853"/>
      <c r="BJ28" s="853"/>
      <c r="BK28" s="853"/>
      <c r="BL28" s="853"/>
      <c r="BM28" s="853"/>
      <c r="BN28" s="853"/>
      <c r="BO28" s="853"/>
      <c r="BP28" s="853"/>
      <c r="BQ28" s="853"/>
      <c r="BR28" s="853"/>
      <c r="BS28" s="853"/>
      <c r="BT28" s="853"/>
      <c r="BU28" s="853"/>
      <c r="BV28" s="853"/>
      <c r="BW28" s="853"/>
      <c r="BX28" s="853"/>
      <c r="BY28" s="853"/>
      <c r="BZ28" s="853"/>
      <c r="CA28" s="853"/>
      <c r="CB28" s="853"/>
      <c r="CC28" s="853"/>
      <c r="CD28" s="853"/>
    </row>
    <row r="29" spans="1:82" x14ac:dyDescent="0.25">
      <c r="A29" s="851"/>
      <c r="B29" s="1161"/>
      <c r="C29" s="1161" t="str">
        <f t="shared" si="1"/>
        <v/>
      </c>
      <c r="D29" s="867"/>
      <c r="E29" s="868"/>
      <c r="F29" s="869">
        <v>0</v>
      </c>
      <c r="G29" s="870">
        <v>0</v>
      </c>
      <c r="H29" s="871">
        <f t="shared" si="0"/>
        <v>0</v>
      </c>
      <c r="I29" s="870">
        <v>0</v>
      </c>
      <c r="J29" s="871">
        <f t="shared" si="0"/>
        <v>0</v>
      </c>
      <c r="K29" s="870">
        <v>0</v>
      </c>
      <c r="L29" s="871">
        <f t="shared" si="0"/>
        <v>0</v>
      </c>
      <c r="M29" s="870">
        <v>0</v>
      </c>
      <c r="N29" s="871">
        <f t="shared" si="0"/>
        <v>0</v>
      </c>
      <c r="O29" s="870">
        <v>0</v>
      </c>
      <c r="P29" s="871">
        <f t="shared" si="0"/>
        <v>0</v>
      </c>
      <c r="Q29" s="1161"/>
      <c r="R29" s="851"/>
      <c r="S29" s="853"/>
      <c r="T29" s="853"/>
      <c r="U29" s="853"/>
      <c r="V29" s="853"/>
      <c r="W29" s="853"/>
      <c r="X29" s="853"/>
      <c r="Y29" s="853"/>
      <c r="Z29" s="853"/>
      <c r="AA29" s="853"/>
      <c r="AB29" s="853"/>
      <c r="AC29" s="853"/>
      <c r="AD29" s="853"/>
      <c r="AE29" s="853"/>
      <c r="AF29" s="853"/>
      <c r="AG29" s="853"/>
      <c r="AH29" s="853"/>
      <c r="AI29" s="853"/>
      <c r="AJ29" s="853"/>
      <c r="AK29" s="853"/>
      <c r="AL29" s="853"/>
      <c r="AM29" s="853"/>
      <c r="AN29" s="853"/>
      <c r="AO29" s="853"/>
      <c r="AP29" s="853"/>
      <c r="AQ29" s="853"/>
      <c r="AR29" s="853"/>
      <c r="AS29" s="853"/>
      <c r="AT29" s="853"/>
      <c r="AU29" s="853"/>
      <c r="AV29" s="853"/>
      <c r="AW29" s="853"/>
      <c r="AX29" s="853"/>
      <c r="AY29" s="853"/>
      <c r="AZ29" s="853"/>
      <c r="BA29" s="853"/>
      <c r="BB29" s="853"/>
      <c r="BC29" s="853"/>
      <c r="BD29" s="853"/>
      <c r="BE29" s="853"/>
      <c r="BF29" s="853"/>
      <c r="BG29" s="853"/>
      <c r="BH29" s="853"/>
      <c r="BI29" s="853"/>
      <c r="BJ29" s="853"/>
      <c r="BK29" s="853"/>
      <c r="BL29" s="853"/>
      <c r="BM29" s="853"/>
      <c r="BN29" s="853"/>
      <c r="BO29" s="853"/>
      <c r="BP29" s="853"/>
      <c r="BQ29" s="853"/>
      <c r="BR29" s="853"/>
      <c r="BS29" s="853"/>
      <c r="BT29" s="853"/>
      <c r="BU29" s="853"/>
      <c r="BV29" s="853"/>
      <c r="BW29" s="853"/>
      <c r="BX29" s="853"/>
      <c r="BY29" s="853"/>
      <c r="BZ29" s="853"/>
      <c r="CA29" s="853"/>
      <c r="CB29" s="853"/>
      <c r="CC29" s="853"/>
      <c r="CD29" s="853"/>
    </row>
    <row r="30" spans="1:82" x14ac:dyDescent="0.25">
      <c r="A30" s="851"/>
      <c r="B30" s="1161"/>
      <c r="C30" s="1161" t="str">
        <f t="shared" si="1"/>
        <v/>
      </c>
      <c r="D30" s="867"/>
      <c r="E30" s="868"/>
      <c r="F30" s="869">
        <v>0</v>
      </c>
      <c r="G30" s="870">
        <v>0</v>
      </c>
      <c r="H30" s="871">
        <f t="shared" si="0"/>
        <v>0</v>
      </c>
      <c r="I30" s="870">
        <v>0</v>
      </c>
      <c r="J30" s="871">
        <f t="shared" si="0"/>
        <v>0</v>
      </c>
      <c r="K30" s="870">
        <v>0</v>
      </c>
      <c r="L30" s="871">
        <f t="shared" si="0"/>
        <v>0</v>
      </c>
      <c r="M30" s="870">
        <v>0</v>
      </c>
      <c r="N30" s="871">
        <f t="shared" si="0"/>
        <v>0</v>
      </c>
      <c r="O30" s="870">
        <v>0</v>
      </c>
      <c r="P30" s="871">
        <f t="shared" si="0"/>
        <v>0</v>
      </c>
      <c r="Q30" s="1161"/>
      <c r="R30" s="851"/>
      <c r="S30" s="853"/>
      <c r="T30" s="853"/>
      <c r="U30" s="853"/>
      <c r="V30" s="853"/>
      <c r="W30" s="853"/>
      <c r="X30" s="853"/>
      <c r="Y30" s="853"/>
      <c r="Z30" s="853"/>
      <c r="AA30" s="853"/>
      <c r="AB30" s="853"/>
      <c r="AC30" s="853"/>
      <c r="AD30" s="853"/>
      <c r="AE30" s="853"/>
      <c r="AF30" s="853"/>
      <c r="AG30" s="853"/>
      <c r="AH30" s="853"/>
      <c r="AI30" s="853"/>
      <c r="AJ30" s="853"/>
      <c r="AK30" s="853"/>
      <c r="AL30" s="853"/>
      <c r="AM30" s="853"/>
      <c r="AN30" s="853"/>
      <c r="AO30" s="853"/>
      <c r="AP30" s="853"/>
      <c r="AQ30" s="853"/>
      <c r="AR30" s="853"/>
      <c r="AS30" s="853"/>
      <c r="AT30" s="853"/>
      <c r="AU30" s="853"/>
      <c r="AV30" s="853"/>
      <c r="AW30" s="853"/>
      <c r="AX30" s="853"/>
      <c r="AY30" s="853"/>
      <c r="AZ30" s="853"/>
      <c r="BA30" s="853"/>
      <c r="BB30" s="853"/>
      <c r="BC30" s="853"/>
      <c r="BD30" s="853"/>
      <c r="BE30" s="853"/>
      <c r="BF30" s="853"/>
      <c r="BG30" s="853"/>
      <c r="BH30" s="853"/>
      <c r="BI30" s="853"/>
      <c r="BJ30" s="853"/>
      <c r="BK30" s="853"/>
      <c r="BL30" s="853"/>
      <c r="BM30" s="853"/>
      <c r="BN30" s="853"/>
      <c r="BO30" s="853"/>
      <c r="BP30" s="853"/>
      <c r="BQ30" s="853"/>
      <c r="BR30" s="853"/>
      <c r="BS30" s="853"/>
      <c r="BT30" s="853"/>
      <c r="BU30" s="853"/>
      <c r="BV30" s="853"/>
      <c r="BW30" s="853"/>
      <c r="BX30" s="853"/>
      <c r="BY30" s="853"/>
      <c r="BZ30" s="853"/>
      <c r="CA30" s="853"/>
      <c r="CB30" s="853"/>
      <c r="CC30" s="853"/>
      <c r="CD30" s="853"/>
    </row>
    <row r="31" spans="1:82" x14ac:dyDescent="0.25">
      <c r="A31" s="851"/>
      <c r="B31" s="1161"/>
      <c r="C31" s="1161" t="str">
        <f t="shared" si="1"/>
        <v/>
      </c>
      <c r="D31" s="867"/>
      <c r="E31" s="868"/>
      <c r="F31" s="869">
        <v>0</v>
      </c>
      <c r="G31" s="870">
        <v>0</v>
      </c>
      <c r="H31" s="871">
        <f t="shared" si="0"/>
        <v>0</v>
      </c>
      <c r="I31" s="870">
        <v>0</v>
      </c>
      <c r="J31" s="871">
        <f t="shared" si="0"/>
        <v>0</v>
      </c>
      <c r="K31" s="870">
        <v>0</v>
      </c>
      <c r="L31" s="871">
        <f t="shared" si="0"/>
        <v>0</v>
      </c>
      <c r="M31" s="870">
        <v>0</v>
      </c>
      <c r="N31" s="871">
        <f t="shared" si="0"/>
        <v>0</v>
      </c>
      <c r="O31" s="870">
        <v>0</v>
      </c>
      <c r="P31" s="871">
        <f t="shared" si="0"/>
        <v>0</v>
      </c>
      <c r="Q31" s="1161"/>
      <c r="R31" s="851"/>
      <c r="S31" s="853"/>
      <c r="T31" s="853"/>
      <c r="U31" s="853"/>
      <c r="V31" s="853"/>
      <c r="W31" s="853"/>
      <c r="X31" s="853"/>
      <c r="Y31" s="853"/>
      <c r="Z31" s="853"/>
      <c r="AA31" s="853"/>
      <c r="AB31" s="853"/>
      <c r="AC31" s="853"/>
      <c r="AD31" s="853"/>
      <c r="AE31" s="853"/>
      <c r="AF31" s="853"/>
      <c r="AG31" s="853"/>
      <c r="AH31" s="853"/>
      <c r="AI31" s="853"/>
      <c r="AJ31" s="853"/>
      <c r="AK31" s="853"/>
      <c r="AL31" s="853"/>
      <c r="AM31" s="853"/>
      <c r="AN31" s="853"/>
      <c r="AO31" s="853"/>
      <c r="AP31" s="853"/>
      <c r="AQ31" s="853"/>
      <c r="AR31" s="853"/>
      <c r="AS31" s="853"/>
      <c r="AT31" s="853"/>
      <c r="AU31" s="853"/>
      <c r="AV31" s="853"/>
      <c r="AW31" s="853"/>
      <c r="AX31" s="853"/>
      <c r="AY31" s="853"/>
      <c r="AZ31" s="853"/>
      <c r="BA31" s="853"/>
      <c r="BB31" s="853"/>
      <c r="BC31" s="853"/>
      <c r="BD31" s="853"/>
      <c r="BE31" s="853"/>
      <c r="BF31" s="853"/>
      <c r="BG31" s="853"/>
      <c r="BH31" s="853"/>
      <c r="BI31" s="853"/>
      <c r="BJ31" s="853"/>
      <c r="BK31" s="853"/>
      <c r="BL31" s="853"/>
      <c r="BM31" s="853"/>
      <c r="BN31" s="853"/>
      <c r="BO31" s="853"/>
      <c r="BP31" s="853"/>
      <c r="BQ31" s="853"/>
      <c r="BR31" s="853"/>
      <c r="BS31" s="853"/>
      <c r="BT31" s="853"/>
      <c r="BU31" s="853"/>
      <c r="BV31" s="853"/>
      <c r="BW31" s="853"/>
      <c r="BX31" s="853"/>
      <c r="BY31" s="853"/>
      <c r="BZ31" s="853"/>
      <c r="CA31" s="853"/>
      <c r="CB31" s="853"/>
      <c r="CC31" s="853"/>
      <c r="CD31" s="853"/>
    </row>
    <row r="32" spans="1:82" s="872" customFormat="1" ht="37.5" customHeight="1" x14ac:dyDescent="0.25">
      <c r="A32" s="851"/>
      <c r="B32" s="1273" t="s">
        <v>289</v>
      </c>
      <c r="C32" s="1273"/>
      <c r="D32" s="1273"/>
      <c r="E32" s="1273"/>
      <c r="F32" s="1273"/>
      <c r="G32" s="1273"/>
      <c r="H32" s="1273"/>
      <c r="I32" s="1273"/>
      <c r="J32" s="1273"/>
      <c r="K32" s="1273"/>
      <c r="L32" s="1273"/>
      <c r="M32" s="1273"/>
      <c r="N32" s="1273"/>
      <c r="O32" s="1273"/>
      <c r="P32" s="1273"/>
      <c r="Q32" s="1273"/>
      <c r="R32" s="851"/>
      <c r="S32" s="853"/>
      <c r="T32" s="853"/>
      <c r="U32" s="853"/>
      <c r="V32" s="853"/>
      <c r="W32" s="853"/>
      <c r="X32" s="853"/>
      <c r="Y32" s="853"/>
      <c r="Z32" s="853"/>
      <c r="AA32" s="853"/>
      <c r="AB32" s="853"/>
      <c r="AC32" s="853"/>
      <c r="AD32" s="853"/>
      <c r="AE32" s="853"/>
      <c r="AF32" s="853"/>
      <c r="AG32" s="853"/>
      <c r="AH32" s="853"/>
      <c r="AI32" s="853"/>
      <c r="AJ32" s="853"/>
      <c r="AK32" s="853"/>
      <c r="AL32" s="853"/>
      <c r="AM32" s="853"/>
      <c r="AN32" s="853"/>
      <c r="AO32" s="853"/>
      <c r="AP32" s="853"/>
      <c r="AQ32" s="853"/>
      <c r="AR32" s="853"/>
      <c r="AS32" s="853"/>
      <c r="AT32" s="853"/>
      <c r="AU32" s="853"/>
      <c r="AV32" s="853"/>
      <c r="AW32" s="853"/>
      <c r="AX32" s="853"/>
      <c r="AY32" s="853"/>
      <c r="AZ32" s="853"/>
      <c r="BA32" s="853"/>
      <c r="BB32" s="853"/>
      <c r="BC32" s="853"/>
      <c r="BD32" s="853"/>
      <c r="BE32" s="853"/>
      <c r="BF32" s="853"/>
      <c r="BG32" s="853"/>
      <c r="BH32" s="853"/>
      <c r="BI32" s="853"/>
      <c r="BJ32" s="853"/>
      <c r="BK32" s="853"/>
      <c r="BL32" s="853"/>
      <c r="BM32" s="853"/>
      <c r="BN32" s="853"/>
      <c r="BO32" s="853"/>
      <c r="BP32" s="853"/>
      <c r="BQ32" s="853"/>
      <c r="BR32" s="853"/>
      <c r="BS32" s="853"/>
      <c r="BT32" s="853"/>
      <c r="BU32" s="853"/>
      <c r="BV32" s="853"/>
      <c r="BW32" s="853"/>
      <c r="BX32" s="853"/>
      <c r="BY32" s="853"/>
      <c r="BZ32" s="853"/>
      <c r="CA32" s="853"/>
      <c r="CB32" s="853"/>
      <c r="CC32" s="853"/>
      <c r="CD32" s="853"/>
    </row>
    <row r="33" spans="1:82" s="853" customFormat="1" x14ac:dyDescent="0.25">
      <c r="A33" s="851"/>
      <c r="B33" s="851"/>
      <c r="C33" s="851"/>
      <c r="D33" s="851"/>
      <c r="E33" s="851"/>
      <c r="F33" s="851"/>
      <c r="G33" s="851"/>
      <c r="H33" s="851"/>
      <c r="I33" s="851"/>
      <c r="J33" s="851"/>
      <c r="K33" s="851"/>
      <c r="L33" s="851"/>
      <c r="M33" s="851"/>
      <c r="N33" s="851"/>
      <c r="O33" s="851"/>
      <c r="P33" s="851"/>
      <c r="Q33" s="851"/>
      <c r="R33" s="851"/>
    </row>
    <row r="34" spans="1:82" ht="106.5" customHeight="1" x14ac:dyDescent="0.25">
      <c r="A34" s="851"/>
      <c r="B34" s="1160" t="s">
        <v>290</v>
      </c>
      <c r="C34" s="1265" t="s">
        <v>291</v>
      </c>
      <c r="D34" s="1271"/>
      <c r="E34" s="1271"/>
      <c r="F34" s="1271"/>
      <c r="G34" s="1271"/>
      <c r="H34" s="1271"/>
      <c r="I34" s="1271"/>
      <c r="J34" s="1271"/>
      <c r="K34" s="873"/>
      <c r="L34" s="873"/>
      <c r="M34" s="873"/>
      <c r="N34" s="873"/>
      <c r="O34" s="851"/>
      <c r="P34" s="851"/>
      <c r="Q34" s="851"/>
      <c r="R34" s="851"/>
      <c r="S34" s="853"/>
      <c r="T34" s="853"/>
      <c r="U34" s="853"/>
      <c r="V34" s="853"/>
      <c r="W34" s="853"/>
      <c r="X34" s="853"/>
      <c r="Y34" s="853"/>
      <c r="Z34" s="853"/>
      <c r="AA34" s="853"/>
      <c r="AB34" s="853"/>
      <c r="AC34" s="853"/>
      <c r="AD34" s="853"/>
      <c r="AE34" s="853"/>
      <c r="AF34" s="853"/>
      <c r="AG34" s="853"/>
      <c r="AH34" s="853"/>
      <c r="AI34" s="853"/>
      <c r="AJ34" s="853"/>
      <c r="AK34" s="853"/>
      <c r="AL34" s="853"/>
      <c r="AM34" s="853"/>
      <c r="AN34" s="853"/>
      <c r="AO34" s="853"/>
      <c r="AP34" s="853"/>
      <c r="AQ34" s="853"/>
      <c r="AR34" s="853"/>
      <c r="AS34" s="853"/>
      <c r="AT34" s="853"/>
      <c r="AU34" s="853"/>
      <c r="AV34" s="853"/>
      <c r="AW34" s="853"/>
      <c r="AX34" s="853"/>
      <c r="AY34" s="853"/>
      <c r="AZ34" s="853"/>
      <c r="BA34" s="853"/>
      <c r="BB34" s="853"/>
      <c r="BC34" s="853"/>
      <c r="BD34" s="853"/>
      <c r="BE34" s="853"/>
      <c r="BF34" s="853"/>
      <c r="BG34" s="853"/>
      <c r="BH34" s="853"/>
      <c r="BI34" s="853"/>
      <c r="BJ34" s="853"/>
      <c r="BK34" s="853"/>
      <c r="BL34" s="853"/>
      <c r="BM34" s="853"/>
      <c r="BN34" s="853"/>
      <c r="BO34" s="853"/>
      <c r="BP34" s="853"/>
      <c r="BQ34" s="853"/>
      <c r="BR34" s="853"/>
      <c r="BS34" s="853"/>
      <c r="BT34" s="853"/>
      <c r="BU34" s="853"/>
      <c r="BV34" s="853"/>
      <c r="BW34" s="853"/>
      <c r="BX34" s="853"/>
      <c r="BY34" s="853"/>
      <c r="BZ34" s="853"/>
      <c r="CA34" s="853"/>
      <c r="CB34" s="853"/>
      <c r="CC34" s="853"/>
      <c r="CD34" s="853"/>
    </row>
    <row r="35" spans="1:82" ht="35.25" customHeight="1" x14ac:dyDescent="0.25">
      <c r="A35" s="851"/>
      <c r="B35" s="1160" t="s">
        <v>292</v>
      </c>
      <c r="C35" s="1265" t="s">
        <v>293</v>
      </c>
      <c r="D35" s="1265"/>
      <c r="E35" s="1265"/>
      <c r="F35" s="1265"/>
      <c r="G35" s="1265"/>
      <c r="H35" s="1265"/>
      <c r="I35" s="1265"/>
      <c r="J35" s="1265"/>
      <c r="K35" s="851"/>
      <c r="L35" s="851"/>
      <c r="M35" s="851"/>
      <c r="N35" s="851"/>
      <c r="O35" s="851"/>
      <c r="P35" s="851"/>
      <c r="Q35" s="851"/>
      <c r="R35" s="851"/>
      <c r="S35" s="853"/>
      <c r="T35" s="853"/>
      <c r="U35" s="853"/>
      <c r="V35" s="853"/>
      <c r="W35" s="853"/>
      <c r="X35" s="853"/>
      <c r="Y35" s="853"/>
      <c r="Z35" s="853"/>
      <c r="AA35" s="853"/>
      <c r="AB35" s="853"/>
      <c r="AC35" s="853"/>
      <c r="AD35" s="853"/>
      <c r="AE35" s="853"/>
      <c r="AF35" s="853"/>
      <c r="AG35" s="853"/>
      <c r="AH35" s="853"/>
      <c r="AI35" s="853"/>
      <c r="AJ35" s="853"/>
      <c r="AK35" s="853"/>
      <c r="AL35" s="853"/>
      <c r="AM35" s="853"/>
      <c r="AN35" s="853"/>
      <c r="AO35" s="853"/>
      <c r="AP35" s="853"/>
      <c r="AQ35" s="853"/>
      <c r="AR35" s="853"/>
      <c r="AS35" s="853"/>
      <c r="AT35" s="853"/>
      <c r="AU35" s="853"/>
      <c r="AV35" s="853"/>
      <c r="AW35" s="853"/>
      <c r="AX35" s="853"/>
      <c r="AY35" s="853"/>
      <c r="AZ35" s="853"/>
      <c r="BA35" s="853"/>
      <c r="BB35" s="853"/>
      <c r="BC35" s="853"/>
      <c r="BD35" s="853"/>
      <c r="BE35" s="853"/>
      <c r="BF35" s="853"/>
      <c r="BG35" s="853"/>
      <c r="BH35" s="853"/>
      <c r="BI35" s="853"/>
      <c r="BJ35" s="853"/>
      <c r="BK35" s="853"/>
      <c r="BL35" s="853"/>
      <c r="BM35" s="853"/>
      <c r="BN35" s="853"/>
      <c r="BO35" s="853"/>
      <c r="BP35" s="853"/>
      <c r="BQ35" s="853"/>
      <c r="BR35" s="853"/>
      <c r="BS35" s="853"/>
      <c r="BT35" s="853"/>
      <c r="BU35" s="853"/>
      <c r="BV35" s="853"/>
      <c r="BW35" s="853"/>
      <c r="BX35" s="853"/>
      <c r="BY35" s="853"/>
      <c r="BZ35" s="853"/>
      <c r="CA35" s="853"/>
      <c r="CB35" s="853"/>
      <c r="CC35" s="853"/>
      <c r="CD35" s="853"/>
    </row>
    <row r="36" spans="1:82" ht="49.5" customHeight="1" x14ac:dyDescent="0.25">
      <c r="A36" s="851"/>
      <c r="B36" s="863" t="s">
        <v>294</v>
      </c>
      <c r="C36" s="1265" t="s">
        <v>295</v>
      </c>
      <c r="D36" s="1265"/>
      <c r="E36" s="1265"/>
      <c r="F36" s="1265"/>
      <c r="G36" s="1265"/>
      <c r="H36" s="1265"/>
      <c r="I36" s="1265"/>
      <c r="J36" s="1265"/>
      <c r="K36" s="873"/>
      <c r="L36" s="873"/>
      <c r="M36" s="873"/>
      <c r="N36" s="873"/>
      <c r="O36" s="873"/>
      <c r="P36" s="851"/>
      <c r="Q36" s="851"/>
      <c r="R36" s="851"/>
      <c r="S36" s="853"/>
      <c r="T36" s="853"/>
      <c r="U36" s="853"/>
      <c r="V36" s="853"/>
      <c r="W36" s="853"/>
      <c r="X36" s="853"/>
      <c r="Y36" s="853"/>
      <c r="Z36" s="853"/>
      <c r="AA36" s="853"/>
      <c r="AB36" s="853"/>
      <c r="AC36" s="853"/>
      <c r="AD36" s="853"/>
      <c r="AE36" s="853"/>
      <c r="AF36" s="853"/>
      <c r="AG36" s="853"/>
      <c r="AH36" s="853"/>
      <c r="AI36" s="853"/>
      <c r="AJ36" s="853"/>
      <c r="AK36" s="853"/>
      <c r="AL36" s="853"/>
      <c r="AM36" s="853"/>
      <c r="AN36" s="853"/>
      <c r="AO36" s="853"/>
      <c r="AP36" s="853"/>
      <c r="AQ36" s="853"/>
      <c r="AR36" s="853"/>
      <c r="AS36" s="853"/>
      <c r="AT36" s="853"/>
      <c r="AU36" s="853"/>
      <c r="AV36" s="853"/>
      <c r="AW36" s="853"/>
      <c r="AX36" s="853"/>
      <c r="AY36" s="853"/>
      <c r="AZ36" s="853"/>
      <c r="BA36" s="853"/>
      <c r="BB36" s="853"/>
      <c r="BC36" s="853"/>
      <c r="BD36" s="853"/>
      <c r="BE36" s="853"/>
      <c r="BF36" s="853"/>
      <c r="BG36" s="853"/>
      <c r="BH36" s="853"/>
      <c r="BI36" s="853"/>
      <c r="BJ36" s="853"/>
      <c r="BK36" s="853"/>
      <c r="BL36" s="853"/>
      <c r="BM36" s="853"/>
      <c r="BN36" s="853"/>
      <c r="BO36" s="853"/>
      <c r="BP36" s="853"/>
      <c r="BQ36" s="853"/>
      <c r="BR36" s="853"/>
      <c r="BS36" s="853"/>
      <c r="BT36" s="853"/>
      <c r="BU36" s="853"/>
      <c r="BV36" s="853"/>
      <c r="BW36" s="853"/>
      <c r="BX36" s="853"/>
      <c r="BY36" s="853"/>
      <c r="BZ36" s="853"/>
      <c r="CA36" s="853"/>
      <c r="CB36" s="853"/>
      <c r="CC36" s="853"/>
      <c r="CD36" s="853"/>
    </row>
    <row r="37" spans="1:82" s="853" customFormat="1" x14ac:dyDescent="0.25">
      <c r="A37" s="851"/>
      <c r="B37" s="851"/>
      <c r="C37" s="851"/>
      <c r="D37" s="851"/>
      <c r="E37" s="851"/>
      <c r="F37" s="851"/>
      <c r="G37" s="851"/>
      <c r="H37" s="874"/>
      <c r="I37" s="851"/>
      <c r="J37" s="851"/>
      <c r="K37" s="851"/>
      <c r="L37" s="851"/>
      <c r="M37" s="851"/>
      <c r="N37" s="851"/>
      <c r="O37" s="851"/>
      <c r="P37" s="851"/>
      <c r="Q37" s="851"/>
      <c r="R37" s="851"/>
    </row>
    <row r="38" spans="1:82" ht="25" customHeight="1" x14ac:dyDescent="0.25">
      <c r="A38" s="851"/>
      <c r="B38" s="851"/>
      <c r="C38" s="1160" t="s">
        <v>296</v>
      </c>
      <c r="D38" s="1266" t="s">
        <v>297</v>
      </c>
      <c r="E38" s="1266"/>
      <c r="F38" s="851"/>
      <c r="G38" s="851"/>
      <c r="H38" s="851"/>
      <c r="I38" s="851"/>
      <c r="J38" s="851"/>
      <c r="K38" s="851"/>
      <c r="L38" s="851"/>
      <c r="M38" s="851"/>
      <c r="N38" s="851"/>
      <c r="O38" s="851"/>
      <c r="P38" s="851"/>
      <c r="Q38" s="851"/>
      <c r="R38" s="851"/>
      <c r="S38" s="853"/>
      <c r="T38" s="853"/>
      <c r="U38" s="853"/>
      <c r="V38" s="853"/>
      <c r="W38" s="853"/>
      <c r="X38" s="853"/>
      <c r="Y38" s="853"/>
      <c r="Z38" s="853"/>
      <c r="AA38" s="853"/>
      <c r="AB38" s="853"/>
      <c r="AC38" s="853"/>
      <c r="AD38" s="853"/>
      <c r="AE38" s="853"/>
      <c r="AF38" s="853"/>
      <c r="AG38" s="853"/>
      <c r="AH38" s="853"/>
      <c r="AI38" s="853"/>
      <c r="AJ38" s="853"/>
      <c r="AK38" s="853"/>
      <c r="AL38" s="853"/>
      <c r="AM38" s="853"/>
      <c r="AN38" s="853"/>
      <c r="AO38" s="853"/>
      <c r="AP38" s="853"/>
      <c r="AQ38" s="853"/>
      <c r="AR38" s="853"/>
      <c r="AS38" s="853"/>
      <c r="AT38" s="853"/>
      <c r="AU38" s="853"/>
      <c r="AV38" s="853"/>
      <c r="AW38" s="853"/>
      <c r="AX38" s="853"/>
      <c r="AY38" s="853"/>
      <c r="AZ38" s="853"/>
      <c r="BA38" s="853"/>
      <c r="BB38" s="853"/>
      <c r="BC38" s="853"/>
      <c r="BD38" s="853"/>
      <c r="BE38" s="853"/>
      <c r="BF38" s="853"/>
      <c r="BG38" s="853"/>
      <c r="BH38" s="853"/>
      <c r="BI38" s="853"/>
      <c r="BJ38" s="853"/>
      <c r="BK38" s="853"/>
      <c r="BL38" s="853"/>
      <c r="BM38" s="853"/>
      <c r="BN38" s="853"/>
      <c r="BO38" s="853"/>
      <c r="BP38" s="853"/>
      <c r="BQ38" s="853"/>
      <c r="BR38" s="853"/>
      <c r="BS38" s="853"/>
      <c r="BT38" s="853"/>
      <c r="BU38" s="853"/>
      <c r="BV38" s="853"/>
      <c r="BW38" s="853"/>
      <c r="BX38" s="853"/>
      <c r="BY38" s="853"/>
      <c r="BZ38" s="853"/>
      <c r="CA38" s="853"/>
      <c r="CB38" s="853"/>
      <c r="CC38" s="853"/>
      <c r="CD38" s="853"/>
    </row>
    <row r="39" spans="1:82" ht="18.649999999999999" customHeight="1" x14ac:dyDescent="0.25">
      <c r="A39" s="851"/>
      <c r="B39" s="851"/>
      <c r="C39" s="875" t="s">
        <v>298</v>
      </c>
      <c r="D39" s="1267" t="s">
        <v>299</v>
      </c>
      <c r="E39" s="1267"/>
      <c r="F39" s="851"/>
      <c r="G39" s="851"/>
      <c r="H39" s="851"/>
      <c r="I39" s="851"/>
      <c r="J39" s="851"/>
      <c r="K39" s="851"/>
      <c r="L39" s="851"/>
      <c r="M39" s="851"/>
      <c r="N39" s="851"/>
      <c r="O39" s="851"/>
      <c r="P39" s="851"/>
      <c r="Q39" s="851"/>
      <c r="R39" s="851"/>
      <c r="S39" s="853"/>
      <c r="T39" s="853"/>
      <c r="U39" s="853"/>
      <c r="V39" s="853"/>
      <c r="W39" s="853"/>
      <c r="X39" s="853"/>
      <c r="Y39" s="853"/>
      <c r="Z39" s="853"/>
      <c r="AA39" s="853"/>
      <c r="AB39" s="853"/>
      <c r="AC39" s="853"/>
      <c r="AD39" s="853"/>
      <c r="AE39" s="853"/>
      <c r="AF39" s="853"/>
      <c r="AG39" s="853"/>
      <c r="AH39" s="853"/>
      <c r="AI39" s="853"/>
      <c r="AJ39" s="853"/>
      <c r="AK39" s="853"/>
      <c r="AL39" s="853"/>
      <c r="AM39" s="853"/>
      <c r="AN39" s="853"/>
      <c r="AO39" s="853"/>
      <c r="AP39" s="853"/>
      <c r="AQ39" s="853"/>
      <c r="AR39" s="853"/>
      <c r="AS39" s="853"/>
      <c r="AT39" s="853"/>
      <c r="AU39" s="853"/>
      <c r="AV39" s="853"/>
      <c r="AW39" s="853"/>
      <c r="AX39" s="853"/>
      <c r="AY39" s="853"/>
      <c r="AZ39" s="853"/>
      <c r="BA39" s="853"/>
      <c r="BB39" s="853"/>
      <c r="BC39" s="853"/>
      <c r="BD39" s="853"/>
      <c r="BE39" s="853"/>
      <c r="BF39" s="853"/>
      <c r="BG39" s="853"/>
      <c r="BH39" s="853"/>
      <c r="BI39" s="853"/>
      <c r="BJ39" s="853"/>
      <c r="BK39" s="853"/>
      <c r="BL39" s="853"/>
      <c r="BM39" s="853"/>
      <c r="BN39" s="853"/>
      <c r="BO39" s="853"/>
      <c r="BP39" s="853"/>
      <c r="BQ39" s="853"/>
      <c r="BR39" s="853"/>
      <c r="BS39" s="853"/>
      <c r="BT39" s="853"/>
      <c r="BU39" s="853"/>
      <c r="BV39" s="853"/>
      <c r="BW39" s="853"/>
      <c r="BX39" s="853"/>
      <c r="BY39" s="853"/>
      <c r="BZ39" s="853"/>
      <c r="CA39" s="853"/>
      <c r="CB39" s="853"/>
      <c r="CC39" s="853"/>
      <c r="CD39" s="853"/>
    </row>
    <row r="40" spans="1:82" ht="17.5" customHeight="1" x14ac:dyDescent="0.25">
      <c r="A40" s="851"/>
      <c r="B40" s="851"/>
      <c r="C40" s="875" t="s">
        <v>300</v>
      </c>
      <c r="D40" s="1267" t="s">
        <v>301</v>
      </c>
      <c r="E40" s="1267"/>
      <c r="F40" s="851"/>
      <c r="G40" s="851"/>
      <c r="H40" s="851"/>
      <c r="I40" s="851"/>
      <c r="J40" s="851"/>
      <c r="K40" s="851"/>
      <c r="L40" s="851"/>
      <c r="M40" s="851"/>
      <c r="N40" s="851"/>
      <c r="O40" s="851"/>
      <c r="P40" s="851"/>
      <c r="Q40" s="851"/>
      <c r="R40" s="851"/>
      <c r="S40" s="853"/>
      <c r="T40" s="853"/>
      <c r="U40" s="853"/>
      <c r="V40" s="853"/>
      <c r="W40" s="853"/>
      <c r="X40" s="853"/>
      <c r="Y40" s="853"/>
      <c r="Z40" s="853"/>
      <c r="AA40" s="853"/>
      <c r="AB40" s="853"/>
      <c r="AC40" s="853"/>
      <c r="AD40" s="853"/>
      <c r="AE40" s="853"/>
      <c r="AF40" s="853"/>
      <c r="AG40" s="853"/>
      <c r="AH40" s="853"/>
      <c r="AI40" s="853"/>
      <c r="AJ40" s="853"/>
      <c r="AK40" s="853"/>
      <c r="AL40" s="853"/>
      <c r="AM40" s="853"/>
      <c r="AN40" s="853"/>
      <c r="AO40" s="853"/>
      <c r="AP40" s="853"/>
      <c r="AQ40" s="853"/>
      <c r="AR40" s="853"/>
      <c r="AS40" s="853"/>
      <c r="AT40" s="853"/>
      <c r="AU40" s="853"/>
      <c r="AV40" s="853"/>
      <c r="AW40" s="853"/>
      <c r="AX40" s="853"/>
      <c r="AY40" s="853"/>
      <c r="AZ40" s="853"/>
      <c r="BA40" s="853"/>
      <c r="BB40" s="853"/>
      <c r="BC40" s="853"/>
      <c r="BD40" s="853"/>
      <c r="BE40" s="853"/>
      <c r="BF40" s="853"/>
      <c r="BG40" s="853"/>
      <c r="BH40" s="853"/>
      <c r="BI40" s="853"/>
      <c r="BJ40" s="853"/>
      <c r="BK40" s="853"/>
      <c r="BL40" s="853"/>
      <c r="BM40" s="853"/>
      <c r="BN40" s="853"/>
      <c r="BO40" s="853"/>
      <c r="BP40" s="853"/>
      <c r="BQ40" s="853"/>
      <c r="BR40" s="853"/>
      <c r="BS40" s="853"/>
      <c r="BT40" s="853"/>
      <c r="BU40" s="853"/>
      <c r="BV40" s="853"/>
      <c r="BW40" s="853"/>
      <c r="BX40" s="853"/>
      <c r="BY40" s="853"/>
      <c r="BZ40" s="853"/>
      <c r="CA40" s="853"/>
      <c r="CB40" s="853"/>
      <c r="CC40" s="853"/>
      <c r="CD40" s="853"/>
    </row>
    <row r="41" spans="1:82" ht="18.649999999999999" customHeight="1" x14ac:dyDescent="0.25">
      <c r="A41" s="851"/>
      <c r="B41" s="851"/>
      <c r="C41" s="875" t="s">
        <v>302</v>
      </c>
      <c r="D41" s="1267" t="s">
        <v>303</v>
      </c>
      <c r="E41" s="1267"/>
      <c r="F41" s="851"/>
      <c r="G41" s="851"/>
      <c r="H41" s="851"/>
      <c r="I41" s="851"/>
      <c r="J41" s="851"/>
      <c r="K41" s="851"/>
      <c r="L41" s="851"/>
      <c r="M41" s="851"/>
      <c r="N41" s="851"/>
      <c r="O41" s="851"/>
      <c r="P41" s="851"/>
      <c r="Q41" s="851"/>
      <c r="R41" s="851"/>
      <c r="S41" s="853"/>
      <c r="T41" s="853"/>
      <c r="U41" s="853"/>
      <c r="V41" s="853"/>
      <c r="W41" s="853"/>
      <c r="X41" s="853"/>
      <c r="Y41" s="853"/>
      <c r="Z41" s="853"/>
      <c r="AA41" s="853"/>
      <c r="AB41" s="853"/>
      <c r="AC41" s="853"/>
      <c r="AD41" s="853"/>
      <c r="AE41" s="853"/>
      <c r="AF41" s="853"/>
      <c r="AG41" s="853"/>
      <c r="AH41" s="853"/>
      <c r="AI41" s="853"/>
      <c r="AJ41" s="853"/>
      <c r="AK41" s="853"/>
      <c r="AL41" s="853"/>
      <c r="AM41" s="853"/>
      <c r="AN41" s="853"/>
      <c r="AO41" s="853"/>
      <c r="AP41" s="853"/>
      <c r="AQ41" s="853"/>
      <c r="AR41" s="853"/>
      <c r="AS41" s="853"/>
      <c r="AT41" s="853"/>
      <c r="AU41" s="853"/>
      <c r="AV41" s="853"/>
      <c r="AW41" s="853"/>
      <c r="AX41" s="853"/>
      <c r="AY41" s="853"/>
      <c r="AZ41" s="853"/>
      <c r="BA41" s="853"/>
      <c r="BB41" s="853"/>
      <c r="BC41" s="853"/>
      <c r="BD41" s="853"/>
      <c r="BE41" s="853"/>
      <c r="BF41" s="853"/>
      <c r="BG41" s="853"/>
      <c r="BH41" s="853"/>
      <c r="BI41" s="853"/>
      <c r="BJ41" s="853"/>
      <c r="BK41" s="853"/>
      <c r="BL41" s="853"/>
      <c r="BM41" s="853"/>
      <c r="BN41" s="853"/>
      <c r="BO41" s="853"/>
      <c r="BP41" s="853"/>
      <c r="BQ41" s="853"/>
      <c r="BR41" s="853"/>
      <c r="BS41" s="853"/>
      <c r="BT41" s="853"/>
      <c r="BU41" s="853"/>
      <c r="BV41" s="853"/>
      <c r="BW41" s="853"/>
      <c r="BX41" s="853"/>
      <c r="BY41" s="853"/>
      <c r="BZ41" s="853"/>
      <c r="CA41" s="853"/>
      <c r="CB41" s="853"/>
      <c r="CC41" s="853"/>
      <c r="CD41" s="853"/>
    </row>
    <row r="42" spans="1:82" ht="19" customHeight="1" x14ac:dyDescent="0.25">
      <c r="A42" s="851"/>
      <c r="B42" s="851"/>
      <c r="C42" s="875" t="s">
        <v>304</v>
      </c>
      <c r="D42" s="1267" t="s">
        <v>305</v>
      </c>
      <c r="E42" s="1267"/>
      <c r="F42" s="851"/>
      <c r="G42" s="851"/>
      <c r="H42" s="851"/>
      <c r="I42" s="851"/>
      <c r="J42" s="851"/>
      <c r="K42" s="851"/>
      <c r="L42" s="851"/>
      <c r="M42" s="851"/>
      <c r="N42" s="851"/>
      <c r="O42" s="851"/>
      <c r="P42" s="851"/>
      <c r="Q42" s="851"/>
      <c r="R42" s="851"/>
      <c r="S42" s="853"/>
      <c r="T42" s="853"/>
      <c r="U42" s="853"/>
      <c r="V42" s="853"/>
      <c r="W42" s="853"/>
      <c r="X42" s="853"/>
      <c r="Y42" s="853"/>
      <c r="Z42" s="853"/>
      <c r="AA42" s="853"/>
      <c r="AB42" s="853"/>
      <c r="AC42" s="853"/>
      <c r="AD42" s="853"/>
      <c r="AE42" s="853"/>
      <c r="AF42" s="853"/>
      <c r="AG42" s="853"/>
      <c r="AH42" s="853"/>
      <c r="AI42" s="853"/>
      <c r="AJ42" s="853"/>
      <c r="AK42" s="853"/>
      <c r="AL42" s="853"/>
      <c r="AM42" s="853"/>
      <c r="AN42" s="853"/>
      <c r="AO42" s="853"/>
      <c r="AP42" s="853"/>
      <c r="AQ42" s="853"/>
      <c r="AR42" s="853"/>
      <c r="AS42" s="853"/>
      <c r="AT42" s="853"/>
      <c r="AU42" s="853"/>
      <c r="AV42" s="853"/>
      <c r="AW42" s="853"/>
      <c r="AX42" s="853"/>
      <c r="AY42" s="853"/>
      <c r="AZ42" s="853"/>
      <c r="BA42" s="853"/>
      <c r="BB42" s="853"/>
      <c r="BC42" s="853"/>
      <c r="BD42" s="853"/>
      <c r="BE42" s="853"/>
      <c r="BF42" s="853"/>
      <c r="BG42" s="853"/>
      <c r="BH42" s="853"/>
      <c r="BI42" s="853"/>
      <c r="BJ42" s="853"/>
      <c r="BK42" s="853"/>
      <c r="BL42" s="853"/>
      <c r="BM42" s="853"/>
      <c r="BN42" s="853"/>
      <c r="BO42" s="853"/>
      <c r="BP42" s="853"/>
      <c r="BQ42" s="853"/>
      <c r="BR42" s="853"/>
      <c r="BS42" s="853"/>
      <c r="BT42" s="853"/>
      <c r="BU42" s="853"/>
      <c r="BV42" s="853"/>
      <c r="BW42" s="853"/>
      <c r="BX42" s="853"/>
      <c r="BY42" s="853"/>
      <c r="BZ42" s="853"/>
      <c r="CA42" s="853"/>
      <c r="CB42" s="853"/>
      <c r="CC42" s="853"/>
      <c r="CD42" s="853"/>
    </row>
    <row r="43" spans="1:82" s="853" customFormat="1" x14ac:dyDescent="0.25">
      <c r="A43" s="851"/>
      <c r="B43" s="851"/>
      <c r="C43" s="851"/>
      <c r="D43" s="851"/>
      <c r="E43" s="851"/>
      <c r="F43" s="851"/>
      <c r="G43" s="851"/>
      <c r="H43" s="851"/>
      <c r="I43" s="851"/>
      <c r="J43" s="851"/>
      <c r="K43" s="851"/>
      <c r="L43" s="851"/>
      <c r="M43" s="851"/>
      <c r="N43" s="851"/>
      <c r="O43" s="851"/>
      <c r="P43" s="851"/>
      <c r="Q43" s="851"/>
      <c r="R43" s="851"/>
    </row>
    <row r="44" spans="1:82" ht="27.65" customHeight="1" x14ac:dyDescent="0.25">
      <c r="A44" s="851"/>
      <c r="B44" s="851"/>
      <c r="C44" s="1160" t="s">
        <v>306</v>
      </c>
      <c r="D44" s="1266" t="s">
        <v>307</v>
      </c>
      <c r="E44" s="1266"/>
      <c r="F44" s="1266"/>
      <c r="G44" s="1266"/>
      <c r="H44" s="1266"/>
      <c r="I44" s="1266"/>
      <c r="J44" s="1266"/>
      <c r="K44" s="851"/>
      <c r="L44" s="851"/>
      <c r="M44" s="851"/>
      <c r="N44" s="851"/>
      <c r="O44" s="851"/>
      <c r="P44" s="851"/>
      <c r="Q44" s="851"/>
      <c r="R44" s="851"/>
      <c r="S44" s="853"/>
      <c r="T44" s="853"/>
      <c r="U44" s="853"/>
      <c r="V44" s="853"/>
      <c r="W44" s="853"/>
      <c r="X44" s="853"/>
      <c r="Y44" s="853"/>
      <c r="Z44" s="853"/>
      <c r="AA44" s="853"/>
      <c r="AB44" s="853"/>
      <c r="AC44" s="853"/>
      <c r="AD44" s="853"/>
      <c r="AE44" s="853"/>
      <c r="AF44" s="853"/>
      <c r="AG44" s="853"/>
      <c r="AH44" s="853"/>
      <c r="AI44" s="853"/>
      <c r="AJ44" s="853"/>
      <c r="AK44" s="853"/>
      <c r="AL44" s="853"/>
      <c r="AM44" s="853"/>
      <c r="AN44" s="853"/>
      <c r="AO44" s="853"/>
      <c r="AP44" s="853"/>
      <c r="AQ44" s="853"/>
      <c r="AR44" s="853"/>
      <c r="AS44" s="853"/>
      <c r="AT44" s="853"/>
      <c r="AU44" s="853"/>
      <c r="AV44" s="853"/>
      <c r="AW44" s="853"/>
      <c r="AX44" s="853"/>
      <c r="AY44" s="853"/>
      <c r="AZ44" s="853"/>
      <c r="BA44" s="853"/>
      <c r="BB44" s="853"/>
      <c r="BC44" s="853"/>
      <c r="BD44" s="853"/>
      <c r="BE44" s="853"/>
      <c r="BF44" s="853"/>
      <c r="BG44" s="853"/>
      <c r="BH44" s="853"/>
      <c r="BI44" s="853"/>
      <c r="BJ44" s="853"/>
      <c r="BK44" s="853"/>
      <c r="BL44" s="853"/>
      <c r="BM44" s="853"/>
      <c r="BN44" s="853"/>
      <c r="BO44" s="853"/>
      <c r="BP44" s="853"/>
      <c r="BQ44" s="853"/>
      <c r="BR44" s="853"/>
      <c r="BS44" s="853"/>
      <c r="BT44" s="853"/>
      <c r="BU44" s="853"/>
      <c r="BV44" s="853"/>
      <c r="BW44" s="853"/>
      <c r="BX44" s="853"/>
      <c r="BY44" s="853"/>
      <c r="BZ44" s="853"/>
      <c r="CA44" s="853"/>
      <c r="CB44" s="853"/>
      <c r="CC44" s="853"/>
      <c r="CD44" s="853"/>
    </row>
    <row r="45" spans="1:82" ht="59.25" customHeight="1" x14ac:dyDescent="0.25">
      <c r="A45" s="851"/>
      <c r="B45" s="851"/>
      <c r="C45" s="876" t="s">
        <v>308</v>
      </c>
      <c r="D45" s="1268" t="s">
        <v>309</v>
      </c>
      <c r="E45" s="1268"/>
      <c r="F45" s="1268"/>
      <c r="G45" s="1268"/>
      <c r="H45" s="1268"/>
      <c r="I45" s="1268"/>
      <c r="J45" s="1268"/>
      <c r="K45" s="851"/>
      <c r="L45" s="851"/>
      <c r="M45" s="851"/>
      <c r="N45" s="851"/>
      <c r="O45" s="851"/>
      <c r="P45" s="851"/>
      <c r="Q45" s="851"/>
      <c r="R45" s="851"/>
      <c r="S45" s="853"/>
      <c r="T45" s="853"/>
      <c r="U45" s="853"/>
      <c r="V45" s="853"/>
      <c r="W45" s="853"/>
      <c r="X45" s="853"/>
      <c r="Y45" s="853"/>
      <c r="Z45" s="853"/>
      <c r="AA45" s="853"/>
      <c r="AB45" s="853"/>
      <c r="AC45" s="853"/>
      <c r="AD45" s="853"/>
      <c r="AE45" s="853"/>
      <c r="AF45" s="853"/>
      <c r="AG45" s="853"/>
      <c r="AH45" s="853"/>
      <c r="AI45" s="853"/>
      <c r="AJ45" s="853"/>
      <c r="AK45" s="853"/>
      <c r="AL45" s="853"/>
      <c r="AM45" s="853"/>
      <c r="AN45" s="853"/>
      <c r="AO45" s="853"/>
      <c r="AP45" s="853"/>
      <c r="AQ45" s="853"/>
      <c r="AR45" s="853"/>
      <c r="AS45" s="853"/>
      <c r="AT45" s="853"/>
      <c r="AU45" s="853"/>
      <c r="AV45" s="853"/>
      <c r="AW45" s="853"/>
      <c r="AX45" s="853"/>
      <c r="AY45" s="853"/>
      <c r="AZ45" s="853"/>
      <c r="BA45" s="853"/>
      <c r="BB45" s="853"/>
      <c r="BC45" s="853"/>
      <c r="BD45" s="853"/>
      <c r="BE45" s="853"/>
      <c r="BF45" s="853"/>
      <c r="BG45" s="853"/>
      <c r="BH45" s="853"/>
      <c r="BI45" s="853"/>
      <c r="BJ45" s="853"/>
      <c r="BK45" s="853"/>
      <c r="BL45" s="853"/>
      <c r="BM45" s="853"/>
      <c r="BN45" s="853"/>
      <c r="BO45" s="853"/>
      <c r="BP45" s="853"/>
      <c r="BQ45" s="853"/>
      <c r="BR45" s="853"/>
      <c r="BS45" s="853"/>
      <c r="BT45" s="853"/>
      <c r="BU45" s="853"/>
      <c r="BV45" s="853"/>
      <c r="BW45" s="853"/>
      <c r="BX45" s="853"/>
      <c r="BY45" s="853"/>
      <c r="BZ45" s="853"/>
      <c r="CA45" s="853"/>
      <c r="CB45" s="853"/>
      <c r="CC45" s="853"/>
      <c r="CD45" s="853"/>
    </row>
    <row r="46" spans="1:82" ht="80.25" customHeight="1" x14ac:dyDescent="0.25">
      <c r="A46" s="851"/>
      <c r="B46" s="851"/>
      <c r="C46" s="876" t="s">
        <v>310</v>
      </c>
      <c r="D46" s="1268" t="s">
        <v>311</v>
      </c>
      <c r="E46" s="1268"/>
      <c r="F46" s="1268"/>
      <c r="G46" s="1268"/>
      <c r="H46" s="1268"/>
      <c r="I46" s="1268"/>
      <c r="J46" s="1268"/>
      <c r="K46" s="851"/>
      <c r="L46" s="851"/>
      <c r="M46" s="851"/>
      <c r="N46" s="851"/>
      <c r="O46" s="851"/>
      <c r="P46" s="851"/>
      <c r="Q46" s="851"/>
      <c r="R46" s="851"/>
      <c r="S46" s="853"/>
      <c r="T46" s="853"/>
      <c r="U46" s="853"/>
      <c r="V46" s="853"/>
      <c r="W46" s="853"/>
      <c r="X46" s="853"/>
      <c r="Y46" s="853"/>
      <c r="Z46" s="853"/>
      <c r="AA46" s="853"/>
      <c r="AB46" s="853"/>
      <c r="AC46" s="853"/>
      <c r="AD46" s="853"/>
      <c r="AE46" s="853"/>
      <c r="AF46" s="853"/>
      <c r="AG46" s="853"/>
      <c r="AH46" s="853"/>
      <c r="AI46" s="853"/>
      <c r="AJ46" s="853"/>
      <c r="AK46" s="853"/>
      <c r="AL46" s="853"/>
      <c r="AM46" s="853"/>
      <c r="AN46" s="853"/>
      <c r="AO46" s="853"/>
      <c r="AP46" s="853"/>
      <c r="AQ46" s="853"/>
    </row>
    <row r="47" spans="1:82" ht="85.5" customHeight="1" x14ac:dyDescent="0.25">
      <c r="A47" s="851"/>
      <c r="B47" s="851"/>
      <c r="C47" s="876" t="s">
        <v>312</v>
      </c>
      <c r="D47" s="1268" t="s">
        <v>313</v>
      </c>
      <c r="E47" s="1268"/>
      <c r="F47" s="1268"/>
      <c r="G47" s="1268"/>
      <c r="H47" s="1268"/>
      <c r="I47" s="1268"/>
      <c r="J47" s="1268"/>
      <c r="K47" s="851"/>
      <c r="L47" s="851"/>
      <c r="M47" s="851"/>
      <c r="N47" s="851"/>
      <c r="O47" s="851"/>
      <c r="P47" s="851"/>
      <c r="Q47" s="851"/>
      <c r="R47" s="851"/>
      <c r="S47" s="853"/>
      <c r="T47" s="853"/>
      <c r="U47" s="853"/>
      <c r="V47" s="853"/>
      <c r="W47" s="853"/>
      <c r="X47" s="853"/>
      <c r="Y47" s="853"/>
      <c r="Z47" s="853"/>
      <c r="AA47" s="853"/>
      <c r="AB47" s="853"/>
      <c r="AC47" s="853"/>
      <c r="AD47" s="853"/>
      <c r="AE47" s="853"/>
      <c r="AF47" s="853"/>
      <c r="AG47" s="853"/>
      <c r="AH47" s="853"/>
      <c r="AI47" s="853"/>
      <c r="AJ47" s="853"/>
      <c r="AK47" s="853"/>
      <c r="AL47" s="853"/>
      <c r="AM47" s="853"/>
      <c r="AN47" s="853"/>
      <c r="AO47" s="853"/>
      <c r="AP47" s="853"/>
      <c r="AQ47" s="853"/>
    </row>
    <row r="48" spans="1:82" ht="51" customHeight="1" x14ac:dyDescent="0.25">
      <c r="A48" s="851"/>
      <c r="B48" s="851"/>
      <c r="C48" s="876" t="s">
        <v>314</v>
      </c>
      <c r="D48" s="1268" t="s">
        <v>315</v>
      </c>
      <c r="E48" s="1268"/>
      <c r="F48" s="1268"/>
      <c r="G48" s="1268"/>
      <c r="H48" s="1268"/>
      <c r="I48" s="1268"/>
      <c r="J48" s="1268"/>
      <c r="K48" s="851"/>
      <c r="L48" s="851"/>
      <c r="M48" s="851"/>
      <c r="N48" s="851"/>
      <c r="O48" s="851"/>
      <c r="P48" s="851"/>
      <c r="Q48" s="851"/>
      <c r="R48" s="851"/>
      <c r="S48" s="853"/>
      <c r="T48" s="853"/>
      <c r="U48" s="853"/>
      <c r="V48" s="853"/>
      <c r="W48" s="853"/>
      <c r="X48" s="853"/>
      <c r="Y48" s="853"/>
      <c r="Z48" s="853"/>
      <c r="AA48" s="853"/>
      <c r="AB48" s="853"/>
      <c r="AC48" s="853"/>
      <c r="AD48" s="853"/>
      <c r="AE48" s="853"/>
      <c r="AF48" s="853"/>
      <c r="AG48" s="853"/>
      <c r="AH48" s="853"/>
      <c r="AI48" s="853"/>
      <c r="AJ48" s="853"/>
      <c r="AK48" s="853"/>
      <c r="AL48" s="853"/>
      <c r="AM48" s="853"/>
      <c r="AN48" s="853"/>
      <c r="AO48" s="853"/>
      <c r="AP48" s="853"/>
      <c r="AQ48" s="853"/>
    </row>
    <row r="49" spans="1:32" x14ac:dyDescent="0.25">
      <c r="A49" s="851"/>
      <c r="B49" s="851"/>
      <c r="C49" s="851"/>
      <c r="D49" s="851"/>
      <c r="E49" s="851"/>
      <c r="F49" s="851"/>
      <c r="G49" s="851"/>
      <c r="H49" s="851"/>
      <c r="I49" s="851"/>
      <c r="J49" s="851"/>
      <c r="K49" s="851"/>
      <c r="L49" s="851"/>
      <c r="M49" s="851"/>
      <c r="N49" s="851"/>
      <c r="O49" s="851"/>
      <c r="P49" s="851"/>
      <c r="Q49" s="851"/>
      <c r="R49" s="851"/>
      <c r="S49" s="853"/>
      <c r="T49" s="853"/>
      <c r="U49" s="853"/>
      <c r="V49" s="853"/>
      <c r="W49" s="853"/>
      <c r="X49" s="853"/>
      <c r="Y49" s="853"/>
      <c r="Z49" s="853"/>
      <c r="AA49" s="853"/>
      <c r="AB49" s="853"/>
      <c r="AC49" s="853"/>
      <c r="AD49" s="853"/>
      <c r="AE49" s="853"/>
      <c r="AF49" s="853"/>
    </row>
    <row r="50" spans="1:32" ht="50.25" customHeight="1" x14ac:dyDescent="0.25">
      <c r="B50" s="877"/>
      <c r="C50" s="1264"/>
      <c r="D50" s="1264"/>
      <c r="E50" s="1264"/>
      <c r="F50" s="1264"/>
      <c r="G50" s="1264"/>
      <c r="H50" s="1264"/>
      <c r="I50" s="1264"/>
      <c r="J50" s="1264"/>
      <c r="K50" s="853"/>
      <c r="L50" s="853"/>
      <c r="M50" s="853"/>
      <c r="N50" s="853"/>
      <c r="O50" s="853"/>
      <c r="P50" s="853"/>
      <c r="Q50" s="853"/>
      <c r="R50" s="853"/>
      <c r="S50" s="853"/>
      <c r="T50" s="853"/>
      <c r="U50" s="853"/>
      <c r="V50" s="853"/>
      <c r="W50" s="853"/>
      <c r="X50" s="853"/>
      <c r="Y50" s="853"/>
      <c r="Z50" s="853"/>
      <c r="AA50" s="853"/>
      <c r="AB50" s="853"/>
      <c r="AC50" s="853"/>
      <c r="AD50" s="853"/>
      <c r="AE50" s="853"/>
      <c r="AF50" s="853"/>
    </row>
    <row r="51" spans="1:32" x14ac:dyDescent="0.25">
      <c r="B51" s="853"/>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c r="AB51" s="853"/>
      <c r="AC51" s="853"/>
      <c r="AD51" s="853"/>
      <c r="AE51" s="853"/>
      <c r="AF51" s="853"/>
    </row>
    <row r="52" spans="1:32" x14ac:dyDescent="0.25">
      <c r="B52" s="853"/>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c r="AB52" s="853"/>
      <c r="AC52" s="853"/>
      <c r="AD52" s="853"/>
      <c r="AE52" s="853"/>
      <c r="AF52" s="853"/>
    </row>
    <row r="53" spans="1:32" x14ac:dyDescent="0.25">
      <c r="B53" s="853"/>
      <c r="C53" s="853"/>
      <c r="D53" s="853"/>
      <c r="E53" s="853"/>
      <c r="F53" s="853"/>
      <c r="G53" s="853"/>
      <c r="H53" s="853"/>
      <c r="I53" s="853"/>
      <c r="J53" s="853"/>
      <c r="K53" s="853"/>
      <c r="L53" s="853"/>
      <c r="M53" s="853"/>
      <c r="N53" s="853"/>
      <c r="O53" s="853"/>
      <c r="P53" s="853"/>
      <c r="Q53" s="853"/>
      <c r="R53" s="853"/>
      <c r="S53" s="853"/>
      <c r="T53" s="853"/>
      <c r="U53" s="853"/>
      <c r="V53" s="853"/>
      <c r="W53" s="853"/>
      <c r="X53" s="853"/>
      <c r="Y53" s="853"/>
      <c r="Z53" s="853"/>
      <c r="AA53" s="853"/>
      <c r="AB53" s="853"/>
      <c r="AC53" s="853"/>
      <c r="AD53" s="853"/>
      <c r="AE53" s="853"/>
      <c r="AF53" s="853"/>
    </row>
    <row r="54" spans="1:32" x14ac:dyDescent="0.25">
      <c r="B54" s="853"/>
      <c r="C54" s="853"/>
      <c r="D54" s="853"/>
      <c r="E54" s="853"/>
      <c r="F54" s="853"/>
      <c r="G54" s="853"/>
      <c r="H54" s="853"/>
      <c r="I54" s="853"/>
      <c r="J54" s="853"/>
      <c r="K54" s="853"/>
      <c r="L54" s="853"/>
      <c r="M54" s="853"/>
      <c r="N54" s="853"/>
      <c r="O54" s="853"/>
      <c r="P54" s="853"/>
      <c r="Q54" s="853"/>
      <c r="R54" s="853"/>
      <c r="S54" s="853"/>
      <c r="T54" s="853"/>
      <c r="U54" s="853"/>
      <c r="V54" s="853"/>
      <c r="W54" s="853"/>
      <c r="X54" s="853"/>
      <c r="Y54" s="853"/>
      <c r="Z54" s="853"/>
      <c r="AA54" s="853"/>
      <c r="AB54" s="853"/>
      <c r="AC54" s="853"/>
      <c r="AD54" s="853"/>
      <c r="AE54" s="853"/>
      <c r="AF54" s="853"/>
    </row>
    <row r="55" spans="1:32" x14ac:dyDescent="0.25">
      <c r="B55" s="853"/>
      <c r="C55" s="853"/>
      <c r="D55" s="853"/>
      <c r="E55" s="853"/>
      <c r="F55" s="853"/>
      <c r="G55" s="853"/>
      <c r="H55" s="853"/>
      <c r="I55" s="853"/>
      <c r="J55" s="853"/>
      <c r="K55" s="853"/>
      <c r="L55" s="853"/>
      <c r="M55" s="853"/>
      <c r="N55" s="853"/>
      <c r="O55" s="853"/>
      <c r="P55" s="853"/>
      <c r="Q55" s="853"/>
      <c r="R55" s="853"/>
      <c r="S55" s="853"/>
      <c r="T55" s="853"/>
      <c r="U55" s="853"/>
      <c r="V55" s="853"/>
      <c r="W55" s="853"/>
      <c r="X55" s="853"/>
      <c r="Y55" s="853"/>
      <c r="Z55" s="853"/>
      <c r="AA55" s="853"/>
      <c r="AB55" s="853"/>
      <c r="AC55" s="853"/>
      <c r="AD55" s="853"/>
      <c r="AE55" s="853"/>
      <c r="AF55" s="853"/>
    </row>
  </sheetData>
  <mergeCells count="31">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fitToHeight="0" orientation="landscape" r:id="rId1"/>
  <rowBreaks count="1" manualBreakCount="1">
    <brk id="33" max="17"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sheetPr>
  <dimension ref="A1:TY103"/>
  <sheetViews>
    <sheetView zoomScale="85" zoomScaleNormal="85" zoomScaleSheetLayoutView="85" zoomScalePageLayoutView="65" workbookViewId="0">
      <selection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316</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E79:G79"/>
    <mergeCell ref="Q71:S71"/>
    <mergeCell ref="Y62:AA62"/>
    <mergeCell ref="U62:W62"/>
    <mergeCell ref="Q62:S62"/>
    <mergeCell ref="M62:O62"/>
    <mergeCell ref="I62:K62"/>
    <mergeCell ref="E62:G62"/>
    <mergeCell ref="E71:G71"/>
    <mergeCell ref="I71:K71"/>
    <mergeCell ref="M71:O71"/>
    <mergeCell ref="U71:W71"/>
    <mergeCell ref="Y71:AA71"/>
    <mergeCell ref="U68:V68"/>
    <mergeCell ref="U77:V77"/>
    <mergeCell ref="I63:K63"/>
    <mergeCell ref="M63:O63"/>
    <mergeCell ref="Y77:Z77"/>
    <mergeCell ref="Y68:Z68"/>
    <mergeCell ref="BG5:BI5"/>
    <mergeCell ref="Y7:AA7"/>
    <mergeCell ref="U7:W7"/>
    <mergeCell ref="Y54:Z54"/>
    <mergeCell ref="Y40:Z40"/>
    <mergeCell ref="U40:V40"/>
    <mergeCell ref="U54:V54"/>
    <mergeCell ref="AC7:AD7"/>
    <mergeCell ref="AC6:AD6"/>
    <mergeCell ref="Y6:AA6"/>
    <mergeCell ref="U6:W6"/>
    <mergeCell ref="Y4:AA4"/>
    <mergeCell ref="A2:B2"/>
    <mergeCell ref="A68:C68"/>
    <mergeCell ref="A28:B28"/>
    <mergeCell ref="A86:C86"/>
    <mergeCell ref="A72:C72"/>
    <mergeCell ref="A63:C63"/>
    <mergeCell ref="A77:C77"/>
    <mergeCell ref="A80:C80"/>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I4:K4"/>
    <mergeCell ref="M4:O4"/>
    <mergeCell ref="Q4:S4"/>
    <mergeCell ref="U4:W4"/>
    <mergeCell ref="A9:B9"/>
    <mergeCell ref="A10:B10"/>
    <mergeCell ref="A11:B11"/>
    <mergeCell ref="A12:B12"/>
    <mergeCell ref="I7:K7"/>
    <mergeCell ref="E7:G7"/>
    <mergeCell ref="M7:O7"/>
    <mergeCell ref="Q7:S7"/>
    <mergeCell ref="A32:B32"/>
    <mergeCell ref="A7:C7"/>
    <mergeCell ref="Q6:S6"/>
    <mergeCell ref="M6:O6"/>
    <mergeCell ref="I6:K6"/>
    <mergeCell ref="E6:G6"/>
    <mergeCell ref="E86:G86"/>
    <mergeCell ref="E80:G80"/>
    <mergeCell ref="A36:B36"/>
    <mergeCell ref="A37:B37"/>
    <mergeCell ref="A38:B38"/>
    <mergeCell ref="A39:B39"/>
    <mergeCell ref="A43:B43"/>
    <mergeCell ref="A44:B44"/>
    <mergeCell ref="A45:B45"/>
    <mergeCell ref="A46:B46"/>
    <mergeCell ref="E85:G85"/>
    <mergeCell ref="E63:G63"/>
    <mergeCell ref="E72:G72"/>
    <mergeCell ref="Q80:S80"/>
    <mergeCell ref="M72:O72"/>
    <mergeCell ref="Q72:S72"/>
    <mergeCell ref="A13:B13"/>
    <mergeCell ref="I79:K79"/>
    <mergeCell ref="Y86:AA86"/>
    <mergeCell ref="U80:W80"/>
    <mergeCell ref="Y80:AA80"/>
    <mergeCell ref="Y72:AA72"/>
    <mergeCell ref="Y63:AA63"/>
    <mergeCell ref="M86:O86"/>
    <mergeCell ref="I86:K86"/>
    <mergeCell ref="Q86:S86"/>
    <mergeCell ref="U86:W86"/>
    <mergeCell ref="I85:K85"/>
    <mergeCell ref="M85:O85"/>
    <mergeCell ref="Q85:S85"/>
    <mergeCell ref="U85:W85"/>
    <mergeCell ref="Y85:AA85"/>
    <mergeCell ref="Y79:AA79"/>
    <mergeCell ref="U79:W79"/>
    <mergeCell ref="Q79:S79"/>
    <mergeCell ref="M79:O79"/>
    <mergeCell ref="Q63:S63"/>
    <mergeCell ref="I72:K72"/>
    <mergeCell ref="U63:W63"/>
    <mergeCell ref="U72:W72"/>
    <mergeCell ref="I80:K80"/>
    <mergeCell ref="M80:O80"/>
    <mergeCell ref="A14:B14"/>
    <mergeCell ref="A15:B15"/>
    <mergeCell ref="A16:B16"/>
    <mergeCell ref="A17:B17"/>
    <mergeCell ref="A23:B23"/>
    <mergeCell ref="A24:B24"/>
    <mergeCell ref="A25:B25"/>
    <mergeCell ref="A26:B26"/>
    <mergeCell ref="A27:B27"/>
    <mergeCell ref="A90:C90"/>
    <mergeCell ref="A91:C91"/>
    <mergeCell ref="A92:C92"/>
    <mergeCell ref="A35:C35"/>
    <mergeCell ref="A56:C56"/>
    <mergeCell ref="A65:C65"/>
    <mergeCell ref="A57:C57"/>
    <mergeCell ref="A58:C58"/>
    <mergeCell ref="A76:C76"/>
    <mergeCell ref="A75:C75"/>
    <mergeCell ref="A74:C74"/>
    <mergeCell ref="A83:C83"/>
    <mergeCell ref="A88:C88"/>
    <mergeCell ref="A40:C40"/>
    <mergeCell ref="A47:C47"/>
    <mergeCell ref="A54:C54"/>
    <mergeCell ref="A49:C49"/>
    <mergeCell ref="A59:C59"/>
    <mergeCell ref="A50:B50"/>
    <mergeCell ref="A51:B51"/>
    <mergeCell ref="A52:B52"/>
    <mergeCell ref="A89:C89"/>
    <mergeCell ref="A53:B53"/>
    <mergeCell ref="C66:C67"/>
  </mergeCells>
  <phoneticPr fontId="4" type="noConversion"/>
  <printOptions horizontalCentered="1" gridLines="1"/>
  <pageMargins left="0.5" right="0.5" top="0.5" bottom="0.5" header="0.25" footer="0.25"/>
  <pageSetup scale="82" fitToHeight="3" orientation="landscape" r:id="rId1"/>
  <headerFooter alignWithMargins="0">
    <oddHeader>&amp;C&amp;"Arial,Bold"&amp;12&amp;A</oddHeader>
    <oddFooter>&amp;LOfferor: &amp;CPage &amp;P of &amp;N Pages&amp;R&amp;F</oddFooter>
  </headerFooter>
  <rowBreaks count="2" manualBreakCount="2">
    <brk id="33" max="30" man="1"/>
    <brk id="87" max="30" man="1"/>
  </rowBreaks>
  <colBreaks count="2" manualBreakCount="2">
    <brk id="8" max="93" man="1"/>
    <brk id="20" max="93"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63"/>
  <sheetViews>
    <sheetView view="pageBreakPreview" zoomScaleNormal="100" zoomScaleSheetLayoutView="100" workbookViewId="0">
      <pane xSplit="7" ySplit="7" topLeftCell="H8" activePane="bottomRight" state="frozen"/>
      <selection pane="topRight" activeCell="H1" sqref="H1"/>
      <selection pane="bottomLeft" activeCell="A9" sqref="A9"/>
      <selection pane="bottomRight" activeCell="H18" sqref="H18"/>
    </sheetView>
  </sheetViews>
  <sheetFormatPr defaultColWidth="8.7265625" defaultRowHeight="13" x14ac:dyDescent="0.25"/>
  <cols>
    <col min="1" max="1" width="2.542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398</v>
      </c>
      <c r="C2" s="1367"/>
      <c r="D2" s="1013"/>
      <c r="E2" s="1013"/>
      <c r="F2" s="1013"/>
      <c r="G2" s="1013"/>
      <c r="H2" s="1027" t="s">
        <v>290</v>
      </c>
      <c r="I2" s="1372" t="s">
        <v>399</v>
      </c>
      <c r="J2" s="1373"/>
      <c r="K2" s="1373"/>
      <c r="L2" s="1373"/>
      <c r="M2" s="1374"/>
      <c r="N2" s="1013"/>
      <c r="O2" s="1016"/>
    </row>
    <row r="3" spans="1:15" ht="20.149999999999999"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411</v>
      </c>
      <c r="C8" s="886"/>
      <c r="D8" s="886"/>
      <c r="E8" s="886"/>
      <c r="F8" s="886"/>
      <c r="G8" s="886"/>
      <c r="H8" s="887">
        <v>0</v>
      </c>
      <c r="I8" s="887">
        <v>0</v>
      </c>
      <c r="J8" s="887">
        <v>0</v>
      </c>
      <c r="K8" s="887">
        <v>0</v>
      </c>
      <c r="L8" s="888">
        <f t="shared" ref="L8:L14" si="0">SUM(H8:K8)</f>
        <v>0</v>
      </c>
      <c r="M8" s="1371"/>
      <c r="N8" s="1013"/>
      <c r="O8" s="1016"/>
    </row>
    <row r="9" spans="1:15" x14ac:dyDescent="0.25">
      <c r="A9" s="1009"/>
      <c r="B9" s="885" t="s">
        <v>411</v>
      </c>
      <c r="C9" s="1161"/>
      <c r="D9" s="1161"/>
      <c r="E9" s="1161"/>
      <c r="F9" s="1161"/>
      <c r="G9" s="1161"/>
      <c r="H9" s="889">
        <v>0</v>
      </c>
      <c r="I9" s="889">
        <v>0</v>
      </c>
      <c r="J9" s="889">
        <v>0</v>
      </c>
      <c r="K9" s="889">
        <v>0</v>
      </c>
      <c r="L9" s="890">
        <f t="shared" si="0"/>
        <v>0</v>
      </c>
      <c r="M9" s="1371"/>
      <c r="N9" s="1013"/>
      <c r="O9" s="1016"/>
    </row>
    <row r="10" spans="1:15" x14ac:dyDescent="0.25">
      <c r="A10" s="1009"/>
      <c r="B10" s="885" t="s">
        <v>411</v>
      </c>
      <c r="C10" s="1161"/>
      <c r="D10" s="1161"/>
      <c r="E10" s="1161"/>
      <c r="F10" s="1161"/>
      <c r="G10" s="1161"/>
      <c r="H10" s="889">
        <v>0</v>
      </c>
      <c r="I10" s="889">
        <v>0</v>
      </c>
      <c r="J10" s="889">
        <v>0</v>
      </c>
      <c r="K10" s="889">
        <v>0</v>
      </c>
      <c r="L10" s="890">
        <f t="shared" si="0"/>
        <v>0</v>
      </c>
      <c r="M10" s="1371"/>
      <c r="N10" s="1013"/>
      <c r="O10" s="1016"/>
    </row>
    <row r="11" spans="1:15" x14ac:dyDescent="0.25">
      <c r="A11" s="1009"/>
      <c r="B11" s="885" t="s">
        <v>411</v>
      </c>
      <c r="C11" s="1161"/>
      <c r="D11" s="1161"/>
      <c r="E11" s="1161"/>
      <c r="F11" s="1161"/>
      <c r="G11" s="1161"/>
      <c r="H11" s="889">
        <v>0</v>
      </c>
      <c r="I11" s="889">
        <v>0</v>
      </c>
      <c r="J11" s="889">
        <v>0</v>
      </c>
      <c r="K11" s="889">
        <v>0</v>
      </c>
      <c r="L11" s="890">
        <f t="shared" si="0"/>
        <v>0</v>
      </c>
      <c r="M11" s="1371"/>
      <c r="N11" s="1013"/>
      <c r="O11" s="1016"/>
    </row>
    <row r="12" spans="1:15" x14ac:dyDescent="0.25">
      <c r="A12" s="1009"/>
      <c r="B12" s="885" t="s">
        <v>411</v>
      </c>
      <c r="C12" s="1161"/>
      <c r="D12" s="1161"/>
      <c r="E12" s="1161"/>
      <c r="F12" s="1161"/>
      <c r="G12" s="1161"/>
      <c r="H12" s="889">
        <v>0</v>
      </c>
      <c r="I12" s="889">
        <v>0</v>
      </c>
      <c r="J12" s="889">
        <v>0</v>
      </c>
      <c r="K12" s="889">
        <v>0</v>
      </c>
      <c r="L12" s="890">
        <f t="shared" si="0"/>
        <v>0</v>
      </c>
      <c r="M12" s="1371"/>
      <c r="N12" s="1013"/>
      <c r="O12" s="1016"/>
    </row>
    <row r="13" spans="1:15" x14ac:dyDescent="0.25">
      <c r="A13" s="1009"/>
      <c r="B13" s="885" t="s">
        <v>411</v>
      </c>
      <c r="C13" s="1161"/>
      <c r="D13" s="1161"/>
      <c r="E13" s="1161"/>
      <c r="F13" s="1161"/>
      <c r="G13" s="1161"/>
      <c r="H13" s="889">
        <v>0</v>
      </c>
      <c r="I13" s="889">
        <v>0</v>
      </c>
      <c r="J13" s="889">
        <v>0</v>
      </c>
      <c r="K13" s="889">
        <v>0</v>
      </c>
      <c r="L13" s="890">
        <f t="shared" si="0"/>
        <v>0</v>
      </c>
      <c r="M13" s="1371"/>
      <c r="N13" s="1013"/>
      <c r="O13" s="1016"/>
    </row>
    <row r="14" spans="1:15" ht="13.5" thickBot="1" x14ac:dyDescent="0.3">
      <c r="A14" s="1009"/>
      <c r="B14" s="885" t="s">
        <v>411</v>
      </c>
      <c r="C14" s="891"/>
      <c r="D14" s="891"/>
      <c r="E14" s="891"/>
      <c r="F14" s="891"/>
      <c r="G14" s="891"/>
      <c r="H14" s="892">
        <v>0</v>
      </c>
      <c r="I14" s="892">
        <v>0</v>
      </c>
      <c r="J14" s="892">
        <v>0</v>
      </c>
      <c r="K14" s="892">
        <v>0</v>
      </c>
      <c r="L14" s="893">
        <f t="shared" si="0"/>
        <v>0</v>
      </c>
      <c r="M14" s="1371"/>
      <c r="N14" s="1013"/>
      <c r="O14" s="1016"/>
    </row>
    <row r="15" spans="1:15" ht="19" customHeight="1" thickBot="1" x14ac:dyDescent="0.3">
      <c r="A15" s="1009"/>
      <c r="B15" s="1381" t="s">
        <v>412</v>
      </c>
      <c r="C15" s="1382"/>
      <c r="D15" s="1382"/>
      <c r="E15" s="1382"/>
      <c r="F15" s="1382"/>
      <c r="G15" s="1383"/>
      <c r="H15" s="894">
        <f>SUM(H8:H14)</f>
        <v>0</v>
      </c>
      <c r="I15" s="894">
        <f>SUM(I8:I14)</f>
        <v>0</v>
      </c>
      <c r="J15" s="894">
        <f>SUM(J8:J14)</f>
        <v>0</v>
      </c>
      <c r="K15" s="894">
        <f>SUM(K8:K14)</f>
        <v>0</v>
      </c>
      <c r="L15" s="1013"/>
      <c r="M15" s="895">
        <f>SUM(H15:K15)</f>
        <v>0</v>
      </c>
      <c r="N15" s="1013"/>
      <c r="O15" s="1016"/>
    </row>
    <row r="16" spans="1:15" ht="13.5" thickBot="1" x14ac:dyDescent="0.3">
      <c r="A16" s="1009"/>
      <c r="B16" s="1371"/>
      <c r="C16" s="1371"/>
      <c r="D16" s="1371"/>
      <c r="E16" s="1371"/>
      <c r="F16" s="1371"/>
      <c r="G16" s="1371"/>
      <c r="H16" s="1371"/>
      <c r="I16" s="1371"/>
      <c r="J16" s="1371"/>
      <c r="K16" s="1371"/>
      <c r="L16" s="1371"/>
      <c r="M16" s="1371"/>
      <c r="N16" s="1013"/>
      <c r="O16" s="1016"/>
    </row>
    <row r="17" spans="1:15" x14ac:dyDescent="0.25">
      <c r="A17" s="1009"/>
      <c r="B17" s="896" t="s">
        <v>413</v>
      </c>
      <c r="C17" s="897"/>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413</v>
      </c>
      <c r="C18" s="1161"/>
      <c r="D18" s="1161"/>
      <c r="E18" s="1161"/>
      <c r="F18" s="1161"/>
      <c r="G18" s="1161"/>
      <c r="H18" s="889">
        <v>0</v>
      </c>
      <c r="I18" s="889">
        <v>0</v>
      </c>
      <c r="J18" s="889">
        <v>0</v>
      </c>
      <c r="K18" s="902">
        <v>0</v>
      </c>
      <c r="L18" s="903">
        <f t="shared" si="1"/>
        <v>0</v>
      </c>
      <c r="M18" s="1371"/>
      <c r="N18" s="1013"/>
      <c r="O18" s="1016"/>
    </row>
    <row r="19" spans="1:15" x14ac:dyDescent="0.25">
      <c r="A19" s="1009"/>
      <c r="B19" s="901" t="s">
        <v>413</v>
      </c>
      <c r="C19" s="1161"/>
      <c r="D19" s="1161"/>
      <c r="E19" s="1161"/>
      <c r="F19" s="1161"/>
      <c r="G19" s="1161"/>
      <c r="H19" s="889">
        <v>0</v>
      </c>
      <c r="I19" s="889">
        <v>0</v>
      </c>
      <c r="J19" s="889">
        <v>0</v>
      </c>
      <c r="K19" s="902">
        <v>0</v>
      </c>
      <c r="L19" s="903">
        <f t="shared" si="1"/>
        <v>0</v>
      </c>
      <c r="M19" s="1371"/>
      <c r="N19" s="1013"/>
      <c r="O19" s="1016"/>
    </row>
    <row r="20" spans="1:15" x14ac:dyDescent="0.25">
      <c r="A20" s="1009"/>
      <c r="B20" s="901" t="s">
        <v>413</v>
      </c>
      <c r="C20" s="1161"/>
      <c r="D20" s="1161"/>
      <c r="E20" s="1161"/>
      <c r="F20" s="1161"/>
      <c r="G20" s="1161"/>
      <c r="H20" s="889">
        <v>0</v>
      </c>
      <c r="I20" s="889">
        <v>0</v>
      </c>
      <c r="J20" s="889">
        <v>0</v>
      </c>
      <c r="K20" s="902">
        <v>0</v>
      </c>
      <c r="L20" s="903">
        <f t="shared" si="1"/>
        <v>0</v>
      </c>
      <c r="M20" s="1371"/>
      <c r="N20" s="1013"/>
      <c r="O20" s="1016"/>
    </row>
    <row r="21" spans="1:15" x14ac:dyDescent="0.25">
      <c r="A21" s="1009"/>
      <c r="B21" s="901" t="s">
        <v>413</v>
      </c>
      <c r="C21" s="1161"/>
      <c r="D21" s="1161"/>
      <c r="E21" s="1161"/>
      <c r="F21" s="1161"/>
      <c r="G21" s="1161"/>
      <c r="H21" s="889">
        <v>0</v>
      </c>
      <c r="I21" s="889">
        <v>0</v>
      </c>
      <c r="J21" s="889">
        <v>0</v>
      </c>
      <c r="K21" s="902">
        <v>0</v>
      </c>
      <c r="L21" s="903">
        <f t="shared" si="1"/>
        <v>0</v>
      </c>
      <c r="M21" s="1371"/>
      <c r="N21" s="1013"/>
      <c r="O21" s="1016"/>
    </row>
    <row r="22" spans="1:15" x14ac:dyDescent="0.25">
      <c r="A22" s="1009"/>
      <c r="B22" s="901" t="s">
        <v>413</v>
      </c>
      <c r="C22" s="1161"/>
      <c r="D22" s="1161"/>
      <c r="E22" s="1161"/>
      <c r="F22" s="1161"/>
      <c r="G22" s="1161"/>
      <c r="H22" s="889">
        <v>0</v>
      </c>
      <c r="I22" s="889">
        <v>0</v>
      </c>
      <c r="J22" s="889">
        <v>0</v>
      </c>
      <c r="K22" s="902">
        <v>0</v>
      </c>
      <c r="L22" s="903">
        <f t="shared" si="1"/>
        <v>0</v>
      </c>
      <c r="M22" s="1371"/>
      <c r="N22" s="1013"/>
      <c r="O22" s="1016"/>
    </row>
    <row r="23" spans="1:15" ht="13.5" thickBot="1" x14ac:dyDescent="0.3">
      <c r="A23" s="1009"/>
      <c r="B23" s="928" t="s">
        <v>413</v>
      </c>
      <c r="C23" s="891"/>
      <c r="D23" s="891"/>
      <c r="E23" s="891"/>
      <c r="F23" s="891"/>
      <c r="G23" s="891"/>
      <c r="H23" s="892">
        <v>0</v>
      </c>
      <c r="I23" s="892">
        <v>0</v>
      </c>
      <c r="J23" s="892">
        <v>0</v>
      </c>
      <c r="K23" s="905">
        <v>0</v>
      </c>
      <c r="L23" s="906">
        <f t="shared" si="1"/>
        <v>0</v>
      </c>
      <c r="M23" s="1371"/>
      <c r="N23" s="1013"/>
      <c r="O23" s="1016"/>
    </row>
    <row r="24" spans="1:15" ht="17.5" customHeight="1" thickBot="1" x14ac:dyDescent="0.3">
      <c r="A24" s="1009"/>
      <c r="B24" s="1381" t="s">
        <v>414</v>
      </c>
      <c r="C24" s="1382"/>
      <c r="D24" s="1382"/>
      <c r="E24" s="1382"/>
      <c r="F24" s="1382"/>
      <c r="G24" s="1383"/>
      <c r="H24" s="894">
        <f>SUM(H17:H23)</f>
        <v>0</v>
      </c>
      <c r="I24" s="911">
        <f>SUM(I17:I23)</f>
        <v>0</v>
      </c>
      <c r="J24" s="911">
        <f>SUM(J17:J23)</f>
        <v>0</v>
      </c>
      <c r="K24" s="912">
        <f>SUM(K17:K23)</f>
        <v>0</v>
      </c>
      <c r="L24" s="1013"/>
      <c r="M24" s="895">
        <f>SUM(H24:K24)</f>
        <v>0</v>
      </c>
      <c r="N24" s="1013"/>
      <c r="O24" s="1016"/>
    </row>
    <row r="25" spans="1:15" ht="13.5" thickBot="1" x14ac:dyDescent="0.3">
      <c r="A25" s="1009"/>
      <c r="B25" s="1371"/>
      <c r="C25" s="1371"/>
      <c r="D25" s="1371"/>
      <c r="E25" s="1371"/>
      <c r="F25" s="1371"/>
      <c r="G25" s="1371"/>
      <c r="H25" s="1371"/>
      <c r="I25" s="1371"/>
      <c r="J25" s="1371"/>
      <c r="K25" s="1371"/>
      <c r="L25" s="1371"/>
      <c r="M25" s="1371"/>
      <c r="N25" s="1013"/>
      <c r="O25" s="1016"/>
    </row>
    <row r="26" spans="1:15" x14ac:dyDescent="0.25">
      <c r="A26" s="1009"/>
      <c r="B26" s="896" t="s">
        <v>415</v>
      </c>
      <c r="C26" s="897"/>
      <c r="D26" s="897"/>
      <c r="E26" s="897"/>
      <c r="F26" s="897"/>
      <c r="G26" s="897"/>
      <c r="H26" s="899">
        <v>0</v>
      </c>
      <c r="I26" s="899">
        <v>0</v>
      </c>
      <c r="J26" s="899">
        <v>0</v>
      </c>
      <c r="K26" s="899">
        <v>0</v>
      </c>
      <c r="L26" s="900">
        <f t="shared" ref="L26:L32" si="2">SUM(H26:K26)</f>
        <v>0</v>
      </c>
      <c r="M26" s="1371"/>
      <c r="N26" s="1013"/>
      <c r="O26" s="1016"/>
    </row>
    <row r="27" spans="1:15" x14ac:dyDescent="0.25">
      <c r="A27" s="1009"/>
      <c r="B27" s="901" t="s">
        <v>415</v>
      </c>
      <c r="C27" s="1161"/>
      <c r="D27" s="1161"/>
      <c r="E27" s="1161"/>
      <c r="F27" s="1161"/>
      <c r="G27" s="1161"/>
      <c r="H27" s="910">
        <v>0</v>
      </c>
      <c r="I27" s="910">
        <v>0</v>
      </c>
      <c r="J27" s="910">
        <v>0</v>
      </c>
      <c r="K27" s="910">
        <v>0</v>
      </c>
      <c r="L27" s="903">
        <f t="shared" si="2"/>
        <v>0</v>
      </c>
      <c r="M27" s="1371"/>
      <c r="N27" s="1013"/>
      <c r="O27" s="1016"/>
    </row>
    <row r="28" spans="1:15" x14ac:dyDescent="0.25">
      <c r="A28" s="1009"/>
      <c r="B28" s="901" t="s">
        <v>415</v>
      </c>
      <c r="C28" s="1161"/>
      <c r="D28" s="1161"/>
      <c r="E28" s="1161"/>
      <c r="F28" s="1161"/>
      <c r="G28" s="1161"/>
      <c r="H28" s="910">
        <v>0</v>
      </c>
      <c r="I28" s="910">
        <v>0</v>
      </c>
      <c r="J28" s="910">
        <v>0</v>
      </c>
      <c r="K28" s="910">
        <v>0</v>
      </c>
      <c r="L28" s="903">
        <f t="shared" si="2"/>
        <v>0</v>
      </c>
      <c r="M28" s="1371"/>
      <c r="N28" s="1013"/>
      <c r="O28" s="1016"/>
    </row>
    <row r="29" spans="1:15" x14ac:dyDescent="0.25">
      <c r="A29" s="1009"/>
      <c r="B29" s="901" t="s">
        <v>415</v>
      </c>
      <c r="C29" s="1161"/>
      <c r="D29" s="1161"/>
      <c r="E29" s="1161"/>
      <c r="F29" s="1161"/>
      <c r="G29" s="1161"/>
      <c r="H29" s="910">
        <v>0</v>
      </c>
      <c r="I29" s="910">
        <v>0</v>
      </c>
      <c r="J29" s="910">
        <v>0</v>
      </c>
      <c r="K29" s="910">
        <v>0</v>
      </c>
      <c r="L29" s="903">
        <f t="shared" si="2"/>
        <v>0</v>
      </c>
      <c r="M29" s="1371"/>
      <c r="N29" s="1013"/>
      <c r="O29" s="1016"/>
    </row>
    <row r="30" spans="1:15" x14ac:dyDescent="0.25">
      <c r="A30" s="1009"/>
      <c r="B30" s="901" t="s">
        <v>415</v>
      </c>
      <c r="C30" s="1161"/>
      <c r="D30" s="1161"/>
      <c r="E30" s="1161"/>
      <c r="F30" s="1161"/>
      <c r="G30" s="1161"/>
      <c r="H30" s="910">
        <v>0</v>
      </c>
      <c r="I30" s="910">
        <v>0</v>
      </c>
      <c r="J30" s="910">
        <v>0</v>
      </c>
      <c r="K30" s="910">
        <v>0</v>
      </c>
      <c r="L30" s="903">
        <f t="shared" si="2"/>
        <v>0</v>
      </c>
      <c r="M30" s="1371"/>
      <c r="N30" s="1013"/>
      <c r="O30" s="1016"/>
    </row>
    <row r="31" spans="1:15" x14ac:dyDescent="0.25">
      <c r="A31" s="1009"/>
      <c r="B31" s="901" t="s">
        <v>415</v>
      </c>
      <c r="C31" s="1161"/>
      <c r="D31" s="1161"/>
      <c r="E31" s="1161"/>
      <c r="F31" s="1161"/>
      <c r="G31" s="1161"/>
      <c r="H31" s="910">
        <v>0</v>
      </c>
      <c r="I31" s="910">
        <v>0</v>
      </c>
      <c r="J31" s="910">
        <v>0</v>
      </c>
      <c r="K31" s="910">
        <v>0</v>
      </c>
      <c r="L31" s="903">
        <f t="shared" si="2"/>
        <v>0</v>
      </c>
      <c r="M31" s="1371"/>
      <c r="N31" s="1013"/>
      <c r="O31" s="1016"/>
    </row>
    <row r="32" spans="1:15" ht="13.5" thickBot="1" x14ac:dyDescent="0.3">
      <c r="A32" s="1009"/>
      <c r="B32" s="901" t="s">
        <v>415</v>
      </c>
      <c r="C32" s="891"/>
      <c r="D32" s="891"/>
      <c r="E32" s="891"/>
      <c r="F32" s="891"/>
      <c r="G32" s="891"/>
      <c r="H32" s="892">
        <v>0</v>
      </c>
      <c r="I32" s="887">
        <v>0</v>
      </c>
      <c r="J32" s="887">
        <v>0</v>
      </c>
      <c r="K32" s="910">
        <v>0</v>
      </c>
      <c r="L32" s="906">
        <f t="shared" si="2"/>
        <v>0</v>
      </c>
      <c r="M32" s="1371"/>
      <c r="N32" s="1013"/>
      <c r="O32" s="1016"/>
    </row>
    <row r="33" spans="1:15" ht="18" customHeight="1" thickBot="1" x14ac:dyDescent="0.3">
      <c r="A33" s="1009"/>
      <c r="B33" s="1381" t="s">
        <v>416</v>
      </c>
      <c r="C33" s="1382"/>
      <c r="D33" s="1382"/>
      <c r="E33" s="1382"/>
      <c r="F33" s="1382"/>
      <c r="G33" s="1383"/>
      <c r="H33" s="894">
        <f>SUM(H26:H32)</f>
        <v>0</v>
      </c>
      <c r="I33" s="894">
        <f>SUM(I26:I32)</f>
        <v>0</v>
      </c>
      <c r="J33" s="894">
        <f>SUM(J26:J32)</f>
        <v>0</v>
      </c>
      <c r="K33" s="895">
        <f>SUM(K26:K32)</f>
        <v>0</v>
      </c>
      <c r="L33" s="1013"/>
      <c r="M33" s="895">
        <f>SUM(H33:K33)</f>
        <v>0</v>
      </c>
      <c r="N33" s="1013"/>
      <c r="O33" s="1016"/>
    </row>
    <row r="34" spans="1:15" ht="13.5" thickBot="1" x14ac:dyDescent="0.3">
      <c r="A34" s="1009"/>
      <c r="B34" s="1371"/>
      <c r="C34" s="1371"/>
      <c r="D34" s="1371"/>
      <c r="E34" s="1371"/>
      <c r="F34" s="1371"/>
      <c r="G34" s="1371"/>
      <c r="H34" s="1371"/>
      <c r="I34" s="1371"/>
      <c r="J34" s="1371"/>
      <c r="K34" s="1371"/>
      <c r="L34" s="1371"/>
      <c r="M34" s="1371"/>
      <c r="N34" s="1013"/>
      <c r="O34" s="1016"/>
    </row>
    <row r="35" spans="1:15" x14ac:dyDescent="0.25">
      <c r="A35" s="1009"/>
      <c r="B35" s="896" t="s">
        <v>417</v>
      </c>
      <c r="C35" s="897"/>
      <c r="D35" s="897"/>
      <c r="E35" s="897"/>
      <c r="F35" s="897"/>
      <c r="G35" s="897"/>
      <c r="H35" s="899">
        <v>0</v>
      </c>
      <c r="I35" s="899">
        <v>0</v>
      </c>
      <c r="J35" s="899">
        <v>0</v>
      </c>
      <c r="K35" s="899">
        <v>0</v>
      </c>
      <c r="L35" s="900">
        <f t="shared" ref="L35:L40" si="3">SUM(H35:K35)</f>
        <v>0</v>
      </c>
      <c r="M35" s="1371"/>
      <c r="N35" s="1013"/>
      <c r="O35" s="1016"/>
    </row>
    <row r="36" spans="1:15" x14ac:dyDescent="0.25">
      <c r="A36" s="1009"/>
      <c r="B36" s="901" t="s">
        <v>417</v>
      </c>
      <c r="C36" s="1161"/>
      <c r="D36" s="1161"/>
      <c r="E36" s="1161"/>
      <c r="F36" s="1161"/>
      <c r="G36" s="1161"/>
      <c r="H36" s="910">
        <v>0</v>
      </c>
      <c r="I36" s="910">
        <v>0</v>
      </c>
      <c r="J36" s="910">
        <v>0</v>
      </c>
      <c r="K36" s="910">
        <v>0</v>
      </c>
      <c r="L36" s="903">
        <f t="shared" si="3"/>
        <v>0</v>
      </c>
      <c r="M36" s="1371"/>
      <c r="N36" s="1013"/>
      <c r="O36" s="1016"/>
    </row>
    <row r="37" spans="1:15" x14ac:dyDescent="0.25">
      <c r="A37" s="1009"/>
      <c r="B37" s="901" t="s">
        <v>417</v>
      </c>
      <c r="C37" s="1161"/>
      <c r="D37" s="1161"/>
      <c r="E37" s="1161"/>
      <c r="F37" s="1161"/>
      <c r="G37" s="1161"/>
      <c r="H37" s="910">
        <v>0</v>
      </c>
      <c r="I37" s="910">
        <v>0</v>
      </c>
      <c r="J37" s="910">
        <v>0</v>
      </c>
      <c r="K37" s="910">
        <v>0</v>
      </c>
      <c r="L37" s="903">
        <f t="shared" si="3"/>
        <v>0</v>
      </c>
      <c r="M37" s="1371"/>
      <c r="N37" s="1013"/>
      <c r="O37" s="1016"/>
    </row>
    <row r="38" spans="1:15" x14ac:dyDescent="0.25">
      <c r="A38" s="1009"/>
      <c r="B38" s="901" t="s">
        <v>417</v>
      </c>
      <c r="C38" s="1161"/>
      <c r="D38" s="1161"/>
      <c r="E38" s="1161"/>
      <c r="F38" s="1161"/>
      <c r="G38" s="1161"/>
      <c r="H38" s="910">
        <v>0</v>
      </c>
      <c r="I38" s="910">
        <v>0</v>
      </c>
      <c r="J38" s="910">
        <v>0</v>
      </c>
      <c r="K38" s="910">
        <v>0</v>
      </c>
      <c r="L38" s="903">
        <f t="shared" si="3"/>
        <v>0</v>
      </c>
      <c r="M38" s="1371"/>
      <c r="N38" s="1013"/>
      <c r="O38" s="1016"/>
    </row>
    <row r="39" spans="1:15" x14ac:dyDescent="0.25">
      <c r="A39" s="1009"/>
      <c r="B39" s="901" t="s">
        <v>417</v>
      </c>
      <c r="C39" s="1161"/>
      <c r="D39" s="1161"/>
      <c r="E39" s="1161"/>
      <c r="F39" s="1161"/>
      <c r="G39" s="1161"/>
      <c r="H39" s="910">
        <v>0</v>
      </c>
      <c r="I39" s="910">
        <v>0</v>
      </c>
      <c r="J39" s="910">
        <v>0</v>
      </c>
      <c r="K39" s="910">
        <v>0</v>
      </c>
      <c r="L39" s="903">
        <f t="shared" si="3"/>
        <v>0</v>
      </c>
      <c r="M39" s="1371"/>
      <c r="N39" s="1013"/>
      <c r="O39" s="1016"/>
    </row>
    <row r="40" spans="1:15" ht="13.5" thickBot="1" x14ac:dyDescent="0.3">
      <c r="A40" s="1009"/>
      <c r="B40" s="901" t="s">
        <v>417</v>
      </c>
      <c r="C40" s="891"/>
      <c r="D40" s="891"/>
      <c r="E40" s="891"/>
      <c r="F40" s="891"/>
      <c r="G40" s="891"/>
      <c r="H40" s="910">
        <v>0</v>
      </c>
      <c r="I40" s="910">
        <v>0</v>
      </c>
      <c r="J40" s="910">
        <v>0</v>
      </c>
      <c r="K40" s="910">
        <v>0</v>
      </c>
      <c r="L40" s="906">
        <f t="shared" si="3"/>
        <v>0</v>
      </c>
      <c r="M40" s="1371"/>
      <c r="N40" s="1013"/>
      <c r="O40" s="1016"/>
    </row>
    <row r="41" spans="1:15" ht="18" customHeight="1" thickBot="1" x14ac:dyDescent="0.3">
      <c r="A41" s="1009"/>
      <c r="B41" s="1381" t="s">
        <v>418</v>
      </c>
      <c r="C41" s="1382"/>
      <c r="D41" s="1382"/>
      <c r="E41" s="1382"/>
      <c r="F41" s="1382"/>
      <c r="G41" s="1383"/>
      <c r="H41" s="894">
        <f>SUM(H35:H40)</f>
        <v>0</v>
      </c>
      <c r="I41" s="911">
        <f>SUM(I35:I40)</f>
        <v>0</v>
      </c>
      <c r="J41" s="911">
        <f>SUM(J35:J40)</f>
        <v>0</v>
      </c>
      <c r="K41" s="912">
        <f>SUM(K35:K40)</f>
        <v>0</v>
      </c>
      <c r="L41" s="1013"/>
      <c r="M41" s="895">
        <f>SUM(H41:K41)</f>
        <v>0</v>
      </c>
      <c r="N41" s="1013"/>
      <c r="O41" s="1016"/>
    </row>
    <row r="42" spans="1:15" ht="13.5" thickBot="1" x14ac:dyDescent="0.3">
      <c r="A42" s="1009"/>
      <c r="B42" s="1371"/>
      <c r="C42" s="1371"/>
      <c r="D42" s="1371"/>
      <c r="E42" s="1371"/>
      <c r="F42" s="1371"/>
      <c r="G42" s="1371"/>
      <c r="H42" s="1371"/>
      <c r="I42" s="1371"/>
      <c r="J42" s="1371"/>
      <c r="K42" s="1371"/>
      <c r="L42" s="1371"/>
      <c r="M42" s="1371"/>
      <c r="N42" s="1013"/>
      <c r="O42" s="1016"/>
    </row>
    <row r="43" spans="1:15" x14ac:dyDescent="0.25">
      <c r="A43" s="1009"/>
      <c r="B43" s="896" t="s">
        <v>419</v>
      </c>
      <c r="C43" s="897"/>
      <c r="D43" s="897"/>
      <c r="E43" s="897"/>
      <c r="F43" s="897"/>
      <c r="G43" s="897"/>
      <c r="H43" s="899">
        <v>0</v>
      </c>
      <c r="I43" s="899">
        <v>0</v>
      </c>
      <c r="J43" s="899">
        <v>0</v>
      </c>
      <c r="K43" s="899">
        <v>0</v>
      </c>
      <c r="L43" s="900">
        <f t="shared" ref="L43:L51" si="4">SUM(H43:K43)</f>
        <v>0</v>
      </c>
      <c r="M43" s="1371"/>
      <c r="N43" s="1013"/>
      <c r="O43" s="1016"/>
    </row>
    <row r="44" spans="1:15" x14ac:dyDescent="0.25">
      <c r="A44" s="1009"/>
      <c r="B44" s="901" t="s">
        <v>419</v>
      </c>
      <c r="C44" s="1161"/>
      <c r="D44" s="1161"/>
      <c r="E44" s="1161"/>
      <c r="F44" s="1161"/>
      <c r="G44" s="1161"/>
      <c r="H44" s="910">
        <v>0</v>
      </c>
      <c r="I44" s="910">
        <v>0</v>
      </c>
      <c r="J44" s="910">
        <v>0</v>
      </c>
      <c r="K44" s="910">
        <v>0</v>
      </c>
      <c r="L44" s="903">
        <f t="shared" si="4"/>
        <v>0</v>
      </c>
      <c r="M44" s="1371"/>
      <c r="N44" s="1013"/>
      <c r="O44" s="1016"/>
    </row>
    <row r="45" spans="1:15" x14ac:dyDescent="0.25">
      <c r="A45" s="1009"/>
      <c r="B45" s="901" t="s">
        <v>419</v>
      </c>
      <c r="C45" s="1161"/>
      <c r="D45" s="1161"/>
      <c r="E45" s="1161"/>
      <c r="F45" s="1161"/>
      <c r="G45" s="1161"/>
      <c r="H45" s="910">
        <v>0</v>
      </c>
      <c r="I45" s="910">
        <v>0</v>
      </c>
      <c r="J45" s="910">
        <v>0</v>
      </c>
      <c r="K45" s="910">
        <v>0</v>
      </c>
      <c r="L45" s="903">
        <f t="shared" si="4"/>
        <v>0</v>
      </c>
      <c r="M45" s="1371"/>
      <c r="N45" s="1013"/>
      <c r="O45" s="1016"/>
    </row>
    <row r="46" spans="1:15" x14ac:dyDescent="0.25">
      <c r="A46" s="1009"/>
      <c r="B46" s="901" t="s">
        <v>419</v>
      </c>
      <c r="C46" s="1161"/>
      <c r="D46" s="1161"/>
      <c r="E46" s="1161"/>
      <c r="F46" s="1161"/>
      <c r="G46" s="1161"/>
      <c r="H46" s="910">
        <v>0</v>
      </c>
      <c r="I46" s="910">
        <v>0</v>
      </c>
      <c r="J46" s="910">
        <v>0</v>
      </c>
      <c r="K46" s="910">
        <v>0</v>
      </c>
      <c r="L46" s="903">
        <f t="shared" si="4"/>
        <v>0</v>
      </c>
      <c r="M46" s="1371"/>
      <c r="N46" s="1013"/>
      <c r="O46" s="1016"/>
    </row>
    <row r="47" spans="1:15" x14ac:dyDescent="0.25">
      <c r="A47" s="1009"/>
      <c r="B47" s="901" t="s">
        <v>419</v>
      </c>
      <c r="C47" s="1161"/>
      <c r="D47" s="1161"/>
      <c r="E47" s="1161"/>
      <c r="F47" s="1161"/>
      <c r="G47" s="1161"/>
      <c r="H47" s="910">
        <v>0</v>
      </c>
      <c r="I47" s="910">
        <v>0</v>
      </c>
      <c r="J47" s="910">
        <v>0</v>
      </c>
      <c r="K47" s="910">
        <v>0</v>
      </c>
      <c r="L47" s="903">
        <f t="shared" si="4"/>
        <v>0</v>
      </c>
      <c r="M47" s="1371"/>
      <c r="N47" s="1013"/>
      <c r="O47" s="1016"/>
    </row>
    <row r="48" spans="1:15" x14ac:dyDescent="0.25">
      <c r="A48" s="1009"/>
      <c r="B48" s="901" t="s">
        <v>419</v>
      </c>
      <c r="C48" s="1161"/>
      <c r="D48" s="1161"/>
      <c r="E48" s="1161"/>
      <c r="F48" s="1161"/>
      <c r="G48" s="1161"/>
      <c r="H48" s="910">
        <v>0</v>
      </c>
      <c r="I48" s="910">
        <v>0</v>
      </c>
      <c r="J48" s="910">
        <v>0</v>
      </c>
      <c r="K48" s="910">
        <v>0</v>
      </c>
      <c r="L48" s="903">
        <f t="shared" si="4"/>
        <v>0</v>
      </c>
      <c r="M48" s="1371"/>
      <c r="N48" s="1013"/>
      <c r="O48" s="1016"/>
    </row>
    <row r="49" spans="1:15" x14ac:dyDescent="0.25">
      <c r="A49" s="1009"/>
      <c r="B49" s="901" t="s">
        <v>419</v>
      </c>
      <c r="C49" s="1161"/>
      <c r="D49" s="1161"/>
      <c r="E49" s="1161"/>
      <c r="F49" s="1161"/>
      <c r="G49" s="1161"/>
      <c r="H49" s="892">
        <v>0</v>
      </c>
      <c r="I49" s="887">
        <v>0</v>
      </c>
      <c r="J49" s="887">
        <v>0</v>
      </c>
      <c r="K49" s="910">
        <v>0</v>
      </c>
      <c r="L49" s="903">
        <f t="shared" si="4"/>
        <v>0</v>
      </c>
      <c r="M49" s="1371"/>
      <c r="N49" s="1013"/>
      <c r="O49" s="1016"/>
    </row>
    <row r="50" spans="1:15" x14ac:dyDescent="0.25">
      <c r="A50" s="1009"/>
      <c r="B50" s="901" t="s">
        <v>419</v>
      </c>
      <c r="C50" s="1161"/>
      <c r="D50" s="1161"/>
      <c r="E50" s="1161"/>
      <c r="F50" s="1161"/>
      <c r="G50" s="1161"/>
      <c r="H50" s="889">
        <v>0</v>
      </c>
      <c r="I50" s="889">
        <v>0</v>
      </c>
      <c r="J50" s="889">
        <v>0</v>
      </c>
      <c r="K50" s="902">
        <v>0</v>
      </c>
      <c r="L50" s="903">
        <f t="shared" si="4"/>
        <v>0</v>
      </c>
      <c r="M50" s="1371"/>
      <c r="N50" s="1013"/>
      <c r="O50" s="1016"/>
    </row>
    <row r="51" spans="1:15" ht="13.5" thickBot="1" x14ac:dyDescent="0.3">
      <c r="A51" s="1009"/>
      <c r="B51" s="913" t="s">
        <v>419</v>
      </c>
      <c r="C51" s="904"/>
      <c r="D51" s="904"/>
      <c r="E51" s="904"/>
      <c r="F51" s="904"/>
      <c r="G51" s="904"/>
      <c r="H51" s="914">
        <v>0</v>
      </c>
      <c r="I51" s="914">
        <v>0</v>
      </c>
      <c r="J51" s="914">
        <v>0</v>
      </c>
      <c r="K51" s="915">
        <v>0</v>
      </c>
      <c r="L51" s="906">
        <f t="shared" si="4"/>
        <v>0</v>
      </c>
      <c r="M51" s="1371"/>
      <c r="N51" s="1013"/>
      <c r="O51" s="1016"/>
    </row>
    <row r="52" spans="1:15" ht="20.5" customHeight="1" thickBot="1" x14ac:dyDescent="0.3">
      <c r="A52" s="1009"/>
      <c r="B52" s="1381" t="s">
        <v>420</v>
      </c>
      <c r="C52" s="1382"/>
      <c r="D52" s="1382"/>
      <c r="E52" s="1382"/>
      <c r="F52" s="1382"/>
      <c r="G52" s="1383"/>
      <c r="H52" s="908">
        <f>SUM(H43:H51)</f>
        <v>0</v>
      </c>
      <c r="I52" s="916">
        <f>SUM(I43:I51)</f>
        <v>0</v>
      </c>
      <c r="J52" s="917">
        <f>SUM(J43:J51)</f>
        <v>0</v>
      </c>
      <c r="K52" s="918">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421</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422</v>
      </c>
    </row>
    <row r="57" spans="1:15" ht="25.5" customHeight="1" thickBot="1" x14ac:dyDescent="0.3">
      <c r="A57" s="1011"/>
      <c r="B57" s="1014"/>
      <c r="C57" s="1014"/>
      <c r="D57" s="1014"/>
      <c r="E57" s="1014"/>
      <c r="F57" s="1014"/>
      <c r="G57" s="1014"/>
      <c r="H57" s="1014"/>
      <c r="I57" s="1014"/>
      <c r="J57" s="1014"/>
      <c r="K57" s="1015"/>
      <c r="L57" s="1014"/>
      <c r="M57" s="1014"/>
      <c r="N57" s="1014"/>
      <c r="O57" s="922">
        <f>'Phase 1 Costs'!AD86</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52:G52"/>
    <mergeCell ref="L52:L54"/>
    <mergeCell ref="B54:G54"/>
    <mergeCell ref="M8:M14"/>
    <mergeCell ref="B15:G15"/>
    <mergeCell ref="B33:G33"/>
    <mergeCell ref="B24:G24"/>
    <mergeCell ref="B25:M25"/>
    <mergeCell ref="M26:M32"/>
    <mergeCell ref="B34:M34"/>
    <mergeCell ref="M35:M40"/>
    <mergeCell ref="B41:G41"/>
    <mergeCell ref="B42:M42"/>
    <mergeCell ref="M43:M51"/>
    <mergeCell ref="B16:M16"/>
    <mergeCell ref="B2:C2"/>
    <mergeCell ref="B6:C6"/>
    <mergeCell ref="H6:K6"/>
    <mergeCell ref="M17:M23"/>
    <mergeCell ref="I2:M4"/>
  </mergeCells>
  <pageMargins left="0.7" right="0.7" top="0.75" bottom="0.75" header="0.3" footer="0.3"/>
  <pageSetup scale="99" orientation="landscape" r:id="rId1"/>
  <rowBreaks count="1" manualBreakCount="1">
    <brk id="25" max="16383"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53125" defaultRowHeight="12.5" x14ac:dyDescent="0.25"/>
  <cols>
    <col min="1" max="1" width="18.81640625" style="291" customWidth="1"/>
    <col min="2" max="2" width="42.453125" style="291" customWidth="1"/>
    <col min="3" max="3" width="32.7265625" style="291" bestFit="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424" t="s">
        <v>423</v>
      </c>
      <c r="B1" s="1425"/>
      <c r="C1" s="312" t="s">
        <v>424</v>
      </c>
      <c r="D1" s="1426"/>
      <c r="E1" s="1427"/>
      <c r="F1" s="1427"/>
      <c r="G1" s="1427"/>
      <c r="H1" s="1427"/>
      <c r="I1" s="1427"/>
      <c r="J1" s="1427"/>
      <c r="K1" s="1427"/>
      <c r="L1" s="1427"/>
      <c r="M1" s="1427"/>
      <c r="N1" s="1427"/>
      <c r="O1" s="1427"/>
      <c r="P1" s="1427"/>
      <c r="Q1" s="1427"/>
      <c r="R1" s="1427"/>
      <c r="S1" s="1427"/>
      <c r="T1" s="1427"/>
      <c r="U1" s="1427"/>
      <c r="V1" s="1427"/>
      <c r="W1" s="1427"/>
      <c r="X1" s="1427"/>
      <c r="Y1" s="1427"/>
      <c r="Z1" s="1427"/>
      <c r="AA1" s="1427"/>
      <c r="AB1" s="1427"/>
      <c r="AC1" s="1427"/>
      <c r="AD1" s="1427"/>
      <c r="AE1" s="1427"/>
      <c r="AF1" s="1427"/>
      <c r="AG1" s="1427"/>
      <c r="AH1" s="1427"/>
      <c r="AI1" s="1427"/>
      <c r="AJ1" s="1427"/>
      <c r="AK1" s="1427"/>
      <c r="AL1" s="1427"/>
      <c r="AM1" s="1427"/>
      <c r="AN1" s="1427"/>
      <c r="AO1" s="1427"/>
      <c r="AP1" s="1427"/>
      <c r="AQ1" s="1427"/>
      <c r="AR1" s="1427"/>
      <c r="AS1" s="1427"/>
      <c r="AT1" s="1427"/>
      <c r="AU1" s="1427"/>
      <c r="AV1" s="1427"/>
      <c r="AW1" s="1427"/>
      <c r="AX1" s="1427"/>
      <c r="AY1" s="1427"/>
      <c r="AZ1" s="1427"/>
      <c r="BA1" s="1427"/>
      <c r="BB1" s="1427"/>
    </row>
    <row r="2" spans="1:54" ht="13" x14ac:dyDescent="0.25">
      <c r="A2" s="311" t="s">
        <v>318</v>
      </c>
      <c r="B2" s="1428" t="str">
        <f>General!D4</f>
        <v>Name</v>
      </c>
      <c r="C2" s="1429"/>
      <c r="D2" s="1426"/>
      <c r="E2" s="1427"/>
      <c r="F2" s="1427"/>
      <c r="G2" s="1427"/>
      <c r="H2" s="1427"/>
      <c r="I2" s="1427"/>
      <c r="J2" s="1427"/>
      <c r="K2" s="1427"/>
      <c r="L2" s="1427"/>
      <c r="M2" s="1427"/>
      <c r="N2" s="1427"/>
      <c r="O2" s="1427"/>
      <c r="P2" s="1427"/>
      <c r="Q2" s="1427"/>
      <c r="R2" s="1427"/>
      <c r="S2" s="1427"/>
      <c r="T2" s="1427"/>
      <c r="U2" s="1427"/>
      <c r="V2" s="1427"/>
      <c r="W2" s="1427"/>
      <c r="X2" s="1427"/>
      <c r="Y2" s="1427"/>
      <c r="Z2" s="1427"/>
      <c r="AA2" s="1427"/>
      <c r="AB2" s="1427"/>
      <c r="AC2" s="1427"/>
      <c r="AD2" s="1427"/>
      <c r="AE2" s="1427"/>
      <c r="AF2" s="1427"/>
      <c r="AG2" s="1427"/>
      <c r="AH2" s="1427"/>
      <c r="AI2" s="1427"/>
      <c r="AJ2" s="1427"/>
      <c r="AK2" s="1427"/>
      <c r="AL2" s="1427"/>
      <c r="AM2" s="1427"/>
      <c r="AN2" s="1427"/>
      <c r="AO2" s="1427"/>
      <c r="AP2" s="1427"/>
      <c r="AQ2" s="1427"/>
      <c r="AR2" s="1427"/>
      <c r="AS2" s="1427"/>
      <c r="AT2" s="1427"/>
      <c r="AU2" s="1427"/>
      <c r="AV2" s="1427"/>
      <c r="AW2" s="1427"/>
      <c r="AX2" s="1427"/>
      <c r="AY2" s="1427"/>
      <c r="AZ2" s="1427"/>
      <c r="BA2" s="1427"/>
      <c r="BB2" s="1427"/>
    </row>
    <row r="3" spans="1:54" ht="13" x14ac:dyDescent="0.25">
      <c r="A3" s="311" t="s">
        <v>319</v>
      </c>
      <c r="B3" s="1428" t="str">
        <f>General!D5</f>
        <v>Name</v>
      </c>
      <c r="C3" s="1429"/>
      <c r="D3" s="1426"/>
      <c r="E3" s="1427"/>
      <c r="F3" s="1427"/>
      <c r="G3" s="1427"/>
      <c r="H3" s="1427"/>
      <c r="I3" s="1427"/>
      <c r="J3" s="1427"/>
      <c r="K3" s="1427"/>
      <c r="L3" s="1427"/>
      <c r="M3" s="1427"/>
      <c r="N3" s="1427"/>
      <c r="O3" s="1427"/>
      <c r="P3" s="1427"/>
      <c r="Q3" s="1427"/>
      <c r="R3" s="1427"/>
      <c r="S3" s="1427"/>
      <c r="T3" s="1427"/>
      <c r="U3" s="1427"/>
      <c r="V3" s="1427"/>
      <c r="W3" s="1427"/>
      <c r="X3" s="1427"/>
      <c r="Y3" s="1427"/>
      <c r="Z3" s="1427"/>
      <c r="AA3" s="1427"/>
      <c r="AB3" s="1427"/>
      <c r="AC3" s="1427"/>
      <c r="AD3" s="1427"/>
      <c r="AE3" s="1427"/>
      <c r="AF3" s="1427"/>
      <c r="AG3" s="1427"/>
      <c r="AH3" s="1427"/>
      <c r="AI3" s="1427"/>
      <c r="AJ3" s="1427"/>
      <c r="AK3" s="1427"/>
      <c r="AL3" s="1427"/>
      <c r="AM3" s="1427"/>
      <c r="AN3" s="1427"/>
      <c r="AO3" s="1427"/>
      <c r="AP3" s="1427"/>
      <c r="AQ3" s="1427"/>
      <c r="AR3" s="1427"/>
      <c r="AS3" s="1427"/>
      <c r="AT3" s="1427"/>
      <c r="AU3" s="1427"/>
      <c r="AV3" s="1427"/>
      <c r="AW3" s="1427"/>
      <c r="AX3" s="1427"/>
      <c r="AY3" s="1427"/>
      <c r="AZ3" s="1427"/>
      <c r="BA3" s="1427"/>
      <c r="BB3" s="1427"/>
    </row>
    <row r="4" spans="1:54" ht="13.5" customHeight="1" thickBot="1" x14ac:dyDescent="0.3">
      <c r="A4" s="1430"/>
      <c r="B4" s="1430"/>
      <c r="C4" s="1430"/>
      <c r="D4" s="1431" t="s">
        <v>425</v>
      </c>
      <c r="E4" s="1431"/>
      <c r="F4" s="1431"/>
      <c r="G4" s="1431"/>
      <c r="H4" s="1431"/>
      <c r="I4" s="1431"/>
      <c r="J4" s="1431"/>
      <c r="K4" s="1432"/>
      <c r="L4" s="1433" t="s">
        <v>425</v>
      </c>
      <c r="M4" s="1434"/>
      <c r="N4" s="1434"/>
      <c r="O4" s="1434"/>
      <c r="P4" s="1434"/>
      <c r="Q4" s="1434"/>
      <c r="R4" s="1434"/>
      <c r="S4" s="1435"/>
      <c r="T4" s="1436" t="s">
        <v>425</v>
      </c>
      <c r="U4" s="1437"/>
      <c r="V4" s="1437"/>
      <c r="W4" s="1437"/>
      <c r="X4" s="1437"/>
      <c r="Y4" s="1437"/>
      <c r="Z4" s="1437"/>
      <c r="AA4" s="1438"/>
      <c r="AB4" s="1439" t="s">
        <v>425</v>
      </c>
      <c r="AC4" s="1440"/>
      <c r="AD4" s="1440"/>
      <c r="AE4" s="1440"/>
      <c r="AF4" s="1440"/>
      <c r="AG4" s="1440"/>
      <c r="AH4" s="1440"/>
      <c r="AI4" s="1441"/>
      <c r="AJ4" s="1433" t="s">
        <v>425</v>
      </c>
      <c r="AK4" s="1434"/>
      <c r="AL4" s="1434"/>
      <c r="AM4" s="1434"/>
      <c r="AN4" s="1434"/>
      <c r="AO4" s="1434"/>
      <c r="AP4" s="1434"/>
      <c r="AQ4" s="1435"/>
      <c r="AR4" s="1442" t="s">
        <v>425</v>
      </c>
      <c r="AS4" s="1431"/>
      <c r="AT4" s="1431"/>
      <c r="AU4" s="1431"/>
      <c r="AV4" s="1431"/>
      <c r="AW4" s="1431"/>
      <c r="AX4" s="1431"/>
      <c r="AY4" s="1443"/>
      <c r="AZ4" s="1444"/>
      <c r="BA4" s="1445"/>
      <c r="BB4" s="1445"/>
    </row>
    <row r="5" spans="1:54" x14ac:dyDescent="0.25">
      <c r="A5" s="1430"/>
      <c r="B5" s="1430"/>
      <c r="C5" s="1430"/>
      <c r="D5" s="1446" t="str">
        <f>Period1_Label</f>
        <v>FY 1</v>
      </c>
      <c r="E5" s="1447"/>
      <c r="F5" s="1447"/>
      <c r="G5" s="1447"/>
      <c r="H5" s="1447"/>
      <c r="I5" s="1447"/>
      <c r="J5" s="1447"/>
      <c r="K5" s="1448"/>
      <c r="L5" s="1449" t="str">
        <f>Period2_Label</f>
        <v>FY 2</v>
      </c>
      <c r="M5" s="1414"/>
      <c r="N5" s="1414"/>
      <c r="O5" s="1414"/>
      <c r="P5" s="1414"/>
      <c r="Q5" s="1414"/>
      <c r="R5" s="1414"/>
      <c r="S5" s="1450"/>
      <c r="T5" s="1451" t="str">
        <f>Period3_Label</f>
        <v>FY 3</v>
      </c>
      <c r="U5" s="1452"/>
      <c r="V5" s="1452"/>
      <c r="W5" s="1452"/>
      <c r="X5" s="1452"/>
      <c r="Y5" s="1452"/>
      <c r="Z5" s="1452"/>
      <c r="AA5" s="1453"/>
      <c r="AB5" s="1449" t="str">
        <f>Period4_Label</f>
        <v>FY 4</v>
      </c>
      <c r="AC5" s="1414"/>
      <c r="AD5" s="1414"/>
      <c r="AE5" s="1414"/>
      <c r="AF5" s="1414"/>
      <c r="AG5" s="1414"/>
      <c r="AH5" s="1414"/>
      <c r="AI5" s="1450"/>
      <c r="AJ5" s="1451" t="str">
        <f>Period5_Label</f>
        <v>FY 5</v>
      </c>
      <c r="AK5" s="1452"/>
      <c r="AL5" s="1452"/>
      <c r="AM5" s="1452"/>
      <c r="AN5" s="1452"/>
      <c r="AO5" s="1452"/>
      <c r="AP5" s="1452"/>
      <c r="AQ5" s="1454"/>
      <c r="AR5" s="1413" t="str">
        <f>Period6_Label</f>
        <v>FY 6</v>
      </c>
      <c r="AS5" s="1414"/>
      <c r="AT5" s="1414"/>
      <c r="AU5" s="1414"/>
      <c r="AV5" s="1414"/>
      <c r="AW5" s="1414"/>
      <c r="AX5" s="1414"/>
      <c r="AY5" s="1415"/>
      <c r="AZ5" s="1416" t="s">
        <v>343</v>
      </c>
      <c r="BA5" s="1417"/>
      <c r="BB5" s="1418"/>
    </row>
    <row r="6" spans="1:54" x14ac:dyDescent="0.25">
      <c r="A6" s="1419" t="s">
        <v>426</v>
      </c>
      <c r="B6" s="1419"/>
      <c r="C6" s="1419"/>
      <c r="D6" s="1420"/>
      <c r="E6" s="1420"/>
      <c r="F6" s="1421"/>
      <c r="G6" s="1389" t="str">
        <f>CONCATENATE(TEXT('Proposer Constants'!C14,"MM/DD/YY")," to ",TEXT('Proposer Constants'!C15,"MM/DD/YY"))</f>
        <v>06/01/25 to 05/31/26</v>
      </c>
      <c r="H6" s="1390"/>
      <c r="I6" s="1389"/>
      <c r="J6" s="1422"/>
      <c r="K6" s="1423"/>
      <c r="L6" s="322"/>
      <c r="M6" s="323"/>
      <c r="N6" s="324"/>
      <c r="O6" s="1391" t="str">
        <f>CONCATENATE(TEXT('Proposer Constants'!D14,"MM/DD/YY")," to ",TEXT('Proposer Constants'!D15,"MM/DD/YY"))</f>
        <v>06/01/26 to 05/31/27</v>
      </c>
      <c r="P6" s="1392"/>
      <c r="Q6" s="324"/>
      <c r="R6" s="324"/>
      <c r="S6" s="325"/>
      <c r="T6" s="319"/>
      <c r="U6" s="320"/>
      <c r="V6" s="316"/>
      <c r="W6" s="320" t="str">
        <f>CONCATENATE(TEXT('Proposer Constants'!E14,"MM/DD/YY")," to ",TEXT('Proposer Constants'!E15,"MM/DD/YY"))</f>
        <v>06/01/27 to 05/31/28</v>
      </c>
      <c r="X6" s="316"/>
      <c r="Y6" s="316"/>
      <c r="Z6" s="316"/>
      <c r="AA6" s="317"/>
      <c r="AB6" s="322"/>
      <c r="AC6" s="322"/>
      <c r="AD6" s="322"/>
      <c r="AE6" s="1391" t="str">
        <f>CONCATENATE(TEXT('Proposer Constants'!F14,"MM/DD/YY")," to ",TEXT('Proposer Constants'!F15,"MM/DD/YY"))</f>
        <v>06/01/28 to 05/31/29</v>
      </c>
      <c r="AF6" s="1392"/>
      <c r="AG6" s="322"/>
      <c r="AH6" s="324"/>
      <c r="AI6" s="325"/>
      <c r="AJ6" s="319"/>
      <c r="AK6" s="319"/>
      <c r="AL6" s="319"/>
      <c r="AM6" s="1384" t="str">
        <f>CONCATENATE(TEXT('Proposer Constants'!G14,"MM/DD/YY")," to ",TEXT('Proposer Constants'!G15,"MM/DD/YY"))</f>
        <v>06/01/29 to 05/31/30</v>
      </c>
      <c r="AN6" s="1385"/>
      <c r="AO6" s="319"/>
      <c r="AP6" s="316"/>
      <c r="AQ6" s="321"/>
      <c r="AR6" s="326"/>
      <c r="AS6" s="322"/>
      <c r="AT6" s="322"/>
      <c r="AU6" s="1391" t="str">
        <f>CONCATENATE(TEXT('Proposer Constants'!H14,"MM/DD/YY")," to ",TEXT('Proposer Constants'!H15,"MM/DD/YY"))</f>
        <v>06/01/30 to 05/31/31</v>
      </c>
      <c r="AV6" s="1392"/>
      <c r="AW6" s="322"/>
      <c r="AX6" s="324"/>
      <c r="AY6" s="327"/>
      <c r="AZ6" s="515" t="s">
        <v>427</v>
      </c>
      <c r="BA6" s="1386" t="s">
        <v>428</v>
      </c>
      <c r="BB6" s="1387"/>
    </row>
    <row r="7" spans="1:54" s="299" customFormat="1" ht="34.5" x14ac:dyDescent="0.25">
      <c r="A7" s="489"/>
      <c r="B7" s="376" t="s">
        <v>429</v>
      </c>
      <c r="C7" s="376" t="s">
        <v>430</v>
      </c>
      <c r="D7" s="373" t="s">
        <v>325</v>
      </c>
      <c r="E7" s="376" t="s">
        <v>326</v>
      </c>
      <c r="F7" s="377" t="s">
        <v>431</v>
      </c>
      <c r="G7" s="378" t="s">
        <v>432</v>
      </c>
      <c r="H7" s="378" t="s">
        <v>433</v>
      </c>
      <c r="I7" s="379" t="s">
        <v>434</v>
      </c>
      <c r="J7" s="379" t="s">
        <v>435</v>
      </c>
      <c r="K7" s="376" t="s">
        <v>327</v>
      </c>
      <c r="L7" s="373" t="s">
        <v>325</v>
      </c>
      <c r="M7" s="376" t="s">
        <v>326</v>
      </c>
      <c r="N7" s="377" t="s">
        <v>431</v>
      </c>
      <c r="O7" s="378" t="s">
        <v>432</v>
      </c>
      <c r="P7" s="378" t="s">
        <v>433</v>
      </c>
      <c r="Q7" s="379" t="s">
        <v>434</v>
      </c>
      <c r="R7" s="379" t="s">
        <v>435</v>
      </c>
      <c r="S7" s="372" t="s">
        <v>327</v>
      </c>
      <c r="T7" s="373" t="s">
        <v>325</v>
      </c>
      <c r="U7" s="376" t="s">
        <v>326</v>
      </c>
      <c r="V7" s="377" t="s">
        <v>431</v>
      </c>
      <c r="W7" s="378" t="s">
        <v>432</v>
      </c>
      <c r="X7" s="378" t="s">
        <v>433</v>
      </c>
      <c r="Y7" s="379" t="s">
        <v>434</v>
      </c>
      <c r="Z7" s="379" t="s">
        <v>435</v>
      </c>
      <c r="AA7" s="372" t="s">
        <v>327</v>
      </c>
      <c r="AB7" s="373" t="s">
        <v>325</v>
      </c>
      <c r="AC7" s="376" t="s">
        <v>326</v>
      </c>
      <c r="AD7" s="377" t="s">
        <v>431</v>
      </c>
      <c r="AE7" s="378" t="s">
        <v>432</v>
      </c>
      <c r="AF7" s="378" t="s">
        <v>433</v>
      </c>
      <c r="AG7" s="379" t="s">
        <v>434</v>
      </c>
      <c r="AH7" s="379" t="s">
        <v>435</v>
      </c>
      <c r="AI7" s="372" t="s">
        <v>327</v>
      </c>
      <c r="AJ7" s="373" t="s">
        <v>325</v>
      </c>
      <c r="AK7" s="376" t="s">
        <v>326</v>
      </c>
      <c r="AL7" s="377" t="s">
        <v>431</v>
      </c>
      <c r="AM7" s="378" t="s">
        <v>432</v>
      </c>
      <c r="AN7" s="378" t="s">
        <v>433</v>
      </c>
      <c r="AO7" s="379" t="s">
        <v>434</v>
      </c>
      <c r="AP7" s="379" t="s">
        <v>435</v>
      </c>
      <c r="AQ7" s="372" t="s">
        <v>327</v>
      </c>
      <c r="AR7" s="374" t="s">
        <v>325</v>
      </c>
      <c r="AS7" s="376" t="s">
        <v>326</v>
      </c>
      <c r="AT7" s="377" t="s">
        <v>431</v>
      </c>
      <c r="AU7" s="378" t="s">
        <v>432</v>
      </c>
      <c r="AV7" s="378" t="s">
        <v>433</v>
      </c>
      <c r="AW7" s="379" t="s">
        <v>434</v>
      </c>
      <c r="AX7" s="379" t="s">
        <v>435</v>
      </c>
      <c r="AY7" s="372" t="s">
        <v>327</v>
      </c>
      <c r="AZ7" s="516" t="s">
        <v>325</v>
      </c>
      <c r="BA7" s="517" t="s">
        <v>327</v>
      </c>
      <c r="BB7" s="518" t="s">
        <v>436</v>
      </c>
    </row>
    <row r="8" spans="1:54" x14ac:dyDescent="0.25">
      <c r="A8" s="490" t="s">
        <v>437</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x14ac:dyDescent="0.25">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x14ac:dyDescent="0.25">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x14ac:dyDescent="0.25">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x14ac:dyDescent="0.25">
      <c r="A16" s="490" t="s">
        <v>438</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x14ac:dyDescent="0.25">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x14ac:dyDescent="0.25">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x14ac:dyDescent="0.25">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x14ac:dyDescent="0.25">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x14ac:dyDescent="0.25">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x14ac:dyDescent="0.25">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x14ac:dyDescent="0.25">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x14ac:dyDescent="0.25">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x14ac:dyDescent="0.25">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x14ac:dyDescent="0.25">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x14ac:dyDescent="0.25">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x14ac:dyDescent="0.25">
      <c r="A28" s="490" t="s">
        <v>439</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x14ac:dyDescent="0.25">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x14ac:dyDescent="0.25">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x14ac:dyDescent="0.25">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x14ac:dyDescent="0.25">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x14ac:dyDescent="0.25">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x14ac:dyDescent="0.25">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x14ac:dyDescent="0.25">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x14ac:dyDescent="0.25">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x14ac:dyDescent="0.25">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x14ac:dyDescent="0.25">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x14ac:dyDescent="0.25">
      <c r="A39" s="1393" t="s">
        <v>440</v>
      </c>
      <c r="B39" s="1393"/>
      <c r="C39" s="1393"/>
      <c r="D39" s="371">
        <f>SUM(D8:D38)</f>
        <v>46080</v>
      </c>
      <c r="E39" s="507"/>
      <c r="F39" s="345" t="e">
        <f>SUM(F8:F38)</f>
        <v>#REF!</v>
      </c>
      <c r="G39" s="1394"/>
      <c r="H39" s="1395"/>
      <c r="I39" s="1395"/>
      <c r="J39" s="1395"/>
      <c r="K39" s="477"/>
      <c r="L39" s="371">
        <f>SUM(L8:L38)</f>
        <v>46080</v>
      </c>
      <c r="M39" s="344"/>
      <c r="N39" s="345" t="e">
        <f>SUM(N8:N38)</f>
        <v>#REF!</v>
      </c>
      <c r="O39" s="1396"/>
      <c r="P39" s="1397"/>
      <c r="Q39" s="1397"/>
      <c r="R39" s="1398"/>
      <c r="S39" s="334"/>
      <c r="T39" s="371">
        <f>SUM(T8:T38)</f>
        <v>36480</v>
      </c>
      <c r="U39" s="344"/>
      <c r="V39" s="345" t="e">
        <f>SUM(V8:V38)</f>
        <v>#REF!</v>
      </c>
      <c r="W39" s="1396"/>
      <c r="X39" s="1397"/>
      <c r="Y39" s="1397"/>
      <c r="Z39" s="1398"/>
      <c r="AA39" s="334"/>
      <c r="AB39" s="371">
        <f>SUM(AB8:AB38)</f>
        <v>36480</v>
      </c>
      <c r="AC39" s="343"/>
      <c r="AD39" s="345" t="e">
        <f>SUM(AD8:AD38)</f>
        <v>#REF!</v>
      </c>
      <c r="AE39" s="1399"/>
      <c r="AF39" s="1400"/>
      <c r="AG39" s="1400"/>
      <c r="AH39" s="1401"/>
      <c r="AI39" s="334"/>
      <c r="AJ39" s="371">
        <f>SUM(AJ8:AJ38)</f>
        <v>36480</v>
      </c>
      <c r="AK39" s="343"/>
      <c r="AL39" s="333" t="e">
        <f>SUM(AL8:AL38)</f>
        <v>#REF!</v>
      </c>
      <c r="AM39" s="1399"/>
      <c r="AN39" s="1400"/>
      <c r="AO39" s="1400"/>
      <c r="AP39" s="1401"/>
      <c r="AQ39" s="334"/>
      <c r="AR39" s="370">
        <f>SUM(AR8:AR38)</f>
        <v>36480</v>
      </c>
      <c r="AS39" s="343"/>
      <c r="AT39" s="345" t="e">
        <f>SUM(AT8:AT38)</f>
        <v>#REF!</v>
      </c>
      <c r="AU39" s="1399"/>
      <c r="AV39" s="1400"/>
      <c r="AW39" s="1400"/>
      <c r="AX39" s="1401"/>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5" customHeight="1" x14ac:dyDescent="0.25">
      <c r="A40" s="1402" t="s">
        <v>441</v>
      </c>
      <c r="B40" s="1402"/>
      <c r="C40" s="1402"/>
      <c r="D40" s="1455"/>
      <c r="E40" s="1455"/>
      <c r="F40" s="1455"/>
      <c r="G40" s="1456"/>
      <c r="H40" s="348" t="e">
        <f>SUM(H8:H38)</f>
        <v>#REF!</v>
      </c>
      <c r="I40" s="1410"/>
      <c r="J40" s="1411"/>
      <c r="K40" s="477" t="e">
        <f>H40</f>
        <v>#REF!</v>
      </c>
      <c r="L40" s="1404"/>
      <c r="M40" s="1404"/>
      <c r="N40" s="1404"/>
      <c r="O40" s="1405"/>
      <c r="P40" s="347" t="e">
        <f>SUM(P8:P38)</f>
        <v>#REF!</v>
      </c>
      <c r="Q40" s="1406"/>
      <c r="R40" s="1407"/>
      <c r="S40" s="302" t="e">
        <f>P40</f>
        <v>#REF!</v>
      </c>
      <c r="T40" s="1403"/>
      <c r="U40" s="1404"/>
      <c r="V40" s="1404"/>
      <c r="W40" s="1405"/>
      <c r="X40" s="347" t="e">
        <f>SUM(X8:X38)</f>
        <v>#REF!</v>
      </c>
      <c r="Y40" s="1406"/>
      <c r="Z40" s="1407"/>
      <c r="AA40" s="302" t="e">
        <f>X40</f>
        <v>#REF!</v>
      </c>
      <c r="AB40" s="1403"/>
      <c r="AC40" s="1404"/>
      <c r="AD40" s="1404"/>
      <c r="AE40" s="1405"/>
      <c r="AF40" s="347" t="e">
        <f>SUM(AF8:AF38)</f>
        <v>#REF!</v>
      </c>
      <c r="AG40" s="1406"/>
      <c r="AH40" s="1407"/>
      <c r="AI40" s="302" t="e">
        <f>AF40</f>
        <v>#REF!</v>
      </c>
      <c r="AJ40" s="1403"/>
      <c r="AK40" s="1404"/>
      <c r="AL40" s="1404"/>
      <c r="AM40" s="1405"/>
      <c r="AN40" s="347" t="e">
        <f>SUM(AN8:AN38)</f>
        <v>#REF!</v>
      </c>
      <c r="AO40" s="1406"/>
      <c r="AP40" s="1407"/>
      <c r="AQ40" s="302" t="e">
        <f>AN40</f>
        <v>#REF!</v>
      </c>
      <c r="AR40" s="1403"/>
      <c r="AS40" s="1404"/>
      <c r="AT40" s="1404"/>
      <c r="AU40" s="1405"/>
      <c r="AV40" s="347" t="e">
        <f>SUM(AV8:AV38)</f>
        <v>#REF!</v>
      </c>
      <c r="AW40" s="1406"/>
      <c r="AX40" s="1407"/>
      <c r="AY40" s="406" t="e">
        <f>AV40</f>
        <v>#REF!</v>
      </c>
      <c r="AZ40" s="1408"/>
      <c r="BA40" s="431" t="e">
        <f>K40+S40+AA40+AI40+AQ40+AY40</f>
        <v>#REF!</v>
      </c>
    </row>
    <row r="41" spans="1:538" s="384" customFormat="1" ht="12.65" customHeight="1" x14ac:dyDescent="0.25">
      <c r="A41" s="382"/>
      <c r="B41" s="296" t="s">
        <v>442</v>
      </c>
      <c r="C41" s="487"/>
      <c r="D41" s="314" t="e">
        <f>F39</f>
        <v>#REF!</v>
      </c>
      <c r="E41" s="356">
        <v>0</v>
      </c>
      <c r="F41" s="1410"/>
      <c r="G41" s="1411"/>
      <c r="H41" s="1411"/>
      <c r="I41" s="1411"/>
      <c r="J41" s="1411"/>
      <c r="K41" s="495" t="e">
        <f>D41*E41</f>
        <v>#REF!</v>
      </c>
      <c r="L41" s="314" t="e">
        <f>N39</f>
        <v>#REF!</v>
      </c>
      <c r="M41" s="356">
        <v>0</v>
      </c>
      <c r="N41" s="1406"/>
      <c r="O41" s="1412"/>
      <c r="P41" s="1412"/>
      <c r="Q41" s="1412"/>
      <c r="R41" s="1407"/>
      <c r="S41" s="315" t="e">
        <f>L41*M41</f>
        <v>#REF!</v>
      </c>
      <c r="T41" s="314" t="e">
        <f>V39</f>
        <v>#REF!</v>
      </c>
      <c r="U41" s="356">
        <v>0</v>
      </c>
      <c r="V41" s="1406"/>
      <c r="W41" s="1412"/>
      <c r="X41" s="1412"/>
      <c r="Y41" s="1412"/>
      <c r="Z41" s="1407"/>
      <c r="AA41" s="315" t="e">
        <f>T41*U41</f>
        <v>#REF!</v>
      </c>
      <c r="AB41" s="314" t="e">
        <f>AD39</f>
        <v>#REF!</v>
      </c>
      <c r="AC41" s="356">
        <v>0</v>
      </c>
      <c r="AD41" s="1406"/>
      <c r="AE41" s="1412"/>
      <c r="AF41" s="1412"/>
      <c r="AG41" s="1412"/>
      <c r="AH41" s="1407"/>
      <c r="AI41" s="302" t="e">
        <f>AB41*AC41</f>
        <v>#REF!</v>
      </c>
      <c r="AJ41" s="314" t="e">
        <f>AL39</f>
        <v>#REF!</v>
      </c>
      <c r="AK41" s="313">
        <v>0</v>
      </c>
      <c r="AL41" s="1406"/>
      <c r="AM41" s="1412"/>
      <c r="AN41" s="1412"/>
      <c r="AO41" s="1412"/>
      <c r="AP41" s="1407"/>
      <c r="AQ41" s="315" t="e">
        <f>AJ41*AK41</f>
        <v>#REF!</v>
      </c>
      <c r="AR41" s="314" t="e">
        <f>AT39</f>
        <v>#REF!</v>
      </c>
      <c r="AS41" s="313">
        <v>0</v>
      </c>
      <c r="AT41" s="1406"/>
      <c r="AU41" s="1412"/>
      <c r="AV41" s="1412"/>
      <c r="AW41" s="1412"/>
      <c r="AX41" s="1407"/>
      <c r="AY41" s="406" t="e">
        <f>AR41*AS41</f>
        <v>#REF!</v>
      </c>
      <c r="AZ41" s="1409"/>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x14ac:dyDescent="0.25">
      <c r="A42" s="1460" t="s">
        <v>246</v>
      </c>
      <c r="B42" s="1460"/>
      <c r="C42" s="1460"/>
      <c r="D42" s="1461"/>
      <c r="E42" s="1461"/>
      <c r="F42" s="1461"/>
      <c r="G42" s="1461"/>
      <c r="H42" s="1461"/>
      <c r="I42" s="1461"/>
      <c r="J42" s="1461"/>
      <c r="K42" s="496" t="e">
        <f>SUM(K40:K41)</f>
        <v>#REF!</v>
      </c>
      <c r="L42" s="1461"/>
      <c r="M42" s="1461"/>
      <c r="N42" s="1461"/>
      <c r="O42" s="1461"/>
      <c r="P42" s="1461"/>
      <c r="Q42" s="1461"/>
      <c r="R42" s="1462"/>
      <c r="S42" s="346" t="e">
        <f>SUM(S40:S41)</f>
        <v>#REF!</v>
      </c>
      <c r="T42" s="1463"/>
      <c r="U42" s="1461"/>
      <c r="V42" s="1461"/>
      <c r="W42" s="1461"/>
      <c r="X42" s="1461"/>
      <c r="Y42" s="1461"/>
      <c r="Z42" s="1462"/>
      <c r="AA42" s="346" t="e">
        <f>SUM(AA40:AA41)</f>
        <v>#REF!</v>
      </c>
      <c r="AB42" s="1463"/>
      <c r="AC42" s="1461"/>
      <c r="AD42" s="1461"/>
      <c r="AE42" s="1461"/>
      <c r="AF42" s="1461"/>
      <c r="AG42" s="1461"/>
      <c r="AH42" s="1462"/>
      <c r="AI42" s="346" t="e">
        <f>SUM(AI40:AI41)</f>
        <v>#REF!</v>
      </c>
      <c r="AJ42" s="1463"/>
      <c r="AK42" s="1461"/>
      <c r="AL42" s="1461"/>
      <c r="AM42" s="1461"/>
      <c r="AN42" s="1461"/>
      <c r="AO42" s="1461"/>
      <c r="AP42" s="1462"/>
      <c r="AQ42" s="346" t="e">
        <f>SUM(AQ40:AQ41)</f>
        <v>#REF!</v>
      </c>
      <c r="AR42" s="1463"/>
      <c r="AS42" s="1461"/>
      <c r="AT42" s="1461"/>
      <c r="AU42" s="1461"/>
      <c r="AV42" s="1461"/>
      <c r="AW42" s="1461"/>
      <c r="AX42" s="1462"/>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5" customHeight="1" x14ac:dyDescent="0.25">
      <c r="A43" s="1457" t="s">
        <v>443</v>
      </c>
      <c r="B43" s="1457"/>
      <c r="C43" s="1457"/>
      <c r="D43" s="1458"/>
      <c r="E43" s="1458"/>
      <c r="F43" s="1458"/>
      <c r="G43" s="1458"/>
      <c r="H43" s="1458"/>
      <c r="I43" s="1459"/>
      <c r="J43" s="349" t="e">
        <f>SUM(J8:J38)</f>
        <v>#REF!</v>
      </c>
      <c r="K43" s="477" t="e">
        <f>J43</f>
        <v>#REF!</v>
      </c>
      <c r="L43" s="1404"/>
      <c r="M43" s="1404"/>
      <c r="N43" s="1404"/>
      <c r="O43" s="1404"/>
      <c r="P43" s="1404"/>
      <c r="Q43" s="1405"/>
      <c r="R43" s="333" t="e">
        <f>SUM(R8:R38)</f>
        <v>#REF!</v>
      </c>
      <c r="S43" s="302" t="e">
        <f>R43</f>
        <v>#REF!</v>
      </c>
      <c r="T43" s="1403"/>
      <c r="U43" s="1404"/>
      <c r="V43" s="1404"/>
      <c r="W43" s="1404"/>
      <c r="X43" s="1404"/>
      <c r="Y43" s="1405"/>
      <c r="Z43" s="333" t="e">
        <f>SUM(Z8:Z38)</f>
        <v>#REF!</v>
      </c>
      <c r="AA43" s="302" t="e">
        <f>Z43</f>
        <v>#REF!</v>
      </c>
      <c r="AB43" s="1403"/>
      <c r="AC43" s="1404"/>
      <c r="AD43" s="1404"/>
      <c r="AE43" s="1404"/>
      <c r="AF43" s="1404"/>
      <c r="AG43" s="1405"/>
      <c r="AH43" s="333" t="e">
        <f>SUM(AH8:AH38)</f>
        <v>#REF!</v>
      </c>
      <c r="AI43" s="302" t="e">
        <f>AH43</f>
        <v>#REF!</v>
      </c>
      <c r="AJ43" s="1403"/>
      <c r="AK43" s="1404"/>
      <c r="AL43" s="1404"/>
      <c r="AM43" s="1404"/>
      <c r="AN43" s="1404"/>
      <c r="AO43" s="1405"/>
      <c r="AP43" s="333" t="e">
        <f>SUM(AP8:AP38)</f>
        <v>#REF!</v>
      </c>
      <c r="AQ43" s="302" t="e">
        <f>AP43</f>
        <v>#REF!</v>
      </c>
      <c r="AR43" s="1403"/>
      <c r="AS43" s="1404"/>
      <c r="AT43" s="1404"/>
      <c r="AU43" s="1404"/>
      <c r="AV43" s="1404"/>
      <c r="AW43" s="1405"/>
      <c r="AX43" s="333" t="e">
        <f>SUM(AX8:AX38)</f>
        <v>#REF!</v>
      </c>
      <c r="AY43" s="406" t="e">
        <f>AX43</f>
        <v>#REF!</v>
      </c>
      <c r="AZ43" s="1408"/>
      <c r="BA43" s="431" t="e">
        <f>K43+S43+AA43+AI43+AQ43+AY43</f>
        <v>#REF!</v>
      </c>
    </row>
    <row r="44" spans="1:538" ht="12.65" customHeight="1" x14ac:dyDescent="0.25">
      <c r="A44" s="335"/>
      <c r="B44" s="296" t="s">
        <v>444</v>
      </c>
      <c r="C44" s="488"/>
      <c r="D44" s="427" t="e">
        <f>F39+K42</f>
        <v>#REF!</v>
      </c>
      <c r="E44" s="356">
        <v>0</v>
      </c>
      <c r="F44" s="1464"/>
      <c r="G44" s="1465"/>
      <c r="H44" s="1465"/>
      <c r="I44" s="1465"/>
      <c r="J44" s="1465"/>
      <c r="K44" s="495" t="e">
        <f>D44*E44</f>
        <v>#REF!</v>
      </c>
      <c r="L44" s="427" t="e">
        <f>N39+S42</f>
        <v>#REF!</v>
      </c>
      <c r="M44" s="356">
        <v>0</v>
      </c>
      <c r="N44" s="1406"/>
      <c r="O44" s="1412"/>
      <c r="P44" s="1412"/>
      <c r="Q44" s="1412"/>
      <c r="R44" s="1407"/>
      <c r="S44" s="302" t="e">
        <f>L44*M44</f>
        <v>#REF!</v>
      </c>
      <c r="T44" s="427" t="e">
        <f>V39+AA42</f>
        <v>#REF!</v>
      </c>
      <c r="U44" s="356">
        <v>0</v>
      </c>
      <c r="V44" s="1406"/>
      <c r="W44" s="1412"/>
      <c r="X44" s="1412"/>
      <c r="Y44" s="1412"/>
      <c r="Z44" s="1407"/>
      <c r="AA44" s="302" t="e">
        <f>T44*U44</f>
        <v>#REF!</v>
      </c>
      <c r="AB44" s="427" t="e">
        <f>AD39+AI42</f>
        <v>#REF!</v>
      </c>
      <c r="AC44" s="356">
        <v>0</v>
      </c>
      <c r="AD44" s="1406"/>
      <c r="AE44" s="1412"/>
      <c r="AF44" s="1412"/>
      <c r="AG44" s="1466"/>
      <c r="AH44" s="301"/>
      <c r="AI44" s="302" t="e">
        <f>AB44*AC44</f>
        <v>#REF!</v>
      </c>
      <c r="AJ44" s="427" t="e">
        <f>AL39+AQ42</f>
        <v>#REF!</v>
      </c>
      <c r="AK44" s="426">
        <v>0</v>
      </c>
      <c r="AL44" s="1406"/>
      <c r="AM44" s="1412"/>
      <c r="AN44" s="1412"/>
      <c r="AO44" s="1412"/>
      <c r="AP44" s="1407"/>
      <c r="AQ44" s="302" t="e">
        <f>AJ44*AK44</f>
        <v>#REF!</v>
      </c>
      <c r="AR44" s="427" t="e">
        <f>AT39+AY42</f>
        <v>#REF!</v>
      </c>
      <c r="AS44" s="426">
        <v>0</v>
      </c>
      <c r="AT44" s="1406"/>
      <c r="AU44" s="1412"/>
      <c r="AV44" s="1412"/>
      <c r="AW44" s="1412"/>
      <c r="AX44" s="1407"/>
      <c r="AY44" s="406" t="e">
        <f>AR44*AS44</f>
        <v>#REF!</v>
      </c>
      <c r="AZ44" s="1409"/>
      <c r="BA44" s="431" t="e">
        <f>K44+S44+AA44+AI44+AQ44+AY44</f>
        <v>#REF!</v>
      </c>
    </row>
    <row r="45" spans="1:538" s="337" customFormat="1" x14ac:dyDescent="0.25">
      <c r="A45" s="1483" t="s">
        <v>248</v>
      </c>
      <c r="B45" s="1483"/>
      <c r="C45" s="1483"/>
      <c r="D45" s="1484"/>
      <c r="E45" s="1484"/>
      <c r="F45" s="1484"/>
      <c r="G45" s="1484"/>
      <c r="H45" s="1484"/>
      <c r="I45" s="1484"/>
      <c r="J45" s="1484"/>
      <c r="K45" s="336" t="e">
        <f>SUM(K43:K44)</f>
        <v>#REF!</v>
      </c>
      <c r="L45" s="1468"/>
      <c r="M45" s="1468"/>
      <c r="N45" s="1468"/>
      <c r="O45" s="1468"/>
      <c r="P45" s="1468"/>
      <c r="Q45" s="1468"/>
      <c r="R45" s="1469"/>
      <c r="S45" s="334" t="e">
        <f>SUM(S43:S44)</f>
        <v>#REF!</v>
      </c>
      <c r="T45" s="1467"/>
      <c r="U45" s="1468"/>
      <c r="V45" s="1468"/>
      <c r="W45" s="1468"/>
      <c r="X45" s="1468"/>
      <c r="Y45" s="1468"/>
      <c r="Z45" s="1469"/>
      <c r="AA45" s="334" t="e">
        <f>SUM(AA43:AA44)</f>
        <v>#REF!</v>
      </c>
      <c r="AB45" s="1467"/>
      <c r="AC45" s="1468"/>
      <c r="AD45" s="1468"/>
      <c r="AE45" s="1468"/>
      <c r="AF45" s="1468"/>
      <c r="AG45" s="1468"/>
      <c r="AH45" s="1469"/>
      <c r="AI45" s="334" t="e">
        <f>SUM(AI43:AI44)</f>
        <v>#REF!</v>
      </c>
      <c r="AJ45" s="1467"/>
      <c r="AK45" s="1468"/>
      <c r="AL45" s="1468"/>
      <c r="AM45" s="1468"/>
      <c r="AN45" s="1468"/>
      <c r="AO45" s="1468"/>
      <c r="AP45" s="1469"/>
      <c r="AQ45" s="334" t="e">
        <f>SUM(AQ43:AQ44)</f>
        <v>#REF!</v>
      </c>
      <c r="AR45" s="1467"/>
      <c r="AS45" s="1468"/>
      <c r="AT45" s="1468"/>
      <c r="AU45" s="1468"/>
      <c r="AV45" s="1468"/>
      <c r="AW45" s="1468"/>
      <c r="AX45" s="1469"/>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x14ac:dyDescent="0.25">
      <c r="A46" s="1470" t="s">
        <v>445</v>
      </c>
      <c r="B46" s="1471"/>
      <c r="C46" s="423" t="s">
        <v>446</v>
      </c>
      <c r="D46" s="1472"/>
      <c r="E46" s="1473"/>
      <c r="F46" s="1473"/>
      <c r="G46" s="1473"/>
      <c r="H46" s="1473"/>
      <c r="I46" s="1473"/>
      <c r="J46" s="1474"/>
      <c r="K46" s="497"/>
      <c r="L46" s="1475"/>
      <c r="M46" s="1475"/>
      <c r="N46" s="1475"/>
      <c r="O46" s="1475"/>
      <c r="P46" s="1475"/>
      <c r="Q46" s="1475"/>
      <c r="R46" s="1476"/>
      <c r="S46" s="429"/>
      <c r="T46" s="1477"/>
      <c r="U46" s="1475"/>
      <c r="V46" s="1475"/>
      <c r="W46" s="1475"/>
      <c r="X46" s="1475"/>
      <c r="Y46" s="1475"/>
      <c r="Z46" s="1475"/>
      <c r="AA46" s="1478"/>
      <c r="AB46" s="1479"/>
      <c r="AC46" s="1475"/>
      <c r="AD46" s="1475"/>
      <c r="AE46" s="1475"/>
      <c r="AF46" s="1475"/>
      <c r="AG46" s="1475"/>
      <c r="AH46" s="1480"/>
      <c r="AI46" s="351"/>
      <c r="AJ46" s="1479"/>
      <c r="AK46" s="1475"/>
      <c r="AL46" s="1475"/>
      <c r="AM46" s="1475"/>
      <c r="AN46" s="1475"/>
      <c r="AO46" s="1475"/>
      <c r="AP46" s="1480"/>
      <c r="AQ46" s="430"/>
      <c r="AR46" s="1481"/>
      <c r="AS46" s="1475"/>
      <c r="AT46" s="1475"/>
      <c r="AU46" s="1475"/>
      <c r="AV46" s="1475"/>
      <c r="AW46" s="1475"/>
      <c r="AX46" s="1475"/>
      <c r="AY46" s="1475"/>
      <c r="AZ46" s="1475"/>
      <c r="BA46" s="1482"/>
    </row>
    <row r="47" spans="1:538" x14ac:dyDescent="0.25">
      <c r="A47" s="352"/>
      <c r="B47" s="294" t="s">
        <v>335</v>
      </c>
      <c r="C47" s="304" t="s">
        <v>336</v>
      </c>
      <c r="D47" s="1502"/>
      <c r="E47" s="1503"/>
      <c r="F47" s="1503"/>
      <c r="G47" s="1503"/>
      <c r="H47" s="1503"/>
      <c r="I47" s="1503"/>
      <c r="J47" s="1504"/>
      <c r="K47" s="495">
        <v>500000</v>
      </c>
      <c r="L47" s="1489"/>
      <c r="M47" s="1489"/>
      <c r="N47" s="1489"/>
      <c r="O47" s="1489"/>
      <c r="P47" s="1489"/>
      <c r="Q47" s="1489"/>
      <c r="R47" s="1490"/>
      <c r="S47" s="302">
        <v>500000</v>
      </c>
      <c r="T47" s="1488"/>
      <c r="U47" s="1489"/>
      <c r="V47" s="1489"/>
      <c r="W47" s="1489"/>
      <c r="X47" s="1489"/>
      <c r="Y47" s="1489"/>
      <c r="Z47" s="1490"/>
      <c r="AA47" s="302">
        <v>500000</v>
      </c>
      <c r="AB47" s="1485"/>
      <c r="AC47" s="1486"/>
      <c r="AD47" s="1486"/>
      <c r="AE47" s="1486"/>
      <c r="AF47" s="1486"/>
      <c r="AG47" s="1486"/>
      <c r="AH47" s="1487"/>
      <c r="AI47" s="302">
        <v>500000</v>
      </c>
      <c r="AJ47" s="1485"/>
      <c r="AK47" s="1486"/>
      <c r="AL47" s="1486"/>
      <c r="AM47" s="1486"/>
      <c r="AN47" s="1486"/>
      <c r="AO47" s="1486"/>
      <c r="AP47" s="1487"/>
      <c r="AQ47" s="302">
        <v>500000</v>
      </c>
      <c r="AR47" s="1485"/>
      <c r="AS47" s="1486"/>
      <c r="AT47" s="1486"/>
      <c r="AU47" s="1486"/>
      <c r="AV47" s="1486"/>
      <c r="AW47" s="1486"/>
      <c r="AX47" s="1487"/>
      <c r="AY47" s="302">
        <v>500000</v>
      </c>
      <c r="AZ47" s="454"/>
      <c r="BA47" s="431">
        <f>K47+S47+AA47+AI47+AQ47+AY47</f>
        <v>3000000</v>
      </c>
    </row>
    <row r="48" spans="1:538" x14ac:dyDescent="0.25">
      <c r="A48" s="352"/>
      <c r="B48" s="294" t="s">
        <v>337</v>
      </c>
      <c r="C48" s="304" t="s">
        <v>336</v>
      </c>
      <c r="D48" s="1502"/>
      <c r="E48" s="1503"/>
      <c r="F48" s="1503"/>
      <c r="G48" s="1503"/>
      <c r="H48" s="1503"/>
      <c r="I48" s="1503"/>
      <c r="J48" s="1504"/>
      <c r="K48" s="495">
        <v>500000</v>
      </c>
      <c r="L48" s="1489"/>
      <c r="M48" s="1489"/>
      <c r="N48" s="1489"/>
      <c r="O48" s="1489"/>
      <c r="P48" s="1489"/>
      <c r="Q48" s="1489"/>
      <c r="R48" s="1490"/>
      <c r="S48" s="302">
        <v>500000</v>
      </c>
      <c r="T48" s="1488"/>
      <c r="U48" s="1489"/>
      <c r="V48" s="1489"/>
      <c r="W48" s="1489"/>
      <c r="X48" s="1489"/>
      <c r="Y48" s="1489"/>
      <c r="Z48" s="1490"/>
      <c r="AA48" s="302">
        <v>500000</v>
      </c>
      <c r="AB48" s="1488"/>
      <c r="AC48" s="1489"/>
      <c r="AD48" s="1489"/>
      <c r="AE48" s="1489"/>
      <c r="AF48" s="1489"/>
      <c r="AG48" s="1489"/>
      <c r="AH48" s="1490"/>
      <c r="AI48" s="302">
        <v>500000</v>
      </c>
      <c r="AJ48" s="1488"/>
      <c r="AK48" s="1489"/>
      <c r="AL48" s="1489"/>
      <c r="AM48" s="1489"/>
      <c r="AN48" s="1489"/>
      <c r="AO48" s="1489"/>
      <c r="AP48" s="1490"/>
      <c r="AQ48" s="302">
        <v>500000</v>
      </c>
      <c r="AR48" s="1488"/>
      <c r="AS48" s="1489"/>
      <c r="AT48" s="1489"/>
      <c r="AU48" s="1489"/>
      <c r="AV48" s="1489"/>
      <c r="AW48" s="1489"/>
      <c r="AX48" s="1490"/>
      <c r="AY48" s="302">
        <v>500000</v>
      </c>
      <c r="AZ48" s="456"/>
      <c r="BA48" s="431">
        <f>K48+S48+AA48+AI48+AQ48+AY48</f>
        <v>3000000</v>
      </c>
    </row>
    <row r="49" spans="1:538" x14ac:dyDescent="0.25">
      <c r="A49" s="352"/>
      <c r="B49" s="294" t="s">
        <v>338</v>
      </c>
      <c r="C49" s="304" t="s">
        <v>336</v>
      </c>
      <c r="D49" s="1502"/>
      <c r="E49" s="1503"/>
      <c r="F49" s="1503"/>
      <c r="G49" s="1503"/>
      <c r="H49" s="1503"/>
      <c r="I49" s="1503"/>
      <c r="J49" s="1504"/>
      <c r="K49" s="495">
        <v>500000</v>
      </c>
      <c r="L49" s="1489"/>
      <c r="M49" s="1489"/>
      <c r="N49" s="1489"/>
      <c r="O49" s="1489"/>
      <c r="P49" s="1489"/>
      <c r="Q49" s="1489"/>
      <c r="R49" s="1490"/>
      <c r="S49" s="302">
        <v>500000</v>
      </c>
      <c r="T49" s="1488"/>
      <c r="U49" s="1489"/>
      <c r="V49" s="1489"/>
      <c r="W49" s="1489"/>
      <c r="X49" s="1489"/>
      <c r="Y49" s="1489"/>
      <c r="Z49" s="1490"/>
      <c r="AA49" s="302">
        <v>500000</v>
      </c>
      <c r="AB49" s="1488"/>
      <c r="AC49" s="1489"/>
      <c r="AD49" s="1489"/>
      <c r="AE49" s="1489"/>
      <c r="AF49" s="1489"/>
      <c r="AG49" s="1489"/>
      <c r="AH49" s="1490"/>
      <c r="AI49" s="302">
        <v>500000</v>
      </c>
      <c r="AJ49" s="1488"/>
      <c r="AK49" s="1489"/>
      <c r="AL49" s="1489"/>
      <c r="AM49" s="1489"/>
      <c r="AN49" s="1489"/>
      <c r="AO49" s="1489"/>
      <c r="AP49" s="1490"/>
      <c r="AQ49" s="302">
        <v>500000</v>
      </c>
      <c r="AR49" s="1488"/>
      <c r="AS49" s="1489"/>
      <c r="AT49" s="1489"/>
      <c r="AU49" s="1489"/>
      <c r="AV49" s="1489"/>
      <c r="AW49" s="1489"/>
      <c r="AX49" s="1490"/>
      <c r="AY49" s="302">
        <v>500000</v>
      </c>
      <c r="AZ49" s="456"/>
      <c r="BA49" s="431">
        <f>K49+S49+AA49+AI49+AQ49+AY49</f>
        <v>3000000</v>
      </c>
    </row>
    <row r="50" spans="1:538" x14ac:dyDescent="0.25">
      <c r="A50" s="352"/>
      <c r="B50" s="296" t="s">
        <v>447</v>
      </c>
      <c r="C50" s="304" t="s">
        <v>336</v>
      </c>
      <c r="D50" s="1502"/>
      <c r="E50" s="1503"/>
      <c r="F50" s="1503"/>
      <c r="G50" s="1503"/>
      <c r="H50" s="1503"/>
      <c r="I50" s="1503"/>
      <c r="J50" s="1504"/>
      <c r="K50" s="495">
        <v>0</v>
      </c>
      <c r="L50" s="1492"/>
      <c r="M50" s="1492"/>
      <c r="N50" s="1492"/>
      <c r="O50" s="1492"/>
      <c r="P50" s="1492"/>
      <c r="Q50" s="1492"/>
      <c r="R50" s="1493"/>
      <c r="S50" s="302">
        <v>0</v>
      </c>
      <c r="T50" s="1491"/>
      <c r="U50" s="1492"/>
      <c r="V50" s="1492"/>
      <c r="W50" s="1492"/>
      <c r="X50" s="1492"/>
      <c r="Y50" s="1492"/>
      <c r="Z50" s="1493"/>
      <c r="AA50" s="302">
        <v>0</v>
      </c>
      <c r="AB50" s="1491"/>
      <c r="AC50" s="1492"/>
      <c r="AD50" s="1492"/>
      <c r="AE50" s="1492"/>
      <c r="AF50" s="1492"/>
      <c r="AG50" s="1492"/>
      <c r="AH50" s="1493"/>
      <c r="AI50" s="302">
        <v>0</v>
      </c>
      <c r="AJ50" s="1491"/>
      <c r="AK50" s="1492"/>
      <c r="AL50" s="1492"/>
      <c r="AM50" s="1492"/>
      <c r="AN50" s="1492"/>
      <c r="AO50" s="1492"/>
      <c r="AP50" s="1493"/>
      <c r="AQ50" s="302">
        <v>0</v>
      </c>
      <c r="AR50" s="1491"/>
      <c r="AS50" s="1492"/>
      <c r="AT50" s="1492"/>
      <c r="AU50" s="1492"/>
      <c r="AV50" s="1492"/>
      <c r="AW50" s="1492"/>
      <c r="AX50" s="1493"/>
      <c r="AY50" s="410">
        <v>0</v>
      </c>
      <c r="AZ50" s="455"/>
      <c r="BA50" s="431">
        <f>K50+S50+AA50+AI50+AQ50+AY50</f>
        <v>0</v>
      </c>
    </row>
    <row r="51" spans="1:538" s="389" customFormat="1" x14ac:dyDescent="0.25">
      <c r="A51" s="1494" t="s">
        <v>250</v>
      </c>
      <c r="B51" s="1495"/>
      <c r="C51" s="1495"/>
      <c r="D51" s="1496"/>
      <c r="E51" s="1497"/>
      <c r="F51" s="1497"/>
      <c r="G51" s="1497"/>
      <c r="H51" s="1497"/>
      <c r="I51" s="1497"/>
      <c r="J51" s="1498"/>
      <c r="K51" s="498">
        <f>SUM(K46:K50)</f>
        <v>1500000</v>
      </c>
      <c r="L51" s="1499"/>
      <c r="M51" s="1499"/>
      <c r="N51" s="1499"/>
      <c r="O51" s="1499"/>
      <c r="P51" s="1499"/>
      <c r="Q51" s="1499"/>
      <c r="R51" s="1500"/>
      <c r="S51" s="350">
        <f>SUM(S46:S50)</f>
        <v>1500000</v>
      </c>
      <c r="T51" s="1501"/>
      <c r="U51" s="1499"/>
      <c r="V51" s="1499"/>
      <c r="W51" s="1499"/>
      <c r="X51" s="1499"/>
      <c r="Y51" s="1499"/>
      <c r="Z51" s="1500"/>
      <c r="AA51" s="350">
        <f>SUM(AA46:AA50)</f>
        <v>1500000</v>
      </c>
      <c r="AB51" s="1501"/>
      <c r="AC51" s="1499"/>
      <c r="AD51" s="1499"/>
      <c r="AE51" s="1499"/>
      <c r="AF51" s="1499"/>
      <c r="AG51" s="1499"/>
      <c r="AH51" s="1500"/>
      <c r="AI51" s="350">
        <f>SUM(AI46:AI50)</f>
        <v>1500000</v>
      </c>
      <c r="AJ51" s="1501"/>
      <c r="AK51" s="1499"/>
      <c r="AL51" s="1499"/>
      <c r="AM51" s="1499"/>
      <c r="AN51" s="1499"/>
      <c r="AO51" s="1499"/>
      <c r="AP51" s="1500"/>
      <c r="AQ51" s="350">
        <f>SUM(AQ46:AQ50)</f>
        <v>1500000</v>
      </c>
      <c r="AR51" s="1501"/>
      <c r="AS51" s="1499"/>
      <c r="AT51" s="1499"/>
      <c r="AU51" s="1499"/>
      <c r="AV51" s="1499"/>
      <c r="AW51" s="1499"/>
      <c r="AX51" s="1500"/>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1520" t="s">
        <v>340</v>
      </c>
      <c r="B52" s="1520"/>
      <c r="C52" s="1520"/>
      <c r="D52" s="483" t="s">
        <v>325</v>
      </c>
      <c r="E52" s="482" t="s">
        <v>341</v>
      </c>
      <c r="F52" s="1521"/>
      <c r="G52" s="1521"/>
      <c r="H52" s="1521"/>
      <c r="I52" s="1521"/>
      <c r="J52" s="1521"/>
      <c r="K52" s="1521"/>
      <c r="L52" s="1177" t="s">
        <v>325</v>
      </c>
      <c r="M52" s="1178" t="s">
        <v>341</v>
      </c>
      <c r="N52" s="1505"/>
      <c r="O52" s="1506"/>
      <c r="P52" s="1506"/>
      <c r="Q52" s="1506"/>
      <c r="R52" s="1508"/>
      <c r="S52" s="469"/>
      <c r="T52" s="467" t="s">
        <v>325</v>
      </c>
      <c r="U52" s="1178" t="s">
        <v>341</v>
      </c>
      <c r="V52" s="1505"/>
      <c r="W52" s="1506"/>
      <c r="X52" s="1506"/>
      <c r="Y52" s="1506"/>
      <c r="Z52" s="1506"/>
      <c r="AA52" s="1522"/>
      <c r="AB52" s="467" t="s">
        <v>325</v>
      </c>
      <c r="AC52" s="1178" t="s">
        <v>341</v>
      </c>
      <c r="AD52" s="1505"/>
      <c r="AE52" s="1506"/>
      <c r="AF52" s="1506"/>
      <c r="AG52" s="1506"/>
      <c r="AH52" s="1508"/>
      <c r="AI52" s="469"/>
      <c r="AJ52" s="467" t="s">
        <v>325</v>
      </c>
      <c r="AK52" s="1178" t="s">
        <v>341</v>
      </c>
      <c r="AL52" s="1505"/>
      <c r="AM52" s="1506"/>
      <c r="AN52" s="1506"/>
      <c r="AO52" s="1506"/>
      <c r="AP52" s="1507"/>
      <c r="AQ52" s="318"/>
      <c r="AR52" s="467" t="s">
        <v>325</v>
      </c>
      <c r="AS52" s="1178" t="s">
        <v>341</v>
      </c>
      <c r="AT52" s="1505"/>
      <c r="AU52" s="1506"/>
      <c r="AV52" s="1506"/>
      <c r="AW52" s="1506"/>
      <c r="AX52" s="1506"/>
      <c r="AY52" s="1508"/>
      <c r="AZ52" s="470" t="s">
        <v>325</v>
      </c>
      <c r="BA52" s="474"/>
    </row>
    <row r="53" spans="1:538" x14ac:dyDescent="0.25">
      <c r="A53" s="484"/>
      <c r="B53" s="294" t="s">
        <v>345</v>
      </c>
      <c r="C53" s="485" t="s">
        <v>346</v>
      </c>
      <c r="D53" s="432">
        <v>1920</v>
      </c>
      <c r="E53" s="358">
        <v>170</v>
      </c>
      <c r="F53" s="1509"/>
      <c r="G53" s="1489"/>
      <c r="H53" s="1489"/>
      <c r="I53" s="1489"/>
      <c r="J53" s="1489"/>
      <c r="K53" s="477">
        <f>D53*E53</f>
        <v>326400</v>
      </c>
      <c r="L53" s="432">
        <v>1920</v>
      </c>
      <c r="M53" s="358">
        <v>170</v>
      </c>
      <c r="N53" s="1509"/>
      <c r="O53" s="1489"/>
      <c r="P53" s="1489"/>
      <c r="Q53" s="1489"/>
      <c r="R53" s="1490"/>
      <c r="S53" s="300">
        <f>L53*M53</f>
        <v>326400</v>
      </c>
      <c r="T53" s="357">
        <v>1920</v>
      </c>
      <c r="U53" s="358">
        <v>170</v>
      </c>
      <c r="V53" s="1509"/>
      <c r="W53" s="1489"/>
      <c r="X53" s="1489"/>
      <c r="Y53" s="1489"/>
      <c r="Z53" s="1490"/>
      <c r="AA53" s="300">
        <f>T53*U53</f>
        <v>326400</v>
      </c>
      <c r="AB53" s="357">
        <v>1920</v>
      </c>
      <c r="AC53" s="358">
        <v>170</v>
      </c>
      <c r="AD53" s="1509"/>
      <c r="AE53" s="1489"/>
      <c r="AF53" s="1489"/>
      <c r="AG53" s="1489"/>
      <c r="AH53" s="1490"/>
      <c r="AI53" s="300">
        <f>AB53*AC53</f>
        <v>326400</v>
      </c>
      <c r="AJ53" s="357">
        <v>1920</v>
      </c>
      <c r="AK53" s="358">
        <v>170</v>
      </c>
      <c r="AL53" s="1511"/>
      <c r="AM53" s="1512"/>
      <c r="AN53" s="1512"/>
      <c r="AO53" s="1512"/>
      <c r="AP53" s="1513"/>
      <c r="AQ53" s="300">
        <f>AJ53*AK53</f>
        <v>326400</v>
      </c>
      <c r="AR53" s="357">
        <v>1920</v>
      </c>
      <c r="AS53" s="358">
        <v>170</v>
      </c>
      <c r="AT53" s="1509"/>
      <c r="AU53" s="1489"/>
      <c r="AV53" s="1489"/>
      <c r="AW53" s="1489"/>
      <c r="AX53" s="1490"/>
      <c r="AY53" s="460">
        <f>AR53*AS53</f>
        <v>326400</v>
      </c>
      <c r="AZ53" s="463">
        <f>SUM(D53,L53,T53,AB53,AJ53,AR53)</f>
        <v>11520</v>
      </c>
      <c r="BA53" s="431">
        <f>K53+S53+AA53+AI53+AQ53+AY53</f>
        <v>1958400</v>
      </c>
    </row>
    <row r="54" spans="1:538" x14ac:dyDescent="0.25">
      <c r="A54" s="484"/>
      <c r="B54" s="294" t="s">
        <v>347</v>
      </c>
      <c r="C54" s="485" t="s">
        <v>346</v>
      </c>
      <c r="D54" s="432">
        <v>1920</v>
      </c>
      <c r="E54" s="358">
        <v>150</v>
      </c>
      <c r="F54" s="1509"/>
      <c r="G54" s="1489"/>
      <c r="H54" s="1489"/>
      <c r="I54" s="1489"/>
      <c r="J54" s="1489"/>
      <c r="K54" s="477">
        <f>D54*E54</f>
        <v>288000</v>
      </c>
      <c r="L54" s="432">
        <v>1920</v>
      </c>
      <c r="M54" s="358">
        <v>150</v>
      </c>
      <c r="N54" s="1509"/>
      <c r="O54" s="1489"/>
      <c r="P54" s="1489"/>
      <c r="Q54" s="1489"/>
      <c r="R54" s="1490"/>
      <c r="S54" s="300">
        <f>L54*M54</f>
        <v>288000</v>
      </c>
      <c r="T54" s="357">
        <v>1920</v>
      </c>
      <c r="U54" s="358">
        <v>150</v>
      </c>
      <c r="V54" s="1509"/>
      <c r="W54" s="1489"/>
      <c r="X54" s="1489"/>
      <c r="Y54" s="1489"/>
      <c r="Z54" s="1490"/>
      <c r="AA54" s="300">
        <f>T54*U54</f>
        <v>288000</v>
      </c>
      <c r="AB54" s="357">
        <v>1920</v>
      </c>
      <c r="AC54" s="358">
        <v>150</v>
      </c>
      <c r="AD54" s="1509"/>
      <c r="AE54" s="1489"/>
      <c r="AF54" s="1489"/>
      <c r="AG54" s="1489"/>
      <c r="AH54" s="1490"/>
      <c r="AI54" s="300">
        <f>AB54*AC54</f>
        <v>288000</v>
      </c>
      <c r="AJ54" s="357">
        <v>1920</v>
      </c>
      <c r="AK54" s="358">
        <v>150</v>
      </c>
      <c r="AL54" s="1514"/>
      <c r="AM54" s="1515"/>
      <c r="AN54" s="1515"/>
      <c r="AO54" s="1515"/>
      <c r="AP54" s="1516"/>
      <c r="AQ54" s="300">
        <f>AJ54*AK54</f>
        <v>288000</v>
      </c>
      <c r="AR54" s="357">
        <v>1920</v>
      </c>
      <c r="AS54" s="358">
        <v>150</v>
      </c>
      <c r="AT54" s="1509"/>
      <c r="AU54" s="1489"/>
      <c r="AV54" s="1489"/>
      <c r="AW54" s="1489"/>
      <c r="AX54" s="1490"/>
      <c r="AY54" s="406">
        <f>AR54*AS54</f>
        <v>288000</v>
      </c>
      <c r="AZ54" s="463">
        <f>SUM(D54,L54,T54,AB54,AJ54,AR54)</f>
        <v>11520</v>
      </c>
      <c r="BA54" s="431">
        <f>K54+S54+AA54+AI54+AQ54+AY54</f>
        <v>1728000</v>
      </c>
    </row>
    <row r="55" spans="1:538" x14ac:dyDescent="0.25">
      <c r="A55" s="484"/>
      <c r="B55" s="294" t="s">
        <v>348</v>
      </c>
      <c r="C55" s="485" t="s">
        <v>346</v>
      </c>
      <c r="D55" s="432">
        <v>1920</v>
      </c>
      <c r="E55" s="358">
        <v>100</v>
      </c>
      <c r="F55" s="1509"/>
      <c r="G55" s="1489"/>
      <c r="H55" s="1489"/>
      <c r="I55" s="1489"/>
      <c r="J55" s="1489"/>
      <c r="K55" s="477">
        <f>D55*E55</f>
        <v>192000</v>
      </c>
      <c r="L55" s="432">
        <v>1920</v>
      </c>
      <c r="M55" s="358">
        <v>100</v>
      </c>
      <c r="N55" s="1509"/>
      <c r="O55" s="1489"/>
      <c r="P55" s="1489"/>
      <c r="Q55" s="1489"/>
      <c r="R55" s="1490"/>
      <c r="S55" s="300">
        <f>L55*M55</f>
        <v>192000</v>
      </c>
      <c r="T55" s="357">
        <v>1920</v>
      </c>
      <c r="U55" s="358">
        <v>100</v>
      </c>
      <c r="V55" s="1509"/>
      <c r="W55" s="1489"/>
      <c r="X55" s="1489"/>
      <c r="Y55" s="1489"/>
      <c r="Z55" s="1490"/>
      <c r="AA55" s="300">
        <f>T55*U55</f>
        <v>192000</v>
      </c>
      <c r="AB55" s="357">
        <v>1920</v>
      </c>
      <c r="AC55" s="358">
        <v>100</v>
      </c>
      <c r="AD55" s="1509"/>
      <c r="AE55" s="1489"/>
      <c r="AF55" s="1489"/>
      <c r="AG55" s="1489"/>
      <c r="AH55" s="1490"/>
      <c r="AI55" s="300">
        <f>AB55*AC55</f>
        <v>192000</v>
      </c>
      <c r="AJ55" s="357">
        <v>1920</v>
      </c>
      <c r="AK55" s="358">
        <v>100</v>
      </c>
      <c r="AL55" s="1514"/>
      <c r="AM55" s="1515"/>
      <c r="AN55" s="1515"/>
      <c r="AO55" s="1515"/>
      <c r="AP55" s="1516"/>
      <c r="AQ55" s="300">
        <f>AJ55*AK55</f>
        <v>192000</v>
      </c>
      <c r="AR55" s="357">
        <v>1920</v>
      </c>
      <c r="AS55" s="358">
        <v>100</v>
      </c>
      <c r="AT55" s="1509"/>
      <c r="AU55" s="1489"/>
      <c r="AV55" s="1489"/>
      <c r="AW55" s="1489"/>
      <c r="AX55" s="1490"/>
      <c r="AY55" s="406">
        <f>AR55*AS55</f>
        <v>192000</v>
      </c>
      <c r="AZ55" s="463">
        <f>SUM(D55,L55,T55,AB55,AJ55,AR55)</f>
        <v>11520</v>
      </c>
      <c r="BA55" s="431">
        <f>K55+S55+AA55+AI55+AQ55+AY55</f>
        <v>1152000</v>
      </c>
    </row>
    <row r="56" spans="1:538" x14ac:dyDescent="0.25">
      <c r="A56" s="484"/>
      <c r="B56" s="296" t="s">
        <v>448</v>
      </c>
      <c r="C56" s="485" t="s">
        <v>346</v>
      </c>
      <c r="D56" s="432">
        <v>0</v>
      </c>
      <c r="E56" s="358">
        <v>0</v>
      </c>
      <c r="F56" s="1510"/>
      <c r="G56" s="1492"/>
      <c r="H56" s="1492"/>
      <c r="I56" s="1492"/>
      <c r="J56" s="1492"/>
      <c r="K56" s="477">
        <f>D56*E56</f>
        <v>0</v>
      </c>
      <c r="L56" s="432">
        <v>0</v>
      </c>
      <c r="M56" s="358">
        <v>0</v>
      </c>
      <c r="N56" s="1510"/>
      <c r="O56" s="1492"/>
      <c r="P56" s="1492"/>
      <c r="Q56" s="1492"/>
      <c r="R56" s="1493"/>
      <c r="S56" s="300">
        <f>L56*M56</f>
        <v>0</v>
      </c>
      <c r="T56" s="432">
        <v>0</v>
      </c>
      <c r="U56" s="358">
        <v>0</v>
      </c>
      <c r="V56" s="1510"/>
      <c r="W56" s="1492"/>
      <c r="X56" s="1492"/>
      <c r="Y56" s="1492"/>
      <c r="Z56" s="1493"/>
      <c r="AA56" s="300">
        <f>T56*U56</f>
        <v>0</v>
      </c>
      <c r="AB56" s="432">
        <v>0</v>
      </c>
      <c r="AC56" s="358">
        <v>0</v>
      </c>
      <c r="AD56" s="1510"/>
      <c r="AE56" s="1492"/>
      <c r="AF56" s="1492"/>
      <c r="AG56" s="1492"/>
      <c r="AH56" s="1493"/>
      <c r="AI56" s="300">
        <f>AB56*AC56</f>
        <v>0</v>
      </c>
      <c r="AJ56" s="432">
        <v>0</v>
      </c>
      <c r="AK56" s="358">
        <v>0</v>
      </c>
      <c r="AL56" s="1517"/>
      <c r="AM56" s="1518"/>
      <c r="AN56" s="1518"/>
      <c r="AO56" s="1518"/>
      <c r="AP56" s="1519"/>
      <c r="AQ56" s="300">
        <f>AJ56*AK56</f>
        <v>0</v>
      </c>
      <c r="AR56" s="437">
        <v>0</v>
      </c>
      <c r="AS56" s="434">
        <v>0</v>
      </c>
      <c r="AT56" s="1510"/>
      <c r="AU56" s="1492"/>
      <c r="AV56" s="1492"/>
      <c r="AW56" s="1492"/>
      <c r="AX56" s="1493"/>
      <c r="AY56" s="406">
        <f>AR56*AS56</f>
        <v>0</v>
      </c>
      <c r="AZ56" s="463">
        <f>SUM(D56,L56,T56,AB56,AJ56,AR56)</f>
        <v>0</v>
      </c>
      <c r="BA56" s="431">
        <f>K56+S56+AA56+AI56+AQ56+AY56</f>
        <v>0</v>
      </c>
    </row>
    <row r="57" spans="1:538" s="360" customFormat="1" x14ac:dyDescent="0.25">
      <c r="A57" s="1533" t="s">
        <v>252</v>
      </c>
      <c r="B57" s="1533"/>
      <c r="C57" s="1533"/>
      <c r="D57" s="1534"/>
      <c r="E57" s="1534"/>
      <c r="F57" s="1534"/>
      <c r="G57" s="1534"/>
      <c r="H57" s="1534"/>
      <c r="I57" s="1534"/>
      <c r="J57" s="1534"/>
      <c r="K57" s="494">
        <f>SUM(K52:K56)</f>
        <v>806400</v>
      </c>
      <c r="L57" s="1524"/>
      <c r="M57" s="1524"/>
      <c r="N57" s="1524"/>
      <c r="O57" s="1524"/>
      <c r="P57" s="1524"/>
      <c r="Q57" s="1524"/>
      <c r="R57" s="1525"/>
      <c r="S57" s="468">
        <f>SUM(S52:S56)</f>
        <v>806400</v>
      </c>
      <c r="T57" s="1523"/>
      <c r="U57" s="1524"/>
      <c r="V57" s="1524"/>
      <c r="W57" s="1524"/>
      <c r="X57" s="1524"/>
      <c r="Y57" s="1524"/>
      <c r="Z57" s="1525"/>
      <c r="AA57" s="468">
        <f>SUM(AA52:AA56)</f>
        <v>806400</v>
      </c>
      <c r="AB57" s="1523"/>
      <c r="AC57" s="1524"/>
      <c r="AD57" s="1524"/>
      <c r="AE57" s="1524"/>
      <c r="AF57" s="1524"/>
      <c r="AG57" s="1524"/>
      <c r="AH57" s="1525"/>
      <c r="AI57" s="468">
        <f>SUM(AI52:AI56)</f>
        <v>806400</v>
      </c>
      <c r="AJ57" s="1523"/>
      <c r="AK57" s="1524"/>
      <c r="AL57" s="1524"/>
      <c r="AM57" s="1524"/>
      <c r="AN57" s="1524"/>
      <c r="AO57" s="1524"/>
      <c r="AP57" s="1525"/>
      <c r="AQ57" s="468">
        <f>SUM(AQ52:AQ56)</f>
        <v>806400</v>
      </c>
      <c r="AR57" s="1523"/>
      <c r="AS57" s="1524"/>
      <c r="AT57" s="1524"/>
      <c r="AU57" s="1524"/>
      <c r="AV57" s="1524"/>
      <c r="AW57" s="1524"/>
      <c r="AX57" s="1525"/>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x14ac:dyDescent="0.25">
      <c r="A58" s="1526" t="s">
        <v>350</v>
      </c>
      <c r="B58" s="1527"/>
      <c r="C58" s="1527"/>
      <c r="D58" s="1528"/>
      <c r="E58" s="1529"/>
      <c r="F58" s="1529"/>
      <c r="G58" s="1529"/>
      <c r="H58" s="1529"/>
      <c r="I58" s="1529"/>
      <c r="J58" s="1530"/>
      <c r="K58" s="496"/>
      <c r="L58" s="1461"/>
      <c r="M58" s="1461"/>
      <c r="N58" s="1461"/>
      <c r="O58" s="1461"/>
      <c r="P58" s="1461"/>
      <c r="Q58" s="1461"/>
      <c r="R58" s="1462"/>
      <c r="S58" s="346"/>
      <c r="T58" s="1463"/>
      <c r="U58" s="1461"/>
      <c r="V58" s="1461"/>
      <c r="W58" s="1461"/>
      <c r="X58" s="1461"/>
      <c r="Y58" s="1461"/>
      <c r="Z58" s="1461"/>
      <c r="AA58" s="1531"/>
      <c r="AB58" s="1463"/>
      <c r="AC58" s="1461"/>
      <c r="AD58" s="1461"/>
      <c r="AE58" s="1461"/>
      <c r="AF58" s="1461"/>
      <c r="AG58" s="1461"/>
      <c r="AH58" s="1462"/>
      <c r="AI58" s="346"/>
      <c r="AJ58" s="1463"/>
      <c r="AK58" s="1461"/>
      <c r="AL58" s="1461"/>
      <c r="AM58" s="1461"/>
      <c r="AN58" s="1461"/>
      <c r="AO58" s="1461"/>
      <c r="AP58" s="1462"/>
      <c r="AQ58" s="346"/>
      <c r="AR58" s="1463"/>
      <c r="AS58" s="1461"/>
      <c r="AT58" s="1461"/>
      <c r="AU58" s="1461"/>
      <c r="AV58" s="1461"/>
      <c r="AW58" s="1461"/>
      <c r="AX58" s="1461"/>
      <c r="AY58" s="1461"/>
      <c r="AZ58" s="1529"/>
      <c r="BA58" s="1532"/>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x14ac:dyDescent="0.25">
      <c r="A59" s="481"/>
      <c r="B59" s="294" t="s">
        <v>352</v>
      </c>
      <c r="C59" s="297" t="s">
        <v>353</v>
      </c>
      <c r="D59" s="1545"/>
      <c r="E59" s="1546"/>
      <c r="F59" s="1546"/>
      <c r="G59" s="1546"/>
      <c r="H59" s="1546"/>
      <c r="I59" s="1546"/>
      <c r="J59" s="1547"/>
      <c r="K59" s="495">
        <v>500000</v>
      </c>
      <c r="L59" s="1486"/>
      <c r="M59" s="1486"/>
      <c r="N59" s="1486"/>
      <c r="O59" s="1486"/>
      <c r="P59" s="1486"/>
      <c r="Q59" s="1486"/>
      <c r="R59" s="1487"/>
      <c r="S59" s="302">
        <v>500000</v>
      </c>
      <c r="T59" s="1485"/>
      <c r="U59" s="1486"/>
      <c r="V59" s="1486"/>
      <c r="W59" s="1486"/>
      <c r="X59" s="1486"/>
      <c r="Y59" s="1486"/>
      <c r="Z59" s="1487"/>
      <c r="AA59" s="302">
        <v>500000</v>
      </c>
      <c r="AB59" s="1485"/>
      <c r="AC59" s="1486"/>
      <c r="AD59" s="1486"/>
      <c r="AE59" s="1486"/>
      <c r="AF59" s="1486"/>
      <c r="AG59" s="1486"/>
      <c r="AH59" s="1487"/>
      <c r="AI59" s="302">
        <v>500000</v>
      </c>
      <c r="AJ59" s="1485"/>
      <c r="AK59" s="1486"/>
      <c r="AL59" s="1486"/>
      <c r="AM59" s="1486"/>
      <c r="AN59" s="1486"/>
      <c r="AO59" s="1486"/>
      <c r="AP59" s="1487"/>
      <c r="AQ59" s="302">
        <v>500000</v>
      </c>
      <c r="AR59" s="1485"/>
      <c r="AS59" s="1486"/>
      <c r="AT59" s="1486"/>
      <c r="AU59" s="1486"/>
      <c r="AV59" s="1486"/>
      <c r="AW59" s="1486"/>
      <c r="AX59" s="1487"/>
      <c r="AY59" s="410">
        <v>500000</v>
      </c>
      <c r="AZ59" s="1408"/>
      <c r="BA59" s="431">
        <f>K59+S59+AA59+AI59+AQ59+AY59</f>
        <v>3000000</v>
      </c>
    </row>
    <row r="60" spans="1:538" x14ac:dyDescent="0.25">
      <c r="A60" s="481"/>
      <c r="B60" s="294" t="s">
        <v>354</v>
      </c>
      <c r="C60" s="297" t="s">
        <v>355</v>
      </c>
      <c r="D60" s="1545"/>
      <c r="E60" s="1546"/>
      <c r="F60" s="1546"/>
      <c r="G60" s="1546"/>
      <c r="H60" s="1546"/>
      <c r="I60" s="1546"/>
      <c r="J60" s="1547"/>
      <c r="K60" s="495">
        <v>500000</v>
      </c>
      <c r="L60" s="1489"/>
      <c r="M60" s="1489"/>
      <c r="N60" s="1489"/>
      <c r="O60" s="1489"/>
      <c r="P60" s="1489"/>
      <c r="Q60" s="1489"/>
      <c r="R60" s="1490"/>
      <c r="S60" s="302">
        <v>500000</v>
      </c>
      <c r="T60" s="1488"/>
      <c r="U60" s="1489"/>
      <c r="V60" s="1489"/>
      <c r="W60" s="1489"/>
      <c r="X60" s="1489"/>
      <c r="Y60" s="1489"/>
      <c r="Z60" s="1490"/>
      <c r="AA60" s="302">
        <v>500000</v>
      </c>
      <c r="AB60" s="1488"/>
      <c r="AC60" s="1489"/>
      <c r="AD60" s="1489"/>
      <c r="AE60" s="1489"/>
      <c r="AF60" s="1489"/>
      <c r="AG60" s="1489"/>
      <c r="AH60" s="1490"/>
      <c r="AI60" s="302">
        <v>500000</v>
      </c>
      <c r="AJ60" s="1488"/>
      <c r="AK60" s="1489"/>
      <c r="AL60" s="1489"/>
      <c r="AM60" s="1489"/>
      <c r="AN60" s="1489"/>
      <c r="AO60" s="1489"/>
      <c r="AP60" s="1490"/>
      <c r="AQ60" s="302">
        <v>500000</v>
      </c>
      <c r="AR60" s="1488"/>
      <c r="AS60" s="1489"/>
      <c r="AT60" s="1489"/>
      <c r="AU60" s="1489"/>
      <c r="AV60" s="1489"/>
      <c r="AW60" s="1489"/>
      <c r="AX60" s="1490"/>
      <c r="AY60" s="410">
        <v>500000</v>
      </c>
      <c r="AZ60" s="1539"/>
      <c r="BA60" s="431">
        <f>K60+S60+AA60+AI60+AQ60+AY60</f>
        <v>3000000</v>
      </c>
    </row>
    <row r="61" spans="1:538" x14ac:dyDescent="0.25">
      <c r="A61" s="481"/>
      <c r="B61" s="294" t="s">
        <v>48</v>
      </c>
      <c r="C61" s="297" t="s">
        <v>357</v>
      </c>
      <c r="D61" s="1545"/>
      <c r="E61" s="1546"/>
      <c r="F61" s="1546"/>
      <c r="G61" s="1546"/>
      <c r="H61" s="1546"/>
      <c r="I61" s="1546"/>
      <c r="J61" s="1547"/>
      <c r="K61" s="495">
        <v>500000</v>
      </c>
      <c r="L61" s="1489"/>
      <c r="M61" s="1489"/>
      <c r="N61" s="1489"/>
      <c r="O61" s="1489"/>
      <c r="P61" s="1489"/>
      <c r="Q61" s="1489"/>
      <c r="R61" s="1490"/>
      <c r="S61" s="302">
        <v>500000</v>
      </c>
      <c r="T61" s="1488"/>
      <c r="U61" s="1489"/>
      <c r="V61" s="1489"/>
      <c r="W61" s="1489"/>
      <c r="X61" s="1489"/>
      <c r="Y61" s="1489"/>
      <c r="Z61" s="1490"/>
      <c r="AA61" s="302">
        <v>500000</v>
      </c>
      <c r="AB61" s="1488"/>
      <c r="AC61" s="1489"/>
      <c r="AD61" s="1489"/>
      <c r="AE61" s="1489"/>
      <c r="AF61" s="1489"/>
      <c r="AG61" s="1489"/>
      <c r="AH61" s="1490"/>
      <c r="AI61" s="302">
        <v>500000</v>
      </c>
      <c r="AJ61" s="1488"/>
      <c r="AK61" s="1489"/>
      <c r="AL61" s="1489"/>
      <c r="AM61" s="1489"/>
      <c r="AN61" s="1489"/>
      <c r="AO61" s="1489"/>
      <c r="AP61" s="1490"/>
      <c r="AQ61" s="302">
        <v>500000</v>
      </c>
      <c r="AR61" s="1488"/>
      <c r="AS61" s="1489"/>
      <c r="AT61" s="1489"/>
      <c r="AU61" s="1489"/>
      <c r="AV61" s="1489"/>
      <c r="AW61" s="1489"/>
      <c r="AX61" s="1490"/>
      <c r="AY61" s="410">
        <v>500000</v>
      </c>
      <c r="AZ61" s="1539"/>
      <c r="BA61" s="431">
        <f>K61+S61+AA61+AI61+AQ61+AY61</f>
        <v>3000000</v>
      </c>
    </row>
    <row r="62" spans="1:538" x14ac:dyDescent="0.25">
      <c r="A62" s="481"/>
      <c r="B62" s="296" t="s">
        <v>449</v>
      </c>
      <c r="C62" s="297" t="s">
        <v>359</v>
      </c>
      <c r="D62" s="1545"/>
      <c r="E62" s="1546"/>
      <c r="F62" s="1546"/>
      <c r="G62" s="1546"/>
      <c r="H62" s="1546"/>
      <c r="I62" s="1546"/>
      <c r="J62" s="1547"/>
      <c r="K62" s="495">
        <v>0</v>
      </c>
      <c r="L62" s="1492"/>
      <c r="M62" s="1492"/>
      <c r="N62" s="1492"/>
      <c r="O62" s="1492"/>
      <c r="P62" s="1492"/>
      <c r="Q62" s="1492"/>
      <c r="R62" s="1493"/>
      <c r="S62" s="302">
        <v>0</v>
      </c>
      <c r="T62" s="1491"/>
      <c r="U62" s="1492"/>
      <c r="V62" s="1492"/>
      <c r="W62" s="1492"/>
      <c r="X62" s="1492"/>
      <c r="Y62" s="1492"/>
      <c r="Z62" s="1493"/>
      <c r="AA62" s="302">
        <v>0</v>
      </c>
      <c r="AB62" s="1491"/>
      <c r="AC62" s="1492"/>
      <c r="AD62" s="1492"/>
      <c r="AE62" s="1492"/>
      <c r="AF62" s="1492"/>
      <c r="AG62" s="1492"/>
      <c r="AH62" s="1493"/>
      <c r="AI62" s="302">
        <v>0</v>
      </c>
      <c r="AJ62" s="1491"/>
      <c r="AK62" s="1492"/>
      <c r="AL62" s="1492"/>
      <c r="AM62" s="1492"/>
      <c r="AN62" s="1492"/>
      <c r="AO62" s="1492"/>
      <c r="AP62" s="1493"/>
      <c r="AQ62" s="302">
        <v>0</v>
      </c>
      <c r="AR62" s="1491"/>
      <c r="AS62" s="1492"/>
      <c r="AT62" s="1492"/>
      <c r="AU62" s="1492"/>
      <c r="AV62" s="1492"/>
      <c r="AW62" s="1492"/>
      <c r="AX62" s="1493"/>
      <c r="AY62" s="410">
        <v>0</v>
      </c>
      <c r="AZ62" s="1409"/>
      <c r="BA62" s="431">
        <f>K62+S62+AA62+AI62+AQ62+AY62</f>
        <v>0</v>
      </c>
    </row>
    <row r="63" spans="1:538" s="363" customFormat="1" x14ac:dyDescent="0.25">
      <c r="A63" s="1540" t="s">
        <v>254</v>
      </c>
      <c r="B63" s="1541"/>
      <c r="C63" s="1541"/>
      <c r="D63" s="1542"/>
      <c r="E63" s="1543"/>
      <c r="F63" s="1543"/>
      <c r="G63" s="1543"/>
      <c r="H63" s="1543"/>
      <c r="I63" s="1543"/>
      <c r="J63" s="1544"/>
      <c r="K63" s="496">
        <f>SUM(K58:K62)</f>
        <v>1500000</v>
      </c>
      <c r="L63" s="1461"/>
      <c r="M63" s="1461"/>
      <c r="N63" s="1461"/>
      <c r="O63" s="1461"/>
      <c r="P63" s="1461"/>
      <c r="Q63" s="1461"/>
      <c r="R63" s="1462"/>
      <c r="S63" s="346">
        <f>SUM(S58:S62)</f>
        <v>1500000</v>
      </c>
      <c r="T63" s="1463"/>
      <c r="U63" s="1461"/>
      <c r="V63" s="1461"/>
      <c r="W63" s="1461"/>
      <c r="X63" s="1461"/>
      <c r="Y63" s="1461"/>
      <c r="Z63" s="1462"/>
      <c r="AA63" s="346">
        <f>SUM(AA58:AA62)</f>
        <v>1500000</v>
      </c>
      <c r="AB63" s="1463"/>
      <c r="AC63" s="1461"/>
      <c r="AD63" s="1461"/>
      <c r="AE63" s="1461"/>
      <c r="AF63" s="1461"/>
      <c r="AG63" s="1461"/>
      <c r="AH63" s="1462"/>
      <c r="AI63" s="346">
        <f>SUM(AI58:AI62)</f>
        <v>1500000</v>
      </c>
      <c r="AJ63" s="1463"/>
      <c r="AK63" s="1461"/>
      <c r="AL63" s="1461"/>
      <c r="AM63" s="1461"/>
      <c r="AN63" s="1461"/>
      <c r="AO63" s="1461"/>
      <c r="AP63" s="1462"/>
      <c r="AQ63" s="346">
        <f>SUM(AQ58:AQ62)</f>
        <v>1500000</v>
      </c>
      <c r="AR63" s="1463"/>
      <c r="AS63" s="1461"/>
      <c r="AT63" s="1461"/>
      <c r="AU63" s="1461"/>
      <c r="AV63" s="1461"/>
      <c r="AW63" s="1461"/>
      <c r="AX63" s="1462"/>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x14ac:dyDescent="0.25">
      <c r="A64" s="1535" t="s">
        <v>450</v>
      </c>
      <c r="B64" s="1535"/>
      <c r="C64" s="1535"/>
      <c r="D64" s="611" t="s">
        <v>15</v>
      </c>
      <c r="E64" s="611" t="s">
        <v>361</v>
      </c>
      <c r="F64" s="1536"/>
      <c r="G64" s="1536"/>
      <c r="H64" s="1536"/>
      <c r="I64" s="1536"/>
      <c r="J64" s="1536"/>
      <c r="K64" s="459"/>
      <c r="L64" s="1176" t="s">
        <v>15</v>
      </c>
      <c r="M64" s="611" t="s">
        <v>361</v>
      </c>
      <c r="N64" s="1537"/>
      <c r="O64" s="1420"/>
      <c r="P64" s="1420"/>
      <c r="Q64" s="1420"/>
      <c r="R64" s="1421"/>
      <c r="S64" s="424"/>
      <c r="T64" s="390" t="s">
        <v>15</v>
      </c>
      <c r="U64" s="611" t="s">
        <v>361</v>
      </c>
      <c r="V64" s="1537"/>
      <c r="W64" s="1420"/>
      <c r="X64" s="1420"/>
      <c r="Y64" s="1420"/>
      <c r="Z64" s="1420"/>
      <c r="AA64" s="1538"/>
      <c r="AB64" s="390" t="s">
        <v>15</v>
      </c>
      <c r="AC64" s="611" t="s">
        <v>361</v>
      </c>
      <c r="AD64" s="1537"/>
      <c r="AE64" s="1420"/>
      <c r="AF64" s="1420"/>
      <c r="AG64" s="1420"/>
      <c r="AH64" s="1421"/>
      <c r="AI64" s="424"/>
      <c r="AJ64" s="390" t="s">
        <v>15</v>
      </c>
      <c r="AK64" s="611" t="s">
        <v>361</v>
      </c>
      <c r="AL64" s="1537"/>
      <c r="AM64" s="1420"/>
      <c r="AN64" s="1420"/>
      <c r="AO64" s="1420"/>
      <c r="AP64" s="1421"/>
      <c r="AQ64" s="424"/>
      <c r="AR64" s="390" t="s">
        <v>15</v>
      </c>
      <c r="AS64" s="611" t="s">
        <v>361</v>
      </c>
      <c r="AT64" s="1537"/>
      <c r="AU64" s="1420"/>
      <c r="AV64" s="1420"/>
      <c r="AW64" s="1420"/>
      <c r="AX64" s="1420"/>
      <c r="AY64" s="1420"/>
      <c r="AZ64" s="1420"/>
      <c r="BA64" s="1548"/>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x14ac:dyDescent="0.25">
      <c r="A65" s="486"/>
      <c r="B65" s="296" t="s">
        <v>363</v>
      </c>
      <c r="C65" s="486"/>
      <c r="D65" s="491">
        <v>1500000</v>
      </c>
      <c r="E65" s="356">
        <v>0.1</v>
      </c>
      <c r="F65" s="1536"/>
      <c r="G65" s="1536"/>
      <c r="H65" s="1536"/>
      <c r="I65" s="1536"/>
      <c r="J65" s="1536"/>
      <c r="K65" s="477">
        <f>D65*E65</f>
        <v>150000</v>
      </c>
      <c r="L65" s="434">
        <v>1500000</v>
      </c>
      <c r="M65" s="356">
        <v>0.1</v>
      </c>
      <c r="N65" s="1509"/>
      <c r="O65" s="1489"/>
      <c r="P65" s="1489"/>
      <c r="Q65" s="1489"/>
      <c r="R65" s="1490"/>
      <c r="S65" s="300">
        <f>L65*M65</f>
        <v>150000</v>
      </c>
      <c r="T65" s="434">
        <v>1500000</v>
      </c>
      <c r="U65" s="356">
        <v>0.1</v>
      </c>
      <c r="V65" s="1509"/>
      <c r="W65" s="1489"/>
      <c r="X65" s="1489"/>
      <c r="Y65" s="1489"/>
      <c r="Z65" s="1490"/>
      <c r="AA65" s="300">
        <f>T65*U65</f>
        <v>150000</v>
      </c>
      <c r="AB65" s="434">
        <v>1500000</v>
      </c>
      <c r="AC65" s="356">
        <v>0.1</v>
      </c>
      <c r="AD65" s="1509"/>
      <c r="AE65" s="1489"/>
      <c r="AF65" s="1489"/>
      <c r="AG65" s="1489"/>
      <c r="AH65" s="1490"/>
      <c r="AI65" s="300">
        <f>AB65*AC65</f>
        <v>150000</v>
      </c>
      <c r="AJ65" s="434">
        <v>1500000</v>
      </c>
      <c r="AK65" s="356">
        <v>0.1</v>
      </c>
      <c r="AL65" s="1509"/>
      <c r="AM65" s="1489"/>
      <c r="AN65" s="1489"/>
      <c r="AO65" s="1489"/>
      <c r="AP65" s="1490"/>
      <c r="AQ65" s="300">
        <f>AJ65*AK65</f>
        <v>150000</v>
      </c>
      <c r="AR65" s="434">
        <v>1500000</v>
      </c>
      <c r="AS65" s="439">
        <v>0.1</v>
      </c>
      <c r="AT65" s="1509"/>
      <c r="AU65" s="1489"/>
      <c r="AV65" s="1489"/>
      <c r="AW65" s="1489"/>
      <c r="AX65" s="1490"/>
      <c r="AY65" s="406">
        <f>AR65*AS65</f>
        <v>150000</v>
      </c>
      <c r="AZ65" s="1408"/>
      <c r="BA65" s="431">
        <f>K65+S65+AA65+AI65+AQ65+AY65</f>
        <v>900000</v>
      </c>
    </row>
    <row r="66" spans="1:538" x14ac:dyDescent="0.25">
      <c r="A66" s="486"/>
      <c r="B66" s="296" t="s">
        <v>451</v>
      </c>
      <c r="C66" s="486"/>
      <c r="D66" s="492">
        <v>0</v>
      </c>
      <c r="E66" s="356">
        <v>0</v>
      </c>
      <c r="F66" s="1536"/>
      <c r="G66" s="1536"/>
      <c r="H66" s="1536"/>
      <c r="I66" s="1536"/>
      <c r="J66" s="1536"/>
      <c r="K66" s="477">
        <f>D66*E66</f>
        <v>0</v>
      </c>
      <c r="L66" s="434">
        <v>0</v>
      </c>
      <c r="M66" s="356">
        <v>0.1</v>
      </c>
      <c r="N66" s="1510"/>
      <c r="O66" s="1492"/>
      <c r="P66" s="1492"/>
      <c r="Q66" s="1492"/>
      <c r="R66" s="1493"/>
      <c r="S66" s="300">
        <f>L66*M66</f>
        <v>0</v>
      </c>
      <c r="T66" s="435">
        <v>0</v>
      </c>
      <c r="U66" s="356">
        <v>0</v>
      </c>
      <c r="V66" s="1510"/>
      <c r="W66" s="1492"/>
      <c r="X66" s="1492"/>
      <c r="Y66" s="1492"/>
      <c r="Z66" s="1493"/>
      <c r="AA66" s="300">
        <f>T66*U66</f>
        <v>0</v>
      </c>
      <c r="AB66" s="435">
        <v>0</v>
      </c>
      <c r="AC66" s="356">
        <v>0</v>
      </c>
      <c r="AD66" s="1510"/>
      <c r="AE66" s="1492"/>
      <c r="AF66" s="1492"/>
      <c r="AG66" s="1492"/>
      <c r="AH66" s="1493"/>
      <c r="AI66" s="300">
        <f>AB66*AC66</f>
        <v>0</v>
      </c>
      <c r="AJ66" s="440"/>
      <c r="AK66" s="356">
        <v>0</v>
      </c>
      <c r="AL66" s="1510"/>
      <c r="AM66" s="1492"/>
      <c r="AN66" s="1492"/>
      <c r="AO66" s="1492"/>
      <c r="AP66" s="1493"/>
      <c r="AQ66" s="300">
        <f>AJ66*AK66</f>
        <v>0</v>
      </c>
      <c r="AR66" s="438">
        <v>0</v>
      </c>
      <c r="AS66" s="439">
        <v>0</v>
      </c>
      <c r="AT66" s="1510"/>
      <c r="AU66" s="1492"/>
      <c r="AV66" s="1492"/>
      <c r="AW66" s="1492"/>
      <c r="AX66" s="1493"/>
      <c r="AY66" s="406">
        <f>AR66*AS66</f>
        <v>0</v>
      </c>
      <c r="AZ66" s="1409"/>
      <c r="BA66" s="431">
        <f>K66+S66+AA66+AI66+AQ66+AY66</f>
        <v>0</v>
      </c>
    </row>
    <row r="67" spans="1:538" s="391" customFormat="1" x14ac:dyDescent="0.25">
      <c r="A67" s="1556" t="s">
        <v>256</v>
      </c>
      <c r="B67" s="1557"/>
      <c r="C67" s="1558"/>
      <c r="D67" s="1559"/>
      <c r="E67" s="1550"/>
      <c r="F67" s="1560"/>
      <c r="G67" s="1560"/>
      <c r="H67" s="1560"/>
      <c r="I67" s="1560"/>
      <c r="J67" s="1560"/>
      <c r="K67" s="493">
        <f>SUM(K64:K66)</f>
        <v>150000</v>
      </c>
      <c r="L67" s="1550"/>
      <c r="M67" s="1550"/>
      <c r="N67" s="1550"/>
      <c r="O67" s="1550"/>
      <c r="P67" s="1550"/>
      <c r="Q67" s="1550"/>
      <c r="R67" s="1551"/>
      <c r="S67" s="421">
        <f>SUM(S64:S66)</f>
        <v>150000</v>
      </c>
      <c r="T67" s="1559"/>
      <c r="U67" s="1550"/>
      <c r="V67" s="1550"/>
      <c r="W67" s="1550"/>
      <c r="X67" s="1550"/>
      <c r="Y67" s="1550"/>
      <c r="Z67" s="1561"/>
      <c r="AA67" s="428">
        <f>SUM(AA64:AA66)</f>
        <v>150000</v>
      </c>
      <c r="AB67" s="1559"/>
      <c r="AC67" s="1550"/>
      <c r="AD67" s="1550"/>
      <c r="AE67" s="1550"/>
      <c r="AF67" s="1550"/>
      <c r="AG67" s="1550"/>
      <c r="AH67" s="1561"/>
      <c r="AI67" s="361">
        <f>SUM(AI64:AI66)</f>
        <v>150000</v>
      </c>
      <c r="AJ67" s="1549"/>
      <c r="AK67" s="1550"/>
      <c r="AL67" s="1550"/>
      <c r="AM67" s="1550"/>
      <c r="AN67" s="1550"/>
      <c r="AO67" s="1550"/>
      <c r="AP67" s="1551"/>
      <c r="AQ67" s="355">
        <f>SUM(AQ64:AQ66)</f>
        <v>150000</v>
      </c>
      <c r="AR67" s="1549"/>
      <c r="AS67" s="1550"/>
      <c r="AT67" s="1550"/>
      <c r="AU67" s="1550"/>
      <c r="AV67" s="1550"/>
      <c r="AW67" s="1550"/>
      <c r="AX67" s="1551"/>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 x14ac:dyDescent="0.25">
      <c r="A68" s="1552" t="s">
        <v>258</v>
      </c>
      <c r="B68" s="1552"/>
      <c r="C68" s="1552"/>
      <c r="D68" s="1553"/>
      <c r="E68" s="1553"/>
      <c r="F68" s="1553"/>
      <c r="G68" s="1553"/>
      <c r="H68" s="1553"/>
      <c r="I68" s="1553"/>
      <c r="J68" s="1553"/>
      <c r="K68" s="499" t="e">
        <f>F39+K42+K45+K51+K57+K63+K67</f>
        <v>#REF!</v>
      </c>
      <c r="L68" s="449"/>
      <c r="M68" s="449"/>
      <c r="N68" s="449"/>
      <c r="O68" s="449"/>
      <c r="P68" s="449"/>
      <c r="Q68" s="449"/>
      <c r="R68" s="450"/>
      <c r="S68" s="339" t="e">
        <f>N39+S42+S45+S51+S57+S63+S67</f>
        <v>#REF!</v>
      </c>
      <c r="T68" s="1554"/>
      <c r="U68" s="1553"/>
      <c r="V68" s="1553"/>
      <c r="W68" s="1553"/>
      <c r="X68" s="1553"/>
      <c r="Y68" s="1553"/>
      <c r="Z68" s="1555"/>
      <c r="AA68" s="339" t="e">
        <f>V39+AA42+AA45+AA51+AA57+AA63+AA67</f>
        <v>#REF!</v>
      </c>
      <c r="AB68" s="1554"/>
      <c r="AC68" s="1553"/>
      <c r="AD68" s="1553"/>
      <c r="AE68" s="1553"/>
      <c r="AF68" s="1553"/>
      <c r="AG68" s="1553"/>
      <c r="AH68" s="1555"/>
      <c r="AI68" s="339" t="e">
        <f>AD39+AI42+AI45+AI51+AI57+AI63+AI67</f>
        <v>#REF!</v>
      </c>
      <c r="AJ68" s="1554"/>
      <c r="AK68" s="1553"/>
      <c r="AL68" s="1553"/>
      <c r="AM68" s="1553"/>
      <c r="AN68" s="1553"/>
      <c r="AO68" s="1553"/>
      <c r="AP68" s="1555"/>
      <c r="AQ68" s="339" t="e">
        <f>AL39+AQ42+AQ45+AQ51+AQ57+AQ63+AQ67</f>
        <v>#REF!</v>
      </c>
      <c r="AR68" s="1554"/>
      <c r="AS68" s="1553"/>
      <c r="AT68" s="1553"/>
      <c r="AU68" s="1553"/>
      <c r="AV68" s="1553"/>
      <c r="AW68" s="1553"/>
      <c r="AX68" s="1555"/>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x14ac:dyDescent="0.25">
      <c r="A69" s="1567" t="s">
        <v>452</v>
      </c>
      <c r="B69" s="1567"/>
      <c r="C69" s="1567"/>
      <c r="D69" s="1179" t="s">
        <v>15</v>
      </c>
      <c r="E69" s="394" t="s">
        <v>361</v>
      </c>
      <c r="F69" s="1562"/>
      <c r="G69" s="1563"/>
      <c r="H69" s="1563"/>
      <c r="I69" s="1563"/>
      <c r="J69" s="1564"/>
      <c r="K69" s="457"/>
      <c r="L69" s="1179" t="s">
        <v>15</v>
      </c>
      <c r="M69" s="394" t="s">
        <v>361</v>
      </c>
      <c r="N69" s="1562"/>
      <c r="O69" s="1563"/>
      <c r="P69" s="1563"/>
      <c r="Q69" s="1563"/>
      <c r="R69" s="1564"/>
      <c r="S69" s="425"/>
      <c r="T69" s="393" t="s">
        <v>15</v>
      </c>
      <c r="U69" s="394" t="s">
        <v>361</v>
      </c>
      <c r="V69" s="1562"/>
      <c r="W69" s="1563"/>
      <c r="X69" s="1563"/>
      <c r="Y69" s="1563"/>
      <c r="Z69" s="1563"/>
      <c r="AA69" s="1568"/>
      <c r="AB69" s="393" t="s">
        <v>15</v>
      </c>
      <c r="AC69" s="394" t="s">
        <v>361</v>
      </c>
      <c r="AD69" s="1569"/>
      <c r="AE69" s="1565"/>
      <c r="AF69" s="1565"/>
      <c r="AG69" s="1565"/>
      <c r="AH69" s="1570"/>
      <c r="AI69" s="354"/>
      <c r="AJ69" s="393" t="s">
        <v>15</v>
      </c>
      <c r="AK69" s="394" t="s">
        <v>361</v>
      </c>
      <c r="AL69" s="1562"/>
      <c r="AM69" s="1563"/>
      <c r="AN69" s="1563"/>
      <c r="AO69" s="1563"/>
      <c r="AP69" s="1564"/>
      <c r="AQ69" s="425"/>
      <c r="AR69" s="393" t="s">
        <v>15</v>
      </c>
      <c r="AS69" s="394" t="s">
        <v>361</v>
      </c>
      <c r="AT69" s="1562"/>
      <c r="AU69" s="1563"/>
      <c r="AV69" s="1563"/>
      <c r="AW69" s="1563"/>
      <c r="AX69" s="1563"/>
      <c r="AY69" s="1563"/>
      <c r="AZ69" s="1565"/>
      <c r="BA69" s="1566"/>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x14ac:dyDescent="0.25">
      <c r="A70" s="504"/>
      <c r="B70" s="609" t="str">
        <f>IF(LaborCollection="Academia","F&amp;A","G&amp;A")</f>
        <v>G&amp;A</v>
      </c>
      <c r="C70" s="504"/>
      <c r="D70" s="422" t="e">
        <f>K68</f>
        <v>#REF!</v>
      </c>
      <c r="E70" s="356">
        <v>0.1</v>
      </c>
      <c r="F70" s="1509"/>
      <c r="G70" s="1489"/>
      <c r="H70" s="1489"/>
      <c r="I70" s="1489"/>
      <c r="J70" s="1489"/>
      <c r="K70" s="477" t="e">
        <f>D70*E70</f>
        <v>#REF!</v>
      </c>
      <c r="L70" s="303" t="e">
        <f>S68</f>
        <v>#REF!</v>
      </c>
      <c r="M70" s="356">
        <v>0.1</v>
      </c>
      <c r="N70" s="1509"/>
      <c r="O70" s="1489"/>
      <c r="P70" s="1489"/>
      <c r="Q70" s="1489"/>
      <c r="R70" s="1490"/>
      <c r="S70" s="300" t="e">
        <f>L70*M70</f>
        <v>#REF!</v>
      </c>
      <c r="T70" s="434" t="e">
        <f>AA68</f>
        <v>#REF!</v>
      </c>
      <c r="U70" s="356">
        <v>0.1</v>
      </c>
      <c r="V70" s="1509"/>
      <c r="W70" s="1489"/>
      <c r="X70" s="1489"/>
      <c r="Y70" s="1489"/>
      <c r="Z70" s="1490"/>
      <c r="AA70" s="300" t="e">
        <f>T70*U70</f>
        <v>#REF!</v>
      </c>
      <c r="AB70" s="434" t="e">
        <f>AI68</f>
        <v>#REF!</v>
      </c>
      <c r="AC70" s="356">
        <v>0</v>
      </c>
      <c r="AD70" s="1509"/>
      <c r="AE70" s="1489"/>
      <c r="AF70" s="1489"/>
      <c r="AG70" s="1489"/>
      <c r="AH70" s="1490"/>
      <c r="AI70" s="302" t="e">
        <f>AB70*AC70</f>
        <v>#REF!</v>
      </c>
      <c r="AJ70" s="434" t="e">
        <f>AQ68</f>
        <v>#REF!</v>
      </c>
      <c r="AK70" s="356">
        <v>0</v>
      </c>
      <c r="AL70" s="328"/>
      <c r="AM70" s="308"/>
      <c r="AN70" s="308"/>
      <c r="AO70" s="308"/>
      <c r="AP70" s="329"/>
      <c r="AQ70" s="300" t="e">
        <f>AJ70*AK70</f>
        <v>#REF!</v>
      </c>
      <c r="AR70" s="438" t="e">
        <f>AY39+AY42+AY45+AY51+AY57+AY63+AY67</f>
        <v>#REF!</v>
      </c>
      <c r="AS70" s="356">
        <v>0</v>
      </c>
      <c r="AT70" s="1509"/>
      <c r="AU70" s="1489"/>
      <c r="AV70" s="1489"/>
      <c r="AW70" s="1489"/>
      <c r="AX70" s="1490"/>
      <c r="AY70" s="406" t="e">
        <f>AR70*AS70</f>
        <v>#REF!</v>
      </c>
      <c r="AZ70" s="1408"/>
      <c r="BA70" s="431" t="e">
        <f>K70+S70+AA70+AI70+AQ70+AY70</f>
        <v>#REF!</v>
      </c>
    </row>
    <row r="71" spans="1:538" x14ac:dyDescent="0.25">
      <c r="A71" s="504"/>
      <c r="B71" s="296" t="s">
        <v>453</v>
      </c>
      <c r="C71" s="504"/>
      <c r="D71" s="436">
        <v>0</v>
      </c>
      <c r="E71" s="356">
        <v>0</v>
      </c>
      <c r="F71" s="1510"/>
      <c r="G71" s="1492"/>
      <c r="H71" s="1492"/>
      <c r="I71" s="1492"/>
      <c r="J71" s="1492"/>
      <c r="K71" s="477">
        <f>D71*E71</f>
        <v>0</v>
      </c>
      <c r="L71" s="434">
        <v>0</v>
      </c>
      <c r="M71" s="356">
        <v>0</v>
      </c>
      <c r="N71" s="1510"/>
      <c r="O71" s="1492"/>
      <c r="P71" s="1492"/>
      <c r="Q71" s="1492"/>
      <c r="R71" s="1493"/>
      <c r="S71" s="300">
        <f>L71*M71</f>
        <v>0</v>
      </c>
      <c r="T71" s="436">
        <v>0</v>
      </c>
      <c r="U71" s="356">
        <v>0</v>
      </c>
      <c r="V71" s="1510"/>
      <c r="W71" s="1492"/>
      <c r="X71" s="1492"/>
      <c r="Y71" s="1492"/>
      <c r="Z71" s="1493"/>
      <c r="AA71" s="300">
        <f>T71*U71</f>
        <v>0</v>
      </c>
      <c r="AB71" s="434">
        <v>0</v>
      </c>
      <c r="AC71" s="356">
        <v>0</v>
      </c>
      <c r="AD71" s="1510"/>
      <c r="AE71" s="1492"/>
      <c r="AF71" s="1492"/>
      <c r="AG71" s="1492"/>
      <c r="AH71" s="1493"/>
      <c r="AI71" s="302">
        <f>AB71*AC71</f>
        <v>0</v>
      </c>
      <c r="AJ71" s="434">
        <v>0</v>
      </c>
      <c r="AK71" s="356">
        <v>0</v>
      </c>
      <c r="AL71" s="295"/>
      <c r="AM71" s="330"/>
      <c r="AN71" s="330"/>
      <c r="AO71" s="330"/>
      <c r="AP71" s="331"/>
      <c r="AQ71" s="300">
        <f>AJ71*AK71</f>
        <v>0</v>
      </c>
      <c r="AR71" s="438" t="e">
        <f>AY40+AY43+AY46+AY52+AY58+AY64+AY68</f>
        <v>#REF!</v>
      </c>
      <c r="AS71" s="356">
        <v>0</v>
      </c>
      <c r="AT71" s="1510"/>
      <c r="AU71" s="1492"/>
      <c r="AV71" s="1492"/>
      <c r="AW71" s="1492"/>
      <c r="AX71" s="1493"/>
      <c r="AY71" s="406" t="e">
        <f>AR71*AS71</f>
        <v>#REF!</v>
      </c>
      <c r="AZ71" s="1409"/>
      <c r="BA71" s="431" t="e">
        <f>K71+S71+AA71+AI71+AQ71+AY71</f>
        <v>#REF!</v>
      </c>
    </row>
    <row r="72" spans="1:538" s="363" customFormat="1" x14ac:dyDescent="0.25">
      <c r="A72" s="1577" t="s">
        <v>260</v>
      </c>
      <c r="B72" s="1577"/>
      <c r="C72" s="1577"/>
      <c r="D72" s="1572"/>
      <c r="E72" s="1572"/>
      <c r="F72" s="1572"/>
      <c r="G72" s="1572"/>
      <c r="H72" s="1572"/>
      <c r="I72" s="1572"/>
      <c r="J72" s="1572"/>
      <c r="K72" s="458" t="e">
        <f>SUM(K69:K71)</f>
        <v>#REF!</v>
      </c>
      <c r="L72" s="1572"/>
      <c r="M72" s="1572"/>
      <c r="N72" s="1572"/>
      <c r="O72" s="1572"/>
      <c r="P72" s="1572"/>
      <c r="Q72" s="1572"/>
      <c r="R72" s="1573"/>
      <c r="S72" s="420" t="e">
        <f>SUM(S70:S71)</f>
        <v>#REF!</v>
      </c>
      <c r="T72" s="1578"/>
      <c r="U72" s="1572"/>
      <c r="V72" s="1572"/>
      <c r="W72" s="1572"/>
      <c r="X72" s="1572"/>
      <c r="Y72" s="1572"/>
      <c r="Z72" s="1579"/>
      <c r="AA72" s="413" t="e">
        <f>SUM(AA70:AA71)</f>
        <v>#REF!</v>
      </c>
      <c r="AB72" s="1571"/>
      <c r="AC72" s="1572"/>
      <c r="AD72" s="1572"/>
      <c r="AE72" s="1572"/>
      <c r="AF72" s="1572"/>
      <c r="AG72" s="1572"/>
      <c r="AH72" s="1573"/>
      <c r="AI72" s="353" t="e">
        <f>SUM(AI70:AI71)</f>
        <v>#REF!</v>
      </c>
      <c r="AJ72" s="1571"/>
      <c r="AK72" s="1572"/>
      <c r="AL72" s="1572"/>
      <c r="AM72" s="1572"/>
      <c r="AN72" s="1572"/>
      <c r="AO72" s="1572"/>
      <c r="AP72" s="1573"/>
      <c r="AQ72" s="353" t="e">
        <f>SUM(AQ70:AQ71)</f>
        <v>#REF!</v>
      </c>
      <c r="AR72" s="1571"/>
      <c r="AS72" s="1572"/>
      <c r="AT72" s="1572"/>
      <c r="AU72" s="1572"/>
      <c r="AV72" s="1572"/>
      <c r="AW72" s="1572"/>
      <c r="AX72" s="1572"/>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x14ac:dyDescent="0.25">
      <c r="A73" s="1552" t="s">
        <v>258</v>
      </c>
      <c r="B73" s="1552"/>
      <c r="C73" s="1552"/>
      <c r="D73" s="1574"/>
      <c r="E73" s="1574"/>
      <c r="F73" s="1574"/>
      <c r="G73" s="1574"/>
      <c r="H73" s="1574"/>
      <c r="I73" s="1574"/>
      <c r="J73" s="1574"/>
      <c r="K73" s="499" t="e">
        <f>K68+K72</f>
        <v>#REF!</v>
      </c>
      <c r="L73" s="1574"/>
      <c r="M73" s="1574"/>
      <c r="N73" s="1574"/>
      <c r="O73" s="1574"/>
      <c r="P73" s="1574"/>
      <c r="Q73" s="1574"/>
      <c r="R73" s="1575"/>
      <c r="S73" s="339" t="e">
        <f>S68+S72</f>
        <v>#REF!</v>
      </c>
      <c r="T73" s="1576"/>
      <c r="U73" s="1574"/>
      <c r="V73" s="1574"/>
      <c r="W73" s="1574"/>
      <c r="X73" s="1574"/>
      <c r="Y73" s="1574"/>
      <c r="Z73" s="1575"/>
      <c r="AA73" s="339" t="e">
        <f>AA68+AA72</f>
        <v>#REF!</v>
      </c>
      <c r="AB73" s="1576"/>
      <c r="AC73" s="1574"/>
      <c r="AD73" s="1574"/>
      <c r="AE73" s="1574"/>
      <c r="AF73" s="1574"/>
      <c r="AG73" s="1574"/>
      <c r="AH73" s="1575"/>
      <c r="AI73" s="339" t="e">
        <f>AI68+AI72</f>
        <v>#REF!</v>
      </c>
      <c r="AJ73" s="1576"/>
      <c r="AK73" s="1574"/>
      <c r="AL73" s="1574"/>
      <c r="AM73" s="1574"/>
      <c r="AN73" s="1574"/>
      <c r="AO73" s="1574"/>
      <c r="AP73" s="1575"/>
      <c r="AQ73" s="339" t="e">
        <f>AQ68+AQ72</f>
        <v>#REF!</v>
      </c>
      <c r="AR73" s="1576"/>
      <c r="AS73" s="1574"/>
      <c r="AT73" s="1574"/>
      <c r="AU73" s="1574"/>
      <c r="AV73" s="1574"/>
      <c r="AW73" s="1574"/>
      <c r="AX73" s="1575"/>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x14ac:dyDescent="0.25">
      <c r="A74" s="1585" t="s">
        <v>454</v>
      </c>
      <c r="B74" s="1585"/>
      <c r="C74" s="1585"/>
      <c r="D74" s="1181" t="s">
        <v>15</v>
      </c>
      <c r="E74" s="1180" t="s">
        <v>361</v>
      </c>
      <c r="F74" s="1580"/>
      <c r="G74" s="1581"/>
      <c r="H74" s="1581"/>
      <c r="I74" s="1581"/>
      <c r="J74" s="1581"/>
      <c r="K74" s="500"/>
      <c r="L74" s="1181" t="s">
        <v>15</v>
      </c>
      <c r="M74" s="399" t="s">
        <v>361</v>
      </c>
      <c r="N74" s="1586"/>
      <c r="O74" s="1582"/>
      <c r="P74" s="1582"/>
      <c r="Q74" s="1582"/>
      <c r="R74" s="1587"/>
      <c r="S74" s="400"/>
      <c r="T74" s="397" t="s">
        <v>15</v>
      </c>
      <c r="U74" s="399" t="s">
        <v>361</v>
      </c>
      <c r="V74" s="1580"/>
      <c r="W74" s="1581"/>
      <c r="X74" s="1581"/>
      <c r="Y74" s="1581"/>
      <c r="Z74" s="1581"/>
      <c r="AA74" s="1588"/>
      <c r="AB74" s="397" t="s">
        <v>15</v>
      </c>
      <c r="AC74" s="399" t="s">
        <v>361</v>
      </c>
      <c r="AD74" s="1580"/>
      <c r="AE74" s="1581"/>
      <c r="AF74" s="1581"/>
      <c r="AG74" s="1581"/>
      <c r="AH74" s="1583"/>
      <c r="AI74" s="398"/>
      <c r="AJ74" s="397" t="s">
        <v>15</v>
      </c>
      <c r="AK74" s="399" t="s">
        <v>361</v>
      </c>
      <c r="AL74" s="416"/>
      <c r="AM74" s="417"/>
      <c r="AN74" s="417"/>
      <c r="AO74" s="417"/>
      <c r="AP74" s="418"/>
      <c r="AQ74" s="400"/>
      <c r="AR74" s="397" t="s">
        <v>15</v>
      </c>
      <c r="AS74" s="399" t="s">
        <v>361</v>
      </c>
      <c r="AT74" s="1580"/>
      <c r="AU74" s="1581"/>
      <c r="AV74" s="1581"/>
      <c r="AW74" s="1581"/>
      <c r="AX74" s="1581"/>
      <c r="AY74" s="1581"/>
      <c r="AZ74" s="1582"/>
      <c r="BA74" s="1583"/>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x14ac:dyDescent="0.25">
      <c r="A75" s="505"/>
      <c r="B75" s="296" t="s">
        <v>455</v>
      </c>
      <c r="C75" s="505"/>
      <c r="D75" s="434">
        <v>0</v>
      </c>
      <c r="E75" s="301">
        <v>0</v>
      </c>
      <c r="F75" s="1584"/>
      <c r="G75" s="1486"/>
      <c r="H75" s="1486"/>
      <c r="I75" s="1486"/>
      <c r="J75" s="1486"/>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584"/>
      <c r="AE75" s="1486"/>
      <c r="AF75" s="1486"/>
      <c r="AG75" s="1486"/>
      <c r="AH75" s="1487"/>
      <c r="AI75" s="300">
        <f>AB75*AC75</f>
        <v>0</v>
      </c>
      <c r="AJ75" s="434">
        <v>0</v>
      </c>
      <c r="AK75" s="356">
        <v>0</v>
      </c>
      <c r="AL75" s="328"/>
      <c r="AM75" s="308"/>
      <c r="AN75" s="308"/>
      <c r="AO75" s="308"/>
      <c r="AP75" s="329"/>
      <c r="AQ75" s="300">
        <f>AJ75*AK75</f>
        <v>0</v>
      </c>
      <c r="AR75" s="434">
        <v>0</v>
      </c>
      <c r="AS75" s="356">
        <v>0</v>
      </c>
      <c r="AT75" s="1584"/>
      <c r="AU75" s="1486"/>
      <c r="AV75" s="1486"/>
      <c r="AW75" s="1486"/>
      <c r="AX75" s="1487"/>
      <c r="AY75" s="460">
        <f>AR75*AS75</f>
        <v>0</v>
      </c>
      <c r="AZ75" s="1408"/>
      <c r="BA75" s="461">
        <f t="shared" ref="BA75:BA80" si="27">K75+S75+AA75+AI75+AQ75+AY75</f>
        <v>0</v>
      </c>
    </row>
    <row r="76" spans="1:538" x14ac:dyDescent="0.25">
      <c r="A76" s="505"/>
      <c r="B76" s="296" t="s">
        <v>456</v>
      </c>
      <c r="C76" s="505"/>
      <c r="D76" s="434">
        <v>0</v>
      </c>
      <c r="E76" s="356">
        <v>0</v>
      </c>
      <c r="F76" s="1510"/>
      <c r="G76" s="1492"/>
      <c r="H76" s="1492"/>
      <c r="I76" s="1492"/>
      <c r="J76" s="1492"/>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510"/>
      <c r="AE76" s="1492"/>
      <c r="AF76" s="1492"/>
      <c r="AG76" s="1492"/>
      <c r="AH76" s="1493"/>
      <c r="AI76" s="300">
        <f>AB76*AC76</f>
        <v>0</v>
      </c>
      <c r="AJ76" s="434">
        <v>0</v>
      </c>
      <c r="AK76" s="356">
        <v>0</v>
      </c>
      <c r="AL76" s="295"/>
      <c r="AM76" s="330"/>
      <c r="AN76" s="330"/>
      <c r="AO76" s="330"/>
      <c r="AP76" s="331"/>
      <c r="AQ76" s="300">
        <f>AJ76*AK76</f>
        <v>0</v>
      </c>
      <c r="AR76" s="434">
        <v>0</v>
      </c>
      <c r="AS76" s="356">
        <v>0</v>
      </c>
      <c r="AT76" s="1510"/>
      <c r="AU76" s="1492"/>
      <c r="AV76" s="1492"/>
      <c r="AW76" s="1492"/>
      <c r="AX76" s="1493"/>
      <c r="AY76" s="406">
        <f>AR76*AS76</f>
        <v>0</v>
      </c>
      <c r="AZ76" s="1409"/>
      <c r="BA76" s="431">
        <f t="shared" si="27"/>
        <v>0</v>
      </c>
    </row>
    <row r="77" spans="1:538" s="396" customFormat="1" x14ac:dyDescent="0.25">
      <c r="A77" s="1600" t="s">
        <v>262</v>
      </c>
      <c r="B77" s="1600"/>
      <c r="C77" s="1600"/>
      <c r="D77" s="1590"/>
      <c r="E77" s="1590"/>
      <c r="F77" s="1590"/>
      <c r="G77" s="1590"/>
      <c r="H77" s="1590"/>
      <c r="I77" s="1590"/>
      <c r="J77" s="1590"/>
      <c r="K77" s="501">
        <f>SUM(K74:K76)</f>
        <v>0</v>
      </c>
      <c r="L77" s="1590"/>
      <c r="M77" s="1590"/>
      <c r="N77" s="1590"/>
      <c r="O77" s="1590"/>
      <c r="P77" s="1590"/>
      <c r="Q77" s="1590"/>
      <c r="R77" s="1591"/>
      <c r="S77" s="419">
        <f>SUM(S75:S76)</f>
        <v>0</v>
      </c>
      <c r="T77" s="1601"/>
      <c r="U77" s="1590"/>
      <c r="V77" s="1590"/>
      <c r="W77" s="1590"/>
      <c r="X77" s="1590"/>
      <c r="Y77" s="1590"/>
      <c r="Z77" s="1602"/>
      <c r="AA77" s="365">
        <f>SUM(AA75:AA76)</f>
        <v>0</v>
      </c>
      <c r="AB77" s="1589"/>
      <c r="AC77" s="1590"/>
      <c r="AD77" s="1590"/>
      <c r="AE77" s="1590"/>
      <c r="AF77" s="1590"/>
      <c r="AG77" s="1590"/>
      <c r="AH77" s="1591"/>
      <c r="AI77" s="364">
        <f>SUM(AI75:AI76)</f>
        <v>0</v>
      </c>
      <c r="AJ77" s="1589"/>
      <c r="AK77" s="1590"/>
      <c r="AL77" s="1590"/>
      <c r="AM77" s="1590"/>
      <c r="AN77" s="1590"/>
      <c r="AO77" s="1590"/>
      <c r="AP77" s="1591"/>
      <c r="AQ77" s="364">
        <f>SUM(AQ75:AQ76)</f>
        <v>0</v>
      </c>
      <c r="AR77" s="1592"/>
      <c r="AS77" s="1593"/>
      <c r="AT77" s="1593"/>
      <c r="AU77" s="1593"/>
      <c r="AV77" s="1593"/>
      <c r="AW77" s="1593"/>
      <c r="AX77" s="1594"/>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x14ac:dyDescent="0.25">
      <c r="A78" s="1595" t="s">
        <v>457</v>
      </c>
      <c r="B78" s="1595"/>
      <c r="C78" s="1595"/>
      <c r="D78" s="1596"/>
      <c r="E78" s="1596"/>
      <c r="F78" s="1596"/>
      <c r="G78" s="1596"/>
      <c r="H78" s="1596"/>
      <c r="I78" s="1596"/>
      <c r="J78" s="1596"/>
      <c r="K78" s="502" t="e">
        <f>K73+K77</f>
        <v>#REF!</v>
      </c>
      <c r="L78" s="1597"/>
      <c r="M78" s="1597"/>
      <c r="N78" s="1597"/>
      <c r="O78" s="1597"/>
      <c r="P78" s="1597"/>
      <c r="Q78" s="1597"/>
      <c r="R78" s="1597"/>
      <c r="S78" s="508" t="e">
        <f>S73+S77</f>
        <v>#REF!</v>
      </c>
      <c r="T78" s="1598"/>
      <c r="U78" s="1596"/>
      <c r="V78" s="1596"/>
      <c r="W78" s="1596"/>
      <c r="X78" s="1596"/>
      <c r="Y78" s="1596"/>
      <c r="Z78" s="1599"/>
      <c r="AA78" s="305" t="e">
        <f>AA73+AA77</f>
        <v>#REF!</v>
      </c>
      <c r="AB78" s="1598"/>
      <c r="AC78" s="1596"/>
      <c r="AD78" s="1596"/>
      <c r="AE78" s="1596"/>
      <c r="AF78" s="1596"/>
      <c r="AG78" s="1596"/>
      <c r="AH78" s="1599"/>
      <c r="AI78" s="305" t="e">
        <f>AI73+AI77</f>
        <v>#REF!</v>
      </c>
      <c r="AJ78" s="1598"/>
      <c r="AK78" s="1596"/>
      <c r="AL78" s="1596"/>
      <c r="AM78" s="1596"/>
      <c r="AN78" s="1596"/>
      <c r="AO78" s="1596"/>
      <c r="AP78" s="1599"/>
      <c r="AQ78" s="305" t="e">
        <f>AQ73+AQ77</f>
        <v>#REF!</v>
      </c>
      <c r="AR78" s="1598"/>
      <c r="AS78" s="1596"/>
      <c r="AT78" s="1596"/>
      <c r="AU78" s="1596"/>
      <c r="AV78" s="1596"/>
      <c r="AW78" s="1596"/>
      <c r="AX78" s="1599"/>
      <c r="AY78" s="444" t="e">
        <f>AY73+AY77</f>
        <v>#REF!</v>
      </c>
      <c r="AZ78" s="466"/>
      <c r="BA78" s="306" t="e">
        <f t="shared" si="27"/>
        <v>#REF!</v>
      </c>
    </row>
    <row r="79" spans="1:538" s="405" customFormat="1" ht="20.149999999999999" customHeight="1" thickBot="1" x14ac:dyDescent="0.3">
      <c r="A79" s="1419" t="s">
        <v>458</v>
      </c>
      <c r="B79" s="1419"/>
      <c r="C79" s="506" t="s">
        <v>459</v>
      </c>
      <c r="D79" s="401" t="e">
        <f>K73</f>
        <v>#REF!</v>
      </c>
      <c r="E79" s="433">
        <v>0.06</v>
      </c>
      <c r="F79" s="1619"/>
      <c r="G79" s="1620"/>
      <c r="H79" s="1620"/>
      <c r="I79" s="1620"/>
      <c r="J79" s="1620"/>
      <c r="K79" s="475" t="e">
        <f>D79*E79</f>
        <v>#REF!</v>
      </c>
      <c r="L79" s="509" t="e">
        <f>S73</f>
        <v>#REF!</v>
      </c>
      <c r="M79" s="510">
        <v>0.06</v>
      </c>
      <c r="N79" s="1621"/>
      <c r="O79" s="1622"/>
      <c r="P79" s="1622"/>
      <c r="Q79" s="1622"/>
      <c r="R79" s="1623"/>
      <c r="S79" s="411" t="e">
        <f>L79*M79</f>
        <v>#REF!</v>
      </c>
      <c r="T79" s="402" t="e">
        <f>AA73</f>
        <v>#REF!</v>
      </c>
      <c r="U79" s="356">
        <v>0.06</v>
      </c>
      <c r="V79" s="1608"/>
      <c r="W79" s="1609"/>
      <c r="X79" s="1609"/>
      <c r="Y79" s="1609"/>
      <c r="Z79" s="1610"/>
      <c r="AA79" s="366" t="e">
        <f>T79*U79</f>
        <v>#REF!</v>
      </c>
      <c r="AB79" s="402" t="e">
        <f>AI73</f>
        <v>#REF!</v>
      </c>
      <c r="AC79" s="356">
        <v>0.06</v>
      </c>
      <c r="AD79" s="1608"/>
      <c r="AE79" s="1609"/>
      <c r="AF79" s="1609"/>
      <c r="AG79" s="1609"/>
      <c r="AH79" s="1610"/>
      <c r="AI79" s="366" t="e">
        <f>AB79*AC79</f>
        <v>#REF!</v>
      </c>
      <c r="AJ79" s="402" t="e">
        <f>AQ73</f>
        <v>#REF!</v>
      </c>
      <c r="AK79" s="356">
        <v>0.06</v>
      </c>
      <c r="AL79" s="1608"/>
      <c r="AM79" s="1609"/>
      <c r="AN79" s="1609"/>
      <c r="AO79" s="1609"/>
      <c r="AP79" s="1610"/>
      <c r="AQ79" s="366" t="e">
        <f>AJ79*AK79</f>
        <v>#REF!</v>
      </c>
      <c r="AR79" s="403" t="e">
        <f>AY73</f>
        <v>#REF!</v>
      </c>
      <c r="AS79" s="356">
        <v>0.06</v>
      </c>
      <c r="AT79" s="1611"/>
      <c r="AU79" s="1612"/>
      <c r="AV79" s="1612"/>
      <c r="AW79" s="1612"/>
      <c r="AX79" s="1613"/>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9" customHeight="1" thickBot="1" x14ac:dyDescent="0.3">
      <c r="A80" s="1614" t="s">
        <v>266</v>
      </c>
      <c r="B80" s="1614"/>
      <c r="C80" s="1614"/>
      <c r="D80" s="1615"/>
      <c r="E80" s="1615"/>
      <c r="F80" s="1615"/>
      <c r="G80" s="1615"/>
      <c r="H80" s="1615"/>
      <c r="I80" s="1615"/>
      <c r="J80" s="1615"/>
      <c r="K80" s="503" t="e">
        <f>K78+K79</f>
        <v>#REF!</v>
      </c>
      <c r="L80" s="1615"/>
      <c r="M80" s="1615"/>
      <c r="N80" s="1615"/>
      <c r="O80" s="1615"/>
      <c r="P80" s="1615"/>
      <c r="Q80" s="1615"/>
      <c r="R80" s="1615"/>
      <c r="S80" s="412" t="e">
        <f>S78+S79</f>
        <v>#REF!</v>
      </c>
      <c r="T80" s="1616"/>
      <c r="U80" s="1617"/>
      <c r="V80" s="1617"/>
      <c r="W80" s="1617"/>
      <c r="X80" s="1617"/>
      <c r="Y80" s="1617"/>
      <c r="Z80" s="1618"/>
      <c r="AA80" s="367" t="e">
        <f>AA78+AA79</f>
        <v>#REF!</v>
      </c>
      <c r="AB80" s="1616"/>
      <c r="AC80" s="1617"/>
      <c r="AD80" s="1617"/>
      <c r="AE80" s="1617"/>
      <c r="AF80" s="1617"/>
      <c r="AG80" s="1617"/>
      <c r="AH80" s="1618"/>
      <c r="AI80" s="367" t="e">
        <f>AI78+AI79</f>
        <v>#REF!</v>
      </c>
      <c r="AJ80" s="1616"/>
      <c r="AK80" s="1617"/>
      <c r="AL80" s="1617"/>
      <c r="AM80" s="1617"/>
      <c r="AN80" s="1617"/>
      <c r="AO80" s="1617"/>
      <c r="AP80" s="1618"/>
      <c r="AQ80" s="367" t="e">
        <f>AQ78+AQ79</f>
        <v>#REF!</v>
      </c>
      <c r="AR80" s="1616"/>
      <c r="AS80" s="1617"/>
      <c r="AT80" s="1617"/>
      <c r="AU80" s="1617"/>
      <c r="AV80" s="1617"/>
      <c r="AW80" s="1617"/>
      <c r="AX80" s="1618"/>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x14ac:dyDescent="0.25">
      <c r="A81" s="1603"/>
      <c r="B81" s="1604"/>
      <c r="C81" s="1604"/>
      <c r="D81" s="1604"/>
      <c r="E81" s="1604"/>
      <c r="F81" s="1604"/>
      <c r="G81" s="1604"/>
      <c r="H81" s="1604"/>
      <c r="I81" s="1604"/>
      <c r="J81" s="1604"/>
      <c r="K81" s="1604"/>
      <c r="L81" s="1605"/>
      <c r="V81" s="298" t="s">
        <v>356</v>
      </c>
    </row>
    <row r="82" spans="1:22" ht="74.25" customHeight="1" x14ac:dyDescent="0.25">
      <c r="A82" s="82" t="s">
        <v>290</v>
      </c>
      <c r="B82" s="1388" t="s">
        <v>460</v>
      </c>
      <c r="C82" s="1388"/>
      <c r="D82" s="1388"/>
      <c r="E82" s="1388"/>
      <c r="F82" s="1388"/>
      <c r="G82" s="1388"/>
      <c r="H82" s="1388"/>
      <c r="I82" s="1388"/>
      <c r="J82" s="1388"/>
      <c r="K82" s="1388"/>
      <c r="L82" s="1388"/>
      <c r="M82" s="298"/>
      <c r="N82" s="298"/>
      <c r="O82" s="298"/>
      <c r="V82" s="298"/>
    </row>
    <row r="83" spans="1:22" ht="25.5" customHeight="1" x14ac:dyDescent="0.25">
      <c r="A83" s="82" t="s">
        <v>292</v>
      </c>
      <c r="B83" s="1606" t="s">
        <v>461</v>
      </c>
      <c r="C83" s="1606"/>
      <c r="D83" s="1606"/>
      <c r="E83" s="1606"/>
      <c r="F83" s="1606"/>
      <c r="G83" s="1606"/>
      <c r="H83" s="1606"/>
      <c r="I83" s="1606"/>
      <c r="J83" s="1606"/>
      <c r="K83" s="1606"/>
      <c r="L83" s="1606"/>
      <c r="M83" s="298"/>
      <c r="N83" s="298"/>
      <c r="O83" s="298"/>
    </row>
    <row r="84" spans="1:22" ht="18" customHeight="1" x14ac:dyDescent="0.25">
      <c r="A84" s="82" t="s">
        <v>294</v>
      </c>
      <c r="B84" s="1606" t="s">
        <v>462</v>
      </c>
      <c r="C84" s="1606"/>
      <c r="D84" s="1606"/>
      <c r="E84" s="1606"/>
      <c r="F84" s="1606"/>
      <c r="G84" s="1606"/>
      <c r="H84" s="1606"/>
      <c r="I84" s="1606"/>
      <c r="J84" s="1606"/>
      <c r="K84" s="1606"/>
      <c r="L84" s="1606"/>
      <c r="M84" s="298"/>
      <c r="N84" s="298"/>
      <c r="O84" s="298"/>
    </row>
    <row r="85" spans="1:22" ht="30" customHeight="1" x14ac:dyDescent="0.25">
      <c r="A85" s="82" t="s">
        <v>463</v>
      </c>
      <c r="B85" s="1607" t="s">
        <v>464</v>
      </c>
      <c r="C85" s="1607"/>
      <c r="D85" s="1607"/>
      <c r="E85" s="1607"/>
      <c r="F85" s="1607"/>
      <c r="G85" s="1607"/>
      <c r="H85" s="1607"/>
      <c r="I85" s="1607"/>
      <c r="J85" s="1607"/>
      <c r="K85" s="1607"/>
      <c r="L85" s="1607"/>
      <c r="M85" s="310"/>
      <c r="N85" s="310"/>
      <c r="O85" s="310"/>
      <c r="P85" s="307"/>
      <c r="Q85" s="307"/>
      <c r="R85" s="307"/>
      <c r="S85" s="307"/>
      <c r="T85" s="307"/>
    </row>
    <row r="86" spans="1:22" ht="21.75" customHeight="1" x14ac:dyDescent="0.25">
      <c r="A86" s="82" t="s">
        <v>465</v>
      </c>
      <c r="B86" s="1606" t="s">
        <v>466</v>
      </c>
      <c r="C86" s="1606"/>
      <c r="D86" s="1606"/>
      <c r="E86" s="1606"/>
      <c r="F86" s="1606"/>
      <c r="G86" s="1606"/>
      <c r="H86" s="1606"/>
      <c r="I86" s="1606"/>
      <c r="J86" s="1606"/>
      <c r="K86" s="1606"/>
      <c r="L86" s="1606"/>
      <c r="M86" s="298"/>
      <c r="N86" s="298"/>
      <c r="O86" s="298"/>
    </row>
    <row r="87" spans="1:22" ht="15.5" x14ac:dyDescent="0.25">
      <c r="B87" s="61"/>
    </row>
    <row r="88" spans="1:22" ht="15.5" x14ac:dyDescent="0.25">
      <c r="B88" s="61"/>
    </row>
    <row r="89" spans="1:22" ht="15.5" x14ac:dyDescent="0.25">
      <c r="B89" s="61"/>
    </row>
    <row r="90" spans="1:22" ht="15.5" x14ac:dyDescent="0.25">
      <c r="B90" s="61"/>
    </row>
    <row r="91" spans="1:22" ht="15.5" x14ac:dyDescent="0.25">
      <c r="B91" s="61"/>
    </row>
  </sheetData>
  <mergeCells count="242">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T74:BA74"/>
    <mergeCell ref="F75:J76"/>
    <mergeCell ref="AD75:AH76"/>
    <mergeCell ref="AT75:AX76"/>
    <mergeCell ref="AZ75:AZ76"/>
    <mergeCell ref="A74:C74"/>
    <mergeCell ref="F74:J74"/>
    <mergeCell ref="N74:R74"/>
    <mergeCell ref="V74:AA74"/>
    <mergeCell ref="AD74:AH74"/>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68:C68"/>
    <mergeCell ref="D68:J68"/>
    <mergeCell ref="T68:Z68"/>
    <mergeCell ref="AB68:AH68"/>
    <mergeCell ref="AJ68:AP68"/>
    <mergeCell ref="AR68:AX68"/>
    <mergeCell ref="A67:C67"/>
    <mergeCell ref="D67:J67"/>
    <mergeCell ref="L67:R67"/>
    <mergeCell ref="T67:Z67"/>
    <mergeCell ref="AB67:AH67"/>
    <mergeCell ref="F65:J66"/>
    <mergeCell ref="N65:R66"/>
    <mergeCell ref="V65:Z66"/>
    <mergeCell ref="AD65:AH66"/>
    <mergeCell ref="AL65:AP66"/>
    <mergeCell ref="AT65:AX66"/>
    <mergeCell ref="AZ65:AZ66"/>
    <mergeCell ref="AJ67:AP67"/>
    <mergeCell ref="AR67:AX6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s>
  <phoneticPr fontId="20" type="noConversion"/>
  <pageMargins left="0.25" right="0.25" top="0.75" bottom="0.75" header="0.3" footer="0.3"/>
  <pageSetup scale="42" fitToHeight="3"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53125" defaultRowHeight="12.5" x14ac:dyDescent="0.25"/>
  <cols>
    <col min="1" max="1" width="18.81640625" style="291" customWidth="1"/>
    <col min="2" max="2" width="42.453125" style="291" customWidth="1"/>
    <col min="3" max="3" width="35.453125" style="29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424" t="s">
        <v>467</v>
      </c>
      <c r="B1" s="1425"/>
      <c r="C1" s="312" t="s">
        <v>424</v>
      </c>
      <c r="D1" s="1426"/>
      <c r="E1" s="1427"/>
      <c r="F1" s="1427"/>
      <c r="G1" s="1427"/>
      <c r="H1" s="1427"/>
      <c r="I1" s="1427"/>
      <c r="J1" s="1427"/>
      <c r="K1" s="1427"/>
      <c r="L1" s="1427"/>
      <c r="M1" s="1427"/>
      <c r="N1" s="1427"/>
      <c r="O1" s="1427"/>
      <c r="P1" s="1427"/>
      <c r="Q1" s="1427"/>
      <c r="R1" s="1427"/>
      <c r="S1" s="1427"/>
      <c r="T1" s="1427"/>
      <c r="U1" s="1427"/>
      <c r="V1" s="1427"/>
      <c r="W1" s="1427"/>
      <c r="X1" s="1427"/>
      <c r="Y1" s="1427"/>
      <c r="Z1" s="1427"/>
      <c r="AA1" s="1427"/>
      <c r="AB1" s="1427"/>
      <c r="AC1" s="1427"/>
      <c r="AD1" s="1427"/>
      <c r="AE1" s="1427"/>
      <c r="AF1" s="1427"/>
      <c r="AG1" s="1427"/>
      <c r="AH1" s="1427"/>
      <c r="AI1" s="1427"/>
      <c r="AJ1" s="1427"/>
      <c r="AK1" s="1427"/>
      <c r="AL1" s="1427"/>
      <c r="AM1" s="1427"/>
      <c r="AN1" s="1427"/>
      <c r="AO1" s="1427"/>
      <c r="AP1" s="1427"/>
      <c r="AQ1" s="1427"/>
      <c r="AR1" s="1427"/>
      <c r="AS1" s="1427"/>
      <c r="AT1" s="1427"/>
      <c r="AU1" s="1427"/>
      <c r="AV1" s="1427"/>
      <c r="AW1" s="1427"/>
      <c r="AX1" s="1427"/>
      <c r="AY1" s="1427"/>
      <c r="AZ1" s="1427"/>
      <c r="BA1" s="1427"/>
      <c r="BB1" s="1427"/>
    </row>
    <row r="2" spans="1:54" ht="13" x14ac:dyDescent="0.25">
      <c r="A2" s="311" t="s">
        <v>318</v>
      </c>
      <c r="B2" s="1428" t="str">
        <f>General!D4</f>
        <v>Name</v>
      </c>
      <c r="C2" s="1429"/>
      <c r="D2" s="1426"/>
      <c r="E2" s="1427"/>
      <c r="F2" s="1427"/>
      <c r="G2" s="1427"/>
      <c r="H2" s="1427"/>
      <c r="I2" s="1427"/>
      <c r="J2" s="1427"/>
      <c r="K2" s="1427"/>
      <c r="L2" s="1427"/>
      <c r="M2" s="1427"/>
      <c r="N2" s="1427"/>
      <c r="O2" s="1427"/>
      <c r="P2" s="1427"/>
      <c r="Q2" s="1427"/>
      <c r="R2" s="1427"/>
      <c r="S2" s="1427"/>
      <c r="T2" s="1427"/>
      <c r="U2" s="1427"/>
      <c r="V2" s="1427"/>
      <c r="W2" s="1427"/>
      <c r="X2" s="1427"/>
      <c r="Y2" s="1427"/>
      <c r="Z2" s="1427"/>
      <c r="AA2" s="1427"/>
      <c r="AB2" s="1427"/>
      <c r="AC2" s="1427"/>
      <c r="AD2" s="1427"/>
      <c r="AE2" s="1427"/>
      <c r="AF2" s="1427"/>
      <c r="AG2" s="1427"/>
      <c r="AH2" s="1427"/>
      <c r="AI2" s="1427"/>
      <c r="AJ2" s="1427"/>
      <c r="AK2" s="1427"/>
      <c r="AL2" s="1427"/>
      <c r="AM2" s="1427"/>
      <c r="AN2" s="1427"/>
      <c r="AO2" s="1427"/>
      <c r="AP2" s="1427"/>
      <c r="AQ2" s="1427"/>
      <c r="AR2" s="1427"/>
      <c r="AS2" s="1427"/>
      <c r="AT2" s="1427"/>
      <c r="AU2" s="1427"/>
      <c r="AV2" s="1427"/>
      <c r="AW2" s="1427"/>
      <c r="AX2" s="1427"/>
      <c r="AY2" s="1427"/>
      <c r="AZ2" s="1427"/>
      <c r="BA2" s="1427"/>
      <c r="BB2" s="1427"/>
    </row>
    <row r="3" spans="1:54" ht="13" x14ac:dyDescent="0.25">
      <c r="A3" s="311" t="s">
        <v>319</v>
      </c>
      <c r="B3" s="1428" t="str">
        <f>General!D5</f>
        <v>Name</v>
      </c>
      <c r="C3" s="1429"/>
      <c r="D3" s="1426"/>
      <c r="E3" s="1427"/>
      <c r="F3" s="1427"/>
      <c r="G3" s="1427"/>
      <c r="H3" s="1427"/>
      <c r="I3" s="1427"/>
      <c r="J3" s="1427"/>
      <c r="K3" s="1427"/>
      <c r="L3" s="1427"/>
      <c r="M3" s="1427"/>
      <c r="N3" s="1427"/>
      <c r="O3" s="1427"/>
      <c r="P3" s="1427"/>
      <c r="Q3" s="1427"/>
      <c r="R3" s="1427"/>
      <c r="S3" s="1427"/>
      <c r="T3" s="1427"/>
      <c r="U3" s="1427"/>
      <c r="V3" s="1427"/>
      <c r="W3" s="1427"/>
      <c r="X3" s="1427"/>
      <c r="Y3" s="1427"/>
      <c r="Z3" s="1427"/>
      <c r="AA3" s="1427"/>
      <c r="AB3" s="1427"/>
      <c r="AC3" s="1427"/>
      <c r="AD3" s="1427"/>
      <c r="AE3" s="1427"/>
      <c r="AF3" s="1427"/>
      <c r="AG3" s="1427"/>
      <c r="AH3" s="1427"/>
      <c r="AI3" s="1427"/>
      <c r="AJ3" s="1427"/>
      <c r="AK3" s="1427"/>
      <c r="AL3" s="1427"/>
      <c r="AM3" s="1427"/>
      <c r="AN3" s="1427"/>
      <c r="AO3" s="1427"/>
      <c r="AP3" s="1427"/>
      <c r="AQ3" s="1427"/>
      <c r="AR3" s="1427"/>
      <c r="AS3" s="1427"/>
      <c r="AT3" s="1427"/>
      <c r="AU3" s="1427"/>
      <c r="AV3" s="1427"/>
      <c r="AW3" s="1427"/>
      <c r="AX3" s="1427"/>
      <c r="AY3" s="1427"/>
      <c r="AZ3" s="1427"/>
      <c r="BA3" s="1427"/>
      <c r="BB3" s="1427"/>
    </row>
    <row r="4" spans="1:54" ht="13.5" customHeight="1" thickBot="1" x14ac:dyDescent="0.3">
      <c r="A4" s="1430"/>
      <c r="B4" s="1430"/>
      <c r="C4" s="1430"/>
      <c r="D4" s="1431" t="s">
        <v>425</v>
      </c>
      <c r="E4" s="1431"/>
      <c r="F4" s="1431"/>
      <c r="G4" s="1431"/>
      <c r="H4" s="1431"/>
      <c r="I4" s="1431"/>
      <c r="J4" s="1431"/>
      <c r="K4" s="1432"/>
      <c r="L4" s="1433" t="s">
        <v>425</v>
      </c>
      <c r="M4" s="1434"/>
      <c r="N4" s="1434"/>
      <c r="O4" s="1434"/>
      <c r="P4" s="1434"/>
      <c r="Q4" s="1434"/>
      <c r="R4" s="1434"/>
      <c r="S4" s="1435"/>
      <c r="T4" s="1436" t="s">
        <v>425</v>
      </c>
      <c r="U4" s="1437"/>
      <c r="V4" s="1437"/>
      <c r="W4" s="1437"/>
      <c r="X4" s="1437"/>
      <c r="Y4" s="1437"/>
      <c r="Z4" s="1437"/>
      <c r="AA4" s="1438"/>
      <c r="AB4" s="1439" t="s">
        <v>425</v>
      </c>
      <c r="AC4" s="1440"/>
      <c r="AD4" s="1440"/>
      <c r="AE4" s="1440"/>
      <c r="AF4" s="1440"/>
      <c r="AG4" s="1440"/>
      <c r="AH4" s="1440"/>
      <c r="AI4" s="1441"/>
      <c r="AJ4" s="1433" t="s">
        <v>425</v>
      </c>
      <c r="AK4" s="1434"/>
      <c r="AL4" s="1434"/>
      <c r="AM4" s="1434"/>
      <c r="AN4" s="1434"/>
      <c r="AO4" s="1434"/>
      <c r="AP4" s="1434"/>
      <c r="AQ4" s="1435"/>
      <c r="AR4" s="1442" t="s">
        <v>425</v>
      </c>
      <c r="AS4" s="1431"/>
      <c r="AT4" s="1431"/>
      <c r="AU4" s="1431"/>
      <c r="AV4" s="1431"/>
      <c r="AW4" s="1431"/>
      <c r="AX4" s="1431"/>
      <c r="AY4" s="1443"/>
      <c r="AZ4" s="1444"/>
      <c r="BA4" s="1445"/>
      <c r="BB4" s="1445"/>
    </row>
    <row r="5" spans="1:54" x14ac:dyDescent="0.25">
      <c r="A5" s="1430"/>
      <c r="B5" s="1430"/>
      <c r="C5" s="1430"/>
      <c r="D5" s="1446" t="str">
        <f>Period1_Label</f>
        <v>FY 1</v>
      </c>
      <c r="E5" s="1447"/>
      <c r="F5" s="1447"/>
      <c r="G5" s="1447"/>
      <c r="H5" s="1447"/>
      <c r="I5" s="1447"/>
      <c r="J5" s="1447"/>
      <c r="K5" s="1448"/>
      <c r="L5" s="1449" t="str">
        <f>Period2_Label</f>
        <v>FY 2</v>
      </c>
      <c r="M5" s="1414"/>
      <c r="N5" s="1414"/>
      <c r="O5" s="1414"/>
      <c r="P5" s="1414"/>
      <c r="Q5" s="1414"/>
      <c r="R5" s="1414"/>
      <c r="S5" s="1450"/>
      <c r="T5" s="1451" t="str">
        <f>Period3_Label</f>
        <v>FY 3</v>
      </c>
      <c r="U5" s="1452"/>
      <c r="V5" s="1452"/>
      <c r="W5" s="1452"/>
      <c r="X5" s="1452"/>
      <c r="Y5" s="1452"/>
      <c r="Z5" s="1452"/>
      <c r="AA5" s="1453"/>
      <c r="AB5" s="1449" t="str">
        <f>Period4_Label</f>
        <v>FY 4</v>
      </c>
      <c r="AC5" s="1414"/>
      <c r="AD5" s="1414"/>
      <c r="AE5" s="1414"/>
      <c r="AF5" s="1414"/>
      <c r="AG5" s="1414"/>
      <c r="AH5" s="1414"/>
      <c r="AI5" s="1450"/>
      <c r="AJ5" s="1451" t="str">
        <f>Period5_Label</f>
        <v>FY 5</v>
      </c>
      <c r="AK5" s="1452"/>
      <c r="AL5" s="1452"/>
      <c r="AM5" s="1452"/>
      <c r="AN5" s="1452"/>
      <c r="AO5" s="1452"/>
      <c r="AP5" s="1452"/>
      <c r="AQ5" s="1454"/>
      <c r="AR5" s="1413" t="str">
        <f>Period6_Label</f>
        <v>FY 6</v>
      </c>
      <c r="AS5" s="1414"/>
      <c r="AT5" s="1414"/>
      <c r="AU5" s="1414"/>
      <c r="AV5" s="1414"/>
      <c r="AW5" s="1414"/>
      <c r="AX5" s="1414"/>
      <c r="AY5" s="1415"/>
      <c r="AZ5" s="1416" t="s">
        <v>343</v>
      </c>
      <c r="BA5" s="1417"/>
      <c r="BB5" s="1418"/>
    </row>
    <row r="6" spans="1:54" x14ac:dyDescent="0.25">
      <c r="A6" s="1419" t="s">
        <v>426</v>
      </c>
      <c r="B6" s="1419"/>
      <c r="C6" s="1419"/>
      <c r="D6" s="1420"/>
      <c r="E6" s="1420"/>
      <c r="F6" s="1421"/>
      <c r="G6" s="1389" t="str">
        <f>CONCATENATE(TEXT('Proposer Constants'!C14,"MM/DD/YY")," to ",TEXT('Proposer Constants'!C15,"MM/DD/YY"))</f>
        <v>06/01/25 to 05/31/26</v>
      </c>
      <c r="H6" s="1390"/>
      <c r="I6" s="1389"/>
      <c r="J6" s="1422"/>
      <c r="K6" s="1423"/>
      <c r="L6" s="322"/>
      <c r="M6" s="323"/>
      <c r="N6" s="324"/>
      <c r="O6" s="1391" t="str">
        <f>CONCATENATE(TEXT('Proposer Constants'!D14,"MM/DD/YY")," to ",TEXT('Proposer Constants'!D15,"MM/DD/YY"))</f>
        <v>06/01/26 to 05/31/27</v>
      </c>
      <c r="P6" s="1392"/>
      <c r="Q6" s="324"/>
      <c r="R6" s="324"/>
      <c r="S6" s="325"/>
      <c r="T6" s="319"/>
      <c r="U6" s="320"/>
      <c r="V6" s="316"/>
      <c r="W6" s="320" t="str">
        <f>CONCATENATE(TEXT('Proposer Constants'!E14,"MM/DD/YY")," to ",TEXT('Proposer Constants'!E15,"MM/DD/YY"))</f>
        <v>06/01/27 to 05/31/28</v>
      </c>
      <c r="X6" s="316"/>
      <c r="Y6" s="316"/>
      <c r="Z6" s="316"/>
      <c r="AA6" s="317"/>
      <c r="AB6" s="322"/>
      <c r="AC6" s="322"/>
      <c r="AD6" s="322"/>
      <c r="AE6" s="1391" t="str">
        <f>CONCATENATE(TEXT('Proposer Constants'!F14,"MM/DD/YY")," to ",TEXT('Proposer Constants'!F15,"MM/DD/YY"))</f>
        <v>06/01/28 to 05/31/29</v>
      </c>
      <c r="AF6" s="1392"/>
      <c r="AG6" s="322"/>
      <c r="AH6" s="324"/>
      <c r="AI6" s="325"/>
      <c r="AJ6" s="319"/>
      <c r="AK6" s="319"/>
      <c r="AL6" s="319"/>
      <c r="AM6" s="1384" t="str">
        <f>CONCATENATE(TEXT('Proposer Constants'!G14,"MM/DD/YY")," to ",TEXT('Proposer Constants'!G15,"MM/DD/YY"))</f>
        <v>06/01/29 to 05/31/30</v>
      </c>
      <c r="AN6" s="1385"/>
      <c r="AO6" s="319"/>
      <c r="AP6" s="316"/>
      <c r="AQ6" s="321"/>
      <c r="AR6" s="326"/>
      <c r="AS6" s="322"/>
      <c r="AT6" s="322"/>
      <c r="AU6" s="1391" t="str">
        <f>CONCATENATE(TEXT('Proposer Constants'!H14,"MM/DD/YY")," to ",TEXT('Proposer Constants'!H15,"MM/DD/YY"))</f>
        <v>06/01/30 to 05/31/31</v>
      </c>
      <c r="AV6" s="1392"/>
      <c r="AW6" s="322"/>
      <c r="AX6" s="324"/>
      <c r="AY6" s="327"/>
      <c r="AZ6" s="515" t="s">
        <v>427</v>
      </c>
      <c r="BA6" s="1386" t="s">
        <v>428</v>
      </c>
      <c r="BB6" s="1387"/>
    </row>
    <row r="7" spans="1:54" s="299" customFormat="1" ht="34.5" x14ac:dyDescent="0.25">
      <c r="A7" s="489"/>
      <c r="B7" s="376" t="s">
        <v>429</v>
      </c>
      <c r="C7" s="376" t="s">
        <v>430</v>
      </c>
      <c r="D7" s="373" t="s">
        <v>325</v>
      </c>
      <c r="E7" s="376" t="s">
        <v>326</v>
      </c>
      <c r="F7" s="377" t="s">
        <v>431</v>
      </c>
      <c r="G7" s="378" t="s">
        <v>432</v>
      </c>
      <c r="H7" s="378" t="s">
        <v>433</v>
      </c>
      <c r="I7" s="379" t="s">
        <v>434</v>
      </c>
      <c r="J7" s="379" t="s">
        <v>435</v>
      </c>
      <c r="K7" s="376" t="s">
        <v>327</v>
      </c>
      <c r="L7" s="373" t="s">
        <v>325</v>
      </c>
      <c r="M7" s="376" t="s">
        <v>326</v>
      </c>
      <c r="N7" s="377" t="s">
        <v>431</v>
      </c>
      <c r="O7" s="378" t="s">
        <v>432</v>
      </c>
      <c r="P7" s="378" t="s">
        <v>433</v>
      </c>
      <c r="Q7" s="379" t="s">
        <v>434</v>
      </c>
      <c r="R7" s="379" t="s">
        <v>435</v>
      </c>
      <c r="S7" s="372" t="s">
        <v>327</v>
      </c>
      <c r="T7" s="373" t="s">
        <v>325</v>
      </c>
      <c r="U7" s="376" t="s">
        <v>326</v>
      </c>
      <c r="V7" s="377" t="s">
        <v>431</v>
      </c>
      <c r="W7" s="378" t="s">
        <v>432</v>
      </c>
      <c r="X7" s="378" t="s">
        <v>433</v>
      </c>
      <c r="Y7" s="379" t="s">
        <v>434</v>
      </c>
      <c r="Z7" s="379" t="s">
        <v>435</v>
      </c>
      <c r="AA7" s="372" t="s">
        <v>327</v>
      </c>
      <c r="AB7" s="373" t="s">
        <v>325</v>
      </c>
      <c r="AC7" s="376" t="s">
        <v>326</v>
      </c>
      <c r="AD7" s="377" t="s">
        <v>431</v>
      </c>
      <c r="AE7" s="378" t="s">
        <v>432</v>
      </c>
      <c r="AF7" s="378" t="s">
        <v>433</v>
      </c>
      <c r="AG7" s="379" t="s">
        <v>434</v>
      </c>
      <c r="AH7" s="379" t="s">
        <v>435</v>
      </c>
      <c r="AI7" s="372" t="s">
        <v>327</v>
      </c>
      <c r="AJ7" s="373" t="s">
        <v>325</v>
      </c>
      <c r="AK7" s="376" t="s">
        <v>326</v>
      </c>
      <c r="AL7" s="377" t="s">
        <v>431</v>
      </c>
      <c r="AM7" s="378" t="s">
        <v>432</v>
      </c>
      <c r="AN7" s="378" t="s">
        <v>433</v>
      </c>
      <c r="AO7" s="379" t="s">
        <v>434</v>
      </c>
      <c r="AP7" s="379" t="s">
        <v>435</v>
      </c>
      <c r="AQ7" s="372" t="s">
        <v>327</v>
      </c>
      <c r="AR7" s="374" t="s">
        <v>325</v>
      </c>
      <c r="AS7" s="376" t="s">
        <v>326</v>
      </c>
      <c r="AT7" s="377" t="s">
        <v>431</v>
      </c>
      <c r="AU7" s="378" t="s">
        <v>432</v>
      </c>
      <c r="AV7" s="378" t="s">
        <v>433</v>
      </c>
      <c r="AW7" s="379" t="s">
        <v>434</v>
      </c>
      <c r="AX7" s="379" t="s">
        <v>435</v>
      </c>
      <c r="AY7" s="372" t="s">
        <v>327</v>
      </c>
      <c r="AZ7" s="516" t="s">
        <v>325</v>
      </c>
      <c r="BA7" s="517" t="s">
        <v>327</v>
      </c>
      <c r="BB7" s="518" t="s">
        <v>436</v>
      </c>
    </row>
    <row r="8" spans="1:54" x14ac:dyDescent="0.25">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x14ac:dyDescent="0.25">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x14ac:dyDescent="0.25">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x14ac:dyDescent="0.25">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x14ac:dyDescent="0.25">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x14ac:dyDescent="0.25">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x14ac:dyDescent="0.25">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x14ac:dyDescent="0.25">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x14ac:dyDescent="0.25">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x14ac:dyDescent="0.25">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x14ac:dyDescent="0.25">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x14ac:dyDescent="0.25">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x14ac:dyDescent="0.25">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x14ac:dyDescent="0.25">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x14ac:dyDescent="0.25">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x14ac:dyDescent="0.25">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x14ac:dyDescent="0.25">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x14ac:dyDescent="0.25">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x14ac:dyDescent="0.25">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x14ac:dyDescent="0.25">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x14ac:dyDescent="0.25">
      <c r="A32" s="1393" t="s">
        <v>440</v>
      </c>
      <c r="B32" s="1393"/>
      <c r="C32" s="1393"/>
      <c r="D32" s="371">
        <f>SUM(D8:D31)</f>
        <v>46080</v>
      </c>
      <c r="E32" s="507"/>
      <c r="F32" s="345" t="e">
        <f>SUM(F8:F31)</f>
        <v>#REF!</v>
      </c>
      <c r="G32" s="1394"/>
      <c r="H32" s="1395"/>
      <c r="I32" s="1395"/>
      <c r="J32" s="1395"/>
      <c r="K32" s="477"/>
      <c r="L32" s="371">
        <f>SUM(L8:L31)</f>
        <v>46080</v>
      </c>
      <c r="M32" s="344"/>
      <c r="N32" s="345" t="e">
        <f>SUM(N8:N31)</f>
        <v>#REF!</v>
      </c>
      <c r="O32" s="1396"/>
      <c r="P32" s="1397"/>
      <c r="Q32" s="1397"/>
      <c r="R32" s="1398"/>
      <c r="S32" s="334"/>
      <c r="T32" s="371">
        <f>SUM(T8:T31)</f>
        <v>46080</v>
      </c>
      <c r="U32" s="344"/>
      <c r="V32" s="345" t="e">
        <f>SUM(V8:V31)</f>
        <v>#REF!</v>
      </c>
      <c r="W32" s="1396"/>
      <c r="X32" s="1397"/>
      <c r="Y32" s="1397"/>
      <c r="Z32" s="1398"/>
      <c r="AA32" s="334"/>
      <c r="AB32" s="371">
        <f>SUM(AB8:AB31)</f>
        <v>46080</v>
      </c>
      <c r="AC32" s="343"/>
      <c r="AD32" s="345" t="e">
        <f>SUM(AD8:AD31)</f>
        <v>#REF!</v>
      </c>
      <c r="AE32" s="1399"/>
      <c r="AF32" s="1400"/>
      <c r="AG32" s="1400"/>
      <c r="AH32" s="1401"/>
      <c r="AI32" s="334"/>
      <c r="AJ32" s="371">
        <f>SUM(AJ8:AJ31)</f>
        <v>46080</v>
      </c>
      <c r="AK32" s="343"/>
      <c r="AL32" s="333" t="e">
        <f>SUM(AL8:AL31)</f>
        <v>#REF!</v>
      </c>
      <c r="AM32" s="1399"/>
      <c r="AN32" s="1400"/>
      <c r="AO32" s="1400"/>
      <c r="AP32" s="1401"/>
      <c r="AQ32" s="334"/>
      <c r="AR32" s="370">
        <f>SUM(AR8:AR31)</f>
        <v>46080</v>
      </c>
      <c r="AS32" s="343"/>
      <c r="AT32" s="345" t="e">
        <f>SUM(AT8:AT31)</f>
        <v>#REF!</v>
      </c>
      <c r="AU32" s="1399"/>
      <c r="AV32" s="1400"/>
      <c r="AW32" s="1400"/>
      <c r="AX32" s="1401"/>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5" customHeight="1" x14ac:dyDescent="0.25">
      <c r="A33" s="1402" t="s">
        <v>441</v>
      </c>
      <c r="B33" s="1402"/>
      <c r="C33" s="1402"/>
      <c r="D33" s="1455"/>
      <c r="E33" s="1455"/>
      <c r="F33" s="1455"/>
      <c r="G33" s="1456"/>
      <c r="H33" s="348" t="e">
        <f>SUM(H8:H31)</f>
        <v>#REF!</v>
      </c>
      <c r="I33" s="1410"/>
      <c r="J33" s="1411"/>
      <c r="K33" s="477" t="e">
        <f>H33</f>
        <v>#REF!</v>
      </c>
      <c r="L33" s="1404"/>
      <c r="M33" s="1404"/>
      <c r="N33" s="1404"/>
      <c r="O33" s="1405"/>
      <c r="P33" s="347" t="e">
        <f>SUM(P8:P31)</f>
        <v>#REF!</v>
      </c>
      <c r="Q33" s="1406"/>
      <c r="R33" s="1407"/>
      <c r="S33" s="302" t="e">
        <f>P33</f>
        <v>#REF!</v>
      </c>
      <c r="T33" s="1403"/>
      <c r="U33" s="1404"/>
      <c r="V33" s="1404"/>
      <c r="W33" s="1405"/>
      <c r="X33" s="347" t="e">
        <f>SUM(X8:X31)</f>
        <v>#REF!</v>
      </c>
      <c r="Y33" s="1406"/>
      <c r="Z33" s="1407"/>
      <c r="AA33" s="302" t="e">
        <f>X33</f>
        <v>#REF!</v>
      </c>
      <c r="AB33" s="1403"/>
      <c r="AC33" s="1404"/>
      <c r="AD33" s="1404"/>
      <c r="AE33" s="1405"/>
      <c r="AF33" s="347" t="e">
        <f>SUM(AF8:AF31)</f>
        <v>#REF!</v>
      </c>
      <c r="AG33" s="1406"/>
      <c r="AH33" s="1407"/>
      <c r="AI33" s="302" t="e">
        <f>AF33</f>
        <v>#REF!</v>
      </c>
      <c r="AJ33" s="1403"/>
      <c r="AK33" s="1404"/>
      <c r="AL33" s="1404"/>
      <c r="AM33" s="1405"/>
      <c r="AN33" s="347" t="e">
        <f>SUM(AN8:AN31)</f>
        <v>#REF!</v>
      </c>
      <c r="AO33" s="1406"/>
      <c r="AP33" s="1407"/>
      <c r="AQ33" s="302" t="e">
        <f>AN33</f>
        <v>#REF!</v>
      </c>
      <c r="AR33" s="1403"/>
      <c r="AS33" s="1404"/>
      <c r="AT33" s="1404"/>
      <c r="AU33" s="1405"/>
      <c r="AV33" s="347" t="e">
        <f>SUM(AV8:AV31)</f>
        <v>#REF!</v>
      </c>
      <c r="AW33" s="1406"/>
      <c r="AX33" s="1407"/>
      <c r="AY33" s="406" t="e">
        <f>AV33</f>
        <v>#REF!</v>
      </c>
      <c r="AZ33" s="1408"/>
      <c r="BA33" s="431" t="e">
        <f>K33+S33+AA33+AI33+AQ33+AY33</f>
        <v>#REF!</v>
      </c>
    </row>
    <row r="34" spans="1:538" s="384" customFormat="1" ht="12.65" customHeight="1" x14ac:dyDescent="0.25">
      <c r="A34" s="382"/>
      <c r="B34" s="296" t="s">
        <v>442</v>
      </c>
      <c r="C34" s="487"/>
      <c r="D34" s="314" t="e">
        <f>F32</f>
        <v>#REF!</v>
      </c>
      <c r="E34" s="356">
        <v>0</v>
      </c>
      <c r="F34" s="1410"/>
      <c r="G34" s="1411"/>
      <c r="H34" s="1411"/>
      <c r="I34" s="1411"/>
      <c r="J34" s="1411"/>
      <c r="K34" s="495" t="e">
        <f>D34*E34</f>
        <v>#REF!</v>
      </c>
      <c r="L34" s="314" t="e">
        <f>N32</f>
        <v>#REF!</v>
      </c>
      <c r="M34" s="356">
        <v>0</v>
      </c>
      <c r="N34" s="1406"/>
      <c r="O34" s="1412"/>
      <c r="P34" s="1412"/>
      <c r="Q34" s="1412"/>
      <c r="R34" s="1407"/>
      <c r="S34" s="315" t="e">
        <f>L34*M34</f>
        <v>#REF!</v>
      </c>
      <c r="T34" s="314" t="e">
        <f>V32</f>
        <v>#REF!</v>
      </c>
      <c r="U34" s="356">
        <v>0</v>
      </c>
      <c r="V34" s="1406"/>
      <c r="W34" s="1412"/>
      <c r="X34" s="1412"/>
      <c r="Y34" s="1412"/>
      <c r="Z34" s="1407"/>
      <c r="AA34" s="315" t="e">
        <f>T34*U34</f>
        <v>#REF!</v>
      </c>
      <c r="AB34" s="314" t="e">
        <f>AD32</f>
        <v>#REF!</v>
      </c>
      <c r="AC34" s="356">
        <v>0</v>
      </c>
      <c r="AD34" s="1406"/>
      <c r="AE34" s="1412"/>
      <c r="AF34" s="1412"/>
      <c r="AG34" s="1412"/>
      <c r="AH34" s="1407"/>
      <c r="AI34" s="302" t="e">
        <f>AB34*AC34</f>
        <v>#REF!</v>
      </c>
      <c r="AJ34" s="314" t="e">
        <f>AL32</f>
        <v>#REF!</v>
      </c>
      <c r="AK34" s="313">
        <v>0</v>
      </c>
      <c r="AL34" s="1406"/>
      <c r="AM34" s="1412"/>
      <c r="AN34" s="1412"/>
      <c r="AO34" s="1412"/>
      <c r="AP34" s="1407"/>
      <c r="AQ34" s="315" t="e">
        <f>AJ34*AK34</f>
        <v>#REF!</v>
      </c>
      <c r="AR34" s="314" t="e">
        <f>AT32</f>
        <v>#REF!</v>
      </c>
      <c r="AS34" s="313">
        <v>0</v>
      </c>
      <c r="AT34" s="1406"/>
      <c r="AU34" s="1412"/>
      <c r="AV34" s="1412"/>
      <c r="AW34" s="1412"/>
      <c r="AX34" s="1407"/>
      <c r="AY34" s="406" t="e">
        <f>AR34*AS34</f>
        <v>#REF!</v>
      </c>
      <c r="AZ34" s="1409"/>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x14ac:dyDescent="0.25">
      <c r="A35" s="1460" t="s">
        <v>246</v>
      </c>
      <c r="B35" s="1460"/>
      <c r="C35" s="1460"/>
      <c r="D35" s="1461"/>
      <c r="E35" s="1461"/>
      <c r="F35" s="1461"/>
      <c r="G35" s="1461"/>
      <c r="H35" s="1461"/>
      <c r="I35" s="1461"/>
      <c r="J35" s="1461"/>
      <c r="K35" s="496" t="e">
        <f>SUM(K33:K34)</f>
        <v>#REF!</v>
      </c>
      <c r="L35" s="1461"/>
      <c r="M35" s="1461"/>
      <c r="N35" s="1461"/>
      <c r="O35" s="1461"/>
      <c r="P35" s="1461"/>
      <c r="Q35" s="1461"/>
      <c r="R35" s="1462"/>
      <c r="S35" s="346" t="e">
        <f>SUM(S33:S34)</f>
        <v>#REF!</v>
      </c>
      <c r="T35" s="1463"/>
      <c r="U35" s="1461"/>
      <c r="V35" s="1461"/>
      <c r="W35" s="1461"/>
      <c r="X35" s="1461"/>
      <c r="Y35" s="1461"/>
      <c r="Z35" s="1462"/>
      <c r="AA35" s="346" t="e">
        <f>SUM(AA33:AA34)</f>
        <v>#REF!</v>
      </c>
      <c r="AB35" s="1463"/>
      <c r="AC35" s="1461"/>
      <c r="AD35" s="1461"/>
      <c r="AE35" s="1461"/>
      <c r="AF35" s="1461"/>
      <c r="AG35" s="1461"/>
      <c r="AH35" s="1462"/>
      <c r="AI35" s="346" t="e">
        <f>SUM(AI33:AI34)</f>
        <v>#REF!</v>
      </c>
      <c r="AJ35" s="1463"/>
      <c r="AK35" s="1461"/>
      <c r="AL35" s="1461"/>
      <c r="AM35" s="1461"/>
      <c r="AN35" s="1461"/>
      <c r="AO35" s="1461"/>
      <c r="AP35" s="1462"/>
      <c r="AQ35" s="346" t="e">
        <f>SUM(AQ33:AQ34)</f>
        <v>#REF!</v>
      </c>
      <c r="AR35" s="1463"/>
      <c r="AS35" s="1461"/>
      <c r="AT35" s="1461"/>
      <c r="AU35" s="1461"/>
      <c r="AV35" s="1461"/>
      <c r="AW35" s="1461"/>
      <c r="AX35" s="1462"/>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5" customHeight="1" x14ac:dyDescent="0.25">
      <c r="A36" s="1457" t="s">
        <v>443</v>
      </c>
      <c r="B36" s="1457"/>
      <c r="C36" s="1457"/>
      <c r="D36" s="1458"/>
      <c r="E36" s="1458"/>
      <c r="F36" s="1458"/>
      <c r="G36" s="1458"/>
      <c r="H36" s="1458"/>
      <c r="I36" s="1459"/>
      <c r="J36" s="349" t="e">
        <f>SUM(J8:J31)</f>
        <v>#REF!</v>
      </c>
      <c r="K36" s="477" t="e">
        <f>J36</f>
        <v>#REF!</v>
      </c>
      <c r="L36" s="1404"/>
      <c r="M36" s="1404"/>
      <c r="N36" s="1404"/>
      <c r="O36" s="1404"/>
      <c r="P36" s="1404"/>
      <c r="Q36" s="1405"/>
      <c r="R36" s="333" t="e">
        <f>SUM(R8:R31)</f>
        <v>#REF!</v>
      </c>
      <c r="S36" s="302" t="e">
        <f>R36</f>
        <v>#REF!</v>
      </c>
      <c r="T36" s="1403"/>
      <c r="U36" s="1404"/>
      <c r="V36" s="1404"/>
      <c r="W36" s="1404"/>
      <c r="X36" s="1404"/>
      <c r="Y36" s="1405"/>
      <c r="Z36" s="333" t="e">
        <f>SUM(Z8:Z31)</f>
        <v>#REF!</v>
      </c>
      <c r="AA36" s="302" t="e">
        <f>Z36</f>
        <v>#REF!</v>
      </c>
      <c r="AB36" s="1403"/>
      <c r="AC36" s="1404"/>
      <c r="AD36" s="1404"/>
      <c r="AE36" s="1404"/>
      <c r="AF36" s="1404"/>
      <c r="AG36" s="1405"/>
      <c r="AH36" s="333" t="e">
        <f>SUM(AH8:AH31)</f>
        <v>#REF!</v>
      </c>
      <c r="AI36" s="302" t="e">
        <f>AH36</f>
        <v>#REF!</v>
      </c>
      <c r="AJ36" s="1403"/>
      <c r="AK36" s="1404"/>
      <c r="AL36" s="1404"/>
      <c r="AM36" s="1404"/>
      <c r="AN36" s="1404"/>
      <c r="AO36" s="1405"/>
      <c r="AP36" s="333" t="e">
        <f>SUM(AP8:AP31)</f>
        <v>#REF!</v>
      </c>
      <c r="AQ36" s="302" t="e">
        <f>AP36</f>
        <v>#REF!</v>
      </c>
      <c r="AR36" s="1403"/>
      <c r="AS36" s="1404"/>
      <c r="AT36" s="1404"/>
      <c r="AU36" s="1404"/>
      <c r="AV36" s="1404"/>
      <c r="AW36" s="1405"/>
      <c r="AX36" s="333" t="e">
        <f>SUM(AX8:AX31)</f>
        <v>#REF!</v>
      </c>
      <c r="AY36" s="406" t="e">
        <f>AX36</f>
        <v>#REF!</v>
      </c>
      <c r="AZ36" s="1408"/>
      <c r="BA36" s="431" t="e">
        <f>K36+S36+AA36+AI36+AQ36+AY36</f>
        <v>#REF!</v>
      </c>
    </row>
    <row r="37" spans="1:538" ht="12.65" customHeight="1" x14ac:dyDescent="0.25">
      <c r="A37" s="335"/>
      <c r="B37" s="296" t="s">
        <v>444</v>
      </c>
      <c r="C37" s="488"/>
      <c r="D37" s="427" t="e">
        <f>F32+K35</f>
        <v>#REF!</v>
      </c>
      <c r="E37" s="356">
        <v>0</v>
      </c>
      <c r="F37" s="1464"/>
      <c r="G37" s="1465"/>
      <c r="H37" s="1465"/>
      <c r="I37" s="1465"/>
      <c r="J37" s="1465"/>
      <c r="K37" s="495" t="e">
        <f>D37*E37</f>
        <v>#REF!</v>
      </c>
      <c r="L37" s="427" t="e">
        <f>N32+S35</f>
        <v>#REF!</v>
      </c>
      <c r="M37" s="356">
        <v>0</v>
      </c>
      <c r="N37" s="1406"/>
      <c r="O37" s="1412"/>
      <c r="P37" s="1412"/>
      <c r="Q37" s="1412"/>
      <c r="R37" s="1407"/>
      <c r="S37" s="302" t="e">
        <f>L37*M37</f>
        <v>#REF!</v>
      </c>
      <c r="T37" s="427" t="e">
        <f>V32+AA35</f>
        <v>#REF!</v>
      </c>
      <c r="U37" s="356">
        <v>0</v>
      </c>
      <c r="V37" s="1406"/>
      <c r="W37" s="1412"/>
      <c r="X37" s="1412"/>
      <c r="Y37" s="1412"/>
      <c r="Z37" s="1407"/>
      <c r="AA37" s="302" t="e">
        <f>T37*U37</f>
        <v>#REF!</v>
      </c>
      <c r="AB37" s="427" t="e">
        <f>AD32+AI35</f>
        <v>#REF!</v>
      </c>
      <c r="AC37" s="356">
        <v>0</v>
      </c>
      <c r="AD37" s="1406"/>
      <c r="AE37" s="1412"/>
      <c r="AF37" s="1412"/>
      <c r="AG37" s="1466"/>
      <c r="AH37" s="301"/>
      <c r="AI37" s="302" t="e">
        <f>AB37*AC37</f>
        <v>#REF!</v>
      </c>
      <c r="AJ37" s="427" t="e">
        <f>AL32+AQ35</f>
        <v>#REF!</v>
      </c>
      <c r="AK37" s="426">
        <v>0</v>
      </c>
      <c r="AL37" s="1406"/>
      <c r="AM37" s="1412"/>
      <c r="AN37" s="1412"/>
      <c r="AO37" s="1412"/>
      <c r="AP37" s="1407"/>
      <c r="AQ37" s="302" t="e">
        <f>AJ37*AK37</f>
        <v>#REF!</v>
      </c>
      <c r="AR37" s="427" t="e">
        <f>AT32+AY35</f>
        <v>#REF!</v>
      </c>
      <c r="AS37" s="426">
        <v>0</v>
      </c>
      <c r="AT37" s="1406"/>
      <c r="AU37" s="1412"/>
      <c r="AV37" s="1412"/>
      <c r="AW37" s="1412"/>
      <c r="AX37" s="1407"/>
      <c r="AY37" s="406" t="e">
        <f>AR37*AS37</f>
        <v>#REF!</v>
      </c>
      <c r="AZ37" s="1409"/>
      <c r="BA37" s="431" t="e">
        <f>K37+S37+AA37+AI37+AQ37+AY37</f>
        <v>#REF!</v>
      </c>
    </row>
    <row r="38" spans="1:538" s="337" customFormat="1" x14ac:dyDescent="0.25">
      <c r="A38" s="1483" t="s">
        <v>248</v>
      </c>
      <c r="B38" s="1483"/>
      <c r="C38" s="1483"/>
      <c r="D38" s="1484"/>
      <c r="E38" s="1484"/>
      <c r="F38" s="1484"/>
      <c r="G38" s="1484"/>
      <c r="H38" s="1484"/>
      <c r="I38" s="1484"/>
      <c r="J38" s="1484"/>
      <c r="K38" s="336" t="e">
        <f>SUM(K36:K37)</f>
        <v>#REF!</v>
      </c>
      <c r="L38" s="1468"/>
      <c r="M38" s="1468"/>
      <c r="N38" s="1468"/>
      <c r="O38" s="1468"/>
      <c r="P38" s="1468"/>
      <c r="Q38" s="1468"/>
      <c r="R38" s="1469"/>
      <c r="S38" s="334" t="e">
        <f>SUM(S36:S37)</f>
        <v>#REF!</v>
      </c>
      <c r="T38" s="1467"/>
      <c r="U38" s="1468"/>
      <c r="V38" s="1468"/>
      <c r="W38" s="1468"/>
      <c r="X38" s="1468"/>
      <c r="Y38" s="1468"/>
      <c r="Z38" s="1469"/>
      <c r="AA38" s="334" t="e">
        <f>SUM(AA36:AA37)</f>
        <v>#REF!</v>
      </c>
      <c r="AB38" s="1467"/>
      <c r="AC38" s="1468"/>
      <c r="AD38" s="1468"/>
      <c r="AE38" s="1468"/>
      <c r="AF38" s="1468"/>
      <c r="AG38" s="1468"/>
      <c r="AH38" s="1469"/>
      <c r="AI38" s="334" t="e">
        <f>SUM(AI36:AI37)</f>
        <v>#REF!</v>
      </c>
      <c r="AJ38" s="1467"/>
      <c r="AK38" s="1468"/>
      <c r="AL38" s="1468"/>
      <c r="AM38" s="1468"/>
      <c r="AN38" s="1468"/>
      <c r="AO38" s="1468"/>
      <c r="AP38" s="1469"/>
      <c r="AQ38" s="334" t="e">
        <f>SUM(AQ36:AQ37)</f>
        <v>#REF!</v>
      </c>
      <c r="AR38" s="1467"/>
      <c r="AS38" s="1468"/>
      <c r="AT38" s="1468"/>
      <c r="AU38" s="1468"/>
      <c r="AV38" s="1468"/>
      <c r="AW38" s="1468"/>
      <c r="AX38" s="1469"/>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x14ac:dyDescent="0.25">
      <c r="A39" s="1470" t="s">
        <v>445</v>
      </c>
      <c r="B39" s="1471"/>
      <c r="C39" s="423" t="s">
        <v>446</v>
      </c>
      <c r="D39" s="1472"/>
      <c r="E39" s="1473"/>
      <c r="F39" s="1473"/>
      <c r="G39" s="1473"/>
      <c r="H39" s="1473"/>
      <c r="I39" s="1473"/>
      <c r="J39" s="1474"/>
      <c r="K39" s="497"/>
      <c r="L39" s="1475"/>
      <c r="M39" s="1475"/>
      <c r="N39" s="1475"/>
      <c r="O39" s="1475"/>
      <c r="P39" s="1475"/>
      <c r="Q39" s="1475"/>
      <c r="R39" s="1476"/>
      <c r="S39" s="429"/>
      <c r="T39" s="1477"/>
      <c r="U39" s="1475"/>
      <c r="V39" s="1475"/>
      <c r="W39" s="1475"/>
      <c r="X39" s="1475"/>
      <c r="Y39" s="1475"/>
      <c r="Z39" s="1475"/>
      <c r="AA39" s="1478"/>
      <c r="AB39" s="1479"/>
      <c r="AC39" s="1475"/>
      <c r="AD39" s="1475"/>
      <c r="AE39" s="1475"/>
      <c r="AF39" s="1475"/>
      <c r="AG39" s="1475"/>
      <c r="AH39" s="1480"/>
      <c r="AI39" s="351"/>
      <c r="AJ39" s="1479"/>
      <c r="AK39" s="1475"/>
      <c r="AL39" s="1475"/>
      <c r="AM39" s="1475"/>
      <c r="AN39" s="1475"/>
      <c r="AO39" s="1475"/>
      <c r="AP39" s="1480"/>
      <c r="AQ39" s="430"/>
      <c r="AR39" s="1481"/>
      <c r="AS39" s="1475"/>
      <c r="AT39" s="1475"/>
      <c r="AU39" s="1475"/>
      <c r="AV39" s="1475"/>
      <c r="AW39" s="1475"/>
      <c r="AX39" s="1475"/>
      <c r="AY39" s="1475"/>
      <c r="AZ39" s="1475"/>
      <c r="BA39" s="1482"/>
    </row>
    <row r="40" spans="1:538" x14ac:dyDescent="0.25">
      <c r="A40" s="352"/>
      <c r="B40" s="294" t="s">
        <v>335</v>
      </c>
      <c r="C40" s="304" t="s">
        <v>336</v>
      </c>
      <c r="D40" s="1502"/>
      <c r="E40" s="1503"/>
      <c r="F40" s="1503"/>
      <c r="G40" s="1503"/>
      <c r="H40" s="1503"/>
      <c r="I40" s="1503"/>
      <c r="J40" s="1504"/>
      <c r="K40" s="495">
        <v>500000</v>
      </c>
      <c r="L40" s="1489"/>
      <c r="M40" s="1489"/>
      <c r="N40" s="1489"/>
      <c r="O40" s="1489"/>
      <c r="P40" s="1489"/>
      <c r="Q40" s="1489"/>
      <c r="R40" s="1490"/>
      <c r="S40" s="302">
        <v>500000</v>
      </c>
      <c r="T40" s="1488"/>
      <c r="U40" s="1489"/>
      <c r="V40" s="1489"/>
      <c r="W40" s="1489"/>
      <c r="X40" s="1489"/>
      <c r="Y40" s="1489"/>
      <c r="Z40" s="1490"/>
      <c r="AA40" s="302">
        <v>500000</v>
      </c>
      <c r="AB40" s="1485"/>
      <c r="AC40" s="1486"/>
      <c r="AD40" s="1486"/>
      <c r="AE40" s="1486"/>
      <c r="AF40" s="1486"/>
      <c r="AG40" s="1486"/>
      <c r="AH40" s="1487"/>
      <c r="AI40" s="302">
        <v>500000</v>
      </c>
      <c r="AJ40" s="1485"/>
      <c r="AK40" s="1486"/>
      <c r="AL40" s="1486"/>
      <c r="AM40" s="1486"/>
      <c r="AN40" s="1486"/>
      <c r="AO40" s="1486"/>
      <c r="AP40" s="1487"/>
      <c r="AQ40" s="302">
        <v>500000</v>
      </c>
      <c r="AR40" s="1485"/>
      <c r="AS40" s="1486"/>
      <c r="AT40" s="1486"/>
      <c r="AU40" s="1486"/>
      <c r="AV40" s="1486"/>
      <c r="AW40" s="1486"/>
      <c r="AX40" s="1487"/>
      <c r="AY40" s="302">
        <v>500000</v>
      </c>
      <c r="AZ40" s="454"/>
      <c r="BA40" s="431">
        <f>K40+S40+AA40+AI40+AQ40+AY40</f>
        <v>3000000</v>
      </c>
    </row>
    <row r="41" spans="1:538" x14ac:dyDescent="0.25">
      <c r="A41" s="352"/>
      <c r="B41" s="294" t="s">
        <v>337</v>
      </c>
      <c r="C41" s="304" t="s">
        <v>336</v>
      </c>
      <c r="D41" s="1502"/>
      <c r="E41" s="1503"/>
      <c r="F41" s="1503"/>
      <c r="G41" s="1503"/>
      <c r="H41" s="1503"/>
      <c r="I41" s="1503"/>
      <c r="J41" s="1504"/>
      <c r="K41" s="495">
        <v>500000</v>
      </c>
      <c r="L41" s="1489"/>
      <c r="M41" s="1489"/>
      <c r="N41" s="1489"/>
      <c r="O41" s="1489"/>
      <c r="P41" s="1489"/>
      <c r="Q41" s="1489"/>
      <c r="R41" s="1490"/>
      <c r="S41" s="302">
        <v>500000</v>
      </c>
      <c r="T41" s="1488"/>
      <c r="U41" s="1489"/>
      <c r="V41" s="1489"/>
      <c r="W41" s="1489"/>
      <c r="X41" s="1489"/>
      <c r="Y41" s="1489"/>
      <c r="Z41" s="1490"/>
      <c r="AA41" s="302">
        <v>500000</v>
      </c>
      <c r="AB41" s="1488"/>
      <c r="AC41" s="1489"/>
      <c r="AD41" s="1489"/>
      <c r="AE41" s="1489"/>
      <c r="AF41" s="1489"/>
      <c r="AG41" s="1489"/>
      <c r="AH41" s="1490"/>
      <c r="AI41" s="302">
        <v>500000</v>
      </c>
      <c r="AJ41" s="1488"/>
      <c r="AK41" s="1489"/>
      <c r="AL41" s="1489"/>
      <c r="AM41" s="1489"/>
      <c r="AN41" s="1489"/>
      <c r="AO41" s="1489"/>
      <c r="AP41" s="1490"/>
      <c r="AQ41" s="302">
        <v>500000</v>
      </c>
      <c r="AR41" s="1488"/>
      <c r="AS41" s="1489"/>
      <c r="AT41" s="1489"/>
      <c r="AU41" s="1489"/>
      <c r="AV41" s="1489"/>
      <c r="AW41" s="1489"/>
      <c r="AX41" s="1490"/>
      <c r="AY41" s="302">
        <v>500000</v>
      </c>
      <c r="AZ41" s="456"/>
      <c r="BA41" s="431">
        <f>K41+S41+AA41+AI41+AQ41+AY41</f>
        <v>3000000</v>
      </c>
    </row>
    <row r="42" spans="1:538" x14ac:dyDescent="0.25">
      <c r="A42" s="352"/>
      <c r="B42" s="294" t="s">
        <v>338</v>
      </c>
      <c r="C42" s="304" t="s">
        <v>336</v>
      </c>
      <c r="D42" s="1502"/>
      <c r="E42" s="1503"/>
      <c r="F42" s="1503"/>
      <c r="G42" s="1503"/>
      <c r="H42" s="1503"/>
      <c r="I42" s="1503"/>
      <c r="J42" s="1504"/>
      <c r="K42" s="495">
        <v>500000</v>
      </c>
      <c r="L42" s="1489"/>
      <c r="M42" s="1489"/>
      <c r="N42" s="1489"/>
      <c r="O42" s="1489"/>
      <c r="P42" s="1489"/>
      <c r="Q42" s="1489"/>
      <c r="R42" s="1490"/>
      <c r="S42" s="302">
        <v>500000</v>
      </c>
      <c r="T42" s="1488"/>
      <c r="U42" s="1489"/>
      <c r="V42" s="1489"/>
      <c r="W42" s="1489"/>
      <c r="X42" s="1489"/>
      <c r="Y42" s="1489"/>
      <c r="Z42" s="1490"/>
      <c r="AA42" s="302">
        <v>500000</v>
      </c>
      <c r="AB42" s="1488"/>
      <c r="AC42" s="1489"/>
      <c r="AD42" s="1489"/>
      <c r="AE42" s="1489"/>
      <c r="AF42" s="1489"/>
      <c r="AG42" s="1489"/>
      <c r="AH42" s="1490"/>
      <c r="AI42" s="302">
        <v>500000</v>
      </c>
      <c r="AJ42" s="1488"/>
      <c r="AK42" s="1489"/>
      <c r="AL42" s="1489"/>
      <c r="AM42" s="1489"/>
      <c r="AN42" s="1489"/>
      <c r="AO42" s="1489"/>
      <c r="AP42" s="1490"/>
      <c r="AQ42" s="302">
        <v>500000</v>
      </c>
      <c r="AR42" s="1488"/>
      <c r="AS42" s="1489"/>
      <c r="AT42" s="1489"/>
      <c r="AU42" s="1489"/>
      <c r="AV42" s="1489"/>
      <c r="AW42" s="1489"/>
      <c r="AX42" s="1490"/>
      <c r="AY42" s="302">
        <v>500000</v>
      </c>
      <c r="AZ42" s="456"/>
      <c r="BA42" s="431">
        <f>K42+S42+AA42+AI42+AQ42+AY42</f>
        <v>3000000</v>
      </c>
    </row>
    <row r="43" spans="1:538" x14ac:dyDescent="0.25">
      <c r="A43" s="352"/>
      <c r="B43" s="296" t="s">
        <v>447</v>
      </c>
      <c r="C43" s="304" t="s">
        <v>336</v>
      </c>
      <c r="D43" s="1502"/>
      <c r="E43" s="1503"/>
      <c r="F43" s="1503"/>
      <c r="G43" s="1503"/>
      <c r="H43" s="1503"/>
      <c r="I43" s="1503"/>
      <c r="J43" s="1504"/>
      <c r="K43" s="495">
        <v>0</v>
      </c>
      <c r="L43" s="1492"/>
      <c r="M43" s="1492"/>
      <c r="N43" s="1492"/>
      <c r="O43" s="1492"/>
      <c r="P43" s="1492"/>
      <c r="Q43" s="1492"/>
      <c r="R43" s="1493"/>
      <c r="S43" s="302">
        <v>0</v>
      </c>
      <c r="T43" s="1491"/>
      <c r="U43" s="1492"/>
      <c r="V43" s="1492"/>
      <c r="W43" s="1492"/>
      <c r="X43" s="1492"/>
      <c r="Y43" s="1492"/>
      <c r="Z43" s="1493"/>
      <c r="AA43" s="302">
        <v>0</v>
      </c>
      <c r="AB43" s="1491"/>
      <c r="AC43" s="1492"/>
      <c r="AD43" s="1492"/>
      <c r="AE43" s="1492"/>
      <c r="AF43" s="1492"/>
      <c r="AG43" s="1492"/>
      <c r="AH43" s="1493"/>
      <c r="AI43" s="302">
        <v>0</v>
      </c>
      <c r="AJ43" s="1491"/>
      <c r="AK43" s="1492"/>
      <c r="AL43" s="1492"/>
      <c r="AM43" s="1492"/>
      <c r="AN43" s="1492"/>
      <c r="AO43" s="1492"/>
      <c r="AP43" s="1493"/>
      <c r="AQ43" s="302">
        <v>0</v>
      </c>
      <c r="AR43" s="1491"/>
      <c r="AS43" s="1492"/>
      <c r="AT43" s="1492"/>
      <c r="AU43" s="1492"/>
      <c r="AV43" s="1492"/>
      <c r="AW43" s="1492"/>
      <c r="AX43" s="1493"/>
      <c r="AY43" s="410">
        <v>0</v>
      </c>
      <c r="AZ43" s="455"/>
      <c r="BA43" s="431">
        <f>K43+S43+AA43+AI43+AQ43+AY43</f>
        <v>0</v>
      </c>
    </row>
    <row r="44" spans="1:538" s="389" customFormat="1" x14ac:dyDescent="0.25">
      <c r="A44" s="1494" t="s">
        <v>250</v>
      </c>
      <c r="B44" s="1495"/>
      <c r="C44" s="1495"/>
      <c r="D44" s="1496"/>
      <c r="E44" s="1497"/>
      <c r="F44" s="1497"/>
      <c r="G44" s="1497"/>
      <c r="H44" s="1497"/>
      <c r="I44" s="1497"/>
      <c r="J44" s="1498"/>
      <c r="K44" s="498">
        <f>SUM(K39:K43)</f>
        <v>1500000</v>
      </c>
      <c r="L44" s="1499"/>
      <c r="M44" s="1499"/>
      <c r="N44" s="1499"/>
      <c r="O44" s="1499"/>
      <c r="P44" s="1499"/>
      <c r="Q44" s="1499"/>
      <c r="R44" s="1500"/>
      <c r="S44" s="350">
        <f>SUM(S39:S43)</f>
        <v>1500000</v>
      </c>
      <c r="T44" s="1501"/>
      <c r="U44" s="1499"/>
      <c r="V44" s="1499"/>
      <c r="W44" s="1499"/>
      <c r="X44" s="1499"/>
      <c r="Y44" s="1499"/>
      <c r="Z44" s="1500"/>
      <c r="AA44" s="350">
        <f>SUM(AA39:AA43)</f>
        <v>1500000</v>
      </c>
      <c r="AB44" s="1501"/>
      <c r="AC44" s="1499"/>
      <c r="AD44" s="1499"/>
      <c r="AE44" s="1499"/>
      <c r="AF44" s="1499"/>
      <c r="AG44" s="1499"/>
      <c r="AH44" s="1500"/>
      <c r="AI44" s="350">
        <f>SUM(AI39:AI43)</f>
        <v>1500000</v>
      </c>
      <c r="AJ44" s="1501"/>
      <c r="AK44" s="1499"/>
      <c r="AL44" s="1499"/>
      <c r="AM44" s="1499"/>
      <c r="AN44" s="1499"/>
      <c r="AO44" s="1499"/>
      <c r="AP44" s="1500"/>
      <c r="AQ44" s="350">
        <f>SUM(AQ39:AQ43)</f>
        <v>1500000</v>
      </c>
      <c r="AR44" s="1501"/>
      <c r="AS44" s="1499"/>
      <c r="AT44" s="1499"/>
      <c r="AU44" s="1499"/>
      <c r="AV44" s="1499"/>
      <c r="AW44" s="1499"/>
      <c r="AX44" s="1500"/>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x14ac:dyDescent="0.25">
      <c r="A45" s="1520" t="s">
        <v>340</v>
      </c>
      <c r="B45" s="1520"/>
      <c r="C45" s="1520"/>
      <c r="D45" s="483" t="s">
        <v>325</v>
      </c>
      <c r="E45" s="482" t="s">
        <v>341</v>
      </c>
      <c r="F45" s="1521"/>
      <c r="G45" s="1521"/>
      <c r="H45" s="1521"/>
      <c r="I45" s="1521"/>
      <c r="J45" s="1521"/>
      <c r="K45" s="1521"/>
      <c r="L45" s="1177" t="s">
        <v>325</v>
      </c>
      <c r="M45" s="1178" t="s">
        <v>341</v>
      </c>
      <c r="N45" s="1505"/>
      <c r="O45" s="1506"/>
      <c r="P45" s="1506"/>
      <c r="Q45" s="1506"/>
      <c r="R45" s="1508"/>
      <c r="S45" s="469"/>
      <c r="T45" s="467" t="s">
        <v>325</v>
      </c>
      <c r="U45" s="1178" t="s">
        <v>341</v>
      </c>
      <c r="V45" s="1505"/>
      <c r="W45" s="1506"/>
      <c r="X45" s="1506"/>
      <c r="Y45" s="1506"/>
      <c r="Z45" s="1506"/>
      <c r="AA45" s="1522"/>
      <c r="AB45" s="467" t="s">
        <v>325</v>
      </c>
      <c r="AC45" s="1178" t="s">
        <v>341</v>
      </c>
      <c r="AD45" s="1505"/>
      <c r="AE45" s="1506"/>
      <c r="AF45" s="1506"/>
      <c r="AG45" s="1506"/>
      <c r="AH45" s="1508"/>
      <c r="AI45" s="469"/>
      <c r="AJ45" s="467" t="s">
        <v>325</v>
      </c>
      <c r="AK45" s="1178" t="s">
        <v>341</v>
      </c>
      <c r="AL45" s="1505"/>
      <c r="AM45" s="1506"/>
      <c r="AN45" s="1506"/>
      <c r="AO45" s="1506"/>
      <c r="AP45" s="1507"/>
      <c r="AQ45" s="318"/>
      <c r="AR45" s="467" t="s">
        <v>325</v>
      </c>
      <c r="AS45" s="1178" t="s">
        <v>341</v>
      </c>
      <c r="AT45" s="1505"/>
      <c r="AU45" s="1506"/>
      <c r="AV45" s="1506"/>
      <c r="AW45" s="1506"/>
      <c r="AX45" s="1506"/>
      <c r="AY45" s="1508"/>
      <c r="AZ45" s="470" t="s">
        <v>325</v>
      </c>
      <c r="BA45" s="474"/>
    </row>
    <row r="46" spans="1:538" x14ac:dyDescent="0.25">
      <c r="A46" s="484"/>
      <c r="B46" s="294" t="s">
        <v>345</v>
      </c>
      <c r="C46" s="485" t="s">
        <v>346</v>
      </c>
      <c r="D46" s="432">
        <v>1920</v>
      </c>
      <c r="E46" s="358">
        <v>170</v>
      </c>
      <c r="F46" s="1509"/>
      <c r="G46" s="1489"/>
      <c r="H46" s="1489"/>
      <c r="I46" s="1489"/>
      <c r="J46" s="1489"/>
      <c r="K46" s="477">
        <f>D46*E46</f>
        <v>326400</v>
      </c>
      <c r="L46" s="432">
        <v>1920</v>
      </c>
      <c r="M46" s="358">
        <v>170</v>
      </c>
      <c r="N46" s="1509"/>
      <c r="O46" s="1489"/>
      <c r="P46" s="1489"/>
      <c r="Q46" s="1489"/>
      <c r="R46" s="1490"/>
      <c r="S46" s="300">
        <f>L46*M46</f>
        <v>326400</v>
      </c>
      <c r="T46" s="357">
        <v>1920</v>
      </c>
      <c r="U46" s="358">
        <v>170</v>
      </c>
      <c r="V46" s="1509"/>
      <c r="W46" s="1489"/>
      <c r="X46" s="1489"/>
      <c r="Y46" s="1489"/>
      <c r="Z46" s="1490"/>
      <c r="AA46" s="300">
        <f>T46*U46</f>
        <v>326400</v>
      </c>
      <c r="AB46" s="357">
        <v>1920</v>
      </c>
      <c r="AC46" s="358">
        <v>170</v>
      </c>
      <c r="AD46" s="1509"/>
      <c r="AE46" s="1489"/>
      <c r="AF46" s="1489"/>
      <c r="AG46" s="1489"/>
      <c r="AH46" s="1490"/>
      <c r="AI46" s="300">
        <f>AB46*AC46</f>
        <v>326400</v>
      </c>
      <c r="AJ46" s="357">
        <v>1920</v>
      </c>
      <c r="AK46" s="358">
        <v>170</v>
      </c>
      <c r="AL46" s="1511"/>
      <c r="AM46" s="1512"/>
      <c r="AN46" s="1512"/>
      <c r="AO46" s="1512"/>
      <c r="AP46" s="1513"/>
      <c r="AQ46" s="300">
        <f>AJ46*AK46</f>
        <v>326400</v>
      </c>
      <c r="AR46" s="357">
        <v>1920</v>
      </c>
      <c r="AS46" s="358">
        <v>170</v>
      </c>
      <c r="AT46" s="1509"/>
      <c r="AU46" s="1489"/>
      <c r="AV46" s="1489"/>
      <c r="AW46" s="1489"/>
      <c r="AX46" s="1490"/>
      <c r="AY46" s="460">
        <f>AR46*AS46</f>
        <v>326400</v>
      </c>
      <c r="AZ46" s="463">
        <f>SUM(D46,L46,T46,AB46,AJ46,AR46)</f>
        <v>11520</v>
      </c>
      <c r="BA46" s="431">
        <f>K46+S46+AA46+AI46+AQ46+AY46</f>
        <v>1958400</v>
      </c>
    </row>
    <row r="47" spans="1:538" x14ac:dyDescent="0.25">
      <c r="A47" s="484"/>
      <c r="B47" s="294" t="s">
        <v>347</v>
      </c>
      <c r="C47" s="485" t="s">
        <v>346</v>
      </c>
      <c r="D47" s="432">
        <v>1920</v>
      </c>
      <c r="E47" s="358">
        <v>150</v>
      </c>
      <c r="F47" s="1509"/>
      <c r="G47" s="1489"/>
      <c r="H47" s="1489"/>
      <c r="I47" s="1489"/>
      <c r="J47" s="1489"/>
      <c r="K47" s="477">
        <f>D47*E47</f>
        <v>288000</v>
      </c>
      <c r="L47" s="432">
        <v>1920</v>
      </c>
      <c r="M47" s="358">
        <v>150</v>
      </c>
      <c r="N47" s="1509"/>
      <c r="O47" s="1489"/>
      <c r="P47" s="1489"/>
      <c r="Q47" s="1489"/>
      <c r="R47" s="1490"/>
      <c r="S47" s="300">
        <f>L47*M47</f>
        <v>288000</v>
      </c>
      <c r="T47" s="357">
        <v>1920</v>
      </c>
      <c r="U47" s="358">
        <v>150</v>
      </c>
      <c r="V47" s="1509"/>
      <c r="W47" s="1489"/>
      <c r="X47" s="1489"/>
      <c r="Y47" s="1489"/>
      <c r="Z47" s="1490"/>
      <c r="AA47" s="300">
        <f>T47*U47</f>
        <v>288000</v>
      </c>
      <c r="AB47" s="357">
        <v>1920</v>
      </c>
      <c r="AC47" s="358">
        <v>150</v>
      </c>
      <c r="AD47" s="1509"/>
      <c r="AE47" s="1489"/>
      <c r="AF47" s="1489"/>
      <c r="AG47" s="1489"/>
      <c r="AH47" s="1490"/>
      <c r="AI47" s="300">
        <f>AB47*AC47</f>
        <v>288000</v>
      </c>
      <c r="AJ47" s="357">
        <v>1920</v>
      </c>
      <c r="AK47" s="358">
        <v>150</v>
      </c>
      <c r="AL47" s="1514"/>
      <c r="AM47" s="1515"/>
      <c r="AN47" s="1515"/>
      <c r="AO47" s="1515"/>
      <c r="AP47" s="1516"/>
      <c r="AQ47" s="300">
        <f>AJ47*AK47</f>
        <v>288000</v>
      </c>
      <c r="AR47" s="357">
        <v>1920</v>
      </c>
      <c r="AS47" s="358">
        <v>150</v>
      </c>
      <c r="AT47" s="1509"/>
      <c r="AU47" s="1489"/>
      <c r="AV47" s="1489"/>
      <c r="AW47" s="1489"/>
      <c r="AX47" s="1490"/>
      <c r="AY47" s="406">
        <f>AR47*AS47</f>
        <v>288000</v>
      </c>
      <c r="AZ47" s="463">
        <f>SUM(D47,L47,T47,AB47,AJ47,AR47)</f>
        <v>11520</v>
      </c>
      <c r="BA47" s="431">
        <f>K47+S47+AA47+AI47+AQ47+AY47</f>
        <v>1728000</v>
      </c>
    </row>
    <row r="48" spans="1:538" x14ac:dyDescent="0.25">
      <c r="A48" s="484"/>
      <c r="B48" s="294" t="s">
        <v>348</v>
      </c>
      <c r="C48" s="485" t="s">
        <v>346</v>
      </c>
      <c r="D48" s="432">
        <v>1920</v>
      </c>
      <c r="E48" s="358">
        <v>100</v>
      </c>
      <c r="F48" s="1509"/>
      <c r="G48" s="1489"/>
      <c r="H48" s="1489"/>
      <c r="I48" s="1489"/>
      <c r="J48" s="1489"/>
      <c r="K48" s="477">
        <f>D48*E48</f>
        <v>192000</v>
      </c>
      <c r="L48" s="432">
        <v>1920</v>
      </c>
      <c r="M48" s="358">
        <v>100</v>
      </c>
      <c r="N48" s="1509"/>
      <c r="O48" s="1489"/>
      <c r="P48" s="1489"/>
      <c r="Q48" s="1489"/>
      <c r="R48" s="1490"/>
      <c r="S48" s="300">
        <f>L48*M48</f>
        <v>192000</v>
      </c>
      <c r="T48" s="357">
        <v>1920</v>
      </c>
      <c r="U48" s="358">
        <v>100</v>
      </c>
      <c r="V48" s="1509"/>
      <c r="W48" s="1489"/>
      <c r="X48" s="1489"/>
      <c r="Y48" s="1489"/>
      <c r="Z48" s="1490"/>
      <c r="AA48" s="300">
        <f>T48*U48</f>
        <v>192000</v>
      </c>
      <c r="AB48" s="357">
        <v>1920</v>
      </c>
      <c r="AC48" s="358">
        <v>100</v>
      </c>
      <c r="AD48" s="1509"/>
      <c r="AE48" s="1489"/>
      <c r="AF48" s="1489"/>
      <c r="AG48" s="1489"/>
      <c r="AH48" s="1490"/>
      <c r="AI48" s="300">
        <f>AB48*AC48</f>
        <v>192000</v>
      </c>
      <c r="AJ48" s="357">
        <v>1920</v>
      </c>
      <c r="AK48" s="358">
        <v>100</v>
      </c>
      <c r="AL48" s="1514"/>
      <c r="AM48" s="1515"/>
      <c r="AN48" s="1515"/>
      <c r="AO48" s="1515"/>
      <c r="AP48" s="1516"/>
      <c r="AQ48" s="300">
        <f>AJ48*AK48</f>
        <v>192000</v>
      </c>
      <c r="AR48" s="357">
        <v>1920</v>
      </c>
      <c r="AS48" s="358">
        <v>100</v>
      </c>
      <c r="AT48" s="1509"/>
      <c r="AU48" s="1489"/>
      <c r="AV48" s="1489"/>
      <c r="AW48" s="1489"/>
      <c r="AX48" s="1490"/>
      <c r="AY48" s="406">
        <f>AR48*AS48</f>
        <v>192000</v>
      </c>
      <c r="AZ48" s="463">
        <f>SUM(D48,L48,T48,AB48,AJ48,AR48)</f>
        <v>11520</v>
      </c>
      <c r="BA48" s="431">
        <f>K48+S48+AA48+AI48+AQ48+AY48</f>
        <v>1152000</v>
      </c>
    </row>
    <row r="49" spans="1:538" x14ac:dyDescent="0.25">
      <c r="A49" s="484"/>
      <c r="B49" s="296" t="s">
        <v>448</v>
      </c>
      <c r="C49" s="485" t="s">
        <v>346</v>
      </c>
      <c r="D49" s="432">
        <v>0</v>
      </c>
      <c r="E49" s="358">
        <v>0</v>
      </c>
      <c r="F49" s="1510"/>
      <c r="G49" s="1492"/>
      <c r="H49" s="1492"/>
      <c r="I49" s="1492"/>
      <c r="J49" s="1492"/>
      <c r="K49" s="477">
        <f>D49*E49</f>
        <v>0</v>
      </c>
      <c r="L49" s="432">
        <v>0</v>
      </c>
      <c r="M49" s="358">
        <v>0</v>
      </c>
      <c r="N49" s="1510"/>
      <c r="O49" s="1492"/>
      <c r="P49" s="1492"/>
      <c r="Q49" s="1492"/>
      <c r="R49" s="1493"/>
      <c r="S49" s="300">
        <f>L49*M49</f>
        <v>0</v>
      </c>
      <c r="T49" s="432">
        <v>0</v>
      </c>
      <c r="U49" s="358">
        <v>0</v>
      </c>
      <c r="V49" s="1510"/>
      <c r="W49" s="1492"/>
      <c r="X49" s="1492"/>
      <c r="Y49" s="1492"/>
      <c r="Z49" s="1493"/>
      <c r="AA49" s="300">
        <f>T49*U49</f>
        <v>0</v>
      </c>
      <c r="AB49" s="432">
        <v>0</v>
      </c>
      <c r="AC49" s="358">
        <v>0</v>
      </c>
      <c r="AD49" s="1510"/>
      <c r="AE49" s="1492"/>
      <c r="AF49" s="1492"/>
      <c r="AG49" s="1492"/>
      <c r="AH49" s="1493"/>
      <c r="AI49" s="300">
        <f>AB49*AC49</f>
        <v>0</v>
      </c>
      <c r="AJ49" s="432">
        <v>0</v>
      </c>
      <c r="AK49" s="358">
        <v>0</v>
      </c>
      <c r="AL49" s="1517"/>
      <c r="AM49" s="1518"/>
      <c r="AN49" s="1518"/>
      <c r="AO49" s="1518"/>
      <c r="AP49" s="1519"/>
      <c r="AQ49" s="300">
        <f>AJ49*AK49</f>
        <v>0</v>
      </c>
      <c r="AR49" s="437">
        <v>0</v>
      </c>
      <c r="AS49" s="434">
        <v>0</v>
      </c>
      <c r="AT49" s="1510"/>
      <c r="AU49" s="1492"/>
      <c r="AV49" s="1492"/>
      <c r="AW49" s="1492"/>
      <c r="AX49" s="1493"/>
      <c r="AY49" s="406">
        <f>AR49*AS49</f>
        <v>0</v>
      </c>
      <c r="AZ49" s="463">
        <f>SUM(D49,L49,T49,AB49,AJ49,AR49)</f>
        <v>0</v>
      </c>
      <c r="BA49" s="431">
        <f>K49+S49+AA49+AI49+AQ49+AY49</f>
        <v>0</v>
      </c>
    </row>
    <row r="50" spans="1:538" s="360" customFormat="1" x14ac:dyDescent="0.25">
      <c r="A50" s="1533" t="s">
        <v>252</v>
      </c>
      <c r="B50" s="1533"/>
      <c r="C50" s="1533"/>
      <c r="D50" s="1534"/>
      <c r="E50" s="1534"/>
      <c r="F50" s="1534"/>
      <c r="G50" s="1534"/>
      <c r="H50" s="1534"/>
      <c r="I50" s="1534"/>
      <c r="J50" s="1534"/>
      <c r="K50" s="494">
        <f>SUM(K45:K49)</f>
        <v>806400</v>
      </c>
      <c r="L50" s="1524"/>
      <c r="M50" s="1524"/>
      <c r="N50" s="1524"/>
      <c r="O50" s="1524"/>
      <c r="P50" s="1524"/>
      <c r="Q50" s="1524"/>
      <c r="R50" s="1525"/>
      <c r="S50" s="468">
        <f>SUM(S45:S49)</f>
        <v>806400</v>
      </c>
      <c r="T50" s="1523"/>
      <c r="U50" s="1524"/>
      <c r="V50" s="1524"/>
      <c r="W50" s="1524"/>
      <c r="X50" s="1524"/>
      <c r="Y50" s="1524"/>
      <c r="Z50" s="1525"/>
      <c r="AA50" s="468">
        <f>SUM(AA45:AA49)</f>
        <v>806400</v>
      </c>
      <c r="AB50" s="1523"/>
      <c r="AC50" s="1524"/>
      <c r="AD50" s="1524"/>
      <c r="AE50" s="1524"/>
      <c r="AF50" s="1524"/>
      <c r="AG50" s="1524"/>
      <c r="AH50" s="1525"/>
      <c r="AI50" s="468">
        <f>SUM(AI45:AI49)</f>
        <v>806400</v>
      </c>
      <c r="AJ50" s="1523"/>
      <c r="AK50" s="1524"/>
      <c r="AL50" s="1524"/>
      <c r="AM50" s="1524"/>
      <c r="AN50" s="1524"/>
      <c r="AO50" s="1524"/>
      <c r="AP50" s="1525"/>
      <c r="AQ50" s="468">
        <f>SUM(AQ45:AQ49)</f>
        <v>806400</v>
      </c>
      <c r="AR50" s="1523"/>
      <c r="AS50" s="1524"/>
      <c r="AT50" s="1524"/>
      <c r="AU50" s="1524"/>
      <c r="AV50" s="1524"/>
      <c r="AW50" s="1524"/>
      <c r="AX50" s="1525"/>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x14ac:dyDescent="0.25">
      <c r="A51" s="1526" t="s">
        <v>350</v>
      </c>
      <c r="B51" s="1527"/>
      <c r="C51" s="1527"/>
      <c r="D51" s="1528"/>
      <c r="E51" s="1529"/>
      <c r="F51" s="1529"/>
      <c r="G51" s="1529"/>
      <c r="H51" s="1529"/>
      <c r="I51" s="1529"/>
      <c r="J51" s="1530"/>
      <c r="K51" s="496"/>
      <c r="L51" s="1461"/>
      <c r="M51" s="1461"/>
      <c r="N51" s="1461"/>
      <c r="O51" s="1461"/>
      <c r="P51" s="1461"/>
      <c r="Q51" s="1461"/>
      <c r="R51" s="1462"/>
      <c r="S51" s="346"/>
      <c r="T51" s="1463"/>
      <c r="U51" s="1461"/>
      <c r="V51" s="1461"/>
      <c r="W51" s="1461"/>
      <c r="X51" s="1461"/>
      <c r="Y51" s="1461"/>
      <c r="Z51" s="1461"/>
      <c r="AA51" s="1531"/>
      <c r="AB51" s="1463"/>
      <c r="AC51" s="1461"/>
      <c r="AD51" s="1461"/>
      <c r="AE51" s="1461"/>
      <c r="AF51" s="1461"/>
      <c r="AG51" s="1461"/>
      <c r="AH51" s="1462"/>
      <c r="AI51" s="346"/>
      <c r="AJ51" s="1463"/>
      <c r="AK51" s="1461"/>
      <c r="AL51" s="1461"/>
      <c r="AM51" s="1461"/>
      <c r="AN51" s="1461"/>
      <c r="AO51" s="1461"/>
      <c r="AP51" s="1462"/>
      <c r="AQ51" s="346"/>
      <c r="AR51" s="1463"/>
      <c r="AS51" s="1461"/>
      <c r="AT51" s="1461"/>
      <c r="AU51" s="1461"/>
      <c r="AV51" s="1461"/>
      <c r="AW51" s="1461"/>
      <c r="AX51" s="1461"/>
      <c r="AY51" s="1461"/>
      <c r="AZ51" s="1529"/>
      <c r="BA51" s="1532"/>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481"/>
      <c r="B52" s="294" t="s">
        <v>352</v>
      </c>
      <c r="C52" s="297" t="s">
        <v>353</v>
      </c>
      <c r="D52" s="1545"/>
      <c r="E52" s="1546"/>
      <c r="F52" s="1546"/>
      <c r="G52" s="1546"/>
      <c r="H52" s="1546"/>
      <c r="I52" s="1546"/>
      <c r="J52" s="1547"/>
      <c r="K52" s="495">
        <v>500000</v>
      </c>
      <c r="L52" s="1486"/>
      <c r="M52" s="1486"/>
      <c r="N52" s="1486"/>
      <c r="O52" s="1486"/>
      <c r="P52" s="1486"/>
      <c r="Q52" s="1486"/>
      <c r="R52" s="1487"/>
      <c r="S52" s="302">
        <v>500000</v>
      </c>
      <c r="T52" s="1485"/>
      <c r="U52" s="1486"/>
      <c r="V52" s="1486"/>
      <c r="W52" s="1486"/>
      <c r="X52" s="1486"/>
      <c r="Y52" s="1486"/>
      <c r="Z52" s="1487"/>
      <c r="AA52" s="302">
        <v>500000</v>
      </c>
      <c r="AB52" s="1485"/>
      <c r="AC52" s="1486"/>
      <c r="AD52" s="1486"/>
      <c r="AE52" s="1486"/>
      <c r="AF52" s="1486"/>
      <c r="AG52" s="1486"/>
      <c r="AH52" s="1487"/>
      <c r="AI52" s="302">
        <v>500000</v>
      </c>
      <c r="AJ52" s="1485"/>
      <c r="AK52" s="1486"/>
      <c r="AL52" s="1486"/>
      <c r="AM52" s="1486"/>
      <c r="AN52" s="1486"/>
      <c r="AO52" s="1486"/>
      <c r="AP52" s="1487"/>
      <c r="AQ52" s="302">
        <v>500000</v>
      </c>
      <c r="AR52" s="1485"/>
      <c r="AS52" s="1486"/>
      <c r="AT52" s="1486"/>
      <c r="AU52" s="1486"/>
      <c r="AV52" s="1486"/>
      <c r="AW52" s="1486"/>
      <c r="AX52" s="1487"/>
      <c r="AY52" s="410">
        <v>500000</v>
      </c>
      <c r="AZ52" s="1408"/>
      <c r="BA52" s="431">
        <f>K52+S52+AA52+AI52+AQ52+AY52</f>
        <v>3000000</v>
      </c>
    </row>
    <row r="53" spans="1:538" x14ac:dyDescent="0.25">
      <c r="A53" s="481"/>
      <c r="B53" s="294" t="s">
        <v>354</v>
      </c>
      <c r="C53" s="297" t="s">
        <v>355</v>
      </c>
      <c r="D53" s="1545"/>
      <c r="E53" s="1546"/>
      <c r="F53" s="1546"/>
      <c r="G53" s="1546"/>
      <c r="H53" s="1546"/>
      <c r="I53" s="1546"/>
      <c r="J53" s="1547"/>
      <c r="K53" s="495">
        <v>500000</v>
      </c>
      <c r="L53" s="1489"/>
      <c r="M53" s="1489"/>
      <c r="N53" s="1489"/>
      <c r="O53" s="1489"/>
      <c r="P53" s="1489"/>
      <c r="Q53" s="1489"/>
      <c r="R53" s="1490"/>
      <c r="S53" s="302">
        <v>500000</v>
      </c>
      <c r="T53" s="1488"/>
      <c r="U53" s="1489"/>
      <c r="V53" s="1489"/>
      <c r="W53" s="1489"/>
      <c r="X53" s="1489"/>
      <c r="Y53" s="1489"/>
      <c r="Z53" s="1490"/>
      <c r="AA53" s="302">
        <v>500000</v>
      </c>
      <c r="AB53" s="1488"/>
      <c r="AC53" s="1489"/>
      <c r="AD53" s="1489"/>
      <c r="AE53" s="1489"/>
      <c r="AF53" s="1489"/>
      <c r="AG53" s="1489"/>
      <c r="AH53" s="1490"/>
      <c r="AI53" s="302">
        <v>500000</v>
      </c>
      <c r="AJ53" s="1488"/>
      <c r="AK53" s="1489"/>
      <c r="AL53" s="1489"/>
      <c r="AM53" s="1489"/>
      <c r="AN53" s="1489"/>
      <c r="AO53" s="1489"/>
      <c r="AP53" s="1490"/>
      <c r="AQ53" s="302">
        <v>500000</v>
      </c>
      <c r="AR53" s="1488"/>
      <c r="AS53" s="1489"/>
      <c r="AT53" s="1489"/>
      <c r="AU53" s="1489"/>
      <c r="AV53" s="1489"/>
      <c r="AW53" s="1489"/>
      <c r="AX53" s="1490"/>
      <c r="AY53" s="410">
        <v>500000</v>
      </c>
      <c r="AZ53" s="1539"/>
      <c r="BA53" s="431">
        <f>K53+S53+AA53+AI53+AQ53+AY53</f>
        <v>3000000</v>
      </c>
    </row>
    <row r="54" spans="1:538" x14ac:dyDescent="0.25">
      <c r="A54" s="481"/>
      <c r="B54" s="294" t="s">
        <v>48</v>
      </c>
      <c r="C54" s="297" t="s">
        <v>357</v>
      </c>
      <c r="D54" s="1545"/>
      <c r="E54" s="1546"/>
      <c r="F54" s="1546"/>
      <c r="G54" s="1546"/>
      <c r="H54" s="1546"/>
      <c r="I54" s="1546"/>
      <c r="J54" s="1547"/>
      <c r="K54" s="495">
        <v>500000</v>
      </c>
      <c r="L54" s="1489"/>
      <c r="M54" s="1489"/>
      <c r="N54" s="1489"/>
      <c r="O54" s="1489"/>
      <c r="P54" s="1489"/>
      <c r="Q54" s="1489"/>
      <c r="R54" s="1490"/>
      <c r="S54" s="302">
        <v>500000</v>
      </c>
      <c r="T54" s="1488"/>
      <c r="U54" s="1489"/>
      <c r="V54" s="1489"/>
      <c r="W54" s="1489"/>
      <c r="X54" s="1489"/>
      <c r="Y54" s="1489"/>
      <c r="Z54" s="1490"/>
      <c r="AA54" s="302">
        <v>500000</v>
      </c>
      <c r="AB54" s="1488"/>
      <c r="AC54" s="1489"/>
      <c r="AD54" s="1489"/>
      <c r="AE54" s="1489"/>
      <c r="AF54" s="1489"/>
      <c r="AG54" s="1489"/>
      <c r="AH54" s="1490"/>
      <c r="AI54" s="302">
        <v>500000</v>
      </c>
      <c r="AJ54" s="1488"/>
      <c r="AK54" s="1489"/>
      <c r="AL54" s="1489"/>
      <c r="AM54" s="1489"/>
      <c r="AN54" s="1489"/>
      <c r="AO54" s="1489"/>
      <c r="AP54" s="1490"/>
      <c r="AQ54" s="302">
        <v>500000</v>
      </c>
      <c r="AR54" s="1488"/>
      <c r="AS54" s="1489"/>
      <c r="AT54" s="1489"/>
      <c r="AU54" s="1489"/>
      <c r="AV54" s="1489"/>
      <c r="AW54" s="1489"/>
      <c r="AX54" s="1490"/>
      <c r="AY54" s="410">
        <v>500000</v>
      </c>
      <c r="AZ54" s="1539"/>
      <c r="BA54" s="431">
        <f>K54+S54+AA54+AI54+AQ54+AY54</f>
        <v>3000000</v>
      </c>
    </row>
    <row r="55" spans="1:538" x14ac:dyDescent="0.25">
      <c r="A55" s="481"/>
      <c r="B55" s="296" t="s">
        <v>449</v>
      </c>
      <c r="C55" s="297" t="s">
        <v>359</v>
      </c>
      <c r="D55" s="1545"/>
      <c r="E55" s="1546"/>
      <c r="F55" s="1546"/>
      <c r="G55" s="1546"/>
      <c r="H55" s="1546"/>
      <c r="I55" s="1546"/>
      <c r="J55" s="1547"/>
      <c r="K55" s="495">
        <v>0</v>
      </c>
      <c r="L55" s="1492"/>
      <c r="M55" s="1492"/>
      <c r="N55" s="1492"/>
      <c r="O55" s="1492"/>
      <c r="P55" s="1492"/>
      <c r="Q55" s="1492"/>
      <c r="R55" s="1493"/>
      <c r="S55" s="302">
        <v>0</v>
      </c>
      <c r="T55" s="1491"/>
      <c r="U55" s="1492"/>
      <c r="V55" s="1492"/>
      <c r="W55" s="1492"/>
      <c r="X55" s="1492"/>
      <c r="Y55" s="1492"/>
      <c r="Z55" s="1493"/>
      <c r="AA55" s="302">
        <v>0</v>
      </c>
      <c r="AB55" s="1491"/>
      <c r="AC55" s="1492"/>
      <c r="AD55" s="1492"/>
      <c r="AE55" s="1492"/>
      <c r="AF55" s="1492"/>
      <c r="AG55" s="1492"/>
      <c r="AH55" s="1493"/>
      <c r="AI55" s="302">
        <v>0</v>
      </c>
      <c r="AJ55" s="1491"/>
      <c r="AK55" s="1492"/>
      <c r="AL55" s="1492"/>
      <c r="AM55" s="1492"/>
      <c r="AN55" s="1492"/>
      <c r="AO55" s="1492"/>
      <c r="AP55" s="1493"/>
      <c r="AQ55" s="302">
        <v>0</v>
      </c>
      <c r="AR55" s="1491"/>
      <c r="AS55" s="1492"/>
      <c r="AT55" s="1492"/>
      <c r="AU55" s="1492"/>
      <c r="AV55" s="1492"/>
      <c r="AW55" s="1492"/>
      <c r="AX55" s="1493"/>
      <c r="AY55" s="410">
        <v>0</v>
      </c>
      <c r="AZ55" s="1409"/>
      <c r="BA55" s="431">
        <f>K55+S55+AA55+AI55+AQ55+AY55</f>
        <v>0</v>
      </c>
    </row>
    <row r="56" spans="1:538" s="363" customFormat="1" x14ac:dyDescent="0.25">
      <c r="A56" s="1540" t="s">
        <v>254</v>
      </c>
      <c r="B56" s="1541"/>
      <c r="C56" s="1541"/>
      <c r="D56" s="1542"/>
      <c r="E56" s="1543"/>
      <c r="F56" s="1543"/>
      <c r="G56" s="1543"/>
      <c r="H56" s="1543"/>
      <c r="I56" s="1543"/>
      <c r="J56" s="1544"/>
      <c r="K56" s="496">
        <f>SUM(K51:K55)</f>
        <v>1500000</v>
      </c>
      <c r="L56" s="1461"/>
      <c r="M56" s="1461"/>
      <c r="N56" s="1461"/>
      <c r="O56" s="1461"/>
      <c r="P56" s="1461"/>
      <c r="Q56" s="1461"/>
      <c r="R56" s="1462"/>
      <c r="S56" s="346">
        <f>SUM(S51:S55)</f>
        <v>1500000</v>
      </c>
      <c r="T56" s="1463"/>
      <c r="U56" s="1461"/>
      <c r="V56" s="1461"/>
      <c r="W56" s="1461"/>
      <c r="X56" s="1461"/>
      <c r="Y56" s="1461"/>
      <c r="Z56" s="1462"/>
      <c r="AA56" s="346">
        <f>SUM(AA51:AA55)</f>
        <v>1500000</v>
      </c>
      <c r="AB56" s="1463"/>
      <c r="AC56" s="1461"/>
      <c r="AD56" s="1461"/>
      <c r="AE56" s="1461"/>
      <c r="AF56" s="1461"/>
      <c r="AG56" s="1461"/>
      <c r="AH56" s="1462"/>
      <c r="AI56" s="346">
        <f>SUM(AI51:AI55)</f>
        <v>1500000</v>
      </c>
      <c r="AJ56" s="1463"/>
      <c r="AK56" s="1461"/>
      <c r="AL56" s="1461"/>
      <c r="AM56" s="1461"/>
      <c r="AN56" s="1461"/>
      <c r="AO56" s="1461"/>
      <c r="AP56" s="1462"/>
      <c r="AQ56" s="346">
        <f>SUM(AQ51:AQ55)</f>
        <v>1500000</v>
      </c>
      <c r="AR56" s="1463"/>
      <c r="AS56" s="1461"/>
      <c r="AT56" s="1461"/>
      <c r="AU56" s="1461"/>
      <c r="AV56" s="1461"/>
      <c r="AW56" s="1461"/>
      <c r="AX56" s="1462"/>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x14ac:dyDescent="0.25">
      <c r="A57" s="1535" t="s">
        <v>450</v>
      </c>
      <c r="B57" s="1535"/>
      <c r="C57" s="1535"/>
      <c r="D57" s="611" t="s">
        <v>15</v>
      </c>
      <c r="E57" s="611" t="s">
        <v>361</v>
      </c>
      <c r="F57" s="1536"/>
      <c r="G57" s="1536"/>
      <c r="H57" s="1536"/>
      <c r="I57" s="1536"/>
      <c r="J57" s="1536"/>
      <c r="K57" s="459"/>
      <c r="L57" s="1176" t="s">
        <v>15</v>
      </c>
      <c r="M57" s="611" t="s">
        <v>361</v>
      </c>
      <c r="N57" s="1537"/>
      <c r="O57" s="1420"/>
      <c r="P57" s="1420"/>
      <c r="Q57" s="1420"/>
      <c r="R57" s="1421"/>
      <c r="S57" s="424"/>
      <c r="T57" s="390" t="s">
        <v>15</v>
      </c>
      <c r="U57" s="611" t="s">
        <v>361</v>
      </c>
      <c r="V57" s="1537"/>
      <c r="W57" s="1420"/>
      <c r="X57" s="1420"/>
      <c r="Y57" s="1420"/>
      <c r="Z57" s="1420"/>
      <c r="AA57" s="1538"/>
      <c r="AB57" s="390" t="s">
        <v>15</v>
      </c>
      <c r="AC57" s="611" t="s">
        <v>361</v>
      </c>
      <c r="AD57" s="1537"/>
      <c r="AE57" s="1420"/>
      <c r="AF57" s="1420"/>
      <c r="AG57" s="1420"/>
      <c r="AH57" s="1421"/>
      <c r="AI57" s="424"/>
      <c r="AJ57" s="390" t="s">
        <v>15</v>
      </c>
      <c r="AK57" s="611" t="s">
        <v>361</v>
      </c>
      <c r="AL57" s="1537"/>
      <c r="AM57" s="1420"/>
      <c r="AN57" s="1420"/>
      <c r="AO57" s="1420"/>
      <c r="AP57" s="1421"/>
      <c r="AQ57" s="424"/>
      <c r="AR57" s="390" t="s">
        <v>15</v>
      </c>
      <c r="AS57" s="611" t="s">
        <v>361</v>
      </c>
      <c r="AT57" s="1537"/>
      <c r="AU57" s="1420"/>
      <c r="AV57" s="1420"/>
      <c r="AW57" s="1420"/>
      <c r="AX57" s="1420"/>
      <c r="AY57" s="1420"/>
      <c r="AZ57" s="1420"/>
      <c r="BA57" s="1548"/>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x14ac:dyDescent="0.25">
      <c r="A58" s="486"/>
      <c r="B58" s="296" t="s">
        <v>363</v>
      </c>
      <c r="C58" s="486"/>
      <c r="D58" s="491">
        <v>1500000</v>
      </c>
      <c r="E58" s="356">
        <v>0.1</v>
      </c>
      <c r="F58" s="1536"/>
      <c r="G58" s="1536"/>
      <c r="H58" s="1536"/>
      <c r="I58" s="1536"/>
      <c r="J58" s="1536"/>
      <c r="K58" s="477">
        <f>D58*E58</f>
        <v>150000</v>
      </c>
      <c r="L58" s="434">
        <v>1500000</v>
      </c>
      <c r="M58" s="356">
        <v>0.1</v>
      </c>
      <c r="N58" s="1509"/>
      <c r="O58" s="1489"/>
      <c r="P58" s="1489"/>
      <c r="Q58" s="1489"/>
      <c r="R58" s="1490"/>
      <c r="S58" s="300">
        <f>L58*M58</f>
        <v>150000</v>
      </c>
      <c r="T58" s="434">
        <v>1500000</v>
      </c>
      <c r="U58" s="356">
        <v>0.1</v>
      </c>
      <c r="V58" s="1509"/>
      <c r="W58" s="1489"/>
      <c r="X58" s="1489"/>
      <c r="Y58" s="1489"/>
      <c r="Z58" s="1490"/>
      <c r="AA58" s="300">
        <f>T58*U58</f>
        <v>150000</v>
      </c>
      <c r="AB58" s="434">
        <v>1500000</v>
      </c>
      <c r="AC58" s="356">
        <v>0.1</v>
      </c>
      <c r="AD58" s="1509"/>
      <c r="AE58" s="1489"/>
      <c r="AF58" s="1489"/>
      <c r="AG58" s="1489"/>
      <c r="AH58" s="1490"/>
      <c r="AI58" s="300">
        <f>AB58*AC58</f>
        <v>150000</v>
      </c>
      <c r="AJ58" s="434">
        <v>1500000</v>
      </c>
      <c r="AK58" s="356">
        <v>0.1</v>
      </c>
      <c r="AL58" s="1509"/>
      <c r="AM58" s="1489"/>
      <c r="AN58" s="1489"/>
      <c r="AO58" s="1489"/>
      <c r="AP58" s="1490"/>
      <c r="AQ58" s="300">
        <f>AJ58*AK58</f>
        <v>150000</v>
      </c>
      <c r="AR58" s="434">
        <v>1500000</v>
      </c>
      <c r="AS58" s="439">
        <v>0.1</v>
      </c>
      <c r="AT58" s="1509"/>
      <c r="AU58" s="1489"/>
      <c r="AV58" s="1489"/>
      <c r="AW58" s="1489"/>
      <c r="AX58" s="1490"/>
      <c r="AY58" s="406">
        <f>AR58*AS58</f>
        <v>150000</v>
      </c>
      <c r="AZ58" s="1408"/>
      <c r="BA58" s="431">
        <f>K58+S58+AA58+AI58+AQ58+AY58</f>
        <v>900000</v>
      </c>
    </row>
    <row r="59" spans="1:538" x14ac:dyDescent="0.25">
      <c r="A59" s="486"/>
      <c r="B59" s="296" t="s">
        <v>451</v>
      </c>
      <c r="C59" s="486"/>
      <c r="D59" s="492">
        <v>0</v>
      </c>
      <c r="E59" s="356">
        <v>0</v>
      </c>
      <c r="F59" s="1536"/>
      <c r="G59" s="1536"/>
      <c r="H59" s="1536"/>
      <c r="I59" s="1536"/>
      <c r="J59" s="1536"/>
      <c r="K59" s="477">
        <f>D59*E59</f>
        <v>0</v>
      </c>
      <c r="L59" s="434">
        <v>0</v>
      </c>
      <c r="M59" s="356">
        <v>0.1</v>
      </c>
      <c r="N59" s="1510"/>
      <c r="O59" s="1492"/>
      <c r="P59" s="1492"/>
      <c r="Q59" s="1492"/>
      <c r="R59" s="1493"/>
      <c r="S59" s="300">
        <f>L59*M59</f>
        <v>0</v>
      </c>
      <c r="T59" s="435">
        <v>0</v>
      </c>
      <c r="U59" s="356">
        <v>0</v>
      </c>
      <c r="V59" s="1510"/>
      <c r="W59" s="1492"/>
      <c r="X59" s="1492"/>
      <c r="Y59" s="1492"/>
      <c r="Z59" s="1493"/>
      <c r="AA59" s="300">
        <f>T59*U59</f>
        <v>0</v>
      </c>
      <c r="AB59" s="435">
        <v>0</v>
      </c>
      <c r="AC59" s="356">
        <v>0</v>
      </c>
      <c r="AD59" s="1510"/>
      <c r="AE59" s="1492"/>
      <c r="AF59" s="1492"/>
      <c r="AG59" s="1492"/>
      <c r="AH59" s="1493"/>
      <c r="AI59" s="300">
        <f>AB59*AC59</f>
        <v>0</v>
      </c>
      <c r="AJ59" s="440"/>
      <c r="AK59" s="356">
        <v>0</v>
      </c>
      <c r="AL59" s="1510"/>
      <c r="AM59" s="1492"/>
      <c r="AN59" s="1492"/>
      <c r="AO59" s="1492"/>
      <c r="AP59" s="1493"/>
      <c r="AQ59" s="300">
        <f>AJ59*AK59</f>
        <v>0</v>
      </c>
      <c r="AR59" s="438">
        <v>0</v>
      </c>
      <c r="AS59" s="439">
        <v>0</v>
      </c>
      <c r="AT59" s="1510"/>
      <c r="AU59" s="1492"/>
      <c r="AV59" s="1492"/>
      <c r="AW59" s="1492"/>
      <c r="AX59" s="1493"/>
      <c r="AY59" s="406">
        <f>AR59*AS59</f>
        <v>0</v>
      </c>
      <c r="AZ59" s="1409"/>
      <c r="BA59" s="431">
        <f>K59+S59+AA59+AI59+AQ59+AY59</f>
        <v>0</v>
      </c>
    </row>
    <row r="60" spans="1:538" s="391" customFormat="1" x14ac:dyDescent="0.25">
      <c r="A60" s="1556" t="s">
        <v>256</v>
      </c>
      <c r="B60" s="1557"/>
      <c r="C60" s="1558"/>
      <c r="D60" s="1559"/>
      <c r="E60" s="1550"/>
      <c r="F60" s="1560"/>
      <c r="G60" s="1560"/>
      <c r="H60" s="1560"/>
      <c r="I60" s="1560"/>
      <c r="J60" s="1560"/>
      <c r="K60" s="493">
        <f>SUM(K57:K59)</f>
        <v>150000</v>
      </c>
      <c r="L60" s="1550"/>
      <c r="M60" s="1550"/>
      <c r="N60" s="1550"/>
      <c r="O60" s="1550"/>
      <c r="P60" s="1550"/>
      <c r="Q60" s="1550"/>
      <c r="R60" s="1551"/>
      <c r="S60" s="421">
        <f>SUM(S57:S59)</f>
        <v>150000</v>
      </c>
      <c r="T60" s="1559"/>
      <c r="U60" s="1550"/>
      <c r="V60" s="1550"/>
      <c r="W60" s="1550"/>
      <c r="X60" s="1550"/>
      <c r="Y60" s="1550"/>
      <c r="Z60" s="1561"/>
      <c r="AA60" s="428">
        <f>SUM(AA57:AA59)</f>
        <v>150000</v>
      </c>
      <c r="AB60" s="1559"/>
      <c r="AC60" s="1550"/>
      <c r="AD60" s="1550"/>
      <c r="AE60" s="1550"/>
      <c r="AF60" s="1550"/>
      <c r="AG60" s="1550"/>
      <c r="AH60" s="1561"/>
      <c r="AI60" s="361">
        <f>SUM(AI57:AI59)</f>
        <v>150000</v>
      </c>
      <c r="AJ60" s="1549"/>
      <c r="AK60" s="1550"/>
      <c r="AL60" s="1550"/>
      <c r="AM60" s="1550"/>
      <c r="AN60" s="1550"/>
      <c r="AO60" s="1550"/>
      <c r="AP60" s="1551"/>
      <c r="AQ60" s="355">
        <f>SUM(AQ57:AQ59)</f>
        <v>150000</v>
      </c>
      <c r="AR60" s="1549"/>
      <c r="AS60" s="1550"/>
      <c r="AT60" s="1550"/>
      <c r="AU60" s="1550"/>
      <c r="AV60" s="1550"/>
      <c r="AW60" s="1550"/>
      <c r="AX60" s="1551"/>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 x14ac:dyDescent="0.25">
      <c r="A61" s="1552" t="s">
        <v>258</v>
      </c>
      <c r="B61" s="1552"/>
      <c r="C61" s="1552"/>
      <c r="D61" s="1553"/>
      <c r="E61" s="1553"/>
      <c r="F61" s="1553"/>
      <c r="G61" s="1553"/>
      <c r="H61" s="1553"/>
      <c r="I61" s="1553"/>
      <c r="J61" s="1553"/>
      <c r="K61" s="499" t="e">
        <f>F32+K35+K38+K44+K50+K56+K60</f>
        <v>#REF!</v>
      </c>
      <c r="L61" s="449"/>
      <c r="M61" s="449"/>
      <c r="N61" s="449"/>
      <c r="O61" s="449"/>
      <c r="P61" s="449"/>
      <c r="Q61" s="449"/>
      <c r="R61" s="450"/>
      <c r="S61" s="339" t="e">
        <f>N32+S35+S38+S44+S50+S56+S60</f>
        <v>#REF!</v>
      </c>
      <c r="T61" s="1554"/>
      <c r="U61" s="1553"/>
      <c r="V61" s="1553"/>
      <c r="W61" s="1553"/>
      <c r="X61" s="1553"/>
      <c r="Y61" s="1553"/>
      <c r="Z61" s="1555"/>
      <c r="AA61" s="339" t="e">
        <f>V32+AA35+AA38+AA44+AA50+AA56+AA60</f>
        <v>#REF!</v>
      </c>
      <c r="AB61" s="1554"/>
      <c r="AC61" s="1553"/>
      <c r="AD61" s="1553"/>
      <c r="AE61" s="1553"/>
      <c r="AF61" s="1553"/>
      <c r="AG61" s="1553"/>
      <c r="AH61" s="1555"/>
      <c r="AI61" s="339" t="e">
        <f>AD32+AI35+AI38+AI44+AI50+AI56+AI60</f>
        <v>#REF!</v>
      </c>
      <c r="AJ61" s="1554"/>
      <c r="AK61" s="1553"/>
      <c r="AL61" s="1553"/>
      <c r="AM61" s="1553"/>
      <c r="AN61" s="1553"/>
      <c r="AO61" s="1553"/>
      <c r="AP61" s="1555"/>
      <c r="AQ61" s="339" t="e">
        <f>AL32+AQ35+AQ38+AQ44+AQ50+AQ56+AQ60</f>
        <v>#REF!</v>
      </c>
      <c r="AR61" s="1554"/>
      <c r="AS61" s="1553"/>
      <c r="AT61" s="1553"/>
      <c r="AU61" s="1553"/>
      <c r="AV61" s="1553"/>
      <c r="AW61" s="1553"/>
      <c r="AX61" s="1555"/>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x14ac:dyDescent="0.25">
      <c r="A62" s="1567" t="s">
        <v>452</v>
      </c>
      <c r="B62" s="1567"/>
      <c r="C62" s="1567"/>
      <c r="D62" s="1179" t="s">
        <v>15</v>
      </c>
      <c r="E62" s="394" t="s">
        <v>361</v>
      </c>
      <c r="F62" s="1562"/>
      <c r="G62" s="1563"/>
      <c r="H62" s="1563"/>
      <c r="I62" s="1563"/>
      <c r="J62" s="1564"/>
      <c r="K62" s="457"/>
      <c r="L62" s="1179" t="s">
        <v>15</v>
      </c>
      <c r="M62" s="394" t="s">
        <v>361</v>
      </c>
      <c r="N62" s="1562"/>
      <c r="O62" s="1563"/>
      <c r="P62" s="1563"/>
      <c r="Q62" s="1563"/>
      <c r="R62" s="1564"/>
      <c r="S62" s="425"/>
      <c r="T62" s="393" t="s">
        <v>15</v>
      </c>
      <c r="U62" s="394" t="s">
        <v>361</v>
      </c>
      <c r="V62" s="1562"/>
      <c r="W62" s="1563"/>
      <c r="X62" s="1563"/>
      <c r="Y62" s="1563"/>
      <c r="Z62" s="1563"/>
      <c r="AA62" s="1568"/>
      <c r="AB62" s="393" t="s">
        <v>15</v>
      </c>
      <c r="AC62" s="394" t="s">
        <v>361</v>
      </c>
      <c r="AD62" s="1569"/>
      <c r="AE62" s="1565"/>
      <c r="AF62" s="1565"/>
      <c r="AG62" s="1565"/>
      <c r="AH62" s="1570"/>
      <c r="AI62" s="354"/>
      <c r="AJ62" s="393" t="s">
        <v>15</v>
      </c>
      <c r="AK62" s="394" t="s">
        <v>361</v>
      </c>
      <c r="AL62" s="1562"/>
      <c r="AM62" s="1563"/>
      <c r="AN62" s="1563"/>
      <c r="AO62" s="1563"/>
      <c r="AP62" s="1564"/>
      <c r="AQ62" s="425"/>
      <c r="AR62" s="393" t="s">
        <v>15</v>
      </c>
      <c r="AS62" s="394" t="s">
        <v>361</v>
      </c>
      <c r="AT62" s="1562"/>
      <c r="AU62" s="1563"/>
      <c r="AV62" s="1563"/>
      <c r="AW62" s="1563"/>
      <c r="AX62" s="1563"/>
      <c r="AY62" s="1563"/>
      <c r="AZ62" s="1565"/>
      <c r="BA62" s="1566"/>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x14ac:dyDescent="0.25">
      <c r="A63" s="504"/>
      <c r="B63" s="609" t="str">
        <f>IF(LaborCollection="Academia","F&amp;A","G&amp;A")</f>
        <v>G&amp;A</v>
      </c>
      <c r="C63" s="504"/>
      <c r="D63" s="422" t="e">
        <f>K61</f>
        <v>#REF!</v>
      </c>
      <c r="E63" s="356">
        <v>0.1</v>
      </c>
      <c r="F63" s="1509"/>
      <c r="G63" s="1489"/>
      <c r="H63" s="1489"/>
      <c r="I63" s="1489"/>
      <c r="J63" s="1489"/>
      <c r="K63" s="477" t="e">
        <f>D63*E63</f>
        <v>#REF!</v>
      </c>
      <c r="L63" s="303" t="e">
        <f>S61</f>
        <v>#REF!</v>
      </c>
      <c r="M63" s="356">
        <v>0.1</v>
      </c>
      <c r="N63" s="1509"/>
      <c r="O63" s="1489"/>
      <c r="P63" s="1489"/>
      <c r="Q63" s="1489"/>
      <c r="R63" s="1490"/>
      <c r="S63" s="300" t="e">
        <f>L63*M63</f>
        <v>#REF!</v>
      </c>
      <c r="T63" s="434" t="e">
        <f>AA61</f>
        <v>#REF!</v>
      </c>
      <c r="U63" s="356">
        <v>0.1</v>
      </c>
      <c r="V63" s="1509"/>
      <c r="W63" s="1489"/>
      <c r="X63" s="1489"/>
      <c r="Y63" s="1489"/>
      <c r="Z63" s="1490"/>
      <c r="AA63" s="300" t="e">
        <f>T63*U63</f>
        <v>#REF!</v>
      </c>
      <c r="AB63" s="434" t="e">
        <f>AI61</f>
        <v>#REF!</v>
      </c>
      <c r="AC63" s="356">
        <v>0</v>
      </c>
      <c r="AD63" s="1509"/>
      <c r="AE63" s="1489"/>
      <c r="AF63" s="1489"/>
      <c r="AG63" s="1489"/>
      <c r="AH63" s="1490"/>
      <c r="AI63" s="302" t="e">
        <f>AB63*AC63</f>
        <v>#REF!</v>
      </c>
      <c r="AJ63" s="434" t="e">
        <f>AQ61</f>
        <v>#REF!</v>
      </c>
      <c r="AK63" s="356">
        <v>0</v>
      </c>
      <c r="AL63" s="328"/>
      <c r="AM63" s="308"/>
      <c r="AN63" s="308"/>
      <c r="AO63" s="308"/>
      <c r="AP63" s="329"/>
      <c r="AQ63" s="300" t="e">
        <f>AJ63*AK63</f>
        <v>#REF!</v>
      </c>
      <c r="AR63" s="438" t="e">
        <f>AY32+AY35+AY38+AY44+AY50+AY56+AY60</f>
        <v>#REF!</v>
      </c>
      <c r="AS63" s="356">
        <v>0</v>
      </c>
      <c r="AT63" s="1509"/>
      <c r="AU63" s="1489"/>
      <c r="AV63" s="1489"/>
      <c r="AW63" s="1489"/>
      <c r="AX63" s="1490"/>
      <c r="AY63" s="406" t="e">
        <f>AR63*AS63</f>
        <v>#REF!</v>
      </c>
      <c r="AZ63" s="1408"/>
      <c r="BA63" s="431" t="e">
        <f>K63+S63+AA63+AI63+AQ63+AY63</f>
        <v>#REF!</v>
      </c>
    </row>
    <row r="64" spans="1:538" x14ac:dyDescent="0.25">
      <c r="A64" s="504"/>
      <c r="B64" s="296" t="s">
        <v>453</v>
      </c>
      <c r="C64" s="504"/>
      <c r="D64" s="436">
        <v>0</v>
      </c>
      <c r="E64" s="356">
        <v>0</v>
      </c>
      <c r="F64" s="1510"/>
      <c r="G64" s="1492"/>
      <c r="H64" s="1492"/>
      <c r="I64" s="1492"/>
      <c r="J64" s="1492"/>
      <c r="K64" s="477">
        <f>D64*E64</f>
        <v>0</v>
      </c>
      <c r="L64" s="434">
        <v>0</v>
      </c>
      <c r="M64" s="356">
        <v>0</v>
      </c>
      <c r="N64" s="1510"/>
      <c r="O64" s="1492"/>
      <c r="P64" s="1492"/>
      <c r="Q64" s="1492"/>
      <c r="R64" s="1493"/>
      <c r="S64" s="300">
        <f>L64*M64</f>
        <v>0</v>
      </c>
      <c r="T64" s="436">
        <v>0</v>
      </c>
      <c r="U64" s="356">
        <v>0</v>
      </c>
      <c r="V64" s="1510"/>
      <c r="W64" s="1492"/>
      <c r="X64" s="1492"/>
      <c r="Y64" s="1492"/>
      <c r="Z64" s="1493"/>
      <c r="AA64" s="300">
        <f>T64*U64</f>
        <v>0</v>
      </c>
      <c r="AB64" s="434">
        <v>0</v>
      </c>
      <c r="AC64" s="356">
        <v>0</v>
      </c>
      <c r="AD64" s="1510"/>
      <c r="AE64" s="1492"/>
      <c r="AF64" s="1492"/>
      <c r="AG64" s="1492"/>
      <c r="AH64" s="1493"/>
      <c r="AI64" s="302">
        <f>AB64*AC64</f>
        <v>0</v>
      </c>
      <c r="AJ64" s="434">
        <v>0</v>
      </c>
      <c r="AK64" s="356">
        <v>0</v>
      </c>
      <c r="AL64" s="295"/>
      <c r="AM64" s="330"/>
      <c r="AN64" s="330"/>
      <c r="AO64" s="330"/>
      <c r="AP64" s="331"/>
      <c r="AQ64" s="300">
        <f>AJ64*AK64</f>
        <v>0</v>
      </c>
      <c r="AR64" s="438" t="e">
        <f>AY33+AY36+AY39+AY45+AY51+AY57+AY61</f>
        <v>#REF!</v>
      </c>
      <c r="AS64" s="356">
        <v>0</v>
      </c>
      <c r="AT64" s="1510"/>
      <c r="AU64" s="1492"/>
      <c r="AV64" s="1492"/>
      <c r="AW64" s="1492"/>
      <c r="AX64" s="1493"/>
      <c r="AY64" s="406" t="e">
        <f>AR64*AS64</f>
        <v>#REF!</v>
      </c>
      <c r="AZ64" s="1409"/>
      <c r="BA64" s="431" t="e">
        <f>K64+S64+AA64+AI64+AQ64+AY64</f>
        <v>#REF!</v>
      </c>
    </row>
    <row r="65" spans="1:538" s="363" customFormat="1" x14ac:dyDescent="0.25">
      <c r="A65" s="1577" t="s">
        <v>260</v>
      </c>
      <c r="B65" s="1577"/>
      <c r="C65" s="1577"/>
      <c r="D65" s="1572"/>
      <c r="E65" s="1572"/>
      <c r="F65" s="1572"/>
      <c r="G65" s="1572"/>
      <c r="H65" s="1572"/>
      <c r="I65" s="1572"/>
      <c r="J65" s="1572"/>
      <c r="K65" s="458" t="e">
        <f>SUM(K62:K64)</f>
        <v>#REF!</v>
      </c>
      <c r="L65" s="1572"/>
      <c r="M65" s="1572"/>
      <c r="N65" s="1572"/>
      <c r="O65" s="1572"/>
      <c r="P65" s="1572"/>
      <c r="Q65" s="1572"/>
      <c r="R65" s="1573"/>
      <c r="S65" s="420" t="e">
        <f>SUM(S63:S64)</f>
        <v>#REF!</v>
      </c>
      <c r="T65" s="1578"/>
      <c r="U65" s="1572"/>
      <c r="V65" s="1572"/>
      <c r="W65" s="1572"/>
      <c r="X65" s="1572"/>
      <c r="Y65" s="1572"/>
      <c r="Z65" s="1579"/>
      <c r="AA65" s="413" t="e">
        <f>SUM(AA63:AA64)</f>
        <v>#REF!</v>
      </c>
      <c r="AB65" s="1571"/>
      <c r="AC65" s="1572"/>
      <c r="AD65" s="1572"/>
      <c r="AE65" s="1572"/>
      <c r="AF65" s="1572"/>
      <c r="AG65" s="1572"/>
      <c r="AH65" s="1573"/>
      <c r="AI65" s="353" t="e">
        <f>SUM(AI63:AI64)</f>
        <v>#REF!</v>
      </c>
      <c r="AJ65" s="1571"/>
      <c r="AK65" s="1572"/>
      <c r="AL65" s="1572"/>
      <c r="AM65" s="1572"/>
      <c r="AN65" s="1572"/>
      <c r="AO65" s="1572"/>
      <c r="AP65" s="1573"/>
      <c r="AQ65" s="353" t="e">
        <f>SUM(AQ63:AQ64)</f>
        <v>#REF!</v>
      </c>
      <c r="AR65" s="1571"/>
      <c r="AS65" s="1572"/>
      <c r="AT65" s="1572"/>
      <c r="AU65" s="1572"/>
      <c r="AV65" s="1572"/>
      <c r="AW65" s="1572"/>
      <c r="AX65" s="1572"/>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x14ac:dyDescent="0.25">
      <c r="A66" s="1552" t="s">
        <v>258</v>
      </c>
      <c r="B66" s="1552"/>
      <c r="C66" s="1552"/>
      <c r="D66" s="1574"/>
      <c r="E66" s="1574"/>
      <c r="F66" s="1574"/>
      <c r="G66" s="1574"/>
      <c r="H66" s="1574"/>
      <c r="I66" s="1574"/>
      <c r="J66" s="1574"/>
      <c r="K66" s="499" t="e">
        <f>K61+K65</f>
        <v>#REF!</v>
      </c>
      <c r="L66" s="1574"/>
      <c r="M66" s="1574"/>
      <c r="N66" s="1574"/>
      <c r="O66" s="1574"/>
      <c r="P66" s="1574"/>
      <c r="Q66" s="1574"/>
      <c r="R66" s="1575"/>
      <c r="S66" s="339" t="e">
        <f>S61+S65</f>
        <v>#REF!</v>
      </c>
      <c r="T66" s="1576"/>
      <c r="U66" s="1574"/>
      <c r="V66" s="1574"/>
      <c r="W66" s="1574"/>
      <c r="X66" s="1574"/>
      <c r="Y66" s="1574"/>
      <c r="Z66" s="1575"/>
      <c r="AA66" s="339" t="e">
        <f>AA61+AA65</f>
        <v>#REF!</v>
      </c>
      <c r="AB66" s="1576"/>
      <c r="AC66" s="1574"/>
      <c r="AD66" s="1574"/>
      <c r="AE66" s="1574"/>
      <c r="AF66" s="1574"/>
      <c r="AG66" s="1574"/>
      <c r="AH66" s="1575"/>
      <c r="AI66" s="339" t="e">
        <f>AI61+AI65</f>
        <v>#REF!</v>
      </c>
      <c r="AJ66" s="1576"/>
      <c r="AK66" s="1574"/>
      <c r="AL66" s="1574"/>
      <c r="AM66" s="1574"/>
      <c r="AN66" s="1574"/>
      <c r="AO66" s="1574"/>
      <c r="AP66" s="1575"/>
      <c r="AQ66" s="339" t="e">
        <f>AQ61+AQ65</f>
        <v>#REF!</v>
      </c>
      <c r="AR66" s="1576"/>
      <c r="AS66" s="1574"/>
      <c r="AT66" s="1574"/>
      <c r="AU66" s="1574"/>
      <c r="AV66" s="1574"/>
      <c r="AW66" s="1574"/>
      <c r="AX66" s="1575"/>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x14ac:dyDescent="0.25">
      <c r="A67" s="1585" t="s">
        <v>454</v>
      </c>
      <c r="B67" s="1585"/>
      <c r="C67" s="1585"/>
      <c r="D67" s="1181" t="s">
        <v>15</v>
      </c>
      <c r="E67" s="1180" t="s">
        <v>361</v>
      </c>
      <c r="F67" s="1580"/>
      <c r="G67" s="1581"/>
      <c r="H67" s="1581"/>
      <c r="I67" s="1581"/>
      <c r="J67" s="1581"/>
      <c r="K67" s="500"/>
      <c r="L67" s="1181" t="s">
        <v>15</v>
      </c>
      <c r="M67" s="399" t="s">
        <v>361</v>
      </c>
      <c r="N67" s="1586"/>
      <c r="O67" s="1582"/>
      <c r="P67" s="1582"/>
      <c r="Q67" s="1582"/>
      <c r="R67" s="1587"/>
      <c r="S67" s="400"/>
      <c r="T67" s="397" t="s">
        <v>15</v>
      </c>
      <c r="U67" s="399" t="s">
        <v>361</v>
      </c>
      <c r="V67" s="1580"/>
      <c r="W67" s="1581"/>
      <c r="X67" s="1581"/>
      <c r="Y67" s="1581"/>
      <c r="Z67" s="1581"/>
      <c r="AA67" s="1588"/>
      <c r="AB67" s="397" t="s">
        <v>15</v>
      </c>
      <c r="AC67" s="399" t="s">
        <v>361</v>
      </c>
      <c r="AD67" s="1580"/>
      <c r="AE67" s="1581"/>
      <c r="AF67" s="1581"/>
      <c r="AG67" s="1581"/>
      <c r="AH67" s="1583"/>
      <c r="AI67" s="398"/>
      <c r="AJ67" s="397" t="s">
        <v>15</v>
      </c>
      <c r="AK67" s="399" t="s">
        <v>361</v>
      </c>
      <c r="AL67" s="416"/>
      <c r="AM67" s="417"/>
      <c r="AN67" s="417"/>
      <c r="AO67" s="417"/>
      <c r="AP67" s="418"/>
      <c r="AQ67" s="400"/>
      <c r="AR67" s="397" t="s">
        <v>15</v>
      </c>
      <c r="AS67" s="399" t="s">
        <v>361</v>
      </c>
      <c r="AT67" s="1580"/>
      <c r="AU67" s="1581"/>
      <c r="AV67" s="1581"/>
      <c r="AW67" s="1581"/>
      <c r="AX67" s="1581"/>
      <c r="AY67" s="1581"/>
      <c r="AZ67" s="1582"/>
      <c r="BA67" s="1583"/>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x14ac:dyDescent="0.25">
      <c r="A68" s="505"/>
      <c r="B68" s="296" t="s">
        <v>455</v>
      </c>
      <c r="C68" s="505"/>
      <c r="D68" s="434">
        <v>0</v>
      </c>
      <c r="E68" s="301">
        <v>0</v>
      </c>
      <c r="F68" s="1584"/>
      <c r="G68" s="1486"/>
      <c r="H68" s="1486"/>
      <c r="I68" s="1486"/>
      <c r="J68" s="1486"/>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584"/>
      <c r="AE68" s="1486"/>
      <c r="AF68" s="1486"/>
      <c r="AG68" s="1486"/>
      <c r="AH68" s="1487"/>
      <c r="AI68" s="300">
        <f>AB68*AC68</f>
        <v>0</v>
      </c>
      <c r="AJ68" s="434">
        <v>0</v>
      </c>
      <c r="AK68" s="356">
        <v>0</v>
      </c>
      <c r="AL68" s="328"/>
      <c r="AM68" s="308"/>
      <c r="AN68" s="308"/>
      <c r="AO68" s="308"/>
      <c r="AP68" s="329"/>
      <c r="AQ68" s="300">
        <f>AJ68*AK68</f>
        <v>0</v>
      </c>
      <c r="AR68" s="434">
        <v>0</v>
      </c>
      <c r="AS68" s="356">
        <v>0</v>
      </c>
      <c r="AT68" s="1584"/>
      <c r="AU68" s="1486"/>
      <c r="AV68" s="1486"/>
      <c r="AW68" s="1486"/>
      <c r="AX68" s="1487"/>
      <c r="AY68" s="460">
        <f>AR68*AS68</f>
        <v>0</v>
      </c>
      <c r="AZ68" s="1408"/>
      <c r="BA68" s="461">
        <f t="shared" ref="BA68:BA73" si="27">K68+S68+AA68+AI68+AQ68+AY68</f>
        <v>0</v>
      </c>
    </row>
    <row r="69" spans="1:538" x14ac:dyDescent="0.25">
      <c r="A69" s="505"/>
      <c r="B69" s="296" t="s">
        <v>456</v>
      </c>
      <c r="C69" s="505"/>
      <c r="D69" s="434">
        <v>0</v>
      </c>
      <c r="E69" s="356">
        <v>0</v>
      </c>
      <c r="F69" s="1510"/>
      <c r="G69" s="1492"/>
      <c r="H69" s="1492"/>
      <c r="I69" s="1492"/>
      <c r="J69" s="1492"/>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510"/>
      <c r="AE69" s="1492"/>
      <c r="AF69" s="1492"/>
      <c r="AG69" s="1492"/>
      <c r="AH69" s="1493"/>
      <c r="AI69" s="300">
        <f>AB69*AC69</f>
        <v>0</v>
      </c>
      <c r="AJ69" s="434">
        <v>0</v>
      </c>
      <c r="AK69" s="356">
        <v>0</v>
      </c>
      <c r="AL69" s="295"/>
      <c r="AM69" s="330"/>
      <c r="AN69" s="330"/>
      <c r="AO69" s="330"/>
      <c r="AP69" s="331"/>
      <c r="AQ69" s="300">
        <f>AJ69*AK69</f>
        <v>0</v>
      </c>
      <c r="AR69" s="434">
        <v>0</v>
      </c>
      <c r="AS69" s="356">
        <v>0</v>
      </c>
      <c r="AT69" s="1510"/>
      <c r="AU69" s="1492"/>
      <c r="AV69" s="1492"/>
      <c r="AW69" s="1492"/>
      <c r="AX69" s="1493"/>
      <c r="AY69" s="406">
        <f>AR69*AS69</f>
        <v>0</v>
      </c>
      <c r="AZ69" s="1409"/>
      <c r="BA69" s="431">
        <f t="shared" si="27"/>
        <v>0</v>
      </c>
    </row>
    <row r="70" spans="1:538" s="396" customFormat="1" x14ac:dyDescent="0.25">
      <c r="A70" s="1600" t="s">
        <v>262</v>
      </c>
      <c r="B70" s="1600"/>
      <c r="C70" s="1600"/>
      <c r="D70" s="1590"/>
      <c r="E70" s="1590"/>
      <c r="F70" s="1590"/>
      <c r="G70" s="1590"/>
      <c r="H70" s="1590"/>
      <c r="I70" s="1590"/>
      <c r="J70" s="1590"/>
      <c r="K70" s="501">
        <f>SUM(K67:K69)</f>
        <v>0</v>
      </c>
      <c r="L70" s="1590"/>
      <c r="M70" s="1590"/>
      <c r="N70" s="1590"/>
      <c r="O70" s="1590"/>
      <c r="P70" s="1590"/>
      <c r="Q70" s="1590"/>
      <c r="R70" s="1591"/>
      <c r="S70" s="419">
        <f>SUM(S68:S69)</f>
        <v>0</v>
      </c>
      <c r="T70" s="1601"/>
      <c r="U70" s="1590"/>
      <c r="V70" s="1590"/>
      <c r="W70" s="1590"/>
      <c r="X70" s="1590"/>
      <c r="Y70" s="1590"/>
      <c r="Z70" s="1602"/>
      <c r="AA70" s="365">
        <f>SUM(AA68:AA69)</f>
        <v>0</v>
      </c>
      <c r="AB70" s="1589"/>
      <c r="AC70" s="1590"/>
      <c r="AD70" s="1590"/>
      <c r="AE70" s="1590"/>
      <c r="AF70" s="1590"/>
      <c r="AG70" s="1590"/>
      <c r="AH70" s="1591"/>
      <c r="AI70" s="364">
        <f>SUM(AI68:AI69)</f>
        <v>0</v>
      </c>
      <c r="AJ70" s="1589"/>
      <c r="AK70" s="1590"/>
      <c r="AL70" s="1590"/>
      <c r="AM70" s="1590"/>
      <c r="AN70" s="1590"/>
      <c r="AO70" s="1590"/>
      <c r="AP70" s="1591"/>
      <c r="AQ70" s="364">
        <f>SUM(AQ68:AQ69)</f>
        <v>0</v>
      </c>
      <c r="AR70" s="1592"/>
      <c r="AS70" s="1593"/>
      <c r="AT70" s="1593"/>
      <c r="AU70" s="1593"/>
      <c r="AV70" s="1593"/>
      <c r="AW70" s="1593"/>
      <c r="AX70" s="1594"/>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x14ac:dyDescent="0.25">
      <c r="A71" s="1595" t="s">
        <v>457</v>
      </c>
      <c r="B71" s="1595"/>
      <c r="C71" s="1595"/>
      <c r="D71" s="1596"/>
      <c r="E71" s="1596"/>
      <c r="F71" s="1596"/>
      <c r="G71" s="1596"/>
      <c r="H71" s="1596"/>
      <c r="I71" s="1596"/>
      <c r="J71" s="1596"/>
      <c r="K71" s="502" t="e">
        <f>K66+K70</f>
        <v>#REF!</v>
      </c>
      <c r="L71" s="1597"/>
      <c r="M71" s="1597"/>
      <c r="N71" s="1597"/>
      <c r="O71" s="1597"/>
      <c r="P71" s="1597"/>
      <c r="Q71" s="1597"/>
      <c r="R71" s="1597"/>
      <c r="S71" s="508" t="e">
        <f>S66+S70</f>
        <v>#REF!</v>
      </c>
      <c r="T71" s="1598"/>
      <c r="U71" s="1596"/>
      <c r="V71" s="1596"/>
      <c r="W71" s="1596"/>
      <c r="X71" s="1596"/>
      <c r="Y71" s="1596"/>
      <c r="Z71" s="1599"/>
      <c r="AA71" s="305" t="e">
        <f>AA66+AA70</f>
        <v>#REF!</v>
      </c>
      <c r="AB71" s="1598"/>
      <c r="AC71" s="1596"/>
      <c r="AD71" s="1596"/>
      <c r="AE71" s="1596"/>
      <c r="AF71" s="1596"/>
      <c r="AG71" s="1596"/>
      <c r="AH71" s="1599"/>
      <c r="AI71" s="305" t="e">
        <f>AI66+AI70</f>
        <v>#REF!</v>
      </c>
      <c r="AJ71" s="1598"/>
      <c r="AK71" s="1596"/>
      <c r="AL71" s="1596"/>
      <c r="AM71" s="1596"/>
      <c r="AN71" s="1596"/>
      <c r="AO71" s="1596"/>
      <c r="AP71" s="1599"/>
      <c r="AQ71" s="305" t="e">
        <f>AQ66+AQ70</f>
        <v>#REF!</v>
      </c>
      <c r="AR71" s="1598"/>
      <c r="AS71" s="1596"/>
      <c r="AT71" s="1596"/>
      <c r="AU71" s="1596"/>
      <c r="AV71" s="1596"/>
      <c r="AW71" s="1596"/>
      <c r="AX71" s="1599"/>
      <c r="AY71" s="444" t="e">
        <f>AY66+AY70</f>
        <v>#REF!</v>
      </c>
      <c r="AZ71" s="466"/>
      <c r="BA71" s="306" t="e">
        <f t="shared" si="27"/>
        <v>#REF!</v>
      </c>
    </row>
    <row r="72" spans="1:538" s="405" customFormat="1" ht="20.149999999999999" customHeight="1" thickBot="1" x14ac:dyDescent="0.3">
      <c r="A72" s="1419" t="s">
        <v>458</v>
      </c>
      <c r="B72" s="1419"/>
      <c r="C72" s="506" t="s">
        <v>459</v>
      </c>
      <c r="D72" s="401" t="e">
        <f>K66</f>
        <v>#REF!</v>
      </c>
      <c r="E72" s="433">
        <v>0.06</v>
      </c>
      <c r="F72" s="1619"/>
      <c r="G72" s="1620"/>
      <c r="H72" s="1620"/>
      <c r="I72" s="1620"/>
      <c r="J72" s="1620"/>
      <c r="K72" s="475" t="e">
        <f>D72*E72</f>
        <v>#REF!</v>
      </c>
      <c r="L72" s="509" t="e">
        <f>S66</f>
        <v>#REF!</v>
      </c>
      <c r="M72" s="510">
        <v>0.06</v>
      </c>
      <c r="N72" s="1621"/>
      <c r="O72" s="1622"/>
      <c r="P72" s="1622"/>
      <c r="Q72" s="1622"/>
      <c r="R72" s="1623"/>
      <c r="S72" s="411" t="e">
        <f>L72*M72</f>
        <v>#REF!</v>
      </c>
      <c r="T72" s="402" t="e">
        <f>AA66</f>
        <v>#REF!</v>
      </c>
      <c r="U72" s="356">
        <v>0.06</v>
      </c>
      <c r="V72" s="1608"/>
      <c r="W72" s="1609"/>
      <c r="X72" s="1609"/>
      <c r="Y72" s="1609"/>
      <c r="Z72" s="1610"/>
      <c r="AA72" s="366" t="e">
        <f>T72*U72</f>
        <v>#REF!</v>
      </c>
      <c r="AB72" s="402" t="e">
        <f>AI66</f>
        <v>#REF!</v>
      </c>
      <c r="AC72" s="356">
        <v>0.06</v>
      </c>
      <c r="AD72" s="1608"/>
      <c r="AE72" s="1609"/>
      <c r="AF72" s="1609"/>
      <c r="AG72" s="1609"/>
      <c r="AH72" s="1610"/>
      <c r="AI72" s="366" t="e">
        <f>AB72*AC72</f>
        <v>#REF!</v>
      </c>
      <c r="AJ72" s="402" t="e">
        <f>AQ66</f>
        <v>#REF!</v>
      </c>
      <c r="AK72" s="356">
        <v>0.06</v>
      </c>
      <c r="AL72" s="1608"/>
      <c r="AM72" s="1609"/>
      <c r="AN72" s="1609"/>
      <c r="AO72" s="1609"/>
      <c r="AP72" s="1610"/>
      <c r="AQ72" s="366" t="e">
        <f>AJ72*AK72</f>
        <v>#REF!</v>
      </c>
      <c r="AR72" s="403" t="e">
        <f>AY66</f>
        <v>#REF!</v>
      </c>
      <c r="AS72" s="356">
        <v>0.06</v>
      </c>
      <c r="AT72" s="1611"/>
      <c r="AU72" s="1612"/>
      <c r="AV72" s="1612"/>
      <c r="AW72" s="1612"/>
      <c r="AX72" s="1613"/>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9" customHeight="1" thickBot="1" x14ac:dyDescent="0.3">
      <c r="A73" s="1614" t="s">
        <v>266</v>
      </c>
      <c r="B73" s="1614"/>
      <c r="C73" s="1614"/>
      <c r="D73" s="1615"/>
      <c r="E73" s="1615"/>
      <c r="F73" s="1615"/>
      <c r="G73" s="1615"/>
      <c r="H73" s="1615"/>
      <c r="I73" s="1615"/>
      <c r="J73" s="1615"/>
      <c r="K73" s="503" t="e">
        <f>K71+K72</f>
        <v>#REF!</v>
      </c>
      <c r="L73" s="1615"/>
      <c r="M73" s="1615"/>
      <c r="N73" s="1615"/>
      <c r="O73" s="1615"/>
      <c r="P73" s="1615"/>
      <c r="Q73" s="1615"/>
      <c r="R73" s="1615"/>
      <c r="S73" s="412" t="e">
        <f>S71+S72</f>
        <v>#REF!</v>
      </c>
      <c r="T73" s="1616"/>
      <c r="U73" s="1617"/>
      <c r="V73" s="1617"/>
      <c r="W73" s="1617"/>
      <c r="X73" s="1617"/>
      <c r="Y73" s="1617"/>
      <c r="Z73" s="1618"/>
      <c r="AA73" s="367" t="e">
        <f>AA71+AA72</f>
        <v>#REF!</v>
      </c>
      <c r="AB73" s="1616"/>
      <c r="AC73" s="1617"/>
      <c r="AD73" s="1617"/>
      <c r="AE73" s="1617"/>
      <c r="AF73" s="1617"/>
      <c r="AG73" s="1617"/>
      <c r="AH73" s="1618"/>
      <c r="AI73" s="367" t="e">
        <f>AI71+AI72</f>
        <v>#REF!</v>
      </c>
      <c r="AJ73" s="1616"/>
      <c r="AK73" s="1617"/>
      <c r="AL73" s="1617"/>
      <c r="AM73" s="1617"/>
      <c r="AN73" s="1617"/>
      <c r="AO73" s="1617"/>
      <c r="AP73" s="1618"/>
      <c r="AQ73" s="367" t="e">
        <f>AQ71+AQ72</f>
        <v>#REF!</v>
      </c>
      <c r="AR73" s="1616"/>
      <c r="AS73" s="1617"/>
      <c r="AT73" s="1617"/>
      <c r="AU73" s="1617"/>
      <c r="AV73" s="1617"/>
      <c r="AW73" s="1617"/>
      <c r="AX73" s="1618"/>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x14ac:dyDescent="0.25">
      <c r="A74" s="1603"/>
      <c r="B74" s="1604"/>
      <c r="C74" s="1604"/>
      <c r="D74" s="1604"/>
      <c r="E74" s="1604"/>
      <c r="F74" s="1604"/>
      <c r="G74" s="1604"/>
      <c r="H74" s="1604"/>
      <c r="I74" s="1604"/>
      <c r="J74" s="1604"/>
      <c r="K74" s="1604"/>
      <c r="L74" s="1605"/>
      <c r="V74" s="298" t="s">
        <v>356</v>
      </c>
    </row>
    <row r="75" spans="1:538" ht="74.25" customHeight="1" x14ac:dyDescent="0.25">
      <c r="A75" s="82" t="s">
        <v>290</v>
      </c>
      <c r="B75" s="1388" t="s">
        <v>460</v>
      </c>
      <c r="C75" s="1388"/>
      <c r="D75" s="1388"/>
      <c r="E75" s="1388"/>
      <c r="F75" s="1388"/>
      <c r="G75" s="1388"/>
      <c r="H75" s="1388"/>
      <c r="I75" s="1388"/>
      <c r="J75" s="1388"/>
      <c r="K75" s="1388"/>
      <c r="L75" s="1388"/>
      <c r="M75" s="298"/>
      <c r="N75" s="298"/>
      <c r="O75" s="298"/>
      <c r="V75" s="298"/>
    </row>
    <row r="76" spans="1:538" ht="25.5" customHeight="1" x14ac:dyDescent="0.25">
      <c r="A76" s="82" t="s">
        <v>292</v>
      </c>
      <c r="B76" s="1606" t="s">
        <v>461</v>
      </c>
      <c r="C76" s="1606"/>
      <c r="D76" s="1606"/>
      <c r="E76" s="1606"/>
      <c r="F76" s="1606"/>
      <c r="G76" s="1606"/>
      <c r="H76" s="1606"/>
      <c r="I76" s="1606"/>
      <c r="J76" s="1606"/>
      <c r="K76" s="1606"/>
      <c r="L76" s="1606"/>
      <c r="M76" s="298"/>
      <c r="N76" s="298"/>
      <c r="O76" s="298"/>
    </row>
    <row r="77" spans="1:538" ht="18" customHeight="1" x14ac:dyDescent="0.25">
      <c r="A77" s="82" t="s">
        <v>294</v>
      </c>
      <c r="B77" s="1606" t="s">
        <v>462</v>
      </c>
      <c r="C77" s="1606"/>
      <c r="D77" s="1606"/>
      <c r="E77" s="1606"/>
      <c r="F77" s="1606"/>
      <c r="G77" s="1606"/>
      <c r="H77" s="1606"/>
      <c r="I77" s="1606"/>
      <c r="J77" s="1606"/>
      <c r="K77" s="1606"/>
      <c r="L77" s="1606"/>
      <c r="M77" s="298"/>
      <c r="N77" s="298"/>
      <c r="O77" s="298"/>
    </row>
    <row r="78" spans="1:538" ht="30" customHeight="1" x14ac:dyDescent="0.25">
      <c r="A78" s="82" t="s">
        <v>463</v>
      </c>
      <c r="B78" s="1607" t="s">
        <v>464</v>
      </c>
      <c r="C78" s="1607"/>
      <c r="D78" s="1607"/>
      <c r="E78" s="1607"/>
      <c r="F78" s="1607"/>
      <c r="G78" s="1607"/>
      <c r="H78" s="1607"/>
      <c r="I78" s="1607"/>
      <c r="J78" s="1607"/>
      <c r="K78" s="1607"/>
      <c r="L78" s="1607"/>
      <c r="M78" s="310"/>
      <c r="N78" s="310"/>
      <c r="O78" s="310"/>
      <c r="P78" s="307"/>
      <c r="Q78" s="307"/>
      <c r="R78" s="307"/>
      <c r="S78" s="307"/>
      <c r="T78" s="307"/>
    </row>
    <row r="79" spans="1:538" ht="21.75" customHeight="1" x14ac:dyDescent="0.25">
      <c r="A79" s="82" t="s">
        <v>465</v>
      </c>
      <c r="B79" s="1606" t="s">
        <v>466</v>
      </c>
      <c r="C79" s="1606"/>
      <c r="D79" s="1606"/>
      <c r="E79" s="1606"/>
      <c r="F79" s="1606"/>
      <c r="G79" s="1606"/>
      <c r="H79" s="1606"/>
      <c r="I79" s="1606"/>
      <c r="J79" s="1606"/>
      <c r="K79" s="1606"/>
      <c r="L79" s="1606"/>
      <c r="M79" s="298"/>
      <c r="N79" s="298"/>
      <c r="O79" s="298"/>
    </row>
    <row r="80" spans="1:538"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242">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T67:BA67"/>
    <mergeCell ref="F68:J69"/>
    <mergeCell ref="AD68:AH69"/>
    <mergeCell ref="AT68:AX69"/>
    <mergeCell ref="AZ68:AZ69"/>
    <mergeCell ref="A67:C67"/>
    <mergeCell ref="F67:J67"/>
    <mergeCell ref="N67:R67"/>
    <mergeCell ref="V67:AA67"/>
    <mergeCell ref="AD67:AH67"/>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61:C61"/>
    <mergeCell ref="D61:J61"/>
    <mergeCell ref="T61:Z61"/>
    <mergeCell ref="AB61:AH61"/>
    <mergeCell ref="AJ61:AP61"/>
    <mergeCell ref="AR61:AX61"/>
    <mergeCell ref="A60:C60"/>
    <mergeCell ref="D60:J60"/>
    <mergeCell ref="L60:R60"/>
    <mergeCell ref="T60:Z60"/>
    <mergeCell ref="AB60:AH60"/>
    <mergeCell ref="F58:J59"/>
    <mergeCell ref="N58:R59"/>
    <mergeCell ref="V58:Z59"/>
    <mergeCell ref="AD58:AH59"/>
    <mergeCell ref="AL58:AP59"/>
    <mergeCell ref="AT58:AX59"/>
    <mergeCell ref="AZ58:AZ59"/>
    <mergeCell ref="AJ60:AP60"/>
    <mergeCell ref="AR60:AX6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G33:AH33"/>
    <mergeCell ref="AJ33:AM33"/>
    <mergeCell ref="AO33:AP33"/>
    <mergeCell ref="AR33:AU33"/>
    <mergeCell ref="A32:C32"/>
    <mergeCell ref="G32:J32"/>
    <mergeCell ref="O32:R32"/>
    <mergeCell ref="A33:C33"/>
    <mergeCell ref="D33:G33"/>
    <mergeCell ref="I33:J33"/>
    <mergeCell ref="L33:O33"/>
    <mergeCell ref="Q33:R33"/>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sheetPr>
  <dimension ref="A1:TY103"/>
  <sheetViews>
    <sheetView zoomScaleNormal="100" zoomScaleSheetLayoutView="100"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468</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92:C92"/>
    <mergeCell ref="E85:G85"/>
    <mergeCell ref="I85:K85"/>
    <mergeCell ref="M85:O85"/>
    <mergeCell ref="Q85:S85"/>
    <mergeCell ref="I62:K62"/>
    <mergeCell ref="M62:O62"/>
    <mergeCell ref="Q62:S62"/>
    <mergeCell ref="U62:W62"/>
    <mergeCell ref="A80:C80"/>
    <mergeCell ref="E80:G80"/>
    <mergeCell ref="I80:K80"/>
    <mergeCell ref="M80:O80"/>
    <mergeCell ref="A83:C83"/>
    <mergeCell ref="A88:C88"/>
    <mergeCell ref="A89:C89"/>
    <mergeCell ref="A90:C90"/>
    <mergeCell ref="A91:C91"/>
    <mergeCell ref="A86:C86"/>
    <mergeCell ref="E86:G86"/>
    <mergeCell ref="I86:K86"/>
    <mergeCell ref="M86:O86"/>
    <mergeCell ref="Q86:S86"/>
    <mergeCell ref="U86:W86"/>
    <mergeCell ref="A56:C56"/>
    <mergeCell ref="A57:C57"/>
    <mergeCell ref="Y86:AA86"/>
    <mergeCell ref="U85:W85"/>
    <mergeCell ref="Y85:AA85"/>
    <mergeCell ref="E72:G72"/>
    <mergeCell ref="I72:K72"/>
    <mergeCell ref="M72:O72"/>
    <mergeCell ref="Q72:S72"/>
    <mergeCell ref="U72:W72"/>
    <mergeCell ref="Y72:AA72"/>
    <mergeCell ref="Q80:S80"/>
    <mergeCell ref="U80:W80"/>
    <mergeCell ref="Y80:AA80"/>
    <mergeCell ref="M79:O79"/>
    <mergeCell ref="Q79:S79"/>
    <mergeCell ref="U79:W79"/>
    <mergeCell ref="Y79:AA79"/>
    <mergeCell ref="Y62:AA62"/>
    <mergeCell ref="E71:G71"/>
    <mergeCell ref="I71:K71"/>
    <mergeCell ref="M71:O71"/>
    <mergeCell ref="Q71:S71"/>
    <mergeCell ref="U71:W71"/>
    <mergeCell ref="U40:V40"/>
    <mergeCell ref="Y40:Z40"/>
    <mergeCell ref="I7:K7"/>
    <mergeCell ref="M7:O7"/>
    <mergeCell ref="Q7:S7"/>
    <mergeCell ref="U7:W7"/>
    <mergeCell ref="A8:B8"/>
    <mergeCell ref="A9:B9"/>
    <mergeCell ref="Y54:Z54"/>
    <mergeCell ref="A7:C7"/>
    <mergeCell ref="A25:B25"/>
    <mergeCell ref="A26:B26"/>
    <mergeCell ref="A27:B27"/>
    <mergeCell ref="A28:B28"/>
    <mergeCell ref="A29:B29"/>
    <mergeCell ref="A30:B30"/>
    <mergeCell ref="A31:B31"/>
    <mergeCell ref="A32:B32"/>
    <mergeCell ref="A35:C35"/>
    <mergeCell ref="A36:B36"/>
    <mergeCell ref="A42:C42"/>
    <mergeCell ref="A43:B43"/>
    <mergeCell ref="A44:B44"/>
    <mergeCell ref="E7:G7"/>
    <mergeCell ref="A54:C54"/>
    <mergeCell ref="A12:B12"/>
    <mergeCell ref="A10:B10"/>
    <mergeCell ref="A11:B11"/>
    <mergeCell ref="A13:B13"/>
    <mergeCell ref="A14:B14"/>
    <mergeCell ref="A15:B15"/>
    <mergeCell ref="A16:B16"/>
    <mergeCell ref="A17:B17"/>
    <mergeCell ref="A18:B18"/>
    <mergeCell ref="A19:B19"/>
    <mergeCell ref="U4:W4"/>
    <mergeCell ref="B5:C5"/>
    <mergeCell ref="E6:G6"/>
    <mergeCell ref="I6:K6"/>
    <mergeCell ref="M6:O6"/>
    <mergeCell ref="Q6:S6"/>
    <mergeCell ref="U6:W6"/>
    <mergeCell ref="BG5:BI5"/>
    <mergeCell ref="Y7:AA7"/>
    <mergeCell ref="AC7:AD7"/>
    <mergeCell ref="Y4:AA4"/>
    <mergeCell ref="Y6:AA6"/>
    <mergeCell ref="AC6:AD6"/>
    <mergeCell ref="A38:B38"/>
    <mergeCell ref="A39:B39"/>
    <mergeCell ref="A40:C40"/>
    <mergeCell ref="A2:B2"/>
    <mergeCell ref="B4:C4"/>
    <mergeCell ref="E4:G4"/>
    <mergeCell ref="I4:K4"/>
    <mergeCell ref="M4:O4"/>
    <mergeCell ref="Q4:S4"/>
    <mergeCell ref="A76:C76"/>
    <mergeCell ref="U77:V77"/>
    <mergeCell ref="Y77:Z77"/>
    <mergeCell ref="A77:C77"/>
    <mergeCell ref="E79:G79"/>
    <mergeCell ref="I79:K79"/>
    <mergeCell ref="A20:B20"/>
    <mergeCell ref="A21:B21"/>
    <mergeCell ref="A22:B22"/>
    <mergeCell ref="A23:B23"/>
    <mergeCell ref="A24:B24"/>
    <mergeCell ref="A58:C58"/>
    <mergeCell ref="U54:V54"/>
    <mergeCell ref="A59:C59"/>
    <mergeCell ref="A66:B66"/>
    <mergeCell ref="A45:B45"/>
    <mergeCell ref="A46:B46"/>
    <mergeCell ref="A47:C47"/>
    <mergeCell ref="A49:C49"/>
    <mergeCell ref="A50:B50"/>
    <mergeCell ref="A51:B51"/>
    <mergeCell ref="A52:B52"/>
    <mergeCell ref="A53:B53"/>
    <mergeCell ref="A37:B37"/>
    <mergeCell ref="A68:C68"/>
    <mergeCell ref="A65:C65"/>
    <mergeCell ref="E62:G62"/>
    <mergeCell ref="C66:C67"/>
    <mergeCell ref="A67:B67"/>
    <mergeCell ref="U68:V68"/>
    <mergeCell ref="Y68:Z68"/>
    <mergeCell ref="A72:C72"/>
    <mergeCell ref="A75:C75"/>
    <mergeCell ref="A74:C74"/>
    <mergeCell ref="A63:C63"/>
    <mergeCell ref="E63:G63"/>
    <mergeCell ref="I63:K63"/>
    <mergeCell ref="M63:O63"/>
    <mergeCell ref="Q63:S63"/>
    <mergeCell ref="U63:W63"/>
    <mergeCell ref="Y63:AA63"/>
    <mergeCell ref="Y71:AA71"/>
  </mergeCells>
  <phoneticPr fontId="20" type="noConversion"/>
  <pageMargins left="0.25" right="0.25" top="0.75" bottom="0.75" header="0.3" footer="0.3"/>
  <pageSetup scale="91" fitToHeight="3" orientation="landscape" r:id="rId1"/>
  <rowBreaks count="2" manualBreakCount="2">
    <brk id="33" max="30" man="1"/>
    <brk id="87" max="30" man="1"/>
  </rowBreaks>
  <colBreaks count="1" manualBreakCount="1">
    <brk id="8" max="93" man="1"/>
  </col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63"/>
  <sheetViews>
    <sheetView view="pageBreakPreview" zoomScaleNormal="100" zoomScaleSheetLayoutView="100" workbookViewId="0">
      <pane xSplit="7" ySplit="7" topLeftCell="H8" activePane="bottomRight" state="frozen"/>
      <selection pane="topRight" activeCell="H1" sqref="H1"/>
      <selection pane="bottomLeft" activeCell="A9" sqref="A9"/>
      <selection pane="bottomRight" activeCell="G18" sqref="G18"/>
    </sheetView>
  </sheetViews>
  <sheetFormatPr defaultColWidth="8.7265625" defaultRowHeight="13" x14ac:dyDescent="0.25"/>
  <cols>
    <col min="1" max="1" width="2.269531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469</v>
      </c>
      <c r="C2" s="1367"/>
      <c r="D2" s="1013"/>
      <c r="E2" s="1013"/>
      <c r="F2" s="1013"/>
      <c r="G2" s="1013"/>
      <c r="H2" s="1027" t="s">
        <v>290</v>
      </c>
      <c r="I2" s="1372" t="s">
        <v>399</v>
      </c>
      <c r="J2" s="1373"/>
      <c r="K2" s="1373"/>
      <c r="L2" s="1373"/>
      <c r="M2" s="1374"/>
      <c r="N2" s="1013"/>
      <c r="O2" s="1016"/>
    </row>
    <row r="3" spans="1:15" ht="32.15"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470</v>
      </c>
      <c r="C8" s="886"/>
      <c r="D8" s="886"/>
      <c r="E8" s="886"/>
      <c r="F8" s="886"/>
      <c r="G8" s="886"/>
      <c r="H8" s="887">
        <v>0</v>
      </c>
      <c r="I8" s="887">
        <v>0</v>
      </c>
      <c r="J8" s="887">
        <v>0</v>
      </c>
      <c r="K8" s="887">
        <v>0</v>
      </c>
      <c r="L8" s="888">
        <f t="shared" ref="L8:L14" si="0">SUM(H8:K8)</f>
        <v>0</v>
      </c>
      <c r="M8" s="1371"/>
      <c r="N8" s="1013"/>
      <c r="O8" s="1016"/>
    </row>
    <row r="9" spans="1:15" x14ac:dyDescent="0.25">
      <c r="A9" s="1009"/>
      <c r="B9" s="885" t="s">
        <v>470</v>
      </c>
      <c r="C9" s="1161"/>
      <c r="D9" s="1161"/>
      <c r="E9" s="1161"/>
      <c r="F9" s="1161"/>
      <c r="G9" s="1161"/>
      <c r="H9" s="889">
        <v>0</v>
      </c>
      <c r="I9" s="889">
        <v>0</v>
      </c>
      <c r="J9" s="889">
        <v>0</v>
      </c>
      <c r="K9" s="889">
        <v>0</v>
      </c>
      <c r="L9" s="890">
        <f t="shared" si="0"/>
        <v>0</v>
      </c>
      <c r="M9" s="1371"/>
      <c r="N9" s="1013"/>
      <c r="O9" s="1016"/>
    </row>
    <row r="10" spans="1:15" x14ac:dyDescent="0.25">
      <c r="A10" s="1009"/>
      <c r="B10" s="885" t="s">
        <v>470</v>
      </c>
      <c r="C10" s="1161"/>
      <c r="D10" s="1161"/>
      <c r="E10" s="1161"/>
      <c r="F10" s="1161"/>
      <c r="G10" s="1161"/>
      <c r="H10" s="889">
        <v>0</v>
      </c>
      <c r="I10" s="889">
        <v>0</v>
      </c>
      <c r="J10" s="889">
        <v>0</v>
      </c>
      <c r="K10" s="889">
        <v>0</v>
      </c>
      <c r="L10" s="890">
        <f t="shared" si="0"/>
        <v>0</v>
      </c>
      <c r="M10" s="1371"/>
      <c r="N10" s="1013"/>
      <c r="O10" s="1016"/>
    </row>
    <row r="11" spans="1:15" x14ac:dyDescent="0.25">
      <c r="A11" s="1009"/>
      <c r="B11" s="885" t="s">
        <v>470</v>
      </c>
      <c r="C11" s="1161"/>
      <c r="D11" s="1161"/>
      <c r="E11" s="1161"/>
      <c r="F11" s="1161"/>
      <c r="G11" s="1161"/>
      <c r="H11" s="889">
        <v>0</v>
      </c>
      <c r="I11" s="889">
        <v>0</v>
      </c>
      <c r="J11" s="889">
        <v>0</v>
      </c>
      <c r="K11" s="889">
        <v>0</v>
      </c>
      <c r="L11" s="890">
        <f t="shared" si="0"/>
        <v>0</v>
      </c>
      <c r="M11" s="1371"/>
      <c r="N11" s="1013"/>
      <c r="O11" s="1016"/>
    </row>
    <row r="12" spans="1:15" x14ac:dyDescent="0.25">
      <c r="A12" s="1009"/>
      <c r="B12" s="885" t="s">
        <v>470</v>
      </c>
      <c r="C12" s="1161"/>
      <c r="D12" s="1161"/>
      <c r="E12" s="1161"/>
      <c r="F12" s="1161"/>
      <c r="G12" s="1161"/>
      <c r="H12" s="889">
        <v>0</v>
      </c>
      <c r="I12" s="889">
        <v>0</v>
      </c>
      <c r="J12" s="889">
        <v>0</v>
      </c>
      <c r="K12" s="889">
        <v>0</v>
      </c>
      <c r="L12" s="890">
        <f t="shared" si="0"/>
        <v>0</v>
      </c>
      <c r="M12" s="1371"/>
      <c r="N12" s="1013"/>
      <c r="O12" s="1016"/>
    </row>
    <row r="13" spans="1:15" x14ac:dyDescent="0.25">
      <c r="A13" s="1009"/>
      <c r="B13" s="885" t="s">
        <v>470</v>
      </c>
      <c r="C13" s="1161"/>
      <c r="D13" s="1161"/>
      <c r="E13" s="1161"/>
      <c r="F13" s="1161"/>
      <c r="G13" s="1161"/>
      <c r="H13" s="889">
        <v>0</v>
      </c>
      <c r="I13" s="889">
        <v>0</v>
      </c>
      <c r="J13" s="889">
        <v>0</v>
      </c>
      <c r="K13" s="889">
        <v>0</v>
      </c>
      <c r="L13" s="890">
        <f t="shared" si="0"/>
        <v>0</v>
      </c>
      <c r="M13" s="1371"/>
      <c r="N13" s="1013"/>
      <c r="O13" s="1016"/>
    </row>
    <row r="14" spans="1:15" ht="13.5" thickBot="1" x14ac:dyDescent="0.3">
      <c r="A14" s="1009"/>
      <c r="B14" s="1203" t="s">
        <v>470</v>
      </c>
      <c r="C14" s="891"/>
      <c r="D14" s="891"/>
      <c r="E14" s="891"/>
      <c r="F14" s="891"/>
      <c r="G14" s="891"/>
      <c r="H14" s="892">
        <v>0</v>
      </c>
      <c r="I14" s="892">
        <v>0</v>
      </c>
      <c r="J14" s="892">
        <v>0</v>
      </c>
      <c r="K14" s="892">
        <v>0</v>
      </c>
      <c r="L14" s="893">
        <f t="shared" si="0"/>
        <v>0</v>
      </c>
      <c r="M14" s="1371"/>
      <c r="N14" s="1013"/>
      <c r="O14" s="1016"/>
    </row>
    <row r="15" spans="1:15" ht="19" customHeight="1" thickBot="1" x14ac:dyDescent="0.3">
      <c r="A15" s="1009"/>
      <c r="B15" s="1381" t="s">
        <v>471</v>
      </c>
      <c r="C15" s="1382"/>
      <c r="D15" s="1382"/>
      <c r="E15" s="1382"/>
      <c r="F15" s="1382"/>
      <c r="G15" s="1382"/>
      <c r="H15" s="911">
        <f>SUM(H8:H14)</f>
        <v>0</v>
      </c>
      <c r="I15" s="911">
        <f>SUM(I8:I14)</f>
        <v>0</v>
      </c>
      <c r="J15" s="911">
        <f>SUM(J8:J14)</f>
        <v>0</v>
      </c>
      <c r="K15" s="912">
        <f>SUM(K8:K14)</f>
        <v>0</v>
      </c>
      <c r="L15" s="1013"/>
      <c r="M15" s="895">
        <f>SUM(H15:K15)</f>
        <v>0</v>
      </c>
      <c r="N15" s="1013"/>
      <c r="O15" s="1016"/>
    </row>
    <row r="16" spans="1:15" ht="13.5" thickBot="1" x14ac:dyDescent="0.3">
      <c r="A16" s="1009"/>
      <c r="B16" s="1371"/>
      <c r="C16" s="1371"/>
      <c r="D16" s="1371"/>
      <c r="E16" s="1371"/>
      <c r="F16" s="1371"/>
      <c r="G16" s="1371"/>
      <c r="H16" s="1371"/>
      <c r="I16" s="1371"/>
      <c r="J16" s="1371"/>
      <c r="K16" s="1371"/>
      <c r="L16" s="1371"/>
      <c r="M16" s="1371"/>
      <c r="N16" s="1013"/>
      <c r="O16" s="1016"/>
    </row>
    <row r="17" spans="1:15" x14ac:dyDescent="0.25">
      <c r="A17" s="1009"/>
      <c r="B17" s="896" t="s">
        <v>472</v>
      </c>
      <c r="C17" s="897"/>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472</v>
      </c>
      <c r="C18" s="1161"/>
      <c r="D18" s="1161"/>
      <c r="E18" s="1161"/>
      <c r="F18" s="1161"/>
      <c r="G18" s="1161"/>
      <c r="H18" s="889">
        <v>0</v>
      </c>
      <c r="I18" s="889">
        <v>0</v>
      </c>
      <c r="J18" s="889">
        <v>0</v>
      </c>
      <c r="K18" s="902">
        <v>0</v>
      </c>
      <c r="L18" s="903">
        <f t="shared" si="1"/>
        <v>0</v>
      </c>
      <c r="M18" s="1371"/>
      <c r="N18" s="1013"/>
      <c r="O18" s="1016"/>
    </row>
    <row r="19" spans="1:15" x14ac:dyDescent="0.25">
      <c r="A19" s="1009"/>
      <c r="B19" s="901" t="s">
        <v>472</v>
      </c>
      <c r="C19" s="1161"/>
      <c r="D19" s="1161"/>
      <c r="E19" s="1161"/>
      <c r="F19" s="1161"/>
      <c r="G19" s="1161"/>
      <c r="H19" s="889">
        <v>0</v>
      </c>
      <c r="I19" s="889">
        <v>0</v>
      </c>
      <c r="J19" s="889">
        <v>0</v>
      </c>
      <c r="K19" s="902">
        <v>0</v>
      </c>
      <c r="L19" s="903">
        <f t="shared" si="1"/>
        <v>0</v>
      </c>
      <c r="M19" s="1371"/>
      <c r="N19" s="1013"/>
      <c r="O19" s="1016"/>
    </row>
    <row r="20" spans="1:15" x14ac:dyDescent="0.25">
      <c r="A20" s="1009"/>
      <c r="B20" s="901" t="s">
        <v>472</v>
      </c>
      <c r="C20" s="1161"/>
      <c r="D20" s="1161"/>
      <c r="E20" s="1161"/>
      <c r="F20" s="1161"/>
      <c r="G20" s="1161"/>
      <c r="H20" s="889">
        <v>0</v>
      </c>
      <c r="I20" s="889">
        <v>0</v>
      </c>
      <c r="J20" s="889">
        <v>0</v>
      </c>
      <c r="K20" s="902">
        <v>0</v>
      </c>
      <c r="L20" s="903">
        <f t="shared" si="1"/>
        <v>0</v>
      </c>
      <c r="M20" s="1371"/>
      <c r="N20" s="1013"/>
      <c r="O20" s="1016"/>
    </row>
    <row r="21" spans="1:15" x14ac:dyDescent="0.25">
      <c r="A21" s="1009"/>
      <c r="B21" s="901" t="s">
        <v>472</v>
      </c>
      <c r="C21" s="1161"/>
      <c r="D21" s="1161"/>
      <c r="E21" s="1161"/>
      <c r="F21" s="1161"/>
      <c r="G21" s="1161"/>
      <c r="H21" s="889">
        <v>0</v>
      </c>
      <c r="I21" s="889">
        <v>0</v>
      </c>
      <c r="J21" s="889">
        <v>0</v>
      </c>
      <c r="K21" s="902">
        <v>0</v>
      </c>
      <c r="L21" s="903">
        <f t="shared" si="1"/>
        <v>0</v>
      </c>
      <c r="M21" s="1371"/>
      <c r="N21" s="1013"/>
      <c r="O21" s="1016"/>
    </row>
    <row r="22" spans="1:15" x14ac:dyDescent="0.25">
      <c r="A22" s="1009"/>
      <c r="B22" s="901" t="s">
        <v>472</v>
      </c>
      <c r="C22" s="1161"/>
      <c r="D22" s="1161"/>
      <c r="E22" s="1161"/>
      <c r="F22" s="1161"/>
      <c r="G22" s="1161"/>
      <c r="H22" s="889">
        <v>0</v>
      </c>
      <c r="I22" s="889">
        <v>0</v>
      </c>
      <c r="J22" s="889">
        <v>0</v>
      </c>
      <c r="K22" s="902">
        <v>0</v>
      </c>
      <c r="L22" s="903">
        <f t="shared" si="1"/>
        <v>0</v>
      </c>
      <c r="M22" s="1371"/>
      <c r="N22" s="1013"/>
      <c r="O22" s="1016"/>
    </row>
    <row r="23" spans="1:15" ht="13.5" thickBot="1" x14ac:dyDescent="0.3">
      <c r="A23" s="1009"/>
      <c r="B23" s="928" t="s">
        <v>472</v>
      </c>
      <c r="C23" s="891"/>
      <c r="D23" s="891"/>
      <c r="E23" s="891"/>
      <c r="F23" s="891"/>
      <c r="G23" s="891"/>
      <c r="H23" s="892">
        <v>0</v>
      </c>
      <c r="I23" s="892">
        <v>0</v>
      </c>
      <c r="J23" s="892">
        <v>0</v>
      </c>
      <c r="K23" s="905">
        <v>0</v>
      </c>
      <c r="L23" s="906">
        <f t="shared" si="1"/>
        <v>0</v>
      </c>
      <c r="M23" s="1371"/>
      <c r="N23" s="1013"/>
      <c r="O23" s="1016"/>
    </row>
    <row r="24" spans="1:15" ht="17.5" customHeight="1" thickBot="1" x14ac:dyDescent="0.3">
      <c r="A24" s="1009"/>
      <c r="B24" s="1381" t="s">
        <v>473</v>
      </c>
      <c r="C24" s="1382"/>
      <c r="D24" s="1382"/>
      <c r="E24" s="1382"/>
      <c r="F24" s="1382"/>
      <c r="G24" s="1382"/>
      <c r="H24" s="911">
        <f>SUM(H17:H23)</f>
        <v>0</v>
      </c>
      <c r="I24" s="911">
        <f>SUM(I17:I23)</f>
        <v>0</v>
      </c>
      <c r="J24" s="911">
        <f>SUM(J17:J23)</f>
        <v>0</v>
      </c>
      <c r="K24" s="912">
        <f>SUM(K17:K23)</f>
        <v>0</v>
      </c>
      <c r="L24" s="1013"/>
      <c r="M24" s="895">
        <f>SUM(H24:K24)</f>
        <v>0</v>
      </c>
      <c r="N24" s="1013"/>
      <c r="O24" s="1016"/>
    </row>
    <row r="25" spans="1:15" ht="13.5" thickBot="1" x14ac:dyDescent="0.3">
      <c r="A25" s="1009"/>
      <c r="B25" s="1371"/>
      <c r="C25" s="1371"/>
      <c r="D25" s="1371"/>
      <c r="E25" s="1371"/>
      <c r="F25" s="1371"/>
      <c r="G25" s="1371"/>
      <c r="H25" s="1371"/>
      <c r="I25" s="1371"/>
      <c r="J25" s="1371"/>
      <c r="K25" s="1371"/>
      <c r="L25" s="1371"/>
      <c r="M25" s="1371"/>
      <c r="N25" s="1013"/>
      <c r="O25" s="1016"/>
    </row>
    <row r="26" spans="1:15" x14ac:dyDescent="0.25">
      <c r="A26" s="1009"/>
      <c r="B26" s="896" t="s">
        <v>474</v>
      </c>
      <c r="C26" s="897"/>
      <c r="D26" s="897"/>
      <c r="E26" s="897"/>
      <c r="F26" s="897"/>
      <c r="G26" s="897"/>
      <c r="H26" s="899">
        <v>0</v>
      </c>
      <c r="I26" s="899">
        <v>0</v>
      </c>
      <c r="J26" s="899">
        <v>0</v>
      </c>
      <c r="K26" s="899">
        <v>0</v>
      </c>
      <c r="L26" s="900">
        <f t="shared" ref="L26:L32" si="2">SUM(H26:K26)</f>
        <v>0</v>
      </c>
      <c r="M26" s="1371"/>
      <c r="N26" s="1013"/>
      <c r="O26" s="1016"/>
    </row>
    <row r="27" spans="1:15" x14ac:dyDescent="0.25">
      <c r="A27" s="1009"/>
      <c r="B27" s="901" t="s">
        <v>474</v>
      </c>
      <c r="C27" s="1161"/>
      <c r="D27" s="1161"/>
      <c r="E27" s="1161"/>
      <c r="F27" s="1161"/>
      <c r="G27" s="1161"/>
      <c r="H27" s="910">
        <v>0</v>
      </c>
      <c r="I27" s="910">
        <v>0</v>
      </c>
      <c r="J27" s="910">
        <v>0</v>
      </c>
      <c r="K27" s="910">
        <v>0</v>
      </c>
      <c r="L27" s="903">
        <f t="shared" si="2"/>
        <v>0</v>
      </c>
      <c r="M27" s="1371"/>
      <c r="N27" s="1013"/>
      <c r="O27" s="1016"/>
    </row>
    <row r="28" spans="1:15" x14ac:dyDescent="0.25">
      <c r="A28" s="1009"/>
      <c r="B28" s="901" t="s">
        <v>474</v>
      </c>
      <c r="C28" s="1161"/>
      <c r="D28" s="1161"/>
      <c r="E28" s="1161"/>
      <c r="F28" s="1161"/>
      <c r="G28" s="1161"/>
      <c r="H28" s="910">
        <v>0</v>
      </c>
      <c r="I28" s="910">
        <v>0</v>
      </c>
      <c r="J28" s="910">
        <v>0</v>
      </c>
      <c r="K28" s="910">
        <v>0</v>
      </c>
      <c r="L28" s="903">
        <f t="shared" si="2"/>
        <v>0</v>
      </c>
      <c r="M28" s="1371"/>
      <c r="N28" s="1013"/>
      <c r="O28" s="1016"/>
    </row>
    <row r="29" spans="1:15" x14ac:dyDescent="0.25">
      <c r="A29" s="1009"/>
      <c r="B29" s="901" t="s">
        <v>474</v>
      </c>
      <c r="C29" s="1161"/>
      <c r="D29" s="1161"/>
      <c r="E29" s="1161"/>
      <c r="F29" s="1161"/>
      <c r="G29" s="1161"/>
      <c r="H29" s="910">
        <v>0</v>
      </c>
      <c r="I29" s="910">
        <v>0</v>
      </c>
      <c r="J29" s="910">
        <v>0</v>
      </c>
      <c r="K29" s="910">
        <v>0</v>
      </c>
      <c r="L29" s="903">
        <f t="shared" si="2"/>
        <v>0</v>
      </c>
      <c r="M29" s="1371"/>
      <c r="N29" s="1013"/>
      <c r="O29" s="1016"/>
    </row>
    <row r="30" spans="1:15" x14ac:dyDescent="0.25">
      <c r="A30" s="1009"/>
      <c r="B30" s="901" t="s">
        <v>474</v>
      </c>
      <c r="C30" s="1161"/>
      <c r="D30" s="1161"/>
      <c r="E30" s="1161"/>
      <c r="F30" s="1161"/>
      <c r="G30" s="1161"/>
      <c r="H30" s="910">
        <v>0</v>
      </c>
      <c r="I30" s="910">
        <v>0</v>
      </c>
      <c r="J30" s="910">
        <v>0</v>
      </c>
      <c r="K30" s="910">
        <v>0</v>
      </c>
      <c r="L30" s="903">
        <f t="shared" si="2"/>
        <v>0</v>
      </c>
      <c r="M30" s="1371"/>
      <c r="N30" s="1013"/>
      <c r="O30" s="1016"/>
    </row>
    <row r="31" spans="1:15" x14ac:dyDescent="0.25">
      <c r="A31" s="1009"/>
      <c r="B31" s="901" t="s">
        <v>474</v>
      </c>
      <c r="C31" s="1161"/>
      <c r="D31" s="1161"/>
      <c r="E31" s="1161"/>
      <c r="F31" s="1161"/>
      <c r="G31" s="1161"/>
      <c r="H31" s="910">
        <v>0</v>
      </c>
      <c r="I31" s="910">
        <v>0</v>
      </c>
      <c r="J31" s="910">
        <v>0</v>
      </c>
      <c r="K31" s="910">
        <v>0</v>
      </c>
      <c r="L31" s="903">
        <f t="shared" si="2"/>
        <v>0</v>
      </c>
      <c r="M31" s="1371"/>
      <c r="N31" s="1013"/>
      <c r="O31" s="1016"/>
    </row>
    <row r="32" spans="1:15" ht="13.5" thickBot="1" x14ac:dyDescent="0.3">
      <c r="A32" s="1009"/>
      <c r="B32" s="928" t="s">
        <v>474</v>
      </c>
      <c r="C32" s="891"/>
      <c r="D32" s="891"/>
      <c r="E32" s="891"/>
      <c r="F32" s="891"/>
      <c r="G32" s="891"/>
      <c r="H32" s="892">
        <v>0</v>
      </c>
      <c r="I32" s="1029">
        <v>0</v>
      </c>
      <c r="J32" s="1029">
        <v>0</v>
      </c>
      <c r="K32" s="1030">
        <v>0</v>
      </c>
      <c r="L32" s="906">
        <f t="shared" si="2"/>
        <v>0</v>
      </c>
      <c r="M32" s="1371"/>
      <c r="N32" s="1013"/>
      <c r="O32" s="1016"/>
    </row>
    <row r="33" spans="1:15" ht="18" customHeight="1" thickBot="1" x14ac:dyDescent="0.3">
      <c r="A33" s="1009"/>
      <c r="B33" s="1381" t="s">
        <v>475</v>
      </c>
      <c r="C33" s="1382"/>
      <c r="D33" s="1382"/>
      <c r="E33" s="1382"/>
      <c r="F33" s="1382"/>
      <c r="G33" s="1382"/>
      <c r="H33" s="911">
        <f>SUM(H26:H32)</f>
        <v>0</v>
      </c>
      <c r="I33" s="911">
        <f>SUM(I26:I32)</f>
        <v>0</v>
      </c>
      <c r="J33" s="911">
        <f>SUM(J26:J32)</f>
        <v>0</v>
      </c>
      <c r="K33" s="912">
        <f>SUM(K26:K32)</f>
        <v>0</v>
      </c>
      <c r="L33" s="1013"/>
      <c r="M33" s="895">
        <f>SUM(H33:K33)</f>
        <v>0</v>
      </c>
      <c r="N33" s="1013"/>
      <c r="O33" s="1016"/>
    </row>
    <row r="34" spans="1:15" ht="13.5" thickBot="1" x14ac:dyDescent="0.3">
      <c r="A34" s="1009"/>
      <c r="B34" s="1371"/>
      <c r="C34" s="1371"/>
      <c r="D34" s="1371"/>
      <c r="E34" s="1371"/>
      <c r="F34" s="1371"/>
      <c r="G34" s="1371"/>
      <c r="H34" s="1371"/>
      <c r="I34" s="1371"/>
      <c r="J34" s="1371"/>
      <c r="K34" s="1371"/>
      <c r="L34" s="1371"/>
      <c r="M34" s="1371"/>
      <c r="N34" s="1013"/>
      <c r="O34" s="1016"/>
    </row>
    <row r="35" spans="1:15" x14ac:dyDescent="0.25">
      <c r="A35" s="1009"/>
      <c r="B35" s="896" t="s">
        <v>476</v>
      </c>
      <c r="C35" s="897"/>
      <c r="D35" s="897"/>
      <c r="E35" s="897"/>
      <c r="F35" s="897"/>
      <c r="G35" s="897"/>
      <c r="H35" s="899">
        <v>0</v>
      </c>
      <c r="I35" s="899">
        <v>0</v>
      </c>
      <c r="J35" s="899">
        <v>0</v>
      </c>
      <c r="K35" s="899">
        <v>0</v>
      </c>
      <c r="L35" s="900">
        <f t="shared" ref="L35:L40" si="3">SUM(H35:K35)</f>
        <v>0</v>
      </c>
      <c r="M35" s="1371"/>
      <c r="N35" s="1013"/>
      <c r="O35" s="1016"/>
    </row>
    <row r="36" spans="1:15" x14ac:dyDescent="0.25">
      <c r="A36" s="1009"/>
      <c r="B36" s="901" t="s">
        <v>476</v>
      </c>
      <c r="C36" s="1161"/>
      <c r="D36" s="1161"/>
      <c r="E36" s="1161"/>
      <c r="F36" s="1161"/>
      <c r="G36" s="1161"/>
      <c r="H36" s="910">
        <v>0</v>
      </c>
      <c r="I36" s="910">
        <v>0</v>
      </c>
      <c r="J36" s="910">
        <v>0</v>
      </c>
      <c r="K36" s="910">
        <v>0</v>
      </c>
      <c r="L36" s="903">
        <f t="shared" si="3"/>
        <v>0</v>
      </c>
      <c r="M36" s="1371"/>
      <c r="N36" s="1013"/>
      <c r="O36" s="1016"/>
    </row>
    <row r="37" spans="1:15" x14ac:dyDescent="0.25">
      <c r="A37" s="1009"/>
      <c r="B37" s="901" t="s">
        <v>476</v>
      </c>
      <c r="C37" s="1161"/>
      <c r="D37" s="1161"/>
      <c r="E37" s="1161"/>
      <c r="F37" s="1161"/>
      <c r="G37" s="1161"/>
      <c r="H37" s="910">
        <v>0</v>
      </c>
      <c r="I37" s="910">
        <v>0</v>
      </c>
      <c r="J37" s="910">
        <v>0</v>
      </c>
      <c r="K37" s="910">
        <v>0</v>
      </c>
      <c r="L37" s="903">
        <f t="shared" si="3"/>
        <v>0</v>
      </c>
      <c r="M37" s="1371"/>
      <c r="N37" s="1013"/>
      <c r="O37" s="1016"/>
    </row>
    <row r="38" spans="1:15" x14ac:dyDescent="0.25">
      <c r="A38" s="1009"/>
      <c r="B38" s="901" t="s">
        <v>476</v>
      </c>
      <c r="C38" s="1161"/>
      <c r="D38" s="1161"/>
      <c r="E38" s="1161"/>
      <c r="F38" s="1161"/>
      <c r="G38" s="1161"/>
      <c r="H38" s="910">
        <v>0</v>
      </c>
      <c r="I38" s="910">
        <v>0</v>
      </c>
      <c r="J38" s="910">
        <v>0</v>
      </c>
      <c r="K38" s="910">
        <v>0</v>
      </c>
      <c r="L38" s="903">
        <f t="shared" si="3"/>
        <v>0</v>
      </c>
      <c r="M38" s="1371"/>
      <c r="N38" s="1013"/>
      <c r="O38" s="1016"/>
    </row>
    <row r="39" spans="1:15" x14ac:dyDescent="0.25">
      <c r="A39" s="1009"/>
      <c r="B39" s="901" t="s">
        <v>476</v>
      </c>
      <c r="C39" s="1161"/>
      <c r="D39" s="1161"/>
      <c r="E39" s="1161"/>
      <c r="F39" s="1161"/>
      <c r="G39" s="1161"/>
      <c r="H39" s="910">
        <v>0</v>
      </c>
      <c r="I39" s="910">
        <v>0</v>
      </c>
      <c r="J39" s="910">
        <v>0</v>
      </c>
      <c r="K39" s="910">
        <v>0</v>
      </c>
      <c r="L39" s="903">
        <f t="shared" si="3"/>
        <v>0</v>
      </c>
      <c r="M39" s="1371"/>
      <c r="N39" s="1013"/>
      <c r="O39" s="1016"/>
    </row>
    <row r="40" spans="1:15" ht="13.5" thickBot="1" x14ac:dyDescent="0.3">
      <c r="A40" s="1009"/>
      <c r="B40" s="928" t="s">
        <v>476</v>
      </c>
      <c r="C40" s="891"/>
      <c r="D40" s="891"/>
      <c r="E40" s="891"/>
      <c r="F40" s="891"/>
      <c r="G40" s="891"/>
      <c r="H40" s="1030">
        <v>0</v>
      </c>
      <c r="I40" s="1030">
        <v>0</v>
      </c>
      <c r="J40" s="1030">
        <v>0</v>
      </c>
      <c r="K40" s="1030">
        <v>0</v>
      </c>
      <c r="L40" s="906">
        <f t="shared" si="3"/>
        <v>0</v>
      </c>
      <c r="M40" s="1371"/>
      <c r="N40" s="1013"/>
      <c r="O40" s="1016"/>
    </row>
    <row r="41" spans="1:15" ht="18" customHeight="1" thickBot="1" x14ac:dyDescent="0.3">
      <c r="A41" s="1009"/>
      <c r="B41" s="1381" t="s">
        <v>477</v>
      </c>
      <c r="C41" s="1382"/>
      <c r="D41" s="1382"/>
      <c r="E41" s="1382"/>
      <c r="F41" s="1382"/>
      <c r="G41" s="1382"/>
      <c r="H41" s="911">
        <f>SUM(H35:H40)</f>
        <v>0</v>
      </c>
      <c r="I41" s="911">
        <f>SUM(I35:I40)</f>
        <v>0</v>
      </c>
      <c r="J41" s="911">
        <f>SUM(J35:J40)</f>
        <v>0</v>
      </c>
      <c r="K41" s="912">
        <f>SUM(K35:K40)</f>
        <v>0</v>
      </c>
      <c r="L41" s="1013"/>
      <c r="M41" s="895">
        <f>SUM(H41:K41)</f>
        <v>0</v>
      </c>
      <c r="N41" s="1013"/>
      <c r="O41" s="1016"/>
    </row>
    <row r="42" spans="1:15" ht="13.5" thickBot="1" x14ac:dyDescent="0.3">
      <c r="A42" s="1009"/>
      <c r="B42" s="1371"/>
      <c r="C42" s="1371"/>
      <c r="D42" s="1371"/>
      <c r="E42" s="1371"/>
      <c r="F42" s="1371"/>
      <c r="G42" s="1371"/>
      <c r="H42" s="1371"/>
      <c r="I42" s="1371"/>
      <c r="J42" s="1371"/>
      <c r="K42" s="1371"/>
      <c r="L42" s="1371"/>
      <c r="M42" s="1371"/>
      <c r="N42" s="1013"/>
      <c r="O42" s="1016"/>
    </row>
    <row r="43" spans="1:15" x14ac:dyDescent="0.25">
      <c r="A43" s="1009"/>
      <c r="B43" s="896" t="s">
        <v>478</v>
      </c>
      <c r="C43" s="897"/>
      <c r="D43" s="897"/>
      <c r="E43" s="897"/>
      <c r="F43" s="897"/>
      <c r="G43" s="897"/>
      <c r="H43" s="899">
        <v>0</v>
      </c>
      <c r="I43" s="899">
        <v>0</v>
      </c>
      <c r="J43" s="899">
        <v>0</v>
      </c>
      <c r="K43" s="899">
        <v>0</v>
      </c>
      <c r="L43" s="900">
        <f t="shared" ref="L43:L51" si="4">SUM(H43:K43)</f>
        <v>0</v>
      </c>
      <c r="M43" s="1371"/>
      <c r="N43" s="1013"/>
      <c r="O43" s="1016"/>
    </row>
    <row r="44" spans="1:15" x14ac:dyDescent="0.25">
      <c r="A44" s="1009"/>
      <c r="B44" s="901" t="s">
        <v>478</v>
      </c>
      <c r="C44" s="1161"/>
      <c r="D44" s="1161"/>
      <c r="E44" s="1161"/>
      <c r="F44" s="1161"/>
      <c r="G44" s="1161"/>
      <c r="H44" s="910">
        <v>0</v>
      </c>
      <c r="I44" s="910">
        <v>0</v>
      </c>
      <c r="J44" s="910">
        <v>0</v>
      </c>
      <c r="K44" s="910">
        <v>0</v>
      </c>
      <c r="L44" s="903">
        <f t="shared" si="4"/>
        <v>0</v>
      </c>
      <c r="M44" s="1371"/>
      <c r="N44" s="1013"/>
      <c r="O44" s="1016"/>
    </row>
    <row r="45" spans="1:15" x14ac:dyDescent="0.25">
      <c r="A45" s="1009"/>
      <c r="B45" s="901" t="s">
        <v>478</v>
      </c>
      <c r="C45" s="1161"/>
      <c r="D45" s="1161"/>
      <c r="E45" s="1161"/>
      <c r="F45" s="1161"/>
      <c r="G45" s="1161"/>
      <c r="H45" s="910">
        <v>0</v>
      </c>
      <c r="I45" s="910">
        <v>0</v>
      </c>
      <c r="J45" s="910">
        <v>0</v>
      </c>
      <c r="K45" s="910">
        <v>0</v>
      </c>
      <c r="L45" s="903">
        <f t="shared" si="4"/>
        <v>0</v>
      </c>
      <c r="M45" s="1371"/>
      <c r="N45" s="1013"/>
      <c r="O45" s="1016"/>
    </row>
    <row r="46" spans="1:15" x14ac:dyDescent="0.25">
      <c r="A46" s="1009"/>
      <c r="B46" s="901" t="s">
        <v>478</v>
      </c>
      <c r="C46" s="1161"/>
      <c r="D46" s="1161"/>
      <c r="E46" s="1161"/>
      <c r="F46" s="1161"/>
      <c r="G46" s="1161"/>
      <c r="H46" s="910">
        <v>0</v>
      </c>
      <c r="I46" s="910">
        <v>0</v>
      </c>
      <c r="J46" s="910">
        <v>0</v>
      </c>
      <c r="K46" s="910">
        <v>0</v>
      </c>
      <c r="L46" s="903">
        <f t="shared" si="4"/>
        <v>0</v>
      </c>
      <c r="M46" s="1371"/>
      <c r="N46" s="1013"/>
      <c r="O46" s="1016"/>
    </row>
    <row r="47" spans="1:15" x14ac:dyDescent="0.25">
      <c r="A47" s="1009"/>
      <c r="B47" s="901" t="s">
        <v>478</v>
      </c>
      <c r="C47" s="1161"/>
      <c r="D47" s="1161"/>
      <c r="E47" s="1161"/>
      <c r="F47" s="1161"/>
      <c r="G47" s="1161"/>
      <c r="H47" s="910">
        <v>0</v>
      </c>
      <c r="I47" s="910">
        <v>0</v>
      </c>
      <c r="J47" s="910">
        <v>0</v>
      </c>
      <c r="K47" s="910">
        <v>0</v>
      </c>
      <c r="L47" s="903">
        <f t="shared" si="4"/>
        <v>0</v>
      </c>
      <c r="M47" s="1371"/>
      <c r="N47" s="1013"/>
      <c r="O47" s="1016"/>
    </row>
    <row r="48" spans="1:15" x14ac:dyDescent="0.25">
      <c r="A48" s="1009"/>
      <c r="B48" s="901" t="s">
        <v>478</v>
      </c>
      <c r="C48" s="1161"/>
      <c r="D48" s="1161"/>
      <c r="E48" s="1161"/>
      <c r="F48" s="1161"/>
      <c r="G48" s="1161"/>
      <c r="H48" s="910">
        <v>0</v>
      </c>
      <c r="I48" s="910">
        <v>0</v>
      </c>
      <c r="J48" s="910">
        <v>0</v>
      </c>
      <c r="K48" s="910">
        <v>0</v>
      </c>
      <c r="L48" s="903">
        <f t="shared" si="4"/>
        <v>0</v>
      </c>
      <c r="M48" s="1371"/>
      <c r="N48" s="1013"/>
      <c r="O48" s="1016"/>
    </row>
    <row r="49" spans="1:15" x14ac:dyDescent="0.25">
      <c r="A49" s="1009"/>
      <c r="B49" s="901" t="s">
        <v>478</v>
      </c>
      <c r="C49" s="1161"/>
      <c r="D49" s="1161"/>
      <c r="E49" s="1161"/>
      <c r="F49" s="1161"/>
      <c r="G49" s="1161"/>
      <c r="H49" s="892">
        <v>0</v>
      </c>
      <c r="I49" s="887">
        <v>0</v>
      </c>
      <c r="J49" s="887">
        <v>0</v>
      </c>
      <c r="K49" s="910">
        <v>0</v>
      </c>
      <c r="L49" s="903">
        <f t="shared" si="4"/>
        <v>0</v>
      </c>
      <c r="M49" s="1371"/>
      <c r="N49" s="1013"/>
      <c r="O49" s="1016"/>
    </row>
    <row r="50" spans="1:15" x14ac:dyDescent="0.25">
      <c r="A50" s="1009"/>
      <c r="B50" s="901" t="s">
        <v>478</v>
      </c>
      <c r="C50" s="1161"/>
      <c r="D50" s="1161"/>
      <c r="E50" s="1161"/>
      <c r="F50" s="1161"/>
      <c r="G50" s="1161"/>
      <c r="H50" s="889">
        <v>0</v>
      </c>
      <c r="I50" s="889">
        <v>0</v>
      </c>
      <c r="J50" s="889">
        <v>0</v>
      </c>
      <c r="K50" s="902">
        <v>0</v>
      </c>
      <c r="L50" s="903">
        <f t="shared" si="4"/>
        <v>0</v>
      </c>
      <c r="M50" s="1371"/>
      <c r="N50" s="1013"/>
      <c r="O50" s="1016"/>
    </row>
    <row r="51" spans="1:15" ht="13.5" thickBot="1" x14ac:dyDescent="0.3">
      <c r="A51" s="1009"/>
      <c r="B51" s="928" t="s">
        <v>478</v>
      </c>
      <c r="C51" s="891"/>
      <c r="D51" s="891"/>
      <c r="E51" s="891"/>
      <c r="F51" s="891"/>
      <c r="G51" s="891"/>
      <c r="H51" s="892">
        <v>0</v>
      </c>
      <c r="I51" s="892">
        <v>0</v>
      </c>
      <c r="J51" s="892">
        <v>0</v>
      </c>
      <c r="K51" s="905">
        <v>0</v>
      </c>
      <c r="L51" s="906">
        <f t="shared" si="4"/>
        <v>0</v>
      </c>
      <c r="M51" s="1371"/>
      <c r="N51" s="1013"/>
      <c r="O51" s="1016"/>
    </row>
    <row r="52" spans="1:15" ht="20.5" customHeight="1" thickBot="1" x14ac:dyDescent="0.3">
      <c r="A52" s="1009"/>
      <c r="B52" s="1381" t="s">
        <v>479</v>
      </c>
      <c r="C52" s="1382"/>
      <c r="D52" s="1382"/>
      <c r="E52" s="1382"/>
      <c r="F52" s="1382"/>
      <c r="G52" s="1382"/>
      <c r="H52" s="911">
        <f>SUM(H43:H51)</f>
        <v>0</v>
      </c>
      <c r="I52" s="911">
        <f>SUM(I43:I51)</f>
        <v>0</v>
      </c>
      <c r="J52" s="911">
        <f>SUM(J43:J51)</f>
        <v>0</v>
      </c>
      <c r="K52" s="912">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480</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481</v>
      </c>
    </row>
    <row r="57" spans="1:15" ht="25.5" customHeight="1" thickBot="1" x14ac:dyDescent="0.3">
      <c r="A57" s="1011"/>
      <c r="B57" s="1014"/>
      <c r="C57" s="1014"/>
      <c r="D57" s="1014"/>
      <c r="E57" s="1014"/>
      <c r="F57" s="1014"/>
      <c r="G57" s="1014"/>
      <c r="H57" s="1014"/>
      <c r="I57" s="1014"/>
      <c r="J57" s="1014"/>
      <c r="K57" s="1015"/>
      <c r="L57" s="1014"/>
      <c r="M57" s="1014"/>
      <c r="N57" s="1014"/>
      <c r="O57" s="922">
        <f>'Phase 2 Costs '!BA67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52:G52"/>
    <mergeCell ref="B54:G54"/>
    <mergeCell ref="B42:M42"/>
    <mergeCell ref="M43:M51"/>
    <mergeCell ref="L52:L54"/>
    <mergeCell ref="B2:C2"/>
    <mergeCell ref="B6:C6"/>
    <mergeCell ref="B24:G24"/>
    <mergeCell ref="B41:G41"/>
    <mergeCell ref="I2:M4"/>
    <mergeCell ref="H6:K6"/>
    <mergeCell ref="M8:M14"/>
    <mergeCell ref="B15:G15"/>
    <mergeCell ref="M17:M23"/>
    <mergeCell ref="B25:M25"/>
    <mergeCell ref="M26:M32"/>
    <mergeCell ref="B34:M34"/>
    <mergeCell ref="M35:M40"/>
    <mergeCell ref="B33:G33"/>
    <mergeCell ref="B16:M16"/>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53125" defaultRowHeight="12.5" x14ac:dyDescent="0.25"/>
  <cols>
    <col min="1" max="1" width="13.453125" customWidth="1"/>
    <col min="2" max="2" width="42.453125" customWidth="1"/>
    <col min="3" max="3" width="30.453125" bestFit="1" customWidth="1"/>
    <col min="4" max="4" width="11.453125" customWidth="1"/>
    <col min="5" max="5" width="14.453125" bestFit="1" customWidth="1"/>
    <col min="6" max="18" width="12.453125" customWidth="1"/>
    <col min="19" max="19" width="11.453125" customWidth="1"/>
    <col min="20" max="20" width="12" customWidth="1"/>
    <col min="21" max="26" width="12.453125" customWidth="1"/>
    <col min="27" max="28" width="11.453125" customWidth="1"/>
    <col min="29" max="34" width="12.453125" customWidth="1"/>
    <col min="35" max="35" width="11.453125" customWidth="1"/>
    <col min="36" max="36" width="11" customWidth="1"/>
    <col min="37" max="42" width="12.453125" customWidth="1"/>
    <col min="43" max="44" width="11.453125" customWidth="1"/>
    <col min="45" max="50" width="12.453125" customWidth="1"/>
    <col min="51" max="51" width="11.453125" customWidth="1"/>
    <col min="53" max="53" width="13" customWidth="1"/>
    <col min="54" max="54" width="12.453125" customWidth="1"/>
  </cols>
  <sheetData>
    <row r="1" spans="1:54" s="74" customFormat="1" ht="13" x14ac:dyDescent="0.3">
      <c r="A1" s="71" t="s">
        <v>482</v>
      </c>
      <c r="B1" s="72"/>
      <c r="C1" s="176" t="s">
        <v>424</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 x14ac:dyDescent="0.3">
      <c r="A2" s="75" t="s">
        <v>318</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 x14ac:dyDescent="0.3">
      <c r="A3" s="75" t="s">
        <v>483</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x14ac:dyDescent="0.35">
      <c r="A4" s="20"/>
      <c r="B4" s="1"/>
      <c r="C4" s="1"/>
      <c r="D4" s="13"/>
      <c r="E4" s="29"/>
      <c r="F4" s="29"/>
      <c r="G4" s="1629" t="s">
        <v>484</v>
      </c>
      <c r="H4" s="1630"/>
      <c r="I4" s="29"/>
      <c r="J4" s="29"/>
      <c r="K4" s="13"/>
      <c r="L4" s="13"/>
      <c r="M4" s="13"/>
      <c r="N4" s="29"/>
      <c r="O4" s="1629" t="s">
        <v>484</v>
      </c>
      <c r="P4" s="1630"/>
      <c r="Q4" s="29"/>
      <c r="R4" s="29"/>
      <c r="S4" s="13"/>
      <c r="T4" s="13"/>
      <c r="U4" s="29"/>
      <c r="V4" s="29"/>
      <c r="W4" s="29" t="s">
        <v>484</v>
      </c>
      <c r="X4" s="29"/>
      <c r="Y4" s="29"/>
      <c r="Z4" s="29"/>
      <c r="AA4" s="13"/>
      <c r="AB4" s="13"/>
      <c r="AC4" s="13"/>
      <c r="AD4" s="13"/>
      <c r="AE4" s="1629" t="s">
        <v>484</v>
      </c>
      <c r="AF4" s="1630"/>
      <c r="AG4" s="13"/>
      <c r="AH4" s="29"/>
      <c r="AI4" s="13"/>
      <c r="AJ4" s="13"/>
      <c r="AK4" s="13"/>
      <c r="AL4" s="13"/>
      <c r="AM4" s="1629" t="s">
        <v>484</v>
      </c>
      <c r="AN4" s="1630"/>
      <c r="AO4" s="13"/>
      <c r="AP4" s="29"/>
      <c r="AQ4" s="13"/>
      <c r="AR4" s="13"/>
      <c r="AS4" s="13"/>
      <c r="AT4" s="13"/>
      <c r="AU4" s="13"/>
      <c r="AV4" s="29" t="s">
        <v>484</v>
      </c>
      <c r="AW4" s="13"/>
      <c r="AX4" s="29"/>
      <c r="AY4" s="22"/>
      <c r="AZ4" s="31"/>
      <c r="BA4" s="21"/>
    </row>
    <row r="5" spans="1:54" x14ac:dyDescent="0.25">
      <c r="B5" s="2"/>
      <c r="C5" s="7"/>
      <c r="D5" s="149"/>
      <c r="E5" s="1183"/>
      <c r="F5" s="1183"/>
      <c r="G5" s="1631" t="str">
        <f>Period1_Label</f>
        <v>FY 1</v>
      </c>
      <c r="H5" s="1632"/>
      <c r="I5" s="1183"/>
      <c r="J5" s="1183"/>
      <c r="K5" s="129"/>
      <c r="L5" s="118"/>
      <c r="M5" s="106"/>
      <c r="N5" s="1184"/>
      <c r="O5" s="1633" t="str">
        <f>Period2_Label</f>
        <v>FY 2</v>
      </c>
      <c r="P5" s="1634"/>
      <c r="Q5" s="1184"/>
      <c r="R5" s="1184"/>
      <c r="S5" s="152"/>
      <c r="T5" s="124"/>
      <c r="U5" s="109"/>
      <c r="V5" s="1183"/>
      <c r="W5" s="109" t="str">
        <f>Period3_Label</f>
        <v>FY 3</v>
      </c>
      <c r="X5" s="1183"/>
      <c r="Y5" s="1183"/>
      <c r="Z5" s="1183"/>
      <c r="AA5" s="129"/>
      <c r="AB5" s="118"/>
      <c r="AC5" s="118"/>
      <c r="AD5" s="118"/>
      <c r="AE5" s="1633" t="str">
        <f>Period4_Label</f>
        <v>FY 4</v>
      </c>
      <c r="AF5" s="1634"/>
      <c r="AG5" s="118"/>
      <c r="AH5" s="1184"/>
      <c r="AI5" s="152"/>
      <c r="AJ5" s="124"/>
      <c r="AK5" s="124"/>
      <c r="AL5" s="124"/>
      <c r="AM5" s="1631" t="str">
        <f>Period5_Label</f>
        <v>FY 5</v>
      </c>
      <c r="AN5" s="1632"/>
      <c r="AO5" s="124"/>
      <c r="AP5" s="1183"/>
      <c r="AQ5" s="155"/>
      <c r="AR5" s="126"/>
      <c r="AS5" s="118"/>
      <c r="AT5" s="118"/>
      <c r="AU5" s="118"/>
      <c r="AV5" s="106" t="str">
        <f>Period6_Label</f>
        <v>FY 6</v>
      </c>
      <c r="AW5" s="118"/>
      <c r="AX5" s="1184"/>
      <c r="AY5" s="157"/>
      <c r="AZ5" s="288"/>
      <c r="BA5" s="215" t="s">
        <v>343</v>
      </c>
      <c r="BB5" s="214"/>
    </row>
    <row r="6" spans="1:54" x14ac:dyDescent="0.25">
      <c r="A6" s="17" t="s">
        <v>426</v>
      </c>
      <c r="B6" s="2"/>
      <c r="C6" s="7"/>
      <c r="D6" s="150"/>
      <c r="E6" s="1182"/>
      <c r="F6" s="1182"/>
      <c r="G6" s="1624" t="str">
        <f>CONCATENATE(TEXT('Proposer Constants'!C14,"MM/DD/YY")," to ",TEXT('Proposer Constants'!C15,"MM/DD/YY"))</f>
        <v>06/01/25 to 05/31/26</v>
      </c>
      <c r="H6" s="1625"/>
      <c r="I6" s="104"/>
      <c r="J6" s="105"/>
      <c r="K6" s="130"/>
      <c r="L6" s="119"/>
      <c r="M6" s="107"/>
      <c r="N6" s="108"/>
      <c r="O6" s="1637" t="str">
        <f>CONCATENATE(TEXT('Proposer Constants'!D14,"MM/DD/YY")," to ",TEXT('Proposer Constants'!D15,"MM/DD/YY"))</f>
        <v>06/01/26 to 05/31/27</v>
      </c>
      <c r="P6" s="1638"/>
      <c r="Q6" s="108"/>
      <c r="R6" s="108"/>
      <c r="S6" s="153"/>
      <c r="T6" s="125"/>
      <c r="U6" s="110"/>
      <c r="V6" s="105"/>
      <c r="W6" s="110" t="str">
        <f>CONCATENATE(TEXT('Proposer Constants'!E14,"MM/DD/YY")," to ",TEXT('Proposer Constants'!E15,"MM/DD/YY"))</f>
        <v>06/01/27 to 05/31/28</v>
      </c>
      <c r="X6" s="105"/>
      <c r="Y6" s="105"/>
      <c r="Z6" s="105"/>
      <c r="AA6" s="130"/>
      <c r="AB6" s="119"/>
      <c r="AC6" s="119"/>
      <c r="AD6" s="119"/>
      <c r="AE6" s="1637" t="str">
        <f>CONCATENATE(TEXT('Proposer Constants'!F14,"MM/DD/YY")," to ",TEXT('Proposer Constants'!F15,"MM/DD/YY"))</f>
        <v>06/01/28 to 05/31/29</v>
      </c>
      <c r="AF6" s="1638"/>
      <c r="AG6" s="119"/>
      <c r="AH6" s="108"/>
      <c r="AI6" s="153"/>
      <c r="AJ6" s="125"/>
      <c r="AK6" s="125"/>
      <c r="AL6" s="125"/>
      <c r="AM6" s="1624" t="str">
        <f>CONCATENATE(TEXT('Proposer Constants'!G14,"MM/DD/YY")," to ",TEXT('Proposer Constants'!G15,"MM/DD/YY"))</f>
        <v>06/01/29 to 05/31/30</v>
      </c>
      <c r="AN6" s="1625"/>
      <c r="AO6" s="125"/>
      <c r="AP6" s="105"/>
      <c r="AQ6" s="156"/>
      <c r="AR6" s="127"/>
      <c r="AS6" s="119"/>
      <c r="AT6" s="119"/>
      <c r="AU6" s="119"/>
      <c r="AV6" s="107" t="str">
        <f>CONCATENATE(TEXT('Proposer Constants'!H14,"MM/DD/YY")," to ",TEXT('Proposer Constants'!H15,"MM/DD/YY"))</f>
        <v>06/01/30 to 05/31/31</v>
      </c>
      <c r="AW6" s="119"/>
      <c r="AX6" s="108"/>
      <c r="AY6" s="158"/>
      <c r="AZ6" s="26" t="s">
        <v>485</v>
      </c>
      <c r="BA6" s="1626" t="s">
        <v>428</v>
      </c>
      <c r="BB6" s="1627"/>
    </row>
    <row r="7" spans="1:54" s="95" customFormat="1" ht="34.5" x14ac:dyDescent="0.25">
      <c r="A7" s="89"/>
      <c r="B7" s="90" t="s">
        <v>429</v>
      </c>
      <c r="C7" s="91" t="s">
        <v>430</v>
      </c>
      <c r="D7" s="151" t="s">
        <v>325</v>
      </c>
      <c r="E7" s="94" t="s">
        <v>326</v>
      </c>
      <c r="F7" s="93" t="s">
        <v>431</v>
      </c>
      <c r="G7" s="93" t="s">
        <v>432</v>
      </c>
      <c r="H7" s="93" t="s">
        <v>433</v>
      </c>
      <c r="I7" s="93" t="s">
        <v>434</v>
      </c>
      <c r="J7" s="93" t="s">
        <v>435</v>
      </c>
      <c r="K7" s="131" t="s">
        <v>327</v>
      </c>
      <c r="L7" s="111" t="s">
        <v>325</v>
      </c>
      <c r="M7" s="94" t="s">
        <v>326</v>
      </c>
      <c r="N7" s="93" t="s">
        <v>431</v>
      </c>
      <c r="O7" s="93" t="s">
        <v>432</v>
      </c>
      <c r="P7" s="93" t="s">
        <v>433</v>
      </c>
      <c r="Q7" s="93" t="s">
        <v>434</v>
      </c>
      <c r="R7" s="93" t="s">
        <v>435</v>
      </c>
      <c r="S7" s="131" t="s">
        <v>327</v>
      </c>
      <c r="T7" s="111" t="s">
        <v>325</v>
      </c>
      <c r="U7" s="94" t="s">
        <v>326</v>
      </c>
      <c r="V7" s="93" t="s">
        <v>431</v>
      </c>
      <c r="W7" s="93" t="s">
        <v>432</v>
      </c>
      <c r="X7" s="93" t="s">
        <v>433</v>
      </c>
      <c r="Y7" s="93" t="s">
        <v>434</v>
      </c>
      <c r="Z7" s="93" t="s">
        <v>435</v>
      </c>
      <c r="AA7" s="131" t="s">
        <v>327</v>
      </c>
      <c r="AB7" s="111" t="s">
        <v>325</v>
      </c>
      <c r="AC7" s="94" t="s">
        <v>326</v>
      </c>
      <c r="AD7" s="93" t="s">
        <v>431</v>
      </c>
      <c r="AE7" s="93" t="s">
        <v>432</v>
      </c>
      <c r="AF7" s="93" t="s">
        <v>433</v>
      </c>
      <c r="AG7" s="93" t="s">
        <v>434</v>
      </c>
      <c r="AH7" s="93" t="s">
        <v>435</v>
      </c>
      <c r="AI7" s="131" t="s">
        <v>327</v>
      </c>
      <c r="AJ7" s="111" t="s">
        <v>325</v>
      </c>
      <c r="AK7" s="94" t="s">
        <v>326</v>
      </c>
      <c r="AL7" s="93" t="s">
        <v>431</v>
      </c>
      <c r="AM7" s="93" t="s">
        <v>432</v>
      </c>
      <c r="AN7" s="93" t="s">
        <v>433</v>
      </c>
      <c r="AO7" s="93" t="s">
        <v>434</v>
      </c>
      <c r="AP7" s="93" t="s">
        <v>435</v>
      </c>
      <c r="AQ7" s="131" t="s">
        <v>327</v>
      </c>
      <c r="AR7" s="92" t="s">
        <v>325</v>
      </c>
      <c r="AS7" s="94" t="s">
        <v>326</v>
      </c>
      <c r="AT7" s="93" t="s">
        <v>431</v>
      </c>
      <c r="AU7" s="93" t="s">
        <v>432</v>
      </c>
      <c r="AV7" s="93" t="s">
        <v>433</v>
      </c>
      <c r="AW7" s="93" t="s">
        <v>434</v>
      </c>
      <c r="AX7" s="93" t="s">
        <v>435</v>
      </c>
      <c r="AY7" s="131" t="s">
        <v>327</v>
      </c>
      <c r="AZ7" s="166" t="s">
        <v>325</v>
      </c>
      <c r="BA7" s="131" t="s">
        <v>327</v>
      </c>
      <c r="BB7" s="167" t="s">
        <v>436</v>
      </c>
    </row>
    <row r="8" spans="1:54" x14ac:dyDescent="0.25">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x14ac:dyDescent="0.25">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x14ac:dyDescent="0.25">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x14ac:dyDescent="0.25">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x14ac:dyDescent="0.25">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x14ac:dyDescent="0.25">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x14ac:dyDescent="0.25">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x14ac:dyDescent="0.25">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x14ac:dyDescent="0.25">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x14ac:dyDescent="0.25">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x14ac:dyDescent="0.25">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x14ac:dyDescent="0.25">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x14ac:dyDescent="0.25">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x14ac:dyDescent="0.25">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x14ac:dyDescent="0.25">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x14ac:dyDescent="0.25">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x14ac:dyDescent="0.25">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x14ac:dyDescent="0.25">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x14ac:dyDescent="0.25">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x14ac:dyDescent="0.25">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x14ac:dyDescent="0.25">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x14ac:dyDescent="0.25">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x14ac:dyDescent="0.25">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x14ac:dyDescent="0.25">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x14ac:dyDescent="0.25">
      <c r="A32" s="9"/>
      <c r="B32" s="3" t="s">
        <v>440</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x14ac:dyDescent="0.25">
      <c r="A33" s="17"/>
      <c r="B33" s="221" t="s">
        <v>486</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x14ac:dyDescent="0.25">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x14ac:dyDescent="0.25">
      <c r="A35" s="17"/>
      <c r="B35" s="4" t="s">
        <v>246</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x14ac:dyDescent="0.25">
      <c r="A36" s="17"/>
      <c r="B36" s="221" t="s">
        <v>443</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x14ac:dyDescent="0.25">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x14ac:dyDescent="0.25">
      <c r="A38" s="17"/>
      <c r="B38" s="4" t="s">
        <v>248</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x14ac:dyDescent="0.25">
      <c r="A39" s="17" t="s">
        <v>445</v>
      </c>
      <c r="B39" s="2"/>
      <c r="C39" s="23" t="s">
        <v>446</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ht="13" x14ac:dyDescent="0.3">
      <c r="A40" s="9"/>
      <c r="B40" s="221" t="str">
        <f>'Phase 1 Costs'!A36</f>
        <v>Subproposer- #01</v>
      </c>
      <c r="C40" s="137" t="s">
        <v>336</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ht="13" x14ac:dyDescent="0.3">
      <c r="A41" s="9"/>
      <c r="B41" s="221" t="str">
        <f>'Phase 1 Costs'!A37</f>
        <v>Subproposer- #02</v>
      </c>
      <c r="C41" s="137" t="s">
        <v>336</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ht="13" x14ac:dyDescent="0.3">
      <c r="A42" s="9"/>
      <c r="B42" s="221" t="str">
        <f>'Phase 1 Costs'!A38</f>
        <v>Subproposer- #03</v>
      </c>
      <c r="C42" s="137" t="s">
        <v>336</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ht="13" x14ac:dyDescent="0.3">
      <c r="A43" s="9"/>
      <c r="B43" s="221" t="str">
        <f>'Phase 1 Costs'!A39</f>
        <v>Insert line(s) for additional Subproposers</v>
      </c>
      <c r="C43" s="137" t="s">
        <v>336</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x14ac:dyDescent="0.25">
      <c r="A44" s="9"/>
      <c r="B44" s="4" t="s">
        <v>250</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x14ac:dyDescent="0.25">
      <c r="A45" s="17" t="s">
        <v>340</v>
      </c>
      <c r="B45" s="2"/>
      <c r="C45" s="138"/>
      <c r="D45" s="219" t="s">
        <v>325</v>
      </c>
      <c r="E45" s="220" t="s">
        <v>341</v>
      </c>
      <c r="F45" s="7"/>
      <c r="G45" s="7"/>
      <c r="H45" s="7"/>
      <c r="I45" s="7"/>
      <c r="J45" s="7"/>
      <c r="K45" s="134"/>
      <c r="L45" s="219" t="s">
        <v>325</v>
      </c>
      <c r="M45" s="220" t="s">
        <v>341</v>
      </c>
      <c r="N45" s="7"/>
      <c r="O45" s="7"/>
      <c r="P45" s="7"/>
      <c r="Q45" s="7"/>
      <c r="R45" s="7"/>
      <c r="S45" s="134"/>
      <c r="T45" s="219" t="s">
        <v>325</v>
      </c>
      <c r="U45" s="220" t="s">
        <v>341</v>
      </c>
      <c r="V45" s="7"/>
      <c r="W45" s="7"/>
      <c r="X45" s="7"/>
      <c r="Y45" s="7"/>
      <c r="Z45" s="7"/>
      <c r="AA45" s="134"/>
      <c r="AB45" s="219" t="s">
        <v>325</v>
      </c>
      <c r="AC45" s="220" t="s">
        <v>341</v>
      </c>
      <c r="AD45" s="7"/>
      <c r="AE45" s="7"/>
      <c r="AF45" s="7"/>
      <c r="AG45" s="7"/>
      <c r="AH45" s="7"/>
      <c r="AI45" s="134"/>
      <c r="AJ45" s="219" t="s">
        <v>325</v>
      </c>
      <c r="AK45" s="220" t="s">
        <v>341</v>
      </c>
      <c r="AL45" s="7"/>
      <c r="AM45" s="7"/>
      <c r="AN45" s="7"/>
      <c r="AO45" s="7"/>
      <c r="AP45" s="7"/>
      <c r="AQ45" s="134"/>
      <c r="AR45" s="219" t="s">
        <v>325</v>
      </c>
      <c r="AS45" s="220" t="s">
        <v>341</v>
      </c>
      <c r="AT45" s="113"/>
      <c r="AU45" s="113"/>
      <c r="AV45" s="113"/>
      <c r="AW45" s="113"/>
      <c r="AX45" s="7"/>
      <c r="AY45" s="134"/>
      <c r="AZ45" s="229" t="s">
        <v>325</v>
      </c>
      <c r="BA45" s="159"/>
    </row>
    <row r="46" spans="1:53" ht="13" hidden="1" x14ac:dyDescent="0.3">
      <c r="A46" s="9"/>
      <c r="B46" s="221" t="str">
        <f>'Phase 1 Costs'!A43</f>
        <v>Consultant Name - #01</v>
      </c>
      <c r="C46" s="56" t="s">
        <v>346</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t="13" hidden="1" x14ac:dyDescent="0.3">
      <c r="A47" s="9"/>
      <c r="B47" s="221" t="str">
        <f>'Phase 1 Costs'!A44</f>
        <v>Consultant Name - #02</v>
      </c>
      <c r="C47" s="56" t="s">
        <v>346</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t="13" hidden="1" x14ac:dyDescent="0.3">
      <c r="A48" s="9"/>
      <c r="B48" s="221" t="str">
        <f>'Phase 1 Costs'!A45</f>
        <v>Consultant Name - #03</v>
      </c>
      <c r="C48" s="56" t="s">
        <v>346</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t="13" hidden="1" x14ac:dyDescent="0.3">
      <c r="A49" s="9"/>
      <c r="B49" s="221" t="str">
        <f>'Phase 1 Costs'!A46</f>
        <v>Insert line(s) for additional Consultants</v>
      </c>
      <c r="C49" s="56" t="s">
        <v>346</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x14ac:dyDescent="0.25">
      <c r="A50" s="9"/>
      <c r="B50" s="4" t="s">
        <v>252</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x14ac:dyDescent="0.25">
      <c r="A51" s="17" t="s">
        <v>350</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ht="13" x14ac:dyDescent="0.3">
      <c r="A52" s="9"/>
      <c r="B52" s="221" t="str">
        <f>'Phase 1 Costs'!A50</f>
        <v>Materials/Supplies</v>
      </c>
      <c r="C52" s="56" t="s">
        <v>353</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ht="13" x14ac:dyDescent="0.3">
      <c r="A53" s="9"/>
      <c r="B53" s="221" t="str">
        <f>'Phase 1 Costs'!A51</f>
        <v>Equipment</v>
      </c>
      <c r="C53" s="56" t="s">
        <v>355</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ht="13" x14ac:dyDescent="0.3">
      <c r="A54" s="9"/>
      <c r="B54" s="221" t="str">
        <f>'Phase 1 Costs'!A52</f>
        <v>Travel</v>
      </c>
      <c r="C54" s="56" t="s">
        <v>357</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ht="13" x14ac:dyDescent="0.3">
      <c r="A55" s="9"/>
      <c r="B55" s="221" t="str">
        <f>'Phase 1 Costs'!A53</f>
        <v>Insert line(s) for other types of ODCs</v>
      </c>
      <c r="C55" s="56" t="s">
        <v>359</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x14ac:dyDescent="0.25">
      <c r="A56" s="9"/>
      <c r="B56" s="4" t="s">
        <v>254</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x14ac:dyDescent="0.25">
      <c r="A57" s="17" t="s">
        <v>450</v>
      </c>
      <c r="B57" s="2"/>
      <c r="C57" s="7"/>
      <c r="D57" s="219" t="s">
        <v>15</v>
      </c>
      <c r="E57" s="220" t="s">
        <v>361</v>
      </c>
      <c r="F57" s="7"/>
      <c r="G57" s="7"/>
      <c r="H57" s="7"/>
      <c r="I57" s="7"/>
      <c r="J57" s="7"/>
      <c r="K57" s="134"/>
      <c r="L57" s="219" t="s">
        <v>15</v>
      </c>
      <c r="M57" s="220" t="s">
        <v>361</v>
      </c>
      <c r="N57" s="7"/>
      <c r="O57" s="7"/>
      <c r="P57" s="7"/>
      <c r="Q57" s="7"/>
      <c r="R57" s="7"/>
      <c r="S57" s="134"/>
      <c r="T57" s="219" t="s">
        <v>15</v>
      </c>
      <c r="U57" s="220" t="s">
        <v>361</v>
      </c>
      <c r="V57" s="7"/>
      <c r="W57" s="7"/>
      <c r="X57" s="7"/>
      <c r="Y57" s="7"/>
      <c r="Z57" s="7"/>
      <c r="AA57" s="134"/>
      <c r="AB57" s="219" t="s">
        <v>15</v>
      </c>
      <c r="AC57" s="220" t="s">
        <v>361</v>
      </c>
      <c r="AD57" s="7"/>
      <c r="AE57" s="7"/>
      <c r="AF57" s="7"/>
      <c r="AG57" s="7"/>
      <c r="AH57" s="7"/>
      <c r="AI57" s="134"/>
      <c r="AJ57" s="219" t="s">
        <v>15</v>
      </c>
      <c r="AK57" s="220" t="s">
        <v>361</v>
      </c>
      <c r="AL57" s="7"/>
      <c r="AM57" s="7"/>
      <c r="AN57" s="7"/>
      <c r="AO57" s="7"/>
      <c r="AP57" s="7"/>
      <c r="AQ57" s="134"/>
      <c r="AR57" s="219" t="s">
        <v>15</v>
      </c>
      <c r="AS57" s="220" t="s">
        <v>361</v>
      </c>
      <c r="AT57" s="113"/>
      <c r="AU57" s="113"/>
      <c r="AV57" s="113"/>
      <c r="AW57" s="113"/>
      <c r="AX57" s="7"/>
      <c r="AY57" s="134"/>
      <c r="AZ57" s="170"/>
      <c r="BA57" s="159"/>
    </row>
    <row r="58" spans="1:53" x14ac:dyDescent="0.25">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x14ac:dyDescent="0.25">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x14ac:dyDescent="0.25">
      <c r="A60" s="9"/>
      <c r="B60" s="4" t="s">
        <v>256</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 x14ac:dyDescent="0.3">
      <c r="A61" s="190" t="s">
        <v>258</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x14ac:dyDescent="0.25">
      <c r="A62" s="17" t="s">
        <v>452</v>
      </c>
      <c r="B62" s="2"/>
      <c r="C62" s="7"/>
      <c r="D62" s="219" t="s">
        <v>15</v>
      </c>
      <c r="E62" s="220" t="s">
        <v>361</v>
      </c>
      <c r="F62" s="7"/>
      <c r="G62" s="7"/>
      <c r="H62" s="7"/>
      <c r="I62" s="7"/>
      <c r="J62" s="7"/>
      <c r="K62" s="134"/>
      <c r="L62" s="219" t="s">
        <v>15</v>
      </c>
      <c r="M62" s="220" t="s">
        <v>361</v>
      </c>
      <c r="N62" s="7"/>
      <c r="O62" s="7"/>
      <c r="P62" s="7"/>
      <c r="Q62" s="7"/>
      <c r="R62" s="7"/>
      <c r="S62" s="134"/>
      <c r="T62" s="219" t="s">
        <v>15</v>
      </c>
      <c r="U62" s="220" t="s">
        <v>361</v>
      </c>
      <c r="V62" s="7"/>
      <c r="W62" s="7"/>
      <c r="X62" s="7"/>
      <c r="Y62" s="7"/>
      <c r="Z62" s="7"/>
      <c r="AA62" s="134"/>
      <c r="AB62" s="219" t="s">
        <v>15</v>
      </c>
      <c r="AC62" s="220" t="s">
        <v>361</v>
      </c>
      <c r="AD62" s="7"/>
      <c r="AE62" s="7"/>
      <c r="AF62" s="7"/>
      <c r="AG62" s="7"/>
      <c r="AH62" s="7"/>
      <c r="AI62" s="134"/>
      <c r="AJ62" s="219" t="s">
        <v>15</v>
      </c>
      <c r="AK62" s="220" t="s">
        <v>361</v>
      </c>
      <c r="AL62" s="7"/>
      <c r="AM62" s="7"/>
      <c r="AN62" s="7"/>
      <c r="AO62" s="7"/>
      <c r="AP62" s="7"/>
      <c r="AQ62" s="134"/>
      <c r="AR62" s="219" t="s">
        <v>15</v>
      </c>
      <c r="AS62" s="220" t="s">
        <v>361</v>
      </c>
      <c r="AT62" s="113"/>
      <c r="AU62" s="113"/>
      <c r="AV62" s="113"/>
      <c r="AW62" s="113"/>
      <c r="AX62" s="7"/>
      <c r="AY62" s="134"/>
      <c r="AZ62" s="170"/>
      <c r="BA62" s="159"/>
    </row>
    <row r="63" spans="1:53" x14ac:dyDescent="0.25">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x14ac:dyDescent="0.25">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x14ac:dyDescent="0.25">
      <c r="A65" s="9"/>
      <c r="B65" s="4" t="s">
        <v>260</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x14ac:dyDescent="0.25">
      <c r="A66" s="190" t="s">
        <v>258</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x14ac:dyDescent="0.25">
      <c r="A67" s="17" t="s">
        <v>487</v>
      </c>
      <c r="B67" s="2"/>
      <c r="C67" s="7"/>
      <c r="D67" s="219" t="s">
        <v>15</v>
      </c>
      <c r="E67" s="220" t="s">
        <v>361</v>
      </c>
      <c r="F67" s="7"/>
      <c r="G67" s="7"/>
      <c r="H67" s="7"/>
      <c r="I67" s="7"/>
      <c r="J67" s="7"/>
      <c r="K67" s="134"/>
      <c r="L67" s="219" t="s">
        <v>15</v>
      </c>
      <c r="M67" s="220" t="s">
        <v>361</v>
      </c>
      <c r="N67" s="7"/>
      <c r="O67" s="7"/>
      <c r="P67" s="7"/>
      <c r="Q67" s="7"/>
      <c r="R67" s="7"/>
      <c r="S67" s="134"/>
      <c r="T67" s="219" t="s">
        <v>15</v>
      </c>
      <c r="U67" s="220" t="s">
        <v>361</v>
      </c>
      <c r="V67" s="7"/>
      <c r="W67" s="7"/>
      <c r="X67" s="7"/>
      <c r="Y67" s="7"/>
      <c r="Z67" s="7"/>
      <c r="AA67" s="134"/>
      <c r="AB67" s="219" t="s">
        <v>15</v>
      </c>
      <c r="AC67" s="220" t="s">
        <v>361</v>
      </c>
      <c r="AD67" s="7"/>
      <c r="AE67" s="7"/>
      <c r="AF67" s="7"/>
      <c r="AG67" s="7"/>
      <c r="AH67" s="7"/>
      <c r="AI67" s="134"/>
      <c r="AJ67" s="219" t="s">
        <v>15</v>
      </c>
      <c r="AK67" s="220" t="s">
        <v>361</v>
      </c>
      <c r="AL67" s="7"/>
      <c r="AM67" s="7"/>
      <c r="AN67" s="7"/>
      <c r="AO67" s="7"/>
      <c r="AP67" s="7"/>
      <c r="AQ67" s="134"/>
      <c r="AR67" s="219" t="s">
        <v>15</v>
      </c>
      <c r="AS67" s="220" t="s">
        <v>361</v>
      </c>
      <c r="AT67" s="113"/>
      <c r="AU67" s="113"/>
      <c r="AV67" s="113"/>
      <c r="AW67" s="113"/>
      <c r="AX67" s="7"/>
      <c r="AY67" s="134"/>
      <c r="AZ67" s="170"/>
      <c r="BA67" s="159"/>
    </row>
    <row r="68" spans="1:53" x14ac:dyDescent="0.25">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x14ac:dyDescent="0.25">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x14ac:dyDescent="0.25">
      <c r="A70" s="9"/>
      <c r="B70" s="4" t="s">
        <v>262</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x14ac:dyDescent="0.25">
      <c r="A71" s="18" t="s">
        <v>457</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 thickBot="1" x14ac:dyDescent="0.3">
      <c r="A72" s="30" t="s">
        <v>488</v>
      </c>
      <c r="B72" s="19"/>
      <c r="C72" s="63" t="s">
        <v>489</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 thickBot="1" x14ac:dyDescent="0.3">
      <c r="A73" s="205" t="s">
        <v>266</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x14ac:dyDescent="0.25">
      <c r="V74" s="55" t="s">
        <v>356</v>
      </c>
    </row>
    <row r="75" spans="1:53" ht="74.25" customHeight="1" x14ac:dyDescent="0.25">
      <c r="A75" s="60" t="s">
        <v>290</v>
      </c>
      <c r="B75" s="1628" t="s">
        <v>490</v>
      </c>
      <c r="C75" s="1628"/>
      <c r="D75" s="1628"/>
      <c r="E75" s="1628"/>
      <c r="F75" s="1628"/>
      <c r="G75" s="1628"/>
      <c r="H75" s="1628"/>
      <c r="I75" s="1628"/>
      <c r="J75" s="1628"/>
      <c r="K75" s="1628"/>
      <c r="L75" s="1628"/>
      <c r="V75" s="55"/>
    </row>
    <row r="76" spans="1:53" ht="14.25" customHeight="1" x14ac:dyDescent="0.3">
      <c r="A76" s="24" t="s">
        <v>292</v>
      </c>
      <c r="B76" s="24" t="s">
        <v>461</v>
      </c>
    </row>
    <row r="77" spans="1:53" ht="18" customHeight="1" x14ac:dyDescent="0.3">
      <c r="A77" s="24" t="s">
        <v>294</v>
      </c>
      <c r="B77" s="24" t="s">
        <v>462</v>
      </c>
    </row>
    <row r="78" spans="1:53" ht="30" customHeight="1" x14ac:dyDescent="0.3">
      <c r="A78" s="24" t="s">
        <v>463</v>
      </c>
      <c r="B78" s="1635" t="s">
        <v>464</v>
      </c>
      <c r="C78" s="1635"/>
      <c r="D78" s="1635"/>
      <c r="E78" s="1635"/>
      <c r="F78" s="1635"/>
      <c r="G78" s="1635"/>
      <c r="H78" s="1635"/>
      <c r="I78" s="1635"/>
      <c r="J78" s="1635"/>
      <c r="K78" s="1635"/>
      <c r="L78" s="1635"/>
      <c r="M78" s="1635"/>
      <c r="N78" s="79"/>
      <c r="O78" s="79"/>
      <c r="P78" s="79"/>
      <c r="Q78" s="79"/>
      <c r="R78" s="79"/>
      <c r="S78" s="79"/>
      <c r="T78" s="79"/>
    </row>
    <row r="79" spans="1:53" ht="21.75" customHeight="1" x14ac:dyDescent="0.3">
      <c r="A79" s="24" t="s">
        <v>465</v>
      </c>
      <c r="B79" s="1636" t="s">
        <v>491</v>
      </c>
      <c r="C79" s="1636"/>
      <c r="D79" s="1636"/>
      <c r="E79" s="1636"/>
      <c r="F79" s="1636"/>
      <c r="G79" s="1636"/>
      <c r="H79" s="1636"/>
      <c r="I79" s="1636"/>
      <c r="J79" s="1636"/>
      <c r="K79" s="1636"/>
      <c r="L79" s="1636"/>
      <c r="M79" s="1636"/>
      <c r="N79" s="1636"/>
      <c r="O79" s="1636"/>
    </row>
    <row r="80" spans="1:53"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16">
    <mergeCell ref="B78:M78"/>
    <mergeCell ref="B79:O79"/>
    <mergeCell ref="G6:H6"/>
    <mergeCell ref="O6:P6"/>
    <mergeCell ref="AE6:AF6"/>
    <mergeCell ref="AM6:AN6"/>
    <mergeCell ref="BA6:BB6"/>
    <mergeCell ref="B75:L75"/>
    <mergeCell ref="G4:H4"/>
    <mergeCell ref="O4:P4"/>
    <mergeCell ref="AE4:AF4"/>
    <mergeCell ref="AM4:AN4"/>
    <mergeCell ref="G5:H5"/>
    <mergeCell ref="O5:P5"/>
    <mergeCell ref="AE5:AF5"/>
    <mergeCell ref="AM5:AN5"/>
  </mergeCells>
  <pageMargins left="0.25" right="0.25" top="0.75" bottom="0.75" header="0.3" footer="0.3"/>
  <pageSetup scale="39" fitToHeight="3"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F91" sqref="F91"/>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492</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C6:AD6"/>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0:C80"/>
    <mergeCell ref="E80:G80"/>
    <mergeCell ref="I80:K80"/>
    <mergeCell ref="M80:O80"/>
    <mergeCell ref="Q80:S80"/>
    <mergeCell ref="U80:W80"/>
    <mergeCell ref="Y80:AA80"/>
    <mergeCell ref="E71:G71"/>
    <mergeCell ref="I71:K71"/>
    <mergeCell ref="M71:O71"/>
    <mergeCell ref="Q71:S71"/>
    <mergeCell ref="U71:W71"/>
    <mergeCell ref="Y71:AA71"/>
    <mergeCell ref="BG5:BI5"/>
    <mergeCell ref="AC7:AD7"/>
    <mergeCell ref="E6:G6"/>
    <mergeCell ref="I6:K6"/>
    <mergeCell ref="M6:O6"/>
    <mergeCell ref="Q6:S6"/>
    <mergeCell ref="U6:W6"/>
    <mergeCell ref="Y6:AA6"/>
    <mergeCell ref="U54:V54"/>
    <mergeCell ref="Y54:Z54"/>
    <mergeCell ref="U68:V68"/>
    <mergeCell ref="Y68:Z68"/>
    <mergeCell ref="M79:O79"/>
    <mergeCell ref="Q79:S79"/>
    <mergeCell ref="U79:W79"/>
    <mergeCell ref="Y79:AA79"/>
    <mergeCell ref="A54:C54"/>
    <mergeCell ref="A59:C59"/>
    <mergeCell ref="A58:C58"/>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B2"/>
    <mergeCell ref="B4:C4"/>
    <mergeCell ref="E4:G4"/>
    <mergeCell ref="I4:K4"/>
    <mergeCell ref="M4:O4"/>
    <mergeCell ref="Q4:S4"/>
    <mergeCell ref="U4:W4"/>
    <mergeCell ref="Y4:AA4"/>
    <mergeCell ref="B5:C5"/>
    <mergeCell ref="A23:B23"/>
    <mergeCell ref="A24:B24"/>
    <mergeCell ref="A40:C40"/>
    <mergeCell ref="U40:V40"/>
    <mergeCell ref="Y40:Z40"/>
    <mergeCell ref="A42:C42"/>
    <mergeCell ref="A25:B25"/>
    <mergeCell ref="A26:B26"/>
    <mergeCell ref="A27:B27"/>
    <mergeCell ref="A28:B28"/>
    <mergeCell ref="A29:B29"/>
    <mergeCell ref="A30:B30"/>
    <mergeCell ref="A31:B31"/>
    <mergeCell ref="A32:B32"/>
    <mergeCell ref="A35:C35"/>
    <mergeCell ref="U72:W72"/>
    <mergeCell ref="Y72:AA72"/>
    <mergeCell ref="A74:C74"/>
    <mergeCell ref="A56:C56"/>
    <mergeCell ref="A57:C57"/>
    <mergeCell ref="A63:C63"/>
    <mergeCell ref="E63:G63"/>
    <mergeCell ref="I63:K63"/>
    <mergeCell ref="M63:O63"/>
    <mergeCell ref="Q63:S63"/>
    <mergeCell ref="U63:W63"/>
    <mergeCell ref="Y63:AA63"/>
    <mergeCell ref="E62:G62"/>
    <mergeCell ref="I62:K62"/>
    <mergeCell ref="M62:O62"/>
    <mergeCell ref="Q62:S62"/>
    <mergeCell ref="U62:W62"/>
    <mergeCell ref="Y62:AA62"/>
    <mergeCell ref="A68:C68"/>
    <mergeCell ref="A65:C65"/>
    <mergeCell ref="A66:B66"/>
    <mergeCell ref="A72:C72"/>
    <mergeCell ref="A75:C75"/>
    <mergeCell ref="E72:G72"/>
    <mergeCell ref="I72:K72"/>
    <mergeCell ref="M72:O72"/>
    <mergeCell ref="Q72:S72"/>
    <mergeCell ref="C66:C67"/>
    <mergeCell ref="A67:B67"/>
    <mergeCell ref="A43:B43"/>
    <mergeCell ref="A76:C76"/>
    <mergeCell ref="U77:V77"/>
    <mergeCell ref="Y77:Z77"/>
    <mergeCell ref="A7:C7"/>
    <mergeCell ref="A83:C83"/>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38:B38"/>
    <mergeCell ref="A39:B39"/>
  </mergeCells>
  <phoneticPr fontId="20" type="noConversion"/>
  <pageMargins left="0.25" right="0.25" top="0.75" bottom="0.75" header="0.3" footer="0.3"/>
  <pageSetup scale="40" fitToHeight="3" orientation="landscape"/>
  <headerFooter alignWithMargins="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3"/>
  <sheetViews>
    <sheetView view="pageBreakPreview" zoomScaleNormal="100" zoomScaleSheetLayoutView="100" workbookViewId="0">
      <selection activeCell="B52" sqref="B52:K52"/>
    </sheetView>
  </sheetViews>
  <sheetFormatPr defaultColWidth="8.7265625" defaultRowHeight="13" x14ac:dyDescent="0.25"/>
  <cols>
    <col min="1" max="1" width="2.816406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493</v>
      </c>
      <c r="C2" s="1367"/>
      <c r="D2" s="1013"/>
      <c r="E2" s="1013"/>
      <c r="F2" s="1013"/>
      <c r="G2" s="1013"/>
      <c r="H2" s="1027" t="s">
        <v>290</v>
      </c>
      <c r="I2" s="1372" t="s">
        <v>399</v>
      </c>
      <c r="J2" s="1373"/>
      <c r="K2" s="1373"/>
      <c r="L2" s="1373"/>
      <c r="M2" s="1374"/>
      <c r="N2" s="1013"/>
      <c r="O2" s="1016"/>
    </row>
    <row r="3" spans="1:15" ht="32.15"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494</v>
      </c>
      <c r="C8" s="886"/>
      <c r="D8" s="886"/>
      <c r="E8" s="886"/>
      <c r="F8" s="886"/>
      <c r="G8" s="886"/>
      <c r="H8" s="887">
        <v>0</v>
      </c>
      <c r="I8" s="887">
        <v>0</v>
      </c>
      <c r="J8" s="887">
        <v>0</v>
      </c>
      <c r="K8" s="887">
        <v>0</v>
      </c>
      <c r="L8" s="888">
        <f t="shared" ref="L8:L14" si="0">SUM(H8:K8)</f>
        <v>0</v>
      </c>
      <c r="M8" s="1371"/>
      <c r="N8" s="1013"/>
      <c r="O8" s="1016"/>
    </row>
    <row r="9" spans="1:15" x14ac:dyDescent="0.25">
      <c r="A9" s="1009"/>
      <c r="B9" s="885" t="s">
        <v>494</v>
      </c>
      <c r="C9" s="1161"/>
      <c r="D9" s="1161"/>
      <c r="E9" s="1161"/>
      <c r="F9" s="1161"/>
      <c r="G9" s="1161"/>
      <c r="H9" s="889">
        <v>0</v>
      </c>
      <c r="I9" s="889">
        <v>0</v>
      </c>
      <c r="J9" s="889">
        <v>0</v>
      </c>
      <c r="K9" s="889">
        <v>0</v>
      </c>
      <c r="L9" s="890">
        <f t="shared" si="0"/>
        <v>0</v>
      </c>
      <c r="M9" s="1371"/>
      <c r="N9" s="1013"/>
      <c r="O9" s="1016"/>
    </row>
    <row r="10" spans="1:15" x14ac:dyDescent="0.25">
      <c r="A10" s="1009"/>
      <c r="B10" s="885" t="s">
        <v>494</v>
      </c>
      <c r="C10" s="1161"/>
      <c r="D10" s="1161"/>
      <c r="E10" s="1161"/>
      <c r="F10" s="1161"/>
      <c r="G10" s="1161"/>
      <c r="H10" s="889">
        <v>0</v>
      </c>
      <c r="I10" s="889">
        <v>0</v>
      </c>
      <c r="J10" s="889">
        <v>0</v>
      </c>
      <c r="K10" s="889">
        <v>0</v>
      </c>
      <c r="L10" s="890">
        <f t="shared" si="0"/>
        <v>0</v>
      </c>
      <c r="M10" s="1371"/>
      <c r="N10" s="1013"/>
      <c r="O10" s="1016"/>
    </row>
    <row r="11" spans="1:15" x14ac:dyDescent="0.25">
      <c r="A11" s="1009"/>
      <c r="B11" s="885" t="s">
        <v>494</v>
      </c>
      <c r="C11" s="1161"/>
      <c r="D11" s="1161"/>
      <c r="E11" s="1161"/>
      <c r="F11" s="1161"/>
      <c r="G11" s="1161"/>
      <c r="H11" s="889">
        <v>0</v>
      </c>
      <c r="I11" s="889">
        <v>0</v>
      </c>
      <c r="J11" s="889">
        <v>0</v>
      </c>
      <c r="K11" s="889">
        <v>0</v>
      </c>
      <c r="L11" s="890">
        <f t="shared" si="0"/>
        <v>0</v>
      </c>
      <c r="M11" s="1371"/>
      <c r="N11" s="1013"/>
      <c r="O11" s="1016"/>
    </row>
    <row r="12" spans="1:15" x14ac:dyDescent="0.25">
      <c r="A12" s="1009"/>
      <c r="B12" s="885" t="s">
        <v>494</v>
      </c>
      <c r="C12" s="1161"/>
      <c r="D12" s="1161"/>
      <c r="E12" s="1161"/>
      <c r="F12" s="1161"/>
      <c r="G12" s="1161"/>
      <c r="H12" s="889">
        <v>0</v>
      </c>
      <c r="I12" s="889">
        <v>0</v>
      </c>
      <c r="J12" s="889">
        <v>0</v>
      </c>
      <c r="K12" s="889">
        <v>0</v>
      </c>
      <c r="L12" s="890">
        <f t="shared" si="0"/>
        <v>0</v>
      </c>
      <c r="M12" s="1371"/>
      <c r="N12" s="1013"/>
      <c r="O12" s="1016"/>
    </row>
    <row r="13" spans="1:15" x14ac:dyDescent="0.25">
      <c r="A13" s="1009"/>
      <c r="B13" s="885" t="s">
        <v>494</v>
      </c>
      <c r="C13" s="1161"/>
      <c r="D13" s="1161"/>
      <c r="E13" s="1161"/>
      <c r="F13" s="1161"/>
      <c r="G13" s="1161"/>
      <c r="H13" s="889">
        <v>0</v>
      </c>
      <c r="I13" s="889">
        <v>0</v>
      </c>
      <c r="J13" s="889">
        <v>0</v>
      </c>
      <c r="K13" s="889">
        <v>0</v>
      </c>
      <c r="L13" s="890">
        <f t="shared" si="0"/>
        <v>0</v>
      </c>
      <c r="M13" s="1371"/>
      <c r="N13" s="1013"/>
      <c r="O13" s="1016"/>
    </row>
    <row r="14" spans="1:15" ht="13.5" thickBot="1" x14ac:dyDescent="0.3">
      <c r="A14" s="1009"/>
      <c r="B14" s="1203" t="s">
        <v>494</v>
      </c>
      <c r="C14" s="891"/>
      <c r="D14" s="891"/>
      <c r="E14" s="891"/>
      <c r="F14" s="891"/>
      <c r="G14" s="891"/>
      <c r="H14" s="892">
        <v>0</v>
      </c>
      <c r="I14" s="892">
        <v>0</v>
      </c>
      <c r="J14" s="892">
        <v>0</v>
      </c>
      <c r="K14" s="892">
        <v>0</v>
      </c>
      <c r="L14" s="893">
        <f t="shared" si="0"/>
        <v>0</v>
      </c>
      <c r="M14" s="1371"/>
      <c r="N14" s="1013"/>
      <c r="O14" s="1016"/>
    </row>
    <row r="15" spans="1:15" ht="19" customHeight="1" thickBot="1" x14ac:dyDescent="0.3">
      <c r="A15" s="1009"/>
      <c r="B15" s="1381" t="s">
        <v>495</v>
      </c>
      <c r="C15" s="1382"/>
      <c r="D15" s="1382"/>
      <c r="E15" s="1382"/>
      <c r="F15" s="1382"/>
      <c r="G15" s="1382"/>
      <c r="H15" s="911">
        <f>SUM(H8:H14)</f>
        <v>0</v>
      </c>
      <c r="I15" s="911">
        <f>SUM(I8:I14)</f>
        <v>0</v>
      </c>
      <c r="J15" s="911">
        <f>SUM(J8:J14)</f>
        <v>0</v>
      </c>
      <c r="K15" s="912">
        <f>SUM(K8:K14)</f>
        <v>0</v>
      </c>
      <c r="L15" s="1013"/>
      <c r="M15" s="895">
        <f>SUM(H15:K15)</f>
        <v>0</v>
      </c>
      <c r="N15" s="1013"/>
      <c r="O15" s="1016"/>
    </row>
    <row r="16" spans="1:15" ht="13.5" thickBot="1" x14ac:dyDescent="0.3">
      <c r="A16" s="1009"/>
      <c r="B16" s="1371"/>
      <c r="C16" s="1371"/>
      <c r="D16" s="1371"/>
      <c r="E16" s="1371"/>
      <c r="F16" s="1371"/>
      <c r="G16" s="1371"/>
      <c r="H16" s="1371"/>
      <c r="I16" s="1371"/>
      <c r="J16" s="1371"/>
      <c r="K16" s="1371"/>
      <c r="L16" s="1371"/>
      <c r="M16" s="1371"/>
      <c r="N16" s="1013"/>
      <c r="O16" s="1016"/>
    </row>
    <row r="17" spans="1:15" x14ac:dyDescent="0.25">
      <c r="A17" s="1009"/>
      <c r="B17" s="925" t="s">
        <v>496</v>
      </c>
      <c r="C17" s="926"/>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496</v>
      </c>
      <c r="C18" s="927"/>
      <c r="D18" s="1161"/>
      <c r="E18" s="1161"/>
      <c r="F18" s="1161"/>
      <c r="G18" s="1161"/>
      <c r="H18" s="889">
        <v>0</v>
      </c>
      <c r="I18" s="889">
        <v>0</v>
      </c>
      <c r="J18" s="889">
        <v>0</v>
      </c>
      <c r="K18" s="902">
        <v>0</v>
      </c>
      <c r="L18" s="903">
        <f t="shared" si="1"/>
        <v>0</v>
      </c>
      <c r="M18" s="1371"/>
      <c r="N18" s="1013"/>
      <c r="O18" s="1016"/>
    </row>
    <row r="19" spans="1:15" x14ac:dyDescent="0.25">
      <c r="A19" s="1009"/>
      <c r="B19" s="901" t="s">
        <v>496</v>
      </c>
      <c r="C19" s="927"/>
      <c r="D19" s="1161"/>
      <c r="E19" s="1161"/>
      <c r="F19" s="1161"/>
      <c r="G19" s="1161"/>
      <c r="H19" s="889">
        <v>0</v>
      </c>
      <c r="I19" s="889">
        <v>0</v>
      </c>
      <c r="J19" s="889">
        <v>0</v>
      </c>
      <c r="K19" s="902">
        <v>0</v>
      </c>
      <c r="L19" s="903">
        <f t="shared" si="1"/>
        <v>0</v>
      </c>
      <c r="M19" s="1371"/>
      <c r="N19" s="1013"/>
      <c r="O19" s="1016"/>
    </row>
    <row r="20" spans="1:15" x14ac:dyDescent="0.25">
      <c r="A20" s="1009"/>
      <c r="B20" s="901" t="s">
        <v>496</v>
      </c>
      <c r="C20" s="927"/>
      <c r="D20" s="1161"/>
      <c r="E20" s="1161"/>
      <c r="F20" s="1161"/>
      <c r="G20" s="1161"/>
      <c r="H20" s="889">
        <v>0</v>
      </c>
      <c r="I20" s="889">
        <v>0</v>
      </c>
      <c r="J20" s="889">
        <v>0</v>
      </c>
      <c r="K20" s="902">
        <v>0</v>
      </c>
      <c r="L20" s="903">
        <f t="shared" si="1"/>
        <v>0</v>
      </c>
      <c r="M20" s="1371"/>
      <c r="N20" s="1013"/>
      <c r="O20" s="1016"/>
    </row>
    <row r="21" spans="1:15" x14ac:dyDescent="0.25">
      <c r="A21" s="1009"/>
      <c r="B21" s="901" t="s">
        <v>496</v>
      </c>
      <c r="C21" s="927"/>
      <c r="D21" s="1161"/>
      <c r="E21" s="1161"/>
      <c r="F21" s="1161"/>
      <c r="G21" s="1161"/>
      <c r="H21" s="889">
        <v>0</v>
      </c>
      <c r="I21" s="889">
        <v>0</v>
      </c>
      <c r="J21" s="889">
        <v>0</v>
      </c>
      <c r="K21" s="902">
        <v>0</v>
      </c>
      <c r="L21" s="903">
        <f t="shared" si="1"/>
        <v>0</v>
      </c>
      <c r="M21" s="1371"/>
      <c r="N21" s="1013"/>
      <c r="O21" s="1016"/>
    </row>
    <row r="22" spans="1:15" x14ac:dyDescent="0.25">
      <c r="A22" s="1009"/>
      <c r="B22" s="901" t="s">
        <v>496</v>
      </c>
      <c r="C22" s="927"/>
      <c r="D22" s="1161"/>
      <c r="E22" s="1161"/>
      <c r="F22" s="1161"/>
      <c r="G22" s="1161"/>
      <c r="H22" s="889">
        <v>0</v>
      </c>
      <c r="I22" s="889">
        <v>0</v>
      </c>
      <c r="J22" s="889">
        <v>0</v>
      </c>
      <c r="K22" s="902">
        <v>0</v>
      </c>
      <c r="L22" s="903">
        <f t="shared" si="1"/>
        <v>0</v>
      </c>
      <c r="M22" s="1371"/>
      <c r="N22" s="1013"/>
      <c r="O22" s="1016"/>
    </row>
    <row r="23" spans="1:15" ht="13.5" thickBot="1" x14ac:dyDescent="0.3">
      <c r="A23" s="1009"/>
      <c r="B23" s="928" t="s">
        <v>496</v>
      </c>
      <c r="C23" s="929"/>
      <c r="D23" s="891"/>
      <c r="E23" s="891"/>
      <c r="F23" s="891"/>
      <c r="G23" s="891"/>
      <c r="H23" s="892">
        <v>0</v>
      </c>
      <c r="I23" s="892">
        <v>0</v>
      </c>
      <c r="J23" s="892">
        <v>0</v>
      </c>
      <c r="K23" s="905">
        <v>0</v>
      </c>
      <c r="L23" s="906">
        <f t="shared" si="1"/>
        <v>0</v>
      </c>
      <c r="M23" s="1371"/>
      <c r="N23" s="1013"/>
      <c r="O23" s="1016"/>
    </row>
    <row r="24" spans="1:15" ht="17.5" customHeight="1" thickBot="1" x14ac:dyDescent="0.3">
      <c r="A24" s="1009"/>
      <c r="B24" s="1381" t="s">
        <v>497</v>
      </c>
      <c r="C24" s="1382"/>
      <c r="D24" s="1382"/>
      <c r="E24" s="1382"/>
      <c r="F24" s="1382"/>
      <c r="G24" s="1382"/>
      <c r="H24" s="911">
        <f>SUM(H17:H23)</f>
        <v>0</v>
      </c>
      <c r="I24" s="911">
        <f>SUM(I17:I23)</f>
        <v>0</v>
      </c>
      <c r="J24" s="911">
        <f>SUM(J17:J23)</f>
        <v>0</v>
      </c>
      <c r="K24" s="912">
        <f>SUM(K17:K23)</f>
        <v>0</v>
      </c>
      <c r="L24" s="1013"/>
      <c r="M24" s="895">
        <f>SUM(H24:K24)</f>
        <v>0</v>
      </c>
      <c r="N24" s="1013"/>
      <c r="O24" s="1016"/>
    </row>
    <row r="25" spans="1:15" ht="13.5" thickBot="1" x14ac:dyDescent="0.3">
      <c r="A25" s="1009"/>
      <c r="B25" s="1371"/>
      <c r="C25" s="1371"/>
      <c r="D25" s="1371"/>
      <c r="E25" s="1371"/>
      <c r="F25" s="1371"/>
      <c r="G25" s="1371"/>
      <c r="H25" s="1371"/>
      <c r="I25" s="1371"/>
      <c r="J25" s="1371"/>
      <c r="K25" s="1371"/>
      <c r="L25" s="1371"/>
      <c r="M25" s="1371"/>
      <c r="N25" s="1013"/>
      <c r="O25" s="1016"/>
    </row>
    <row r="26" spans="1:15" x14ac:dyDescent="0.25">
      <c r="A26" s="1009"/>
      <c r="B26" s="925" t="s">
        <v>498</v>
      </c>
      <c r="C26" s="897"/>
      <c r="D26" s="897"/>
      <c r="E26" s="897"/>
      <c r="F26" s="897"/>
      <c r="G26" s="897"/>
      <c r="H26" s="889">
        <v>0</v>
      </c>
      <c r="I26" s="889">
        <v>0</v>
      </c>
      <c r="J26" s="889">
        <v>0</v>
      </c>
      <c r="K26" s="889">
        <v>0</v>
      </c>
      <c r="L26" s="900">
        <f t="shared" ref="L26:L32" si="2">SUM(H26:K26)</f>
        <v>0</v>
      </c>
      <c r="M26" s="1371"/>
      <c r="N26" s="1013"/>
      <c r="O26" s="1016"/>
    </row>
    <row r="27" spans="1:15" x14ac:dyDescent="0.25">
      <c r="A27" s="1009"/>
      <c r="B27" s="901" t="s">
        <v>498</v>
      </c>
      <c r="C27" s="1161"/>
      <c r="D27" s="1161"/>
      <c r="E27" s="1161"/>
      <c r="F27" s="1161"/>
      <c r="G27" s="1161"/>
      <c r="H27" s="889">
        <v>0</v>
      </c>
      <c r="I27" s="889">
        <v>0</v>
      </c>
      <c r="J27" s="889">
        <v>0</v>
      </c>
      <c r="K27" s="889">
        <v>0</v>
      </c>
      <c r="L27" s="903">
        <f t="shared" si="2"/>
        <v>0</v>
      </c>
      <c r="M27" s="1371"/>
      <c r="N27" s="1013"/>
      <c r="O27" s="1016"/>
    </row>
    <row r="28" spans="1:15" x14ac:dyDescent="0.25">
      <c r="A28" s="1009"/>
      <c r="B28" s="901" t="s">
        <v>498</v>
      </c>
      <c r="C28" s="1161"/>
      <c r="D28" s="1161"/>
      <c r="E28" s="1161"/>
      <c r="F28" s="1161"/>
      <c r="G28" s="1161"/>
      <c r="H28" s="889">
        <v>0</v>
      </c>
      <c r="I28" s="889">
        <v>0</v>
      </c>
      <c r="J28" s="889">
        <v>0</v>
      </c>
      <c r="K28" s="889">
        <v>0</v>
      </c>
      <c r="L28" s="903">
        <f t="shared" si="2"/>
        <v>0</v>
      </c>
      <c r="M28" s="1371"/>
      <c r="N28" s="1013"/>
      <c r="O28" s="1016"/>
    </row>
    <row r="29" spans="1:15" x14ac:dyDescent="0.25">
      <c r="A29" s="1009"/>
      <c r="B29" s="901" t="s">
        <v>498</v>
      </c>
      <c r="C29" s="1161"/>
      <c r="D29" s="1161"/>
      <c r="E29" s="1161"/>
      <c r="F29" s="1161"/>
      <c r="G29" s="1161"/>
      <c r="H29" s="889">
        <v>0</v>
      </c>
      <c r="I29" s="889">
        <v>0</v>
      </c>
      <c r="J29" s="889">
        <v>0</v>
      </c>
      <c r="K29" s="889">
        <v>0</v>
      </c>
      <c r="L29" s="903">
        <f t="shared" si="2"/>
        <v>0</v>
      </c>
      <c r="M29" s="1371"/>
      <c r="N29" s="1013"/>
      <c r="O29" s="1016"/>
    </row>
    <row r="30" spans="1:15" x14ac:dyDescent="0.25">
      <c r="A30" s="1009"/>
      <c r="B30" s="901" t="s">
        <v>498</v>
      </c>
      <c r="C30" s="1161"/>
      <c r="D30" s="1161"/>
      <c r="E30" s="1161"/>
      <c r="F30" s="1161"/>
      <c r="G30" s="1161"/>
      <c r="H30" s="889">
        <v>0</v>
      </c>
      <c r="I30" s="889">
        <v>0</v>
      </c>
      <c r="J30" s="889">
        <v>0</v>
      </c>
      <c r="K30" s="889">
        <v>0</v>
      </c>
      <c r="L30" s="903">
        <f t="shared" si="2"/>
        <v>0</v>
      </c>
      <c r="M30" s="1371"/>
      <c r="N30" s="1013"/>
      <c r="O30" s="1016"/>
    </row>
    <row r="31" spans="1:15" x14ac:dyDescent="0.25">
      <c r="A31" s="1009"/>
      <c r="B31" s="901" t="s">
        <v>498</v>
      </c>
      <c r="C31" s="1161"/>
      <c r="D31" s="1161"/>
      <c r="E31" s="1161"/>
      <c r="F31" s="1161"/>
      <c r="G31" s="1161"/>
      <c r="H31" s="889">
        <v>0</v>
      </c>
      <c r="I31" s="889">
        <v>0</v>
      </c>
      <c r="J31" s="889">
        <v>0</v>
      </c>
      <c r="K31" s="889">
        <v>0</v>
      </c>
      <c r="L31" s="903">
        <f t="shared" si="2"/>
        <v>0</v>
      </c>
      <c r="M31" s="1371"/>
      <c r="N31" s="1013"/>
      <c r="O31" s="1016"/>
    </row>
    <row r="32" spans="1:15" ht="13.5" thickBot="1" x14ac:dyDescent="0.3">
      <c r="A32" s="1009"/>
      <c r="B32" s="928" t="s">
        <v>498</v>
      </c>
      <c r="C32" s="891"/>
      <c r="D32" s="891"/>
      <c r="E32" s="891"/>
      <c r="F32" s="891"/>
      <c r="G32" s="891"/>
      <c r="H32" s="892">
        <v>0</v>
      </c>
      <c r="I32" s="1029">
        <v>0</v>
      </c>
      <c r="J32" s="1029">
        <v>0</v>
      </c>
      <c r="K32" s="1030">
        <v>0</v>
      </c>
      <c r="L32" s="906">
        <f t="shared" si="2"/>
        <v>0</v>
      </c>
      <c r="M32" s="1371"/>
      <c r="N32" s="1013"/>
      <c r="O32" s="1016"/>
    </row>
    <row r="33" spans="1:15" ht="18" customHeight="1" thickBot="1" x14ac:dyDescent="0.3">
      <c r="A33" s="1009"/>
      <c r="B33" s="1381" t="s">
        <v>499</v>
      </c>
      <c r="C33" s="1382"/>
      <c r="D33" s="1382"/>
      <c r="E33" s="1382"/>
      <c r="F33" s="1382"/>
      <c r="G33" s="1382"/>
      <c r="H33" s="911">
        <f>SUM(H26:H32)</f>
        <v>0</v>
      </c>
      <c r="I33" s="911">
        <f>SUM(I26:I32)</f>
        <v>0</v>
      </c>
      <c r="J33" s="911">
        <f>SUM(J26:J32)</f>
        <v>0</v>
      </c>
      <c r="K33" s="912">
        <f>SUM(K26:K32)</f>
        <v>0</v>
      </c>
      <c r="L33" s="1013"/>
      <c r="M33" s="895">
        <f>SUM(H33:K33)</f>
        <v>0</v>
      </c>
      <c r="N33" s="1013"/>
      <c r="O33" s="1016"/>
    </row>
    <row r="34" spans="1:15" ht="13.5" thickBot="1" x14ac:dyDescent="0.3">
      <c r="A34" s="1009"/>
      <c r="B34" s="1371"/>
      <c r="C34" s="1371"/>
      <c r="D34" s="1371"/>
      <c r="E34" s="1371"/>
      <c r="F34" s="1371"/>
      <c r="G34" s="1371"/>
      <c r="H34" s="1371"/>
      <c r="I34" s="1371"/>
      <c r="J34" s="1371"/>
      <c r="K34" s="1371"/>
      <c r="L34" s="1371"/>
      <c r="M34" s="1371"/>
      <c r="N34" s="1013"/>
      <c r="O34" s="1016"/>
    </row>
    <row r="35" spans="1:15" x14ac:dyDescent="0.25">
      <c r="A35" s="1009"/>
      <c r="B35" s="925" t="s">
        <v>500</v>
      </c>
      <c r="C35" s="897"/>
      <c r="D35" s="897"/>
      <c r="E35" s="897"/>
      <c r="F35" s="897"/>
      <c r="G35" s="1031"/>
      <c r="H35" s="889">
        <v>0</v>
      </c>
      <c r="I35" s="889">
        <v>0</v>
      </c>
      <c r="J35" s="889">
        <v>0</v>
      </c>
      <c r="K35" s="889">
        <v>0</v>
      </c>
      <c r="L35" s="900">
        <f t="shared" ref="L35:L40" si="3">SUM(H35:K35)</f>
        <v>0</v>
      </c>
      <c r="M35" s="1371"/>
      <c r="N35" s="1013"/>
      <c r="O35" s="1016"/>
    </row>
    <row r="36" spans="1:15" x14ac:dyDescent="0.25">
      <c r="A36" s="1009"/>
      <c r="B36" s="901" t="s">
        <v>500</v>
      </c>
      <c r="C36" s="1161"/>
      <c r="D36" s="1161"/>
      <c r="E36" s="1161"/>
      <c r="F36" s="1161"/>
      <c r="G36" s="878"/>
      <c r="H36" s="889">
        <v>0</v>
      </c>
      <c r="I36" s="889">
        <v>0</v>
      </c>
      <c r="J36" s="889">
        <v>0</v>
      </c>
      <c r="K36" s="889">
        <v>0</v>
      </c>
      <c r="L36" s="903">
        <f t="shared" si="3"/>
        <v>0</v>
      </c>
      <c r="M36" s="1371"/>
      <c r="N36" s="1013"/>
      <c r="O36" s="1016"/>
    </row>
    <row r="37" spans="1:15" x14ac:dyDescent="0.25">
      <c r="A37" s="1009"/>
      <c r="B37" s="901" t="s">
        <v>500</v>
      </c>
      <c r="C37" s="1161"/>
      <c r="D37" s="1161"/>
      <c r="E37" s="1161"/>
      <c r="F37" s="1161"/>
      <c r="G37" s="878"/>
      <c r="H37" s="889">
        <v>0</v>
      </c>
      <c r="I37" s="889">
        <v>0</v>
      </c>
      <c r="J37" s="889">
        <v>0</v>
      </c>
      <c r="K37" s="889">
        <v>0</v>
      </c>
      <c r="L37" s="903">
        <f t="shared" si="3"/>
        <v>0</v>
      </c>
      <c r="M37" s="1371"/>
      <c r="N37" s="1013"/>
      <c r="O37" s="1016"/>
    </row>
    <row r="38" spans="1:15" x14ac:dyDescent="0.25">
      <c r="A38" s="1009"/>
      <c r="B38" s="901" t="s">
        <v>500</v>
      </c>
      <c r="C38" s="1161"/>
      <c r="D38" s="1161"/>
      <c r="E38" s="1161"/>
      <c r="F38" s="1161"/>
      <c r="G38" s="878"/>
      <c r="H38" s="889">
        <v>0</v>
      </c>
      <c r="I38" s="889">
        <v>0</v>
      </c>
      <c r="J38" s="889">
        <v>0</v>
      </c>
      <c r="K38" s="889">
        <v>0</v>
      </c>
      <c r="L38" s="903">
        <f t="shared" si="3"/>
        <v>0</v>
      </c>
      <c r="M38" s="1371"/>
      <c r="N38" s="1013"/>
      <c r="O38" s="1016"/>
    </row>
    <row r="39" spans="1:15" x14ac:dyDescent="0.25">
      <c r="A39" s="1009"/>
      <c r="B39" s="901" t="s">
        <v>500</v>
      </c>
      <c r="C39" s="1161"/>
      <c r="D39" s="1161"/>
      <c r="E39" s="1161"/>
      <c r="F39" s="1161"/>
      <c r="G39" s="878"/>
      <c r="H39" s="889">
        <v>0</v>
      </c>
      <c r="I39" s="889">
        <v>0</v>
      </c>
      <c r="J39" s="889">
        <v>0</v>
      </c>
      <c r="K39" s="889">
        <v>0</v>
      </c>
      <c r="L39" s="903">
        <f t="shared" si="3"/>
        <v>0</v>
      </c>
      <c r="M39" s="1371"/>
      <c r="N39" s="1013"/>
      <c r="O39" s="1016"/>
    </row>
    <row r="40" spans="1:15" ht="13.5" thickBot="1" x14ac:dyDescent="0.3">
      <c r="A40" s="1009"/>
      <c r="B40" s="928" t="s">
        <v>500</v>
      </c>
      <c r="C40" s="891"/>
      <c r="D40" s="891"/>
      <c r="E40" s="891"/>
      <c r="F40" s="891"/>
      <c r="G40" s="1032"/>
      <c r="H40" s="892">
        <v>0</v>
      </c>
      <c r="I40" s="892">
        <v>0</v>
      </c>
      <c r="J40" s="892">
        <v>0</v>
      </c>
      <c r="K40" s="892">
        <v>0</v>
      </c>
      <c r="L40" s="906">
        <f t="shared" si="3"/>
        <v>0</v>
      </c>
      <c r="M40" s="1371"/>
      <c r="N40" s="1013"/>
      <c r="O40" s="1016"/>
    </row>
    <row r="41" spans="1:15" ht="18" customHeight="1" thickBot="1" x14ac:dyDescent="0.3">
      <c r="A41" s="1009"/>
      <c r="B41" s="1381" t="s">
        <v>501</v>
      </c>
      <c r="C41" s="1382"/>
      <c r="D41" s="1382"/>
      <c r="E41" s="1382"/>
      <c r="F41" s="1382"/>
      <c r="G41" s="1382"/>
      <c r="H41" s="911">
        <f>SUM(H35:H40)</f>
        <v>0</v>
      </c>
      <c r="I41" s="911">
        <f>SUM(I35:I40)</f>
        <v>0</v>
      </c>
      <c r="J41" s="911">
        <f>SUM(J35:J40)</f>
        <v>0</v>
      </c>
      <c r="K41" s="912">
        <f>SUM(K35:K40)</f>
        <v>0</v>
      </c>
      <c r="L41" s="1013"/>
      <c r="M41" s="895">
        <f>SUM(H41:K41)</f>
        <v>0</v>
      </c>
      <c r="N41" s="1013"/>
      <c r="O41" s="1016"/>
    </row>
    <row r="42" spans="1:15" ht="13.5" thickBot="1" x14ac:dyDescent="0.3">
      <c r="A42" s="1009"/>
      <c r="B42" s="1371"/>
      <c r="C42" s="1371"/>
      <c r="D42" s="1371"/>
      <c r="E42" s="1371"/>
      <c r="F42" s="1371"/>
      <c r="G42" s="1371"/>
      <c r="H42" s="1371"/>
      <c r="I42" s="1371"/>
      <c r="J42" s="1371"/>
      <c r="K42" s="1371"/>
      <c r="L42" s="1371"/>
      <c r="M42" s="1371"/>
      <c r="N42" s="1013"/>
      <c r="O42" s="1016"/>
    </row>
    <row r="43" spans="1:15" x14ac:dyDescent="0.25">
      <c r="A43" s="1009"/>
      <c r="B43" s="925" t="s">
        <v>502</v>
      </c>
      <c r="C43" s="897"/>
      <c r="D43" s="897"/>
      <c r="E43" s="897"/>
      <c r="F43" s="897"/>
      <c r="G43" s="897"/>
      <c r="H43" s="899">
        <v>0</v>
      </c>
      <c r="I43" s="899">
        <v>0</v>
      </c>
      <c r="J43" s="899">
        <v>0</v>
      </c>
      <c r="K43" s="899">
        <v>0</v>
      </c>
      <c r="L43" s="900">
        <f t="shared" ref="L43:L51" si="4">SUM(H43:K43)</f>
        <v>0</v>
      </c>
      <c r="M43" s="1371"/>
      <c r="N43" s="1013"/>
      <c r="O43" s="1016"/>
    </row>
    <row r="44" spans="1:15" x14ac:dyDescent="0.25">
      <c r="A44" s="1009"/>
      <c r="B44" s="901" t="s">
        <v>502</v>
      </c>
      <c r="C44" s="1161"/>
      <c r="D44" s="1161"/>
      <c r="E44" s="1161"/>
      <c r="F44" s="1161"/>
      <c r="G44" s="878"/>
      <c r="H44" s="889">
        <v>0</v>
      </c>
      <c r="I44" s="889">
        <v>0</v>
      </c>
      <c r="J44" s="889">
        <v>0</v>
      </c>
      <c r="K44" s="889">
        <v>0</v>
      </c>
      <c r="L44" s="903">
        <f t="shared" si="4"/>
        <v>0</v>
      </c>
      <c r="M44" s="1371"/>
      <c r="N44" s="1013"/>
      <c r="O44" s="1016"/>
    </row>
    <row r="45" spans="1:15" x14ac:dyDescent="0.25">
      <c r="A45" s="1009"/>
      <c r="B45" s="901" t="s">
        <v>502</v>
      </c>
      <c r="C45" s="1161"/>
      <c r="D45" s="1161"/>
      <c r="E45" s="1161"/>
      <c r="F45" s="1161"/>
      <c r="G45" s="878"/>
      <c r="H45" s="889">
        <v>0</v>
      </c>
      <c r="I45" s="889">
        <v>0</v>
      </c>
      <c r="J45" s="889">
        <v>0</v>
      </c>
      <c r="K45" s="889">
        <v>0</v>
      </c>
      <c r="L45" s="903">
        <f t="shared" si="4"/>
        <v>0</v>
      </c>
      <c r="M45" s="1371"/>
      <c r="N45" s="1013"/>
      <c r="O45" s="1016"/>
    </row>
    <row r="46" spans="1:15" x14ac:dyDescent="0.25">
      <c r="A46" s="1009"/>
      <c r="B46" s="901" t="s">
        <v>502</v>
      </c>
      <c r="C46" s="1161"/>
      <c r="D46" s="1161"/>
      <c r="E46" s="1161"/>
      <c r="F46" s="1161"/>
      <c r="G46" s="878"/>
      <c r="H46" s="889">
        <v>0</v>
      </c>
      <c r="I46" s="889">
        <v>0</v>
      </c>
      <c r="J46" s="889">
        <v>0</v>
      </c>
      <c r="K46" s="889">
        <v>0</v>
      </c>
      <c r="L46" s="903">
        <f t="shared" si="4"/>
        <v>0</v>
      </c>
      <c r="M46" s="1371"/>
      <c r="N46" s="1013"/>
      <c r="O46" s="1016"/>
    </row>
    <row r="47" spans="1:15" x14ac:dyDescent="0.25">
      <c r="A47" s="1009"/>
      <c r="B47" s="901" t="s">
        <v>502</v>
      </c>
      <c r="C47" s="1161"/>
      <c r="D47" s="1161"/>
      <c r="E47" s="1161"/>
      <c r="F47" s="1161"/>
      <c r="G47" s="878"/>
      <c r="H47" s="889">
        <v>0</v>
      </c>
      <c r="I47" s="889">
        <v>0</v>
      </c>
      <c r="J47" s="889">
        <v>0</v>
      </c>
      <c r="K47" s="889">
        <v>0</v>
      </c>
      <c r="L47" s="903">
        <f t="shared" si="4"/>
        <v>0</v>
      </c>
      <c r="M47" s="1371"/>
      <c r="N47" s="1013"/>
      <c r="O47" s="1016"/>
    </row>
    <row r="48" spans="1:15" x14ac:dyDescent="0.25">
      <c r="A48" s="1009"/>
      <c r="B48" s="901" t="s">
        <v>502</v>
      </c>
      <c r="C48" s="1161"/>
      <c r="D48" s="1161"/>
      <c r="E48" s="1161"/>
      <c r="F48" s="1161"/>
      <c r="G48" s="878"/>
      <c r="H48" s="889">
        <v>0</v>
      </c>
      <c r="I48" s="889">
        <v>0</v>
      </c>
      <c r="J48" s="889">
        <v>0</v>
      </c>
      <c r="K48" s="889">
        <v>0</v>
      </c>
      <c r="L48" s="903">
        <f t="shared" si="4"/>
        <v>0</v>
      </c>
      <c r="M48" s="1371"/>
      <c r="N48" s="1013"/>
      <c r="O48" s="1016"/>
    </row>
    <row r="49" spans="1:15" x14ac:dyDescent="0.25">
      <c r="A49" s="1009"/>
      <c r="B49" s="901" t="s">
        <v>502</v>
      </c>
      <c r="C49" s="1161"/>
      <c r="D49" s="1161"/>
      <c r="E49" s="1161"/>
      <c r="F49" s="1161"/>
      <c r="G49" s="878"/>
      <c r="H49" s="889">
        <v>0</v>
      </c>
      <c r="I49" s="889">
        <v>0</v>
      </c>
      <c r="J49" s="889">
        <v>0</v>
      </c>
      <c r="K49" s="889">
        <v>0</v>
      </c>
      <c r="L49" s="903">
        <f t="shared" si="4"/>
        <v>0</v>
      </c>
      <c r="M49" s="1371"/>
      <c r="N49" s="1013"/>
      <c r="O49" s="1016"/>
    </row>
    <row r="50" spans="1:15" x14ac:dyDescent="0.25">
      <c r="A50" s="1009"/>
      <c r="B50" s="901" t="s">
        <v>502</v>
      </c>
      <c r="C50" s="1161"/>
      <c r="D50" s="1161"/>
      <c r="E50" s="1161"/>
      <c r="F50" s="1161"/>
      <c r="G50" s="878"/>
      <c r="H50" s="889">
        <v>0</v>
      </c>
      <c r="I50" s="889">
        <v>0</v>
      </c>
      <c r="J50" s="889">
        <v>0</v>
      </c>
      <c r="K50" s="889">
        <v>0</v>
      </c>
      <c r="L50" s="903">
        <f t="shared" si="4"/>
        <v>0</v>
      </c>
      <c r="M50" s="1371"/>
      <c r="N50" s="1013"/>
      <c r="O50" s="1016"/>
    </row>
    <row r="51" spans="1:15" ht="13.5" thickBot="1" x14ac:dyDescent="0.3">
      <c r="A51" s="1009"/>
      <c r="B51" s="928" t="s">
        <v>502</v>
      </c>
      <c r="C51" s="891"/>
      <c r="D51" s="891"/>
      <c r="E51" s="891"/>
      <c r="F51" s="891"/>
      <c r="G51" s="1032"/>
      <c r="H51" s="892">
        <v>0</v>
      </c>
      <c r="I51" s="892">
        <v>0</v>
      </c>
      <c r="J51" s="892">
        <v>0</v>
      </c>
      <c r="K51" s="892">
        <v>0</v>
      </c>
      <c r="L51" s="906">
        <f t="shared" si="4"/>
        <v>0</v>
      </c>
      <c r="M51" s="1371"/>
      <c r="N51" s="1013"/>
      <c r="O51" s="1016"/>
    </row>
    <row r="52" spans="1:15" ht="20.5" customHeight="1" thickBot="1" x14ac:dyDescent="0.3">
      <c r="A52" s="1009"/>
      <c r="B52" s="1381" t="s">
        <v>503</v>
      </c>
      <c r="C52" s="1382"/>
      <c r="D52" s="1382"/>
      <c r="E52" s="1382"/>
      <c r="F52" s="1382"/>
      <c r="G52" s="1382"/>
      <c r="H52" s="911">
        <f>SUM(H43:H51)</f>
        <v>0</v>
      </c>
      <c r="I52" s="911">
        <f>SUM(I43:I51)</f>
        <v>0</v>
      </c>
      <c r="J52" s="911">
        <f>SUM(J43:J51)</f>
        <v>0</v>
      </c>
      <c r="K52" s="912">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504</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505</v>
      </c>
    </row>
    <row r="57" spans="1:15" ht="25.5" customHeight="1" thickBot="1" x14ac:dyDescent="0.3">
      <c r="A57" s="1011"/>
      <c r="B57" s="1014"/>
      <c r="C57" s="1014"/>
      <c r="D57" s="1014"/>
      <c r="E57" s="1014"/>
      <c r="F57" s="1014"/>
      <c r="G57" s="1014"/>
      <c r="H57" s="1014"/>
      <c r="I57" s="1014"/>
      <c r="J57" s="1014"/>
      <c r="K57" s="1015"/>
      <c r="L57" s="1014"/>
      <c r="M57" s="1014"/>
      <c r="N57" s="1014"/>
      <c r="O57" s="922">
        <f>'Phase 3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16:M16"/>
    <mergeCell ref="B52:G52"/>
    <mergeCell ref="L52:L54"/>
    <mergeCell ref="B54:G54"/>
    <mergeCell ref="M17:M23"/>
    <mergeCell ref="B24:G24"/>
    <mergeCell ref="B25:M25"/>
    <mergeCell ref="M26:M32"/>
    <mergeCell ref="B33:G33"/>
    <mergeCell ref="B34:M34"/>
    <mergeCell ref="M35:M40"/>
    <mergeCell ref="B41:G41"/>
    <mergeCell ref="B42:M42"/>
    <mergeCell ref="M43:M51"/>
    <mergeCell ref="B15:G15"/>
    <mergeCell ref="B2:C2"/>
    <mergeCell ref="I2:M4"/>
    <mergeCell ref="B6:C6"/>
    <mergeCell ref="H6:K6"/>
    <mergeCell ref="M8:M14"/>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506</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C6:AD6"/>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M6:O6"/>
    <mergeCell ref="Q6:S6"/>
    <mergeCell ref="U6:W6"/>
    <mergeCell ref="Y6:AA6"/>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A2:B2"/>
    <mergeCell ref="B4:C4"/>
    <mergeCell ref="E4:G4"/>
    <mergeCell ref="I4:K4"/>
    <mergeCell ref="M4:O4"/>
    <mergeCell ref="Q4:S4"/>
    <mergeCell ref="U4:W4"/>
    <mergeCell ref="Y4:AA4"/>
    <mergeCell ref="B5:C5"/>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40" fitToHeight="3"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3"/>
  <sheetViews>
    <sheetView view="pageBreakPreview" zoomScaleNormal="100" zoomScaleSheetLayoutView="100" workbookViewId="0">
      <selection activeCell="B52" sqref="B52:K52"/>
    </sheetView>
  </sheetViews>
  <sheetFormatPr defaultColWidth="8.7265625" defaultRowHeight="13" x14ac:dyDescent="0.25"/>
  <cols>
    <col min="1" max="1" width="3.269531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507</v>
      </c>
      <c r="C2" s="1367"/>
      <c r="D2" s="1013"/>
      <c r="E2" s="1013"/>
      <c r="F2" s="1013"/>
      <c r="G2" s="1013"/>
      <c r="H2" s="1027" t="s">
        <v>290</v>
      </c>
      <c r="I2" s="1372" t="s">
        <v>399</v>
      </c>
      <c r="J2" s="1373"/>
      <c r="K2" s="1373"/>
      <c r="L2" s="1373"/>
      <c r="M2" s="1374"/>
      <c r="N2" s="1013"/>
      <c r="O2" s="1016"/>
    </row>
    <row r="3" spans="1:15" ht="32.15"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1036" t="s">
        <v>405</v>
      </c>
      <c r="I7" s="1036" t="s">
        <v>406</v>
      </c>
      <c r="J7" s="1036" t="s">
        <v>407</v>
      </c>
      <c r="K7" s="1036" t="s">
        <v>408</v>
      </c>
      <c r="L7" s="883" t="s">
        <v>409</v>
      </c>
      <c r="M7" s="884" t="s">
        <v>410</v>
      </c>
      <c r="N7" s="1013"/>
      <c r="O7" s="1016"/>
    </row>
    <row r="8" spans="1:15" x14ac:dyDescent="0.25">
      <c r="A8" s="1009"/>
      <c r="B8" s="885" t="s">
        <v>508</v>
      </c>
      <c r="C8" s="886"/>
      <c r="D8" s="886"/>
      <c r="E8" s="886"/>
      <c r="F8" s="886"/>
      <c r="G8" s="1034"/>
      <c r="H8" s="889">
        <v>0</v>
      </c>
      <c r="I8" s="889">
        <v>0</v>
      </c>
      <c r="J8" s="889">
        <v>0</v>
      </c>
      <c r="K8" s="889">
        <v>0</v>
      </c>
      <c r="L8" s="1035">
        <f t="shared" ref="L8:L14" si="0">SUM(H8:K8)</f>
        <v>0</v>
      </c>
      <c r="M8" s="1371"/>
      <c r="N8" s="1013"/>
      <c r="O8" s="1016"/>
    </row>
    <row r="9" spans="1:15" x14ac:dyDescent="0.25">
      <c r="A9" s="1009"/>
      <c r="B9" s="885" t="s">
        <v>508</v>
      </c>
      <c r="C9" s="1161"/>
      <c r="D9" s="1161"/>
      <c r="E9" s="1161"/>
      <c r="F9" s="1161"/>
      <c r="G9" s="878"/>
      <c r="H9" s="889">
        <v>0</v>
      </c>
      <c r="I9" s="889">
        <v>0</v>
      </c>
      <c r="J9" s="889">
        <v>0</v>
      </c>
      <c r="K9" s="889">
        <v>0</v>
      </c>
      <c r="L9" s="903">
        <f t="shared" si="0"/>
        <v>0</v>
      </c>
      <c r="M9" s="1371"/>
      <c r="N9" s="1013"/>
      <c r="O9" s="1016"/>
    </row>
    <row r="10" spans="1:15" x14ac:dyDescent="0.25">
      <c r="A10" s="1009"/>
      <c r="B10" s="885" t="s">
        <v>508</v>
      </c>
      <c r="C10" s="1161"/>
      <c r="D10" s="1161"/>
      <c r="E10" s="1161"/>
      <c r="F10" s="1161"/>
      <c r="G10" s="878"/>
      <c r="H10" s="889">
        <v>0</v>
      </c>
      <c r="I10" s="889">
        <v>0</v>
      </c>
      <c r="J10" s="889">
        <v>0</v>
      </c>
      <c r="K10" s="889">
        <v>0</v>
      </c>
      <c r="L10" s="903">
        <f t="shared" si="0"/>
        <v>0</v>
      </c>
      <c r="M10" s="1371"/>
      <c r="N10" s="1013"/>
      <c r="O10" s="1016"/>
    </row>
    <row r="11" spans="1:15" x14ac:dyDescent="0.25">
      <c r="A11" s="1009"/>
      <c r="B11" s="885" t="s">
        <v>508</v>
      </c>
      <c r="C11" s="1161"/>
      <c r="D11" s="1161"/>
      <c r="E11" s="1161"/>
      <c r="F11" s="1161"/>
      <c r="G11" s="878"/>
      <c r="H11" s="889">
        <v>0</v>
      </c>
      <c r="I11" s="889">
        <v>0</v>
      </c>
      <c r="J11" s="889">
        <v>0</v>
      </c>
      <c r="K11" s="889">
        <v>0</v>
      </c>
      <c r="L11" s="903">
        <f t="shared" si="0"/>
        <v>0</v>
      </c>
      <c r="M11" s="1371"/>
      <c r="N11" s="1013"/>
      <c r="O11" s="1016"/>
    </row>
    <row r="12" spans="1:15" x14ac:dyDescent="0.25">
      <c r="A12" s="1009"/>
      <c r="B12" s="885" t="s">
        <v>508</v>
      </c>
      <c r="C12" s="1161"/>
      <c r="D12" s="1161"/>
      <c r="E12" s="1161"/>
      <c r="F12" s="1161"/>
      <c r="G12" s="878"/>
      <c r="H12" s="889">
        <v>0</v>
      </c>
      <c r="I12" s="889">
        <v>0</v>
      </c>
      <c r="J12" s="889">
        <v>0</v>
      </c>
      <c r="K12" s="889">
        <v>0</v>
      </c>
      <c r="L12" s="903">
        <f t="shared" si="0"/>
        <v>0</v>
      </c>
      <c r="M12" s="1371"/>
      <c r="N12" s="1013"/>
      <c r="O12" s="1016"/>
    </row>
    <row r="13" spans="1:15" x14ac:dyDescent="0.25">
      <c r="A13" s="1009"/>
      <c r="B13" s="885" t="s">
        <v>508</v>
      </c>
      <c r="C13" s="1161"/>
      <c r="D13" s="1161"/>
      <c r="E13" s="1161"/>
      <c r="F13" s="1161"/>
      <c r="G13" s="878"/>
      <c r="H13" s="889">
        <v>0</v>
      </c>
      <c r="I13" s="889">
        <v>0</v>
      </c>
      <c r="J13" s="889">
        <v>0</v>
      </c>
      <c r="K13" s="889">
        <v>0</v>
      </c>
      <c r="L13" s="903">
        <f t="shared" si="0"/>
        <v>0</v>
      </c>
      <c r="M13" s="1371"/>
      <c r="N13" s="1013"/>
      <c r="O13" s="1016"/>
    </row>
    <row r="14" spans="1:15" ht="13.5" thickBot="1" x14ac:dyDescent="0.3">
      <c r="A14" s="1009"/>
      <c r="B14" s="1203" t="s">
        <v>508</v>
      </c>
      <c r="C14" s="891"/>
      <c r="D14" s="891"/>
      <c r="E14" s="891"/>
      <c r="F14" s="891"/>
      <c r="G14" s="1032"/>
      <c r="H14" s="892">
        <v>0</v>
      </c>
      <c r="I14" s="892">
        <v>0</v>
      </c>
      <c r="J14" s="892">
        <v>0</v>
      </c>
      <c r="K14" s="892">
        <v>0</v>
      </c>
      <c r="L14" s="906">
        <f t="shared" si="0"/>
        <v>0</v>
      </c>
      <c r="M14" s="1371"/>
      <c r="N14" s="1013"/>
      <c r="O14" s="1016"/>
    </row>
    <row r="15" spans="1:15" ht="19" customHeight="1" thickBot="1" x14ac:dyDescent="0.3">
      <c r="A15" s="1009"/>
      <c r="B15" s="1381" t="s">
        <v>509</v>
      </c>
      <c r="C15" s="1382"/>
      <c r="D15" s="1382"/>
      <c r="E15" s="1382"/>
      <c r="F15" s="1382"/>
      <c r="G15" s="1382"/>
      <c r="H15" s="911">
        <f>SUM(H8:H14)</f>
        <v>0</v>
      </c>
      <c r="I15" s="911">
        <f>SUM(I8:I14)</f>
        <v>0</v>
      </c>
      <c r="J15" s="911">
        <f>SUM(J8:J14)</f>
        <v>0</v>
      </c>
      <c r="K15" s="912">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510</v>
      </c>
      <c r="C17" s="897"/>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510</v>
      </c>
      <c r="C18" s="1161"/>
      <c r="D18" s="1161"/>
      <c r="E18" s="1161"/>
      <c r="F18" s="1161"/>
      <c r="G18" s="1161"/>
      <c r="H18" s="889">
        <v>0</v>
      </c>
      <c r="I18" s="889">
        <v>0</v>
      </c>
      <c r="J18" s="889">
        <v>0</v>
      </c>
      <c r="K18" s="902">
        <v>0</v>
      </c>
      <c r="L18" s="903">
        <f t="shared" si="1"/>
        <v>0</v>
      </c>
      <c r="M18" s="1371"/>
      <c r="N18" s="1013"/>
      <c r="O18" s="1016"/>
    </row>
    <row r="19" spans="1:15" x14ac:dyDescent="0.25">
      <c r="A19" s="1009"/>
      <c r="B19" s="901" t="s">
        <v>510</v>
      </c>
      <c r="C19" s="1161"/>
      <c r="D19" s="1161"/>
      <c r="E19" s="1161"/>
      <c r="F19" s="1161"/>
      <c r="G19" s="1161"/>
      <c r="H19" s="889">
        <v>0</v>
      </c>
      <c r="I19" s="889">
        <v>0</v>
      </c>
      <c r="J19" s="889">
        <v>0</v>
      </c>
      <c r="K19" s="902">
        <v>0</v>
      </c>
      <c r="L19" s="903">
        <f t="shared" si="1"/>
        <v>0</v>
      </c>
      <c r="M19" s="1371"/>
      <c r="N19" s="1013"/>
      <c r="O19" s="1016"/>
    </row>
    <row r="20" spans="1:15" x14ac:dyDescent="0.25">
      <c r="A20" s="1009"/>
      <c r="B20" s="901" t="s">
        <v>510</v>
      </c>
      <c r="C20" s="1161"/>
      <c r="D20" s="1161"/>
      <c r="E20" s="1161"/>
      <c r="F20" s="1161"/>
      <c r="G20" s="1161"/>
      <c r="H20" s="889">
        <v>0</v>
      </c>
      <c r="I20" s="889">
        <v>0</v>
      </c>
      <c r="J20" s="889">
        <v>0</v>
      </c>
      <c r="K20" s="902">
        <v>0</v>
      </c>
      <c r="L20" s="903">
        <f t="shared" si="1"/>
        <v>0</v>
      </c>
      <c r="M20" s="1371"/>
      <c r="N20" s="1013"/>
      <c r="O20" s="1016"/>
    </row>
    <row r="21" spans="1:15" x14ac:dyDescent="0.25">
      <c r="A21" s="1009"/>
      <c r="B21" s="901" t="s">
        <v>510</v>
      </c>
      <c r="C21" s="1161"/>
      <c r="D21" s="1161"/>
      <c r="E21" s="1161"/>
      <c r="F21" s="1161"/>
      <c r="G21" s="1161"/>
      <c r="H21" s="889">
        <v>0</v>
      </c>
      <c r="I21" s="889">
        <v>0</v>
      </c>
      <c r="J21" s="889">
        <v>0</v>
      </c>
      <c r="K21" s="902">
        <v>0</v>
      </c>
      <c r="L21" s="903">
        <f t="shared" si="1"/>
        <v>0</v>
      </c>
      <c r="M21" s="1371"/>
      <c r="N21" s="1013"/>
      <c r="O21" s="1016"/>
    </row>
    <row r="22" spans="1:15" x14ac:dyDescent="0.25">
      <c r="A22" s="1009"/>
      <c r="B22" s="901" t="s">
        <v>510</v>
      </c>
      <c r="C22" s="1161"/>
      <c r="D22" s="1161"/>
      <c r="E22" s="1161"/>
      <c r="F22" s="1161"/>
      <c r="G22" s="1161"/>
      <c r="H22" s="889">
        <v>0</v>
      </c>
      <c r="I22" s="889">
        <v>0</v>
      </c>
      <c r="J22" s="889">
        <v>0</v>
      </c>
      <c r="K22" s="902">
        <v>0</v>
      </c>
      <c r="L22" s="903">
        <f t="shared" si="1"/>
        <v>0</v>
      </c>
      <c r="M22" s="1371"/>
      <c r="N22" s="1013"/>
      <c r="O22" s="1016"/>
    </row>
    <row r="23" spans="1:15" ht="13.5" thickBot="1" x14ac:dyDescent="0.3">
      <c r="A23" s="1009"/>
      <c r="B23" s="928" t="s">
        <v>510</v>
      </c>
      <c r="C23" s="891"/>
      <c r="D23" s="891"/>
      <c r="E23" s="891"/>
      <c r="F23" s="891"/>
      <c r="G23" s="891"/>
      <c r="H23" s="892">
        <v>0</v>
      </c>
      <c r="I23" s="892">
        <v>0</v>
      </c>
      <c r="J23" s="892">
        <v>0</v>
      </c>
      <c r="K23" s="905">
        <v>0</v>
      </c>
      <c r="L23" s="906">
        <f t="shared" si="1"/>
        <v>0</v>
      </c>
      <c r="M23" s="1371"/>
      <c r="N23" s="1013"/>
      <c r="O23" s="1016"/>
    </row>
    <row r="24" spans="1:15" ht="17.5" customHeight="1" thickBot="1" x14ac:dyDescent="0.3">
      <c r="A24" s="1009"/>
      <c r="B24" s="1381" t="s">
        <v>511</v>
      </c>
      <c r="C24" s="1382"/>
      <c r="D24" s="1382"/>
      <c r="E24" s="1382"/>
      <c r="F24" s="1382"/>
      <c r="G24" s="1382"/>
      <c r="H24" s="911">
        <f>SUM(H17:H23)</f>
        <v>0</v>
      </c>
      <c r="I24" s="911">
        <f>SUM(I17:I23)</f>
        <v>0</v>
      </c>
      <c r="J24" s="911">
        <f>SUM(J17:J23)</f>
        <v>0</v>
      </c>
      <c r="K24" s="912">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512</v>
      </c>
      <c r="C26" s="897"/>
      <c r="D26" s="897"/>
      <c r="E26" s="897"/>
      <c r="F26" s="897"/>
      <c r="G26" s="1031"/>
      <c r="H26" s="889">
        <v>0</v>
      </c>
      <c r="I26" s="889">
        <v>0</v>
      </c>
      <c r="J26" s="889">
        <v>0</v>
      </c>
      <c r="K26" s="889">
        <v>0</v>
      </c>
      <c r="L26" s="900">
        <f t="shared" ref="L26:L32" si="2">SUM(H26:K26)</f>
        <v>0</v>
      </c>
      <c r="M26" s="1371"/>
      <c r="N26" s="1013"/>
      <c r="O26" s="1016"/>
    </row>
    <row r="27" spans="1:15" x14ac:dyDescent="0.25">
      <c r="A27" s="1009"/>
      <c r="B27" s="901" t="s">
        <v>512</v>
      </c>
      <c r="C27" s="1161"/>
      <c r="D27" s="1161"/>
      <c r="E27" s="1161"/>
      <c r="F27" s="1161"/>
      <c r="G27" s="878"/>
      <c r="H27" s="889">
        <v>0</v>
      </c>
      <c r="I27" s="889">
        <v>0</v>
      </c>
      <c r="J27" s="889">
        <v>0</v>
      </c>
      <c r="K27" s="889">
        <v>0</v>
      </c>
      <c r="L27" s="903">
        <f t="shared" si="2"/>
        <v>0</v>
      </c>
      <c r="M27" s="1371"/>
      <c r="N27" s="1013"/>
      <c r="O27" s="1016"/>
    </row>
    <row r="28" spans="1:15" x14ac:dyDescent="0.25">
      <c r="A28" s="1009"/>
      <c r="B28" s="901" t="s">
        <v>512</v>
      </c>
      <c r="C28" s="1161"/>
      <c r="D28" s="1161"/>
      <c r="E28" s="1161"/>
      <c r="F28" s="1161"/>
      <c r="G28" s="878"/>
      <c r="H28" s="889">
        <v>0</v>
      </c>
      <c r="I28" s="889">
        <v>0</v>
      </c>
      <c r="J28" s="889">
        <v>0</v>
      </c>
      <c r="K28" s="889">
        <v>0</v>
      </c>
      <c r="L28" s="903">
        <f t="shared" si="2"/>
        <v>0</v>
      </c>
      <c r="M28" s="1371"/>
      <c r="N28" s="1013"/>
      <c r="O28" s="1016"/>
    </row>
    <row r="29" spans="1:15" x14ac:dyDescent="0.25">
      <c r="A29" s="1009"/>
      <c r="B29" s="901" t="s">
        <v>512</v>
      </c>
      <c r="C29" s="1161"/>
      <c r="D29" s="1161"/>
      <c r="E29" s="1161"/>
      <c r="F29" s="1161"/>
      <c r="G29" s="878"/>
      <c r="H29" s="889">
        <v>0</v>
      </c>
      <c r="I29" s="889">
        <v>0</v>
      </c>
      <c r="J29" s="889">
        <v>0</v>
      </c>
      <c r="K29" s="889">
        <v>0</v>
      </c>
      <c r="L29" s="903">
        <f t="shared" si="2"/>
        <v>0</v>
      </c>
      <c r="M29" s="1371"/>
      <c r="N29" s="1013"/>
      <c r="O29" s="1016"/>
    </row>
    <row r="30" spans="1:15" x14ac:dyDescent="0.25">
      <c r="A30" s="1009"/>
      <c r="B30" s="901" t="s">
        <v>512</v>
      </c>
      <c r="C30" s="1161"/>
      <c r="D30" s="1161"/>
      <c r="E30" s="1161"/>
      <c r="F30" s="1161"/>
      <c r="G30" s="878"/>
      <c r="H30" s="889">
        <v>0</v>
      </c>
      <c r="I30" s="889">
        <v>0</v>
      </c>
      <c r="J30" s="889">
        <v>0</v>
      </c>
      <c r="K30" s="889">
        <v>0</v>
      </c>
      <c r="L30" s="903">
        <f t="shared" si="2"/>
        <v>0</v>
      </c>
      <c r="M30" s="1371"/>
      <c r="N30" s="1013"/>
      <c r="O30" s="1016"/>
    </row>
    <row r="31" spans="1:15" x14ac:dyDescent="0.25">
      <c r="A31" s="1009"/>
      <c r="B31" s="901" t="s">
        <v>512</v>
      </c>
      <c r="C31" s="1161"/>
      <c r="D31" s="1161"/>
      <c r="E31" s="1161"/>
      <c r="F31" s="1161"/>
      <c r="G31" s="878"/>
      <c r="H31" s="889">
        <v>0</v>
      </c>
      <c r="I31" s="889">
        <v>0</v>
      </c>
      <c r="J31" s="889">
        <v>0</v>
      </c>
      <c r="K31" s="889">
        <v>0</v>
      </c>
      <c r="L31" s="903">
        <f t="shared" si="2"/>
        <v>0</v>
      </c>
      <c r="M31" s="1371"/>
      <c r="N31" s="1013"/>
      <c r="O31" s="1016"/>
    </row>
    <row r="32" spans="1:15" ht="13.5" thickBot="1" x14ac:dyDescent="0.3">
      <c r="A32" s="1009"/>
      <c r="B32" s="928" t="s">
        <v>512</v>
      </c>
      <c r="C32" s="891"/>
      <c r="D32" s="891"/>
      <c r="E32" s="891"/>
      <c r="F32" s="891"/>
      <c r="G32" s="1032"/>
      <c r="H32" s="892">
        <v>0</v>
      </c>
      <c r="I32" s="892">
        <v>0</v>
      </c>
      <c r="J32" s="892">
        <v>0</v>
      </c>
      <c r="K32" s="892">
        <v>0</v>
      </c>
      <c r="L32" s="906">
        <f t="shared" si="2"/>
        <v>0</v>
      </c>
      <c r="M32" s="1371"/>
      <c r="N32" s="1013"/>
      <c r="O32" s="1016"/>
    </row>
    <row r="33" spans="1:15" ht="18" customHeight="1" thickBot="1" x14ac:dyDescent="0.3">
      <c r="A33" s="1009"/>
      <c r="B33" s="1381" t="s">
        <v>513</v>
      </c>
      <c r="C33" s="1382"/>
      <c r="D33" s="1382"/>
      <c r="E33" s="1382"/>
      <c r="F33" s="1382"/>
      <c r="G33" s="1382"/>
      <c r="H33" s="911">
        <f>SUM(H26:H32)</f>
        <v>0</v>
      </c>
      <c r="I33" s="911">
        <f>SUM(I26:I32)</f>
        <v>0</v>
      </c>
      <c r="J33" s="911">
        <f>SUM(J26:J32)</f>
        <v>0</v>
      </c>
      <c r="K33" s="912">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514</v>
      </c>
      <c r="C35" s="897"/>
      <c r="D35" s="897"/>
      <c r="E35" s="897"/>
      <c r="F35" s="897"/>
      <c r="G35" s="1031"/>
      <c r="H35" s="889">
        <v>0</v>
      </c>
      <c r="I35" s="889">
        <v>0</v>
      </c>
      <c r="J35" s="889">
        <v>0</v>
      </c>
      <c r="K35" s="889">
        <v>0</v>
      </c>
      <c r="L35" s="900">
        <f t="shared" ref="L35:L40" si="3">SUM(H35:K35)</f>
        <v>0</v>
      </c>
      <c r="M35" s="1371"/>
      <c r="N35" s="1013"/>
      <c r="O35" s="1016"/>
    </row>
    <row r="36" spans="1:15" x14ac:dyDescent="0.25">
      <c r="A36" s="1009"/>
      <c r="B36" s="901" t="s">
        <v>514</v>
      </c>
      <c r="C36" s="1161"/>
      <c r="D36" s="1161"/>
      <c r="E36" s="1161"/>
      <c r="F36" s="1161"/>
      <c r="G36" s="878"/>
      <c r="H36" s="889">
        <v>0</v>
      </c>
      <c r="I36" s="889">
        <v>0</v>
      </c>
      <c r="J36" s="889">
        <v>0</v>
      </c>
      <c r="K36" s="889">
        <v>0</v>
      </c>
      <c r="L36" s="903">
        <f t="shared" si="3"/>
        <v>0</v>
      </c>
      <c r="M36" s="1371"/>
      <c r="N36" s="1013"/>
      <c r="O36" s="1016"/>
    </row>
    <row r="37" spans="1:15" x14ac:dyDescent="0.25">
      <c r="A37" s="1009"/>
      <c r="B37" s="901" t="s">
        <v>514</v>
      </c>
      <c r="C37" s="1161"/>
      <c r="D37" s="1161"/>
      <c r="E37" s="1161"/>
      <c r="F37" s="1161"/>
      <c r="G37" s="878"/>
      <c r="H37" s="889">
        <v>0</v>
      </c>
      <c r="I37" s="889">
        <v>0</v>
      </c>
      <c r="J37" s="889">
        <v>0</v>
      </c>
      <c r="K37" s="889">
        <v>0</v>
      </c>
      <c r="L37" s="903">
        <f t="shared" si="3"/>
        <v>0</v>
      </c>
      <c r="M37" s="1371"/>
      <c r="N37" s="1013"/>
      <c r="O37" s="1016"/>
    </row>
    <row r="38" spans="1:15" x14ac:dyDescent="0.25">
      <c r="A38" s="1009"/>
      <c r="B38" s="901" t="s">
        <v>514</v>
      </c>
      <c r="C38" s="1161"/>
      <c r="D38" s="1161"/>
      <c r="E38" s="1161"/>
      <c r="F38" s="1161"/>
      <c r="G38" s="878"/>
      <c r="H38" s="889">
        <v>0</v>
      </c>
      <c r="I38" s="889">
        <v>0</v>
      </c>
      <c r="J38" s="889">
        <v>0</v>
      </c>
      <c r="K38" s="889">
        <v>0</v>
      </c>
      <c r="L38" s="903">
        <f t="shared" si="3"/>
        <v>0</v>
      </c>
      <c r="M38" s="1371"/>
      <c r="N38" s="1013"/>
      <c r="O38" s="1016"/>
    </row>
    <row r="39" spans="1:15" x14ac:dyDescent="0.25">
      <c r="A39" s="1009"/>
      <c r="B39" s="901" t="s">
        <v>514</v>
      </c>
      <c r="C39" s="1161"/>
      <c r="D39" s="1161"/>
      <c r="E39" s="1161"/>
      <c r="F39" s="1161"/>
      <c r="G39" s="878"/>
      <c r="H39" s="889">
        <v>0</v>
      </c>
      <c r="I39" s="889">
        <v>0</v>
      </c>
      <c r="J39" s="889">
        <v>0</v>
      </c>
      <c r="K39" s="889">
        <v>0</v>
      </c>
      <c r="L39" s="903">
        <f t="shared" si="3"/>
        <v>0</v>
      </c>
      <c r="M39" s="1371"/>
      <c r="N39" s="1013"/>
      <c r="O39" s="1016"/>
    </row>
    <row r="40" spans="1:15" ht="13.5" thickBot="1" x14ac:dyDescent="0.3">
      <c r="A40" s="1009"/>
      <c r="B40" s="928" t="s">
        <v>514</v>
      </c>
      <c r="C40" s="891"/>
      <c r="D40" s="891"/>
      <c r="E40" s="891"/>
      <c r="F40" s="891"/>
      <c r="G40" s="1032"/>
      <c r="H40" s="892">
        <v>0</v>
      </c>
      <c r="I40" s="892">
        <v>0</v>
      </c>
      <c r="J40" s="892">
        <v>0</v>
      </c>
      <c r="K40" s="892">
        <v>0</v>
      </c>
      <c r="L40" s="906">
        <f t="shared" si="3"/>
        <v>0</v>
      </c>
      <c r="M40" s="1371"/>
      <c r="N40" s="1013"/>
      <c r="O40" s="1016"/>
    </row>
    <row r="41" spans="1:15" ht="18" customHeight="1" thickBot="1" x14ac:dyDescent="0.3">
      <c r="A41" s="1009"/>
      <c r="B41" s="1381" t="s">
        <v>515</v>
      </c>
      <c r="C41" s="1382"/>
      <c r="D41" s="1382"/>
      <c r="E41" s="1382"/>
      <c r="F41" s="1382"/>
      <c r="G41" s="1382"/>
      <c r="H41" s="911">
        <f>SUM(H35:H40)</f>
        <v>0</v>
      </c>
      <c r="I41" s="911">
        <f>SUM(I35:I40)</f>
        <v>0</v>
      </c>
      <c r="J41" s="911">
        <f>SUM(J35:J40)</f>
        <v>0</v>
      </c>
      <c r="K41" s="912">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516</v>
      </c>
      <c r="C43" s="897"/>
      <c r="D43" s="897"/>
      <c r="E43" s="897"/>
      <c r="F43" s="897"/>
      <c r="G43" s="1031"/>
      <c r="H43" s="889">
        <v>0</v>
      </c>
      <c r="I43" s="889">
        <v>0</v>
      </c>
      <c r="J43" s="889">
        <v>0</v>
      </c>
      <c r="K43" s="889">
        <v>0</v>
      </c>
      <c r="L43" s="900">
        <f t="shared" ref="L43:L51" si="4">SUM(H43:K43)</f>
        <v>0</v>
      </c>
      <c r="M43" s="1371"/>
      <c r="N43" s="1013"/>
      <c r="O43" s="1016"/>
    </row>
    <row r="44" spans="1:15" x14ac:dyDescent="0.25">
      <c r="A44" s="1009"/>
      <c r="B44" s="901" t="s">
        <v>516</v>
      </c>
      <c r="C44" s="1161"/>
      <c r="D44" s="1161"/>
      <c r="E44" s="1161"/>
      <c r="F44" s="1161"/>
      <c r="G44" s="878"/>
      <c r="H44" s="889">
        <v>0</v>
      </c>
      <c r="I44" s="889">
        <v>0</v>
      </c>
      <c r="J44" s="889">
        <v>0</v>
      </c>
      <c r="K44" s="889">
        <v>0</v>
      </c>
      <c r="L44" s="903">
        <f t="shared" si="4"/>
        <v>0</v>
      </c>
      <c r="M44" s="1371"/>
      <c r="N44" s="1013"/>
      <c r="O44" s="1016"/>
    </row>
    <row r="45" spans="1:15" x14ac:dyDescent="0.25">
      <c r="A45" s="1009"/>
      <c r="B45" s="901" t="s">
        <v>516</v>
      </c>
      <c r="C45" s="1161"/>
      <c r="D45" s="1161"/>
      <c r="E45" s="1161"/>
      <c r="F45" s="1161"/>
      <c r="G45" s="878"/>
      <c r="H45" s="889">
        <v>0</v>
      </c>
      <c r="I45" s="889">
        <v>0</v>
      </c>
      <c r="J45" s="889">
        <v>0</v>
      </c>
      <c r="K45" s="889">
        <v>0</v>
      </c>
      <c r="L45" s="903">
        <f t="shared" si="4"/>
        <v>0</v>
      </c>
      <c r="M45" s="1371"/>
      <c r="N45" s="1013"/>
      <c r="O45" s="1016"/>
    </row>
    <row r="46" spans="1:15" x14ac:dyDescent="0.25">
      <c r="A46" s="1009"/>
      <c r="B46" s="901" t="s">
        <v>516</v>
      </c>
      <c r="C46" s="1161"/>
      <c r="D46" s="1161"/>
      <c r="E46" s="1161"/>
      <c r="F46" s="1161"/>
      <c r="G46" s="878"/>
      <c r="H46" s="889">
        <v>0</v>
      </c>
      <c r="I46" s="889">
        <v>0</v>
      </c>
      <c r="J46" s="889">
        <v>0</v>
      </c>
      <c r="K46" s="889">
        <v>0</v>
      </c>
      <c r="L46" s="903">
        <f t="shared" si="4"/>
        <v>0</v>
      </c>
      <c r="M46" s="1371"/>
      <c r="N46" s="1013"/>
      <c r="O46" s="1016"/>
    </row>
    <row r="47" spans="1:15" x14ac:dyDescent="0.25">
      <c r="A47" s="1009"/>
      <c r="B47" s="901" t="s">
        <v>516</v>
      </c>
      <c r="C47" s="1161"/>
      <c r="D47" s="1161"/>
      <c r="E47" s="1161"/>
      <c r="F47" s="1161"/>
      <c r="G47" s="878"/>
      <c r="H47" s="889">
        <v>0</v>
      </c>
      <c r="I47" s="889">
        <v>0</v>
      </c>
      <c r="J47" s="889">
        <v>0</v>
      </c>
      <c r="K47" s="889">
        <v>0</v>
      </c>
      <c r="L47" s="903">
        <f t="shared" si="4"/>
        <v>0</v>
      </c>
      <c r="M47" s="1371"/>
      <c r="N47" s="1013"/>
      <c r="O47" s="1016"/>
    </row>
    <row r="48" spans="1:15" x14ac:dyDescent="0.25">
      <c r="A48" s="1009"/>
      <c r="B48" s="901" t="s">
        <v>516</v>
      </c>
      <c r="C48" s="1161"/>
      <c r="D48" s="1161"/>
      <c r="E48" s="1161"/>
      <c r="F48" s="1161"/>
      <c r="G48" s="878"/>
      <c r="H48" s="889">
        <v>0</v>
      </c>
      <c r="I48" s="889">
        <v>0</v>
      </c>
      <c r="J48" s="889">
        <v>0</v>
      </c>
      <c r="K48" s="889">
        <v>0</v>
      </c>
      <c r="L48" s="903">
        <f t="shared" si="4"/>
        <v>0</v>
      </c>
      <c r="M48" s="1371"/>
      <c r="N48" s="1013"/>
      <c r="O48" s="1016"/>
    </row>
    <row r="49" spans="1:15" x14ac:dyDescent="0.25">
      <c r="A49" s="1009"/>
      <c r="B49" s="901" t="s">
        <v>516</v>
      </c>
      <c r="C49" s="1161"/>
      <c r="D49" s="1161"/>
      <c r="E49" s="1161"/>
      <c r="F49" s="1161"/>
      <c r="G49" s="878"/>
      <c r="H49" s="889">
        <v>0</v>
      </c>
      <c r="I49" s="889">
        <v>0</v>
      </c>
      <c r="J49" s="889">
        <v>0</v>
      </c>
      <c r="K49" s="889">
        <v>0</v>
      </c>
      <c r="L49" s="903">
        <f t="shared" si="4"/>
        <v>0</v>
      </c>
      <c r="M49" s="1371"/>
      <c r="N49" s="1013"/>
      <c r="O49" s="1016"/>
    </row>
    <row r="50" spans="1:15" x14ac:dyDescent="0.25">
      <c r="A50" s="1009"/>
      <c r="B50" s="901" t="s">
        <v>516</v>
      </c>
      <c r="C50" s="1161"/>
      <c r="D50" s="1161"/>
      <c r="E50" s="1161"/>
      <c r="F50" s="1161"/>
      <c r="G50" s="878"/>
      <c r="H50" s="889">
        <v>0</v>
      </c>
      <c r="I50" s="889">
        <v>0</v>
      </c>
      <c r="J50" s="889">
        <v>0</v>
      </c>
      <c r="K50" s="889">
        <v>0</v>
      </c>
      <c r="L50" s="903">
        <f t="shared" si="4"/>
        <v>0</v>
      </c>
      <c r="M50" s="1371"/>
      <c r="N50" s="1013"/>
      <c r="O50" s="1016"/>
    </row>
    <row r="51" spans="1:15" ht="13.5" thickBot="1" x14ac:dyDescent="0.3">
      <c r="A51" s="1009"/>
      <c r="B51" s="928" t="s">
        <v>516</v>
      </c>
      <c r="C51" s="891"/>
      <c r="D51" s="891"/>
      <c r="E51" s="891"/>
      <c r="F51" s="891"/>
      <c r="G51" s="1032"/>
      <c r="H51" s="892">
        <v>0</v>
      </c>
      <c r="I51" s="892">
        <v>0</v>
      </c>
      <c r="J51" s="892">
        <v>0</v>
      </c>
      <c r="K51" s="892">
        <v>0</v>
      </c>
      <c r="L51" s="906">
        <f t="shared" si="4"/>
        <v>0</v>
      </c>
      <c r="M51" s="1371"/>
      <c r="N51" s="1013"/>
      <c r="O51" s="1016"/>
    </row>
    <row r="52" spans="1:15" ht="20.5" customHeight="1" thickBot="1" x14ac:dyDescent="0.3">
      <c r="A52" s="1009"/>
      <c r="B52" s="1381" t="s">
        <v>517</v>
      </c>
      <c r="C52" s="1382"/>
      <c r="D52" s="1382"/>
      <c r="E52" s="1382"/>
      <c r="F52" s="1382"/>
      <c r="G52" s="1382"/>
      <c r="H52" s="911">
        <f>SUM(H43:H51)</f>
        <v>0</v>
      </c>
      <c r="I52" s="911">
        <f>SUM(I43:I51)</f>
        <v>0</v>
      </c>
      <c r="J52" s="911">
        <f>SUM(J43:J51)</f>
        <v>0</v>
      </c>
      <c r="K52" s="912">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518</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519</v>
      </c>
    </row>
    <row r="57" spans="1:15" ht="25.5" customHeight="1" thickBot="1" x14ac:dyDescent="0.3">
      <c r="A57" s="1011"/>
      <c r="B57" s="1014"/>
      <c r="C57" s="1014"/>
      <c r="D57" s="1014"/>
      <c r="E57" s="1014"/>
      <c r="F57" s="1014"/>
      <c r="G57" s="1014"/>
      <c r="H57" s="1014"/>
      <c r="I57" s="1014"/>
      <c r="J57" s="1014"/>
      <c r="K57" s="1015"/>
      <c r="L57" s="1014"/>
      <c r="M57" s="1014"/>
      <c r="N57" s="1014"/>
      <c r="O57" s="922">
        <f>'Phase 4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52:G52"/>
    <mergeCell ref="L52:L54"/>
    <mergeCell ref="B54:G54"/>
    <mergeCell ref="M17:M23"/>
    <mergeCell ref="B24:G24"/>
    <mergeCell ref="M26:M32"/>
    <mergeCell ref="B33:G33"/>
    <mergeCell ref="M35:M40"/>
    <mergeCell ref="B41:G41"/>
    <mergeCell ref="M43:M51"/>
    <mergeCell ref="B15:G15"/>
    <mergeCell ref="B2:C2"/>
    <mergeCell ref="I2:M4"/>
    <mergeCell ref="B6:C6"/>
    <mergeCell ref="H6:K6"/>
    <mergeCell ref="M8:M14"/>
  </mergeCells>
  <pageMargins left="0.7" right="0.7" top="0.75" bottom="0.75" header="0.3" footer="0.3"/>
  <pageSetup scale="99" orientation="landscape" r:id="rId1"/>
  <rowBreaks count="1" manualBreakCount="1">
    <brk id="25" max="16383" man="1"/>
  </rowBreaks>
  <colBreaks count="1" manualBreakCount="1">
    <brk id="8" max="1048575" man="1"/>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520</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U68:V68"/>
    <mergeCell ref="Y68:Z68"/>
    <mergeCell ref="U85:W85"/>
    <mergeCell ref="A86:C86"/>
    <mergeCell ref="E86:G86"/>
    <mergeCell ref="I86:K86"/>
    <mergeCell ref="M86:O86"/>
    <mergeCell ref="Q86:S86"/>
    <mergeCell ref="U86:W86"/>
    <mergeCell ref="Y6:AA6"/>
    <mergeCell ref="AC6:AD6"/>
    <mergeCell ref="Q62:S62"/>
    <mergeCell ref="U62:W62"/>
    <mergeCell ref="Y62:AA62"/>
    <mergeCell ref="E71:G71"/>
    <mergeCell ref="I71:K71"/>
    <mergeCell ref="M71:O71"/>
    <mergeCell ref="Q71:S71"/>
    <mergeCell ref="U71:W71"/>
    <mergeCell ref="Y71:AA71"/>
    <mergeCell ref="E63:G63"/>
    <mergeCell ref="I63:K63"/>
    <mergeCell ref="M63:O63"/>
    <mergeCell ref="Q63:S63"/>
    <mergeCell ref="U63:W63"/>
    <mergeCell ref="Y63:AA63"/>
    <mergeCell ref="I79:K79"/>
    <mergeCell ref="M79:O79"/>
    <mergeCell ref="A90:C90"/>
    <mergeCell ref="A91:C91"/>
    <mergeCell ref="A92:C92"/>
    <mergeCell ref="E85:G85"/>
    <mergeCell ref="I85:K85"/>
    <mergeCell ref="M85:O85"/>
    <mergeCell ref="Q85:S85"/>
    <mergeCell ref="E62:G62"/>
    <mergeCell ref="I62:K62"/>
    <mergeCell ref="M62:O62"/>
    <mergeCell ref="Q7:S7"/>
    <mergeCell ref="Y86:AA86"/>
    <mergeCell ref="A88:C88"/>
    <mergeCell ref="A89:C89"/>
    <mergeCell ref="A76:C76"/>
    <mergeCell ref="U77:V77"/>
    <mergeCell ref="Y77:Z77"/>
    <mergeCell ref="A80:C80"/>
    <mergeCell ref="E80:G80"/>
    <mergeCell ref="I80:K80"/>
    <mergeCell ref="M80:O80"/>
    <mergeCell ref="Q80:S80"/>
    <mergeCell ref="U80:W80"/>
    <mergeCell ref="Y80:AA80"/>
    <mergeCell ref="A83:C83"/>
    <mergeCell ref="Y85:AA85"/>
    <mergeCell ref="Q79:S79"/>
    <mergeCell ref="U79:W79"/>
    <mergeCell ref="Y79:AA79"/>
    <mergeCell ref="A77:C77"/>
    <mergeCell ref="E79:G79"/>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U7:W7"/>
    <mergeCell ref="Y7:AA7"/>
    <mergeCell ref="A2:B2"/>
    <mergeCell ref="B4:C4"/>
    <mergeCell ref="E4:G4"/>
    <mergeCell ref="I4:K4"/>
    <mergeCell ref="M4:O4"/>
    <mergeCell ref="Q4:S4"/>
    <mergeCell ref="U4:W4"/>
    <mergeCell ref="Y4:AA4"/>
    <mergeCell ref="B5:C5"/>
    <mergeCell ref="A7:C7"/>
    <mergeCell ref="E6:G6"/>
    <mergeCell ref="I6:K6"/>
    <mergeCell ref="M6:O6"/>
    <mergeCell ref="Q6:S6"/>
    <mergeCell ref="U6:W6"/>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A57:C57"/>
    <mergeCell ref="A58:C58"/>
    <mergeCell ref="A68:C68"/>
    <mergeCell ref="A65:C65"/>
    <mergeCell ref="A66:B66"/>
    <mergeCell ref="C66:C67"/>
    <mergeCell ref="A67:B67"/>
    <mergeCell ref="A63:C63"/>
    <mergeCell ref="A72:C72"/>
    <mergeCell ref="A75:C75"/>
    <mergeCell ref="E72:G72"/>
    <mergeCell ref="I72:K72"/>
    <mergeCell ref="M72:O72"/>
    <mergeCell ref="Q72:S72"/>
    <mergeCell ref="U72:W72"/>
    <mergeCell ref="Y72:AA72"/>
    <mergeCell ref="A74:C74"/>
  </mergeCells>
  <phoneticPr fontId="20" type="noConversion"/>
  <pageMargins left="0.25" right="0.25" top="0.75" bottom="0.75" header="0.3" footer="0.3"/>
  <pageSetup scale="40" fitToHeight="3"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3"/>
  <sheetViews>
    <sheetView view="pageBreakPreview" zoomScaleNormal="100" zoomScaleSheetLayoutView="100" workbookViewId="0">
      <selection activeCell="H57" sqref="H57"/>
    </sheetView>
  </sheetViews>
  <sheetFormatPr defaultColWidth="8.7265625" defaultRowHeight="13" x14ac:dyDescent="0.25"/>
  <cols>
    <col min="1" max="1" width="5.17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521</v>
      </c>
      <c r="C2" s="1367"/>
      <c r="D2" s="1013"/>
      <c r="E2" s="1013"/>
      <c r="F2" s="1013"/>
      <c r="G2" s="1013"/>
      <c r="H2" s="1027" t="s">
        <v>290</v>
      </c>
      <c r="I2" s="1372" t="s">
        <v>399</v>
      </c>
      <c r="J2" s="1373"/>
      <c r="K2" s="1373"/>
      <c r="L2" s="1373"/>
      <c r="M2" s="1374"/>
      <c r="N2" s="1013"/>
      <c r="O2" s="1016"/>
    </row>
    <row r="3" spans="1:15" ht="32.15"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522</v>
      </c>
      <c r="C8" s="886"/>
      <c r="D8" s="886"/>
      <c r="E8" s="886"/>
      <c r="F8" s="886"/>
      <c r="G8" s="886"/>
      <c r="H8" s="887">
        <v>0</v>
      </c>
      <c r="I8" s="887">
        <v>0</v>
      </c>
      <c r="J8" s="887">
        <v>0</v>
      </c>
      <c r="K8" s="887">
        <v>0</v>
      </c>
      <c r="L8" s="888">
        <f t="shared" ref="L8:L14" si="0">SUM(H8:K8)</f>
        <v>0</v>
      </c>
      <c r="M8" s="1371"/>
      <c r="N8" s="1013"/>
      <c r="O8" s="1016"/>
    </row>
    <row r="9" spans="1:15" x14ac:dyDescent="0.25">
      <c r="A9" s="1009"/>
      <c r="B9" s="885" t="s">
        <v>522</v>
      </c>
      <c r="C9" s="1161"/>
      <c r="D9" s="1161"/>
      <c r="E9" s="1161"/>
      <c r="F9" s="1161"/>
      <c r="G9" s="1161"/>
      <c r="H9" s="889">
        <v>0</v>
      </c>
      <c r="I9" s="889">
        <v>0</v>
      </c>
      <c r="J9" s="889">
        <v>0</v>
      </c>
      <c r="K9" s="889">
        <v>0</v>
      </c>
      <c r="L9" s="890">
        <f t="shared" si="0"/>
        <v>0</v>
      </c>
      <c r="M9" s="1371"/>
      <c r="N9" s="1013"/>
      <c r="O9" s="1016"/>
    </row>
    <row r="10" spans="1:15" x14ac:dyDescent="0.25">
      <c r="A10" s="1009"/>
      <c r="B10" s="885" t="s">
        <v>522</v>
      </c>
      <c r="C10" s="1161"/>
      <c r="D10" s="1161"/>
      <c r="E10" s="1161"/>
      <c r="F10" s="1161"/>
      <c r="G10" s="1161"/>
      <c r="H10" s="889">
        <v>0</v>
      </c>
      <c r="I10" s="889">
        <v>0</v>
      </c>
      <c r="J10" s="889">
        <v>0</v>
      </c>
      <c r="K10" s="889">
        <v>0</v>
      </c>
      <c r="L10" s="890">
        <f t="shared" si="0"/>
        <v>0</v>
      </c>
      <c r="M10" s="1371"/>
      <c r="N10" s="1013"/>
      <c r="O10" s="1016"/>
    </row>
    <row r="11" spans="1:15" x14ac:dyDescent="0.25">
      <c r="A11" s="1009"/>
      <c r="B11" s="885" t="s">
        <v>522</v>
      </c>
      <c r="C11" s="1161"/>
      <c r="D11" s="1161"/>
      <c r="E11" s="1161"/>
      <c r="F11" s="1161"/>
      <c r="G11" s="1161"/>
      <c r="H11" s="889">
        <v>0</v>
      </c>
      <c r="I11" s="889">
        <v>0</v>
      </c>
      <c r="J11" s="889">
        <v>0</v>
      </c>
      <c r="K11" s="889">
        <v>0</v>
      </c>
      <c r="L11" s="890">
        <f t="shared" si="0"/>
        <v>0</v>
      </c>
      <c r="M11" s="1371"/>
      <c r="N11" s="1013"/>
      <c r="O11" s="1016"/>
    </row>
    <row r="12" spans="1:15" x14ac:dyDescent="0.25">
      <c r="A12" s="1009"/>
      <c r="B12" s="885" t="s">
        <v>522</v>
      </c>
      <c r="C12" s="1161"/>
      <c r="D12" s="1161"/>
      <c r="E12" s="1161"/>
      <c r="F12" s="1161"/>
      <c r="G12" s="1161"/>
      <c r="H12" s="889">
        <v>0</v>
      </c>
      <c r="I12" s="889">
        <v>0</v>
      </c>
      <c r="J12" s="889">
        <v>0</v>
      </c>
      <c r="K12" s="889">
        <v>0</v>
      </c>
      <c r="L12" s="890">
        <f t="shared" si="0"/>
        <v>0</v>
      </c>
      <c r="M12" s="1371"/>
      <c r="N12" s="1013"/>
      <c r="O12" s="1016"/>
    </row>
    <row r="13" spans="1:15" x14ac:dyDescent="0.25">
      <c r="A13" s="1009"/>
      <c r="B13" s="885" t="s">
        <v>522</v>
      </c>
      <c r="C13" s="1161"/>
      <c r="D13" s="1161"/>
      <c r="E13" s="1161"/>
      <c r="F13" s="1161"/>
      <c r="G13" s="1161"/>
      <c r="H13" s="889">
        <v>0</v>
      </c>
      <c r="I13" s="889">
        <v>0</v>
      </c>
      <c r="J13" s="889">
        <v>0</v>
      </c>
      <c r="K13" s="889">
        <v>0</v>
      </c>
      <c r="L13" s="890">
        <f t="shared" si="0"/>
        <v>0</v>
      </c>
      <c r="M13" s="1371"/>
      <c r="N13" s="1013"/>
      <c r="O13" s="1016"/>
    </row>
    <row r="14" spans="1:15" ht="13.5" thickBot="1" x14ac:dyDescent="0.3">
      <c r="A14" s="1009"/>
      <c r="B14" s="885" t="s">
        <v>522</v>
      </c>
      <c r="C14" s="891"/>
      <c r="D14" s="891"/>
      <c r="E14" s="891"/>
      <c r="F14" s="891"/>
      <c r="G14" s="891"/>
      <c r="H14" s="892">
        <v>0</v>
      </c>
      <c r="I14" s="892">
        <v>0</v>
      </c>
      <c r="J14" s="892">
        <v>0</v>
      </c>
      <c r="K14" s="892">
        <v>0</v>
      </c>
      <c r="L14" s="893">
        <f t="shared" si="0"/>
        <v>0</v>
      </c>
      <c r="M14" s="1371"/>
      <c r="N14" s="1013"/>
      <c r="O14" s="1016"/>
    </row>
    <row r="15" spans="1:15" ht="19" customHeight="1" thickBot="1" x14ac:dyDescent="0.3">
      <c r="A15" s="1009"/>
      <c r="B15" s="1381" t="s">
        <v>523</v>
      </c>
      <c r="C15" s="1382"/>
      <c r="D15" s="1382"/>
      <c r="E15" s="1382"/>
      <c r="F15" s="1382"/>
      <c r="G15" s="1383"/>
      <c r="H15" s="894">
        <f>SUM(H8:H14)</f>
        <v>0</v>
      </c>
      <c r="I15" s="894">
        <f>SUM(I8:I14)</f>
        <v>0</v>
      </c>
      <c r="J15" s="894">
        <f>SUM(J8:J14)</f>
        <v>0</v>
      </c>
      <c r="K15" s="894">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524</v>
      </c>
      <c r="C17" s="897"/>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524</v>
      </c>
      <c r="C18" s="1161"/>
      <c r="D18" s="1161"/>
      <c r="E18" s="1161"/>
      <c r="F18" s="1161"/>
      <c r="G18" s="1161"/>
      <c r="H18" s="889">
        <v>0</v>
      </c>
      <c r="I18" s="889">
        <v>0</v>
      </c>
      <c r="J18" s="889">
        <v>0</v>
      </c>
      <c r="K18" s="902">
        <v>0</v>
      </c>
      <c r="L18" s="903">
        <f t="shared" si="1"/>
        <v>0</v>
      </c>
      <c r="M18" s="1371"/>
      <c r="N18" s="1013"/>
      <c r="O18" s="1016"/>
    </row>
    <row r="19" spans="1:15" x14ac:dyDescent="0.25">
      <c r="A19" s="1009"/>
      <c r="B19" s="901" t="s">
        <v>524</v>
      </c>
      <c r="C19" s="1161"/>
      <c r="D19" s="1161"/>
      <c r="E19" s="1161"/>
      <c r="F19" s="1161"/>
      <c r="G19" s="1161"/>
      <c r="H19" s="889">
        <v>0</v>
      </c>
      <c r="I19" s="889">
        <v>0</v>
      </c>
      <c r="J19" s="889">
        <v>0</v>
      </c>
      <c r="K19" s="902">
        <v>0</v>
      </c>
      <c r="L19" s="903">
        <f t="shared" si="1"/>
        <v>0</v>
      </c>
      <c r="M19" s="1371"/>
      <c r="N19" s="1013"/>
      <c r="O19" s="1016"/>
    </row>
    <row r="20" spans="1:15" x14ac:dyDescent="0.25">
      <c r="A20" s="1009"/>
      <c r="B20" s="901" t="s">
        <v>524</v>
      </c>
      <c r="C20" s="1161"/>
      <c r="D20" s="1161"/>
      <c r="E20" s="1161"/>
      <c r="F20" s="1161"/>
      <c r="G20" s="1161"/>
      <c r="H20" s="889">
        <v>0</v>
      </c>
      <c r="I20" s="889">
        <v>0</v>
      </c>
      <c r="J20" s="889">
        <v>0</v>
      </c>
      <c r="K20" s="902">
        <v>0</v>
      </c>
      <c r="L20" s="903">
        <f t="shared" si="1"/>
        <v>0</v>
      </c>
      <c r="M20" s="1371"/>
      <c r="N20" s="1013"/>
      <c r="O20" s="1016"/>
    </row>
    <row r="21" spans="1:15" x14ac:dyDescent="0.25">
      <c r="A21" s="1009"/>
      <c r="B21" s="901" t="s">
        <v>524</v>
      </c>
      <c r="C21" s="1161"/>
      <c r="D21" s="1161"/>
      <c r="E21" s="1161"/>
      <c r="F21" s="1161"/>
      <c r="G21" s="1161"/>
      <c r="H21" s="889">
        <v>0</v>
      </c>
      <c r="I21" s="889">
        <v>0</v>
      </c>
      <c r="J21" s="889">
        <v>0</v>
      </c>
      <c r="K21" s="902">
        <v>0</v>
      </c>
      <c r="L21" s="903">
        <f t="shared" si="1"/>
        <v>0</v>
      </c>
      <c r="M21" s="1371"/>
      <c r="N21" s="1013"/>
      <c r="O21" s="1016"/>
    </row>
    <row r="22" spans="1:15" x14ac:dyDescent="0.25">
      <c r="A22" s="1009"/>
      <c r="B22" s="901" t="s">
        <v>524</v>
      </c>
      <c r="C22" s="1161"/>
      <c r="D22" s="1161"/>
      <c r="E22" s="1161"/>
      <c r="F22" s="1161"/>
      <c r="G22" s="1161"/>
      <c r="H22" s="889">
        <v>0</v>
      </c>
      <c r="I22" s="889">
        <v>0</v>
      </c>
      <c r="J22" s="889">
        <v>0</v>
      </c>
      <c r="K22" s="902">
        <v>0</v>
      </c>
      <c r="L22" s="903">
        <f t="shared" si="1"/>
        <v>0</v>
      </c>
      <c r="M22" s="1371"/>
      <c r="N22" s="1013"/>
      <c r="O22" s="1016"/>
    </row>
    <row r="23" spans="1:15" ht="13.5" thickBot="1" x14ac:dyDescent="0.3">
      <c r="A23" s="1009"/>
      <c r="B23" s="901" t="s">
        <v>524</v>
      </c>
      <c r="C23" s="904"/>
      <c r="D23" s="904"/>
      <c r="E23" s="904"/>
      <c r="F23" s="904"/>
      <c r="G23" s="904"/>
      <c r="H23" s="892">
        <v>0</v>
      </c>
      <c r="I23" s="892">
        <v>0</v>
      </c>
      <c r="J23" s="892">
        <v>0</v>
      </c>
      <c r="K23" s="905">
        <v>0</v>
      </c>
      <c r="L23" s="906">
        <f t="shared" si="1"/>
        <v>0</v>
      </c>
      <c r="M23" s="1371"/>
      <c r="N23" s="1013"/>
      <c r="O23" s="1016"/>
    </row>
    <row r="24" spans="1:15" ht="17.5" customHeight="1" thickBot="1" x14ac:dyDescent="0.3">
      <c r="A24" s="1009"/>
      <c r="B24" s="1381" t="s">
        <v>525</v>
      </c>
      <c r="C24" s="1382"/>
      <c r="D24" s="1382"/>
      <c r="E24" s="1382"/>
      <c r="F24" s="1382"/>
      <c r="G24" s="1383"/>
      <c r="H24" s="907">
        <f>SUM(H17:H23)</f>
        <v>0</v>
      </c>
      <c r="I24" s="908">
        <f>SUM(I17:I23)</f>
        <v>0</v>
      </c>
      <c r="J24" s="908">
        <f>SUM(J17:J23)</f>
        <v>0</v>
      </c>
      <c r="K24" s="909">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526</v>
      </c>
      <c r="C26" s="897"/>
      <c r="D26" s="897"/>
      <c r="E26" s="897"/>
      <c r="F26" s="897"/>
      <c r="G26" s="897"/>
      <c r="H26" s="899">
        <v>0</v>
      </c>
      <c r="I26" s="899">
        <v>0</v>
      </c>
      <c r="J26" s="899">
        <v>0</v>
      </c>
      <c r="K26" s="899">
        <v>0</v>
      </c>
      <c r="L26" s="900">
        <f t="shared" ref="L26:L32" si="2">SUM(H26:K26)</f>
        <v>0</v>
      </c>
      <c r="M26" s="1371"/>
      <c r="N26" s="1013"/>
      <c r="O26" s="1016"/>
    </row>
    <row r="27" spans="1:15" x14ac:dyDescent="0.25">
      <c r="A27" s="1009"/>
      <c r="B27" s="901" t="s">
        <v>526</v>
      </c>
      <c r="C27" s="1161"/>
      <c r="D27" s="1161"/>
      <c r="E27" s="1161"/>
      <c r="F27" s="1161"/>
      <c r="G27" s="1161"/>
      <c r="H27" s="910">
        <v>0</v>
      </c>
      <c r="I27" s="910">
        <v>0</v>
      </c>
      <c r="J27" s="910">
        <v>0</v>
      </c>
      <c r="K27" s="910">
        <v>0</v>
      </c>
      <c r="L27" s="903">
        <f t="shared" si="2"/>
        <v>0</v>
      </c>
      <c r="M27" s="1371"/>
      <c r="N27" s="1013"/>
      <c r="O27" s="1016"/>
    </row>
    <row r="28" spans="1:15" x14ac:dyDescent="0.25">
      <c r="A28" s="1009"/>
      <c r="B28" s="901" t="s">
        <v>526</v>
      </c>
      <c r="C28" s="1161"/>
      <c r="D28" s="1161"/>
      <c r="E28" s="1161"/>
      <c r="F28" s="1161"/>
      <c r="G28" s="1161"/>
      <c r="H28" s="910">
        <v>0</v>
      </c>
      <c r="I28" s="910">
        <v>0</v>
      </c>
      <c r="J28" s="910">
        <v>0</v>
      </c>
      <c r="K28" s="910">
        <v>0</v>
      </c>
      <c r="L28" s="903">
        <f t="shared" si="2"/>
        <v>0</v>
      </c>
      <c r="M28" s="1371"/>
      <c r="N28" s="1013"/>
      <c r="O28" s="1016"/>
    </row>
    <row r="29" spans="1:15" x14ac:dyDescent="0.25">
      <c r="A29" s="1009"/>
      <c r="B29" s="901" t="s">
        <v>526</v>
      </c>
      <c r="C29" s="1161"/>
      <c r="D29" s="1161"/>
      <c r="E29" s="1161"/>
      <c r="F29" s="1161"/>
      <c r="G29" s="1161"/>
      <c r="H29" s="910">
        <v>0</v>
      </c>
      <c r="I29" s="910">
        <v>0</v>
      </c>
      <c r="J29" s="910">
        <v>0</v>
      </c>
      <c r="K29" s="910">
        <v>0</v>
      </c>
      <c r="L29" s="903">
        <f t="shared" si="2"/>
        <v>0</v>
      </c>
      <c r="M29" s="1371"/>
      <c r="N29" s="1013"/>
      <c r="O29" s="1016"/>
    </row>
    <row r="30" spans="1:15" x14ac:dyDescent="0.25">
      <c r="A30" s="1009"/>
      <c r="B30" s="901" t="s">
        <v>526</v>
      </c>
      <c r="C30" s="1161"/>
      <c r="D30" s="1161"/>
      <c r="E30" s="1161"/>
      <c r="F30" s="1161"/>
      <c r="G30" s="1161"/>
      <c r="H30" s="910">
        <v>0</v>
      </c>
      <c r="I30" s="910">
        <v>0</v>
      </c>
      <c r="J30" s="910">
        <v>0</v>
      </c>
      <c r="K30" s="910">
        <v>0</v>
      </c>
      <c r="L30" s="903">
        <f t="shared" si="2"/>
        <v>0</v>
      </c>
      <c r="M30" s="1371"/>
      <c r="N30" s="1013"/>
      <c r="O30" s="1016"/>
    </row>
    <row r="31" spans="1:15" x14ac:dyDescent="0.25">
      <c r="A31" s="1009"/>
      <c r="B31" s="901" t="s">
        <v>526</v>
      </c>
      <c r="C31" s="1161"/>
      <c r="D31" s="1161"/>
      <c r="E31" s="1161"/>
      <c r="F31" s="1161"/>
      <c r="G31" s="1161"/>
      <c r="H31" s="910">
        <v>0</v>
      </c>
      <c r="I31" s="910">
        <v>0</v>
      </c>
      <c r="J31" s="910">
        <v>0</v>
      </c>
      <c r="K31" s="910">
        <v>0</v>
      </c>
      <c r="L31" s="903">
        <f t="shared" si="2"/>
        <v>0</v>
      </c>
      <c r="M31" s="1371"/>
      <c r="N31" s="1013"/>
      <c r="O31" s="1016"/>
    </row>
    <row r="32" spans="1:15" ht="13.5" thickBot="1" x14ac:dyDescent="0.3">
      <c r="A32" s="1009"/>
      <c r="B32" s="901" t="s">
        <v>526</v>
      </c>
      <c r="C32" s="891"/>
      <c r="D32" s="891"/>
      <c r="E32" s="891"/>
      <c r="F32" s="891"/>
      <c r="G32" s="891"/>
      <c r="H32" s="892">
        <v>0</v>
      </c>
      <c r="I32" s="887">
        <v>0</v>
      </c>
      <c r="J32" s="887">
        <v>0</v>
      </c>
      <c r="K32" s="910">
        <v>0</v>
      </c>
      <c r="L32" s="906">
        <f t="shared" si="2"/>
        <v>0</v>
      </c>
      <c r="M32" s="1371"/>
      <c r="N32" s="1013"/>
      <c r="O32" s="1016"/>
    </row>
    <row r="33" spans="1:15" ht="18" customHeight="1" thickBot="1" x14ac:dyDescent="0.3">
      <c r="A33" s="1009"/>
      <c r="B33" s="1381" t="s">
        <v>527</v>
      </c>
      <c r="C33" s="1382"/>
      <c r="D33" s="1382"/>
      <c r="E33" s="1382"/>
      <c r="F33" s="1382"/>
      <c r="G33" s="1383"/>
      <c r="H33" s="894">
        <f>SUM(H26:H32)</f>
        <v>0</v>
      </c>
      <c r="I33" s="894">
        <f>SUM(I26:I32)</f>
        <v>0</v>
      </c>
      <c r="J33" s="894">
        <f>SUM(J26:J32)</f>
        <v>0</v>
      </c>
      <c r="K33" s="895">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528</v>
      </c>
      <c r="C35" s="897"/>
      <c r="D35" s="897"/>
      <c r="E35" s="897"/>
      <c r="F35" s="897"/>
      <c r="G35" s="897"/>
      <c r="H35" s="899">
        <v>0</v>
      </c>
      <c r="I35" s="899">
        <v>0</v>
      </c>
      <c r="J35" s="899">
        <v>0</v>
      </c>
      <c r="K35" s="899">
        <v>0</v>
      </c>
      <c r="L35" s="900">
        <f t="shared" ref="L35:L40" si="3">SUM(H35:K35)</f>
        <v>0</v>
      </c>
      <c r="M35" s="1371"/>
      <c r="N35" s="1013"/>
      <c r="O35" s="1016"/>
    </row>
    <row r="36" spans="1:15" x14ac:dyDescent="0.25">
      <c r="A36" s="1009"/>
      <c r="B36" s="901" t="s">
        <v>528</v>
      </c>
      <c r="C36" s="1161"/>
      <c r="D36" s="1161"/>
      <c r="E36" s="1161"/>
      <c r="F36" s="1161"/>
      <c r="G36" s="1161"/>
      <c r="H36" s="910">
        <v>0</v>
      </c>
      <c r="I36" s="910">
        <v>0</v>
      </c>
      <c r="J36" s="910">
        <v>0</v>
      </c>
      <c r="K36" s="910">
        <v>0</v>
      </c>
      <c r="L36" s="903">
        <f t="shared" si="3"/>
        <v>0</v>
      </c>
      <c r="M36" s="1371"/>
      <c r="N36" s="1013"/>
      <c r="O36" s="1016"/>
    </row>
    <row r="37" spans="1:15" x14ac:dyDescent="0.25">
      <c r="A37" s="1009"/>
      <c r="B37" s="901" t="s">
        <v>528</v>
      </c>
      <c r="C37" s="1161"/>
      <c r="D37" s="1161"/>
      <c r="E37" s="1161"/>
      <c r="F37" s="1161"/>
      <c r="G37" s="1161"/>
      <c r="H37" s="910">
        <v>0</v>
      </c>
      <c r="I37" s="910">
        <v>0</v>
      </c>
      <c r="J37" s="910">
        <v>0</v>
      </c>
      <c r="K37" s="910">
        <v>0</v>
      </c>
      <c r="L37" s="903">
        <f t="shared" si="3"/>
        <v>0</v>
      </c>
      <c r="M37" s="1371"/>
      <c r="N37" s="1013"/>
      <c r="O37" s="1016"/>
    </row>
    <row r="38" spans="1:15" x14ac:dyDescent="0.25">
      <c r="A38" s="1009"/>
      <c r="B38" s="901" t="s">
        <v>528</v>
      </c>
      <c r="C38" s="1161"/>
      <c r="D38" s="1161"/>
      <c r="E38" s="1161"/>
      <c r="F38" s="1161"/>
      <c r="G38" s="1161"/>
      <c r="H38" s="910">
        <v>0</v>
      </c>
      <c r="I38" s="910">
        <v>0</v>
      </c>
      <c r="J38" s="910">
        <v>0</v>
      </c>
      <c r="K38" s="910">
        <v>0</v>
      </c>
      <c r="L38" s="903">
        <f t="shared" si="3"/>
        <v>0</v>
      </c>
      <c r="M38" s="1371"/>
      <c r="N38" s="1013"/>
      <c r="O38" s="1016"/>
    </row>
    <row r="39" spans="1:15" x14ac:dyDescent="0.25">
      <c r="A39" s="1009"/>
      <c r="B39" s="901" t="s">
        <v>528</v>
      </c>
      <c r="C39" s="1161"/>
      <c r="D39" s="1161"/>
      <c r="E39" s="1161"/>
      <c r="F39" s="1161"/>
      <c r="G39" s="1161"/>
      <c r="H39" s="910">
        <v>0</v>
      </c>
      <c r="I39" s="910">
        <v>0</v>
      </c>
      <c r="J39" s="910">
        <v>0</v>
      </c>
      <c r="K39" s="910">
        <v>0</v>
      </c>
      <c r="L39" s="903">
        <f t="shared" si="3"/>
        <v>0</v>
      </c>
      <c r="M39" s="1371"/>
      <c r="N39" s="1013"/>
      <c r="O39" s="1016"/>
    </row>
    <row r="40" spans="1:15" ht="13.5" thickBot="1" x14ac:dyDescent="0.3">
      <c r="A40" s="1009"/>
      <c r="B40" s="901" t="s">
        <v>528</v>
      </c>
      <c r="C40" s="891"/>
      <c r="D40" s="891"/>
      <c r="E40" s="891"/>
      <c r="F40" s="891"/>
      <c r="G40" s="891"/>
      <c r="H40" s="910">
        <v>0</v>
      </c>
      <c r="I40" s="910">
        <v>0</v>
      </c>
      <c r="J40" s="910">
        <v>0</v>
      </c>
      <c r="K40" s="910">
        <v>0</v>
      </c>
      <c r="L40" s="906">
        <f t="shared" si="3"/>
        <v>0</v>
      </c>
      <c r="M40" s="1371"/>
      <c r="N40" s="1013"/>
      <c r="O40" s="1016"/>
    </row>
    <row r="41" spans="1:15" ht="18" customHeight="1" thickBot="1" x14ac:dyDescent="0.3">
      <c r="A41" s="1009"/>
      <c r="B41" s="1381" t="s">
        <v>529</v>
      </c>
      <c r="C41" s="1382"/>
      <c r="D41" s="1382"/>
      <c r="E41" s="1382"/>
      <c r="F41" s="1382"/>
      <c r="G41" s="1383"/>
      <c r="H41" s="894">
        <f>SUM(H35:H40)</f>
        <v>0</v>
      </c>
      <c r="I41" s="911">
        <f>SUM(I35:I40)</f>
        <v>0</v>
      </c>
      <c r="J41" s="911">
        <f>SUM(J35:J40)</f>
        <v>0</v>
      </c>
      <c r="K41" s="912">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530</v>
      </c>
      <c r="C43" s="897"/>
      <c r="D43" s="897"/>
      <c r="E43" s="897"/>
      <c r="F43" s="897"/>
      <c r="G43" s="897"/>
      <c r="H43" s="899">
        <v>0</v>
      </c>
      <c r="I43" s="899">
        <v>0</v>
      </c>
      <c r="J43" s="899">
        <v>0</v>
      </c>
      <c r="K43" s="899">
        <v>0</v>
      </c>
      <c r="L43" s="900">
        <f t="shared" ref="L43:L51" si="4">SUM(H43:K43)</f>
        <v>0</v>
      </c>
      <c r="M43" s="1371"/>
      <c r="N43" s="1013"/>
      <c r="O43" s="1016"/>
    </row>
    <row r="44" spans="1:15" x14ac:dyDescent="0.25">
      <c r="A44" s="1009"/>
      <c r="B44" s="901" t="s">
        <v>530</v>
      </c>
      <c r="C44" s="1161"/>
      <c r="D44" s="1161"/>
      <c r="E44" s="1161"/>
      <c r="F44" s="1161"/>
      <c r="G44" s="1161"/>
      <c r="H44" s="910">
        <v>0</v>
      </c>
      <c r="I44" s="910">
        <v>0</v>
      </c>
      <c r="J44" s="910">
        <v>0</v>
      </c>
      <c r="K44" s="910">
        <v>0</v>
      </c>
      <c r="L44" s="903">
        <f t="shared" si="4"/>
        <v>0</v>
      </c>
      <c r="M44" s="1371"/>
      <c r="N44" s="1013"/>
      <c r="O44" s="1016"/>
    </row>
    <row r="45" spans="1:15" x14ac:dyDescent="0.25">
      <c r="A45" s="1009"/>
      <c r="B45" s="901" t="s">
        <v>530</v>
      </c>
      <c r="C45" s="1161"/>
      <c r="D45" s="1161"/>
      <c r="E45" s="1161"/>
      <c r="F45" s="1161"/>
      <c r="G45" s="1161"/>
      <c r="H45" s="910">
        <v>0</v>
      </c>
      <c r="I45" s="910">
        <v>0</v>
      </c>
      <c r="J45" s="910">
        <v>0</v>
      </c>
      <c r="K45" s="910">
        <v>0</v>
      </c>
      <c r="L45" s="903">
        <f t="shared" si="4"/>
        <v>0</v>
      </c>
      <c r="M45" s="1371"/>
      <c r="N45" s="1013"/>
      <c r="O45" s="1016"/>
    </row>
    <row r="46" spans="1:15" x14ac:dyDescent="0.25">
      <c r="A46" s="1009"/>
      <c r="B46" s="901" t="s">
        <v>530</v>
      </c>
      <c r="C46" s="1161"/>
      <c r="D46" s="1161"/>
      <c r="E46" s="1161"/>
      <c r="F46" s="1161"/>
      <c r="G46" s="1161"/>
      <c r="H46" s="910">
        <v>0</v>
      </c>
      <c r="I46" s="910">
        <v>0</v>
      </c>
      <c r="J46" s="910">
        <v>0</v>
      </c>
      <c r="K46" s="910">
        <v>0</v>
      </c>
      <c r="L46" s="903">
        <f t="shared" si="4"/>
        <v>0</v>
      </c>
      <c r="M46" s="1371"/>
      <c r="N46" s="1013"/>
      <c r="O46" s="1016"/>
    </row>
    <row r="47" spans="1:15" x14ac:dyDescent="0.25">
      <c r="A47" s="1009"/>
      <c r="B47" s="901" t="s">
        <v>530</v>
      </c>
      <c r="C47" s="1161"/>
      <c r="D47" s="1161"/>
      <c r="E47" s="1161"/>
      <c r="F47" s="1161"/>
      <c r="G47" s="1161"/>
      <c r="H47" s="910">
        <v>0</v>
      </c>
      <c r="I47" s="910">
        <v>0</v>
      </c>
      <c r="J47" s="910">
        <v>0</v>
      </c>
      <c r="K47" s="910">
        <v>0</v>
      </c>
      <c r="L47" s="903">
        <f t="shared" si="4"/>
        <v>0</v>
      </c>
      <c r="M47" s="1371"/>
      <c r="N47" s="1013"/>
      <c r="O47" s="1016"/>
    </row>
    <row r="48" spans="1:15" x14ac:dyDescent="0.25">
      <c r="A48" s="1009"/>
      <c r="B48" s="901" t="s">
        <v>530</v>
      </c>
      <c r="C48" s="1161"/>
      <c r="D48" s="1161"/>
      <c r="E48" s="1161"/>
      <c r="F48" s="1161"/>
      <c r="G48" s="1161"/>
      <c r="H48" s="910">
        <v>0</v>
      </c>
      <c r="I48" s="910">
        <v>0</v>
      </c>
      <c r="J48" s="910">
        <v>0</v>
      </c>
      <c r="K48" s="910">
        <v>0</v>
      </c>
      <c r="L48" s="903">
        <f t="shared" si="4"/>
        <v>0</v>
      </c>
      <c r="M48" s="1371"/>
      <c r="N48" s="1013"/>
      <c r="O48" s="1016"/>
    </row>
    <row r="49" spans="1:15" x14ac:dyDescent="0.25">
      <c r="A49" s="1009"/>
      <c r="B49" s="901" t="s">
        <v>530</v>
      </c>
      <c r="C49" s="1161"/>
      <c r="D49" s="1161"/>
      <c r="E49" s="1161"/>
      <c r="F49" s="1161"/>
      <c r="G49" s="1161"/>
      <c r="H49" s="892">
        <v>0</v>
      </c>
      <c r="I49" s="887">
        <v>0</v>
      </c>
      <c r="J49" s="887">
        <v>0</v>
      </c>
      <c r="K49" s="910">
        <v>0</v>
      </c>
      <c r="L49" s="903">
        <f t="shared" si="4"/>
        <v>0</v>
      </c>
      <c r="M49" s="1371"/>
      <c r="N49" s="1013"/>
      <c r="O49" s="1016"/>
    </row>
    <row r="50" spans="1:15" x14ac:dyDescent="0.25">
      <c r="A50" s="1009"/>
      <c r="B50" s="901" t="s">
        <v>530</v>
      </c>
      <c r="C50" s="1161"/>
      <c r="D50" s="1161"/>
      <c r="E50" s="1161"/>
      <c r="F50" s="1161"/>
      <c r="G50" s="1161"/>
      <c r="H50" s="889">
        <v>0</v>
      </c>
      <c r="I50" s="889">
        <v>0</v>
      </c>
      <c r="J50" s="889">
        <v>0</v>
      </c>
      <c r="K50" s="902">
        <v>0</v>
      </c>
      <c r="L50" s="903">
        <f t="shared" si="4"/>
        <v>0</v>
      </c>
      <c r="M50" s="1371"/>
      <c r="N50" s="1013"/>
      <c r="O50" s="1016"/>
    </row>
    <row r="51" spans="1:15" ht="13.5" thickBot="1" x14ac:dyDescent="0.3">
      <c r="A51" s="1009"/>
      <c r="B51" s="913" t="s">
        <v>530</v>
      </c>
      <c r="C51" s="904"/>
      <c r="D51" s="904"/>
      <c r="E51" s="904"/>
      <c r="F51" s="904"/>
      <c r="G51" s="904"/>
      <c r="H51" s="914">
        <v>0</v>
      </c>
      <c r="I51" s="914">
        <v>0</v>
      </c>
      <c r="J51" s="914">
        <v>0</v>
      </c>
      <c r="K51" s="915">
        <v>0</v>
      </c>
      <c r="L51" s="906">
        <f t="shared" si="4"/>
        <v>0</v>
      </c>
      <c r="M51" s="1371"/>
      <c r="N51" s="1013"/>
      <c r="O51" s="1016"/>
    </row>
    <row r="52" spans="1:15" ht="20.5" customHeight="1" thickBot="1" x14ac:dyDescent="0.3">
      <c r="A52" s="1009"/>
      <c r="B52" s="1381" t="s">
        <v>531</v>
      </c>
      <c r="C52" s="1382"/>
      <c r="D52" s="1382"/>
      <c r="E52" s="1382"/>
      <c r="F52" s="1382"/>
      <c r="G52" s="1383"/>
      <c r="H52" s="908">
        <f>SUM(H43:H51)</f>
        <v>0</v>
      </c>
      <c r="I52" s="916">
        <f>SUM(I43:I51)</f>
        <v>0</v>
      </c>
      <c r="J52" s="917">
        <f>SUM(J43:J51)</f>
        <v>0</v>
      </c>
      <c r="K52" s="918">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532</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533</v>
      </c>
    </row>
    <row r="57" spans="1:15" ht="25.5" customHeight="1" thickBot="1" x14ac:dyDescent="0.3">
      <c r="A57" s="1011"/>
      <c r="B57" s="1014"/>
      <c r="C57" s="1014"/>
      <c r="D57" s="1014"/>
      <c r="E57" s="1014"/>
      <c r="F57" s="1014"/>
      <c r="G57" s="1014"/>
      <c r="H57" s="1014"/>
      <c r="I57" s="1014"/>
      <c r="J57" s="1014"/>
      <c r="K57" s="1015"/>
      <c r="L57" s="1014"/>
      <c r="M57" s="1014"/>
      <c r="N57" s="1014"/>
      <c r="O57" s="922">
        <f>'Phase 5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52:G52"/>
    <mergeCell ref="L52:L54"/>
    <mergeCell ref="B54:G54"/>
    <mergeCell ref="M17:M23"/>
    <mergeCell ref="B24:G24"/>
    <mergeCell ref="M26:M32"/>
    <mergeCell ref="B33:G33"/>
    <mergeCell ref="M35:M40"/>
    <mergeCell ref="B41:G41"/>
    <mergeCell ref="M43:M51"/>
    <mergeCell ref="B15:G15"/>
    <mergeCell ref="B2:C2"/>
    <mergeCell ref="I2:M4"/>
    <mergeCell ref="B6:C6"/>
    <mergeCell ref="H6:K6"/>
    <mergeCell ref="M8:M14"/>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39" t="s">
        <v>534</v>
      </c>
      <c r="B2" s="1340"/>
      <c r="C2" s="614" t="s">
        <v>317</v>
      </c>
      <c r="D2" s="1173"/>
      <c r="E2" s="954"/>
      <c r="F2" s="954"/>
      <c r="G2" s="954"/>
      <c r="H2" s="1173"/>
      <c r="I2" s="954"/>
      <c r="J2" s="954"/>
      <c r="K2" s="954"/>
      <c r="L2" s="1173"/>
      <c r="M2" s="954"/>
      <c r="N2" s="954"/>
      <c r="O2" s="954"/>
      <c r="P2" s="1173"/>
      <c r="Q2" s="954"/>
      <c r="R2" s="954"/>
      <c r="S2" s="954"/>
      <c r="T2" s="1173"/>
      <c r="U2" s="954"/>
      <c r="V2" s="954"/>
      <c r="W2" s="954"/>
      <c r="X2" s="1173"/>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73"/>
      <c r="E3" s="954"/>
      <c r="F3" s="954"/>
      <c r="G3" s="954"/>
      <c r="H3" s="1173"/>
      <c r="I3" s="954"/>
      <c r="J3" s="954"/>
      <c r="K3" s="954"/>
      <c r="L3" s="1173"/>
      <c r="M3" s="954"/>
      <c r="N3" s="954"/>
      <c r="O3" s="954"/>
      <c r="P3" s="1173"/>
      <c r="Q3" s="954"/>
      <c r="R3" s="954"/>
      <c r="S3" s="954"/>
      <c r="T3" s="1173"/>
      <c r="U3" s="954"/>
      <c r="V3" s="954"/>
      <c r="W3" s="954"/>
      <c r="X3" s="1173"/>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51" t="str">
        <f>General!D4</f>
        <v>Name</v>
      </c>
      <c r="C4" s="1351"/>
      <c r="D4" s="1173"/>
      <c r="E4" s="1338"/>
      <c r="F4" s="1338"/>
      <c r="G4" s="1338"/>
      <c r="H4" s="1173"/>
      <c r="I4" s="1338"/>
      <c r="J4" s="1338"/>
      <c r="K4" s="1338"/>
      <c r="L4" s="1173"/>
      <c r="M4" s="1338"/>
      <c r="N4" s="1338"/>
      <c r="O4" s="1338"/>
      <c r="P4" s="1173"/>
      <c r="Q4" s="1338"/>
      <c r="R4" s="1338"/>
      <c r="S4" s="1338"/>
      <c r="T4" s="1173"/>
      <c r="U4" s="1338"/>
      <c r="V4" s="1338"/>
      <c r="W4" s="1338"/>
      <c r="X4" s="1173"/>
      <c r="Y4" s="1338"/>
      <c r="Z4" s="1338"/>
      <c r="AA4" s="1338"/>
      <c r="AB4" s="1171"/>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51" t="str">
        <f>General!D5</f>
        <v>Name</v>
      </c>
      <c r="C5" s="1351"/>
      <c r="D5" s="957"/>
      <c r="E5" s="957"/>
      <c r="F5" s="957"/>
      <c r="G5" s="957"/>
      <c r="H5" s="1173"/>
      <c r="I5" s="957"/>
      <c r="J5" s="957"/>
      <c r="K5" s="957"/>
      <c r="L5" s="1173"/>
      <c r="M5" s="957"/>
      <c r="N5" s="957"/>
      <c r="O5" s="957"/>
      <c r="P5" s="1173"/>
      <c r="Q5" s="957"/>
      <c r="R5" s="957"/>
      <c r="S5" s="957"/>
      <c r="T5" s="1173"/>
      <c r="U5" s="957"/>
      <c r="V5" s="957"/>
      <c r="W5" s="957"/>
      <c r="X5" s="1173"/>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356"/>
      <c r="BH5" s="1356"/>
      <c r="BI5" s="1356"/>
    </row>
    <row r="6" spans="1:61" ht="24" customHeight="1" x14ac:dyDescent="0.25">
      <c r="A6" s="958"/>
      <c r="B6" s="959"/>
      <c r="C6" s="959"/>
      <c r="D6" s="957"/>
      <c r="E6" s="1335" t="str">
        <f>Period1_Label</f>
        <v>FY 1</v>
      </c>
      <c r="F6" s="1336"/>
      <c r="G6" s="1337"/>
      <c r="H6" s="1173"/>
      <c r="I6" s="1335" t="str">
        <f>Period2_Label</f>
        <v>FY 2</v>
      </c>
      <c r="J6" s="1336"/>
      <c r="K6" s="1337"/>
      <c r="L6" s="1173"/>
      <c r="M6" s="1335" t="str">
        <f>Period3_Label</f>
        <v>FY 3</v>
      </c>
      <c r="N6" s="1336"/>
      <c r="O6" s="1337"/>
      <c r="P6" s="1173"/>
      <c r="Q6" s="1335" t="str">
        <f>Period4_Label</f>
        <v>FY 4</v>
      </c>
      <c r="R6" s="1336"/>
      <c r="S6" s="1337"/>
      <c r="T6" s="1173"/>
      <c r="U6" s="1335" t="str">
        <f>Period5_Label</f>
        <v>FY 5</v>
      </c>
      <c r="V6" s="1336"/>
      <c r="W6" s="1337"/>
      <c r="X6" s="1173"/>
      <c r="Y6" s="1335" t="str">
        <f>Period6_Label</f>
        <v>FY 6</v>
      </c>
      <c r="Z6" s="1336"/>
      <c r="AA6" s="1337"/>
      <c r="AB6" s="971"/>
      <c r="AC6" s="1360" t="s">
        <v>320</v>
      </c>
      <c r="AD6" s="1361"/>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34" t="s">
        <v>321</v>
      </c>
      <c r="B7" s="1334"/>
      <c r="C7" s="1334"/>
      <c r="D7" s="957"/>
      <c r="E7" s="1295" t="str">
        <f>CONCATENATE(TEXT('Proposer Constants'!C14,"MM/DD/YY")," to ",TEXT('Proposer Constants'!C15,"MM/DD/YY"))</f>
        <v>06/01/25 to 05/31/26</v>
      </c>
      <c r="F7" s="1295"/>
      <c r="G7" s="1295"/>
      <c r="H7" s="1173"/>
      <c r="I7" s="1295" t="str">
        <f>CONCATENATE(TEXT('Proposer Constants'!D14,"MM/DD/YY")," to ",TEXT('Proposer Constants'!D15,"MM/DD/YY"))</f>
        <v>06/01/26 to 05/31/27</v>
      </c>
      <c r="J7" s="1295"/>
      <c r="K7" s="1295"/>
      <c r="L7" s="1173"/>
      <c r="M7" s="1295" t="str">
        <f>CONCATENATE(TEXT('Proposer Constants'!E14,"MM/DD/YY")," to ",TEXT('Proposer Constants'!E15,"MM/DD/YY"))</f>
        <v>06/01/27 to 05/31/28</v>
      </c>
      <c r="N7" s="1295"/>
      <c r="O7" s="1295"/>
      <c r="P7" s="1173"/>
      <c r="Q7" s="1295" t="str">
        <f>CONCATENATE(TEXT('Proposer Constants'!F14,"MM/DD/YY")," to ",TEXT('Proposer Constants'!F15,"MM/DD/YY"))</f>
        <v>06/01/28 to 05/31/29</v>
      </c>
      <c r="R7" s="1295"/>
      <c r="S7" s="1295"/>
      <c r="T7" s="1173"/>
      <c r="U7" s="1295" t="str">
        <f>CONCATENATE(TEXT('Proposer Constants'!G14,"MM/DD/YY")," to ",TEXT('Proposer Constants'!G15,"MM/DD/YY"))</f>
        <v>06/01/29 to 05/31/30</v>
      </c>
      <c r="V7" s="1295"/>
      <c r="W7" s="1295"/>
      <c r="X7" s="1173"/>
      <c r="Y7" s="1295" t="str">
        <f>CONCATENATE(TEXT('Proposer Constants'!H14,"MM/DD/YY")," to ",TEXT('Proposer Constants'!H15,"MM/DD/YY"))</f>
        <v>06/01/30 to 05/31/31</v>
      </c>
      <c r="Z7" s="1295"/>
      <c r="AA7" s="1295"/>
      <c r="AB7" s="972"/>
      <c r="AC7" s="1358" t="s">
        <v>322</v>
      </c>
      <c r="AD7" s="1359"/>
      <c r="AE7" s="955"/>
      <c r="AF7" s="801"/>
      <c r="AG7" s="801"/>
      <c r="AH7" s="801"/>
      <c r="AI7" s="801"/>
      <c r="AL7" s="801"/>
      <c r="AM7" s="804"/>
      <c r="AN7" s="801"/>
      <c r="AO7" s="801"/>
      <c r="AP7" s="801"/>
      <c r="AQ7" s="801"/>
      <c r="AS7" s="803"/>
      <c r="AT7" s="801"/>
      <c r="AU7" s="804"/>
      <c r="AV7" s="801"/>
    </row>
    <row r="8" spans="1:61" s="616" customFormat="1" ht="31.5" customHeight="1" x14ac:dyDescent="0.25">
      <c r="A8" s="1352" t="s">
        <v>323</v>
      </c>
      <c r="B8" s="1353"/>
      <c r="C8" s="1098" t="s">
        <v>324</v>
      </c>
      <c r="D8" s="960"/>
      <c r="E8" s="617" t="s">
        <v>325</v>
      </c>
      <c r="F8" s="617" t="s">
        <v>326</v>
      </c>
      <c r="G8" s="617" t="s">
        <v>327</v>
      </c>
      <c r="H8" s="1173"/>
      <c r="I8" s="617" t="s">
        <v>325</v>
      </c>
      <c r="J8" s="617" t="s">
        <v>326</v>
      </c>
      <c r="K8" s="617" t="s">
        <v>327</v>
      </c>
      <c r="L8" s="1173"/>
      <c r="M8" s="617" t="s">
        <v>325</v>
      </c>
      <c r="N8" s="617" t="s">
        <v>326</v>
      </c>
      <c r="O8" s="617" t="s">
        <v>327</v>
      </c>
      <c r="P8" s="1173"/>
      <c r="Q8" s="617" t="s">
        <v>325</v>
      </c>
      <c r="R8" s="617" t="s">
        <v>326</v>
      </c>
      <c r="S8" s="617" t="s">
        <v>327</v>
      </c>
      <c r="T8" s="1173"/>
      <c r="U8" s="617" t="s">
        <v>325</v>
      </c>
      <c r="V8" s="617" t="s">
        <v>326</v>
      </c>
      <c r="W8" s="617" t="s">
        <v>327</v>
      </c>
      <c r="X8" s="1173"/>
      <c r="Y8" s="617" t="s">
        <v>325</v>
      </c>
      <c r="Z8" s="617" t="s">
        <v>326</v>
      </c>
      <c r="AA8" s="617" t="s">
        <v>327</v>
      </c>
      <c r="AB8" s="973"/>
      <c r="AC8" s="617" t="s">
        <v>328</v>
      </c>
      <c r="AD8" s="617" t="s">
        <v>329</v>
      </c>
      <c r="AE8" s="955"/>
    </row>
    <row r="9" spans="1:61" ht="15" customHeight="1" x14ac:dyDescent="0.25">
      <c r="A9" s="1328" t="str">
        <f>IF(ISBLANK('Labor Rates'!D8),"",'Labor Rates'!D8)</f>
        <v/>
      </c>
      <c r="B9" s="1329"/>
      <c r="C9" s="946" t="str">
        <f>IF(ISBLANK('Labor Rates'!E8),"",'Labor Rates'!E8)</f>
        <v/>
      </c>
      <c r="D9" s="957"/>
      <c r="E9" s="790">
        <v>0</v>
      </c>
      <c r="F9" s="618">
        <f>'Labor Rates'!F8</f>
        <v>0</v>
      </c>
      <c r="G9" s="619">
        <f>E9*F9</f>
        <v>0</v>
      </c>
      <c r="H9" s="1173"/>
      <c r="I9" s="790">
        <v>0</v>
      </c>
      <c r="J9" s="618">
        <f>'Labor Rates'!H8</f>
        <v>0</v>
      </c>
      <c r="K9" s="619">
        <f>I9*J9</f>
        <v>0</v>
      </c>
      <c r="L9" s="1173"/>
      <c r="M9" s="790">
        <v>0</v>
      </c>
      <c r="N9" s="618">
        <f>'Labor Rates'!J8</f>
        <v>0</v>
      </c>
      <c r="O9" s="619">
        <f>M9*N9</f>
        <v>0</v>
      </c>
      <c r="P9" s="1173"/>
      <c r="Q9" s="790">
        <v>0</v>
      </c>
      <c r="R9" s="618">
        <f>'Labor Rates'!L8</f>
        <v>0</v>
      </c>
      <c r="S9" s="619">
        <f>Q9*R9</f>
        <v>0</v>
      </c>
      <c r="T9" s="1173"/>
      <c r="U9" s="790">
        <v>0</v>
      </c>
      <c r="V9" s="618">
        <f>'Labor Rates'!N8</f>
        <v>0</v>
      </c>
      <c r="W9" s="619">
        <f>U9*V9</f>
        <v>0</v>
      </c>
      <c r="X9" s="1173"/>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28" t="str">
        <f>IF(ISBLANK('Labor Rates'!D9),"",'Labor Rates'!D9)</f>
        <v/>
      </c>
      <c r="B10" s="1329"/>
      <c r="C10" s="946" t="str">
        <f>IF(ISBLANK('Labor Rates'!E9),"",'Labor Rates'!E9)</f>
        <v/>
      </c>
      <c r="D10" s="957"/>
      <c r="E10" s="790">
        <v>0</v>
      </c>
      <c r="F10" s="618">
        <f>'Labor Rates'!F9</f>
        <v>0</v>
      </c>
      <c r="G10" s="619">
        <f t="shared" ref="G10:G32" si="2">E10*F10</f>
        <v>0</v>
      </c>
      <c r="H10" s="1173"/>
      <c r="I10" s="790">
        <v>0</v>
      </c>
      <c r="J10" s="618">
        <f>'Labor Rates'!H9</f>
        <v>0</v>
      </c>
      <c r="K10" s="619">
        <f t="shared" ref="K10:K32" si="3">I10*J10</f>
        <v>0</v>
      </c>
      <c r="L10" s="1173"/>
      <c r="M10" s="790">
        <v>0</v>
      </c>
      <c r="N10" s="618">
        <f>'Labor Rates'!J9</f>
        <v>0</v>
      </c>
      <c r="O10" s="619">
        <f t="shared" ref="O10:O32" si="4">M10*N10</f>
        <v>0</v>
      </c>
      <c r="P10" s="1173"/>
      <c r="Q10" s="790">
        <v>0</v>
      </c>
      <c r="R10" s="618">
        <f>'Labor Rates'!L9</f>
        <v>0</v>
      </c>
      <c r="S10" s="619">
        <f t="shared" ref="S10:S32" si="5">Q10*R10</f>
        <v>0</v>
      </c>
      <c r="T10" s="1173"/>
      <c r="U10" s="790">
        <v>0</v>
      </c>
      <c r="V10" s="618">
        <f>'Labor Rates'!N9</f>
        <v>0</v>
      </c>
      <c r="W10" s="619">
        <f t="shared" ref="W10:W32" si="6">U10*V10</f>
        <v>0</v>
      </c>
      <c r="X10" s="1173"/>
      <c r="Y10" s="790">
        <v>0</v>
      </c>
      <c r="Z10" s="618">
        <f>'Labor Rates'!P9</f>
        <v>0</v>
      </c>
      <c r="AA10" s="619">
        <f t="shared" ref="AA10:AA32" si="7">Y10*Z10</f>
        <v>0</v>
      </c>
      <c r="AB10" s="974"/>
      <c r="AC10" s="1002">
        <f t="shared" si="0"/>
        <v>0</v>
      </c>
      <c r="AD10" s="619">
        <f t="shared" si="1"/>
        <v>0</v>
      </c>
      <c r="AE10" s="955"/>
    </row>
    <row r="11" spans="1:61" ht="15" customHeight="1" x14ac:dyDescent="0.25">
      <c r="A11" s="1328" t="str">
        <f>IF(ISBLANK('Labor Rates'!D10),"",'Labor Rates'!D10)</f>
        <v/>
      </c>
      <c r="B11" s="1329"/>
      <c r="C11" s="946" t="str">
        <f>IF(ISBLANK('Labor Rates'!E10),"",'Labor Rates'!E10)</f>
        <v/>
      </c>
      <c r="D11" s="957"/>
      <c r="E11" s="790">
        <v>0</v>
      </c>
      <c r="F11" s="618">
        <f>'Labor Rates'!F10</f>
        <v>0</v>
      </c>
      <c r="G11" s="619">
        <f t="shared" si="2"/>
        <v>0</v>
      </c>
      <c r="H11" s="1173"/>
      <c r="I11" s="790">
        <v>0</v>
      </c>
      <c r="J11" s="618">
        <f>'Labor Rates'!H10</f>
        <v>0</v>
      </c>
      <c r="K11" s="619">
        <f t="shared" si="3"/>
        <v>0</v>
      </c>
      <c r="L11" s="1173"/>
      <c r="M11" s="790">
        <v>0</v>
      </c>
      <c r="N11" s="618">
        <f>'Labor Rates'!J10</f>
        <v>0</v>
      </c>
      <c r="O11" s="619">
        <f t="shared" si="4"/>
        <v>0</v>
      </c>
      <c r="P11" s="1173"/>
      <c r="Q11" s="790">
        <v>0</v>
      </c>
      <c r="R11" s="618">
        <f>'Labor Rates'!L10</f>
        <v>0</v>
      </c>
      <c r="S11" s="619">
        <f t="shared" si="5"/>
        <v>0</v>
      </c>
      <c r="T11" s="1173"/>
      <c r="U11" s="790">
        <v>0</v>
      </c>
      <c r="V11" s="618">
        <f>'Labor Rates'!N10</f>
        <v>0</v>
      </c>
      <c r="W11" s="619">
        <f t="shared" si="6"/>
        <v>0</v>
      </c>
      <c r="X11" s="1173"/>
      <c r="Y11" s="790">
        <v>0</v>
      </c>
      <c r="Z11" s="618">
        <f>'Labor Rates'!P10</f>
        <v>0</v>
      </c>
      <c r="AA11" s="619">
        <f t="shared" si="7"/>
        <v>0</v>
      </c>
      <c r="AB11" s="974"/>
      <c r="AC11" s="1002">
        <f t="shared" si="0"/>
        <v>0</v>
      </c>
      <c r="AD11" s="619">
        <f t="shared" si="1"/>
        <v>0</v>
      </c>
      <c r="AE11" s="955"/>
    </row>
    <row r="12" spans="1:61" ht="15" customHeight="1" x14ac:dyDescent="0.25">
      <c r="A12" s="1328" t="str">
        <f>IF(ISBLANK('Labor Rates'!D11),"",'Labor Rates'!D11)</f>
        <v/>
      </c>
      <c r="B12" s="1329"/>
      <c r="C12" s="946" t="str">
        <f>IF(ISBLANK('Labor Rates'!E11),"",'Labor Rates'!E11)</f>
        <v/>
      </c>
      <c r="D12" s="957"/>
      <c r="E12" s="790">
        <v>0</v>
      </c>
      <c r="F12" s="618">
        <f>'Labor Rates'!F11</f>
        <v>0</v>
      </c>
      <c r="G12" s="619">
        <f t="shared" si="2"/>
        <v>0</v>
      </c>
      <c r="H12" s="1173"/>
      <c r="I12" s="790">
        <v>0</v>
      </c>
      <c r="J12" s="618">
        <f>'Labor Rates'!H11</f>
        <v>0</v>
      </c>
      <c r="K12" s="619">
        <f t="shared" si="3"/>
        <v>0</v>
      </c>
      <c r="L12" s="1173"/>
      <c r="M12" s="790">
        <v>0</v>
      </c>
      <c r="N12" s="618">
        <f>'Labor Rates'!J11</f>
        <v>0</v>
      </c>
      <c r="O12" s="619">
        <f t="shared" si="4"/>
        <v>0</v>
      </c>
      <c r="P12" s="1173"/>
      <c r="Q12" s="790">
        <v>0</v>
      </c>
      <c r="R12" s="618">
        <f>'Labor Rates'!L11</f>
        <v>0</v>
      </c>
      <c r="S12" s="619">
        <f t="shared" si="5"/>
        <v>0</v>
      </c>
      <c r="T12" s="1173"/>
      <c r="U12" s="790">
        <v>0</v>
      </c>
      <c r="V12" s="618">
        <f>'Labor Rates'!N11</f>
        <v>0</v>
      </c>
      <c r="W12" s="619">
        <f t="shared" si="6"/>
        <v>0</v>
      </c>
      <c r="X12" s="1173"/>
      <c r="Y12" s="790">
        <v>0</v>
      </c>
      <c r="Z12" s="618">
        <f>'Labor Rates'!P11</f>
        <v>0</v>
      </c>
      <c r="AA12" s="619">
        <f t="shared" si="7"/>
        <v>0</v>
      </c>
      <c r="AB12" s="974"/>
      <c r="AC12" s="1002">
        <f t="shared" si="0"/>
        <v>0</v>
      </c>
      <c r="AD12" s="619">
        <f t="shared" si="1"/>
        <v>0</v>
      </c>
      <c r="AE12" s="955"/>
    </row>
    <row r="13" spans="1:61" ht="15" customHeight="1" x14ac:dyDescent="0.25">
      <c r="A13" s="1328" t="str">
        <f>IF(ISBLANK('Labor Rates'!D12),"",'Labor Rates'!D12)</f>
        <v/>
      </c>
      <c r="B13" s="1329"/>
      <c r="C13" s="946" t="str">
        <f>IF(ISBLANK('Labor Rates'!E12),"",'Labor Rates'!E12)</f>
        <v/>
      </c>
      <c r="D13" s="957"/>
      <c r="E13" s="790">
        <v>0</v>
      </c>
      <c r="F13" s="618">
        <f>'Labor Rates'!F12</f>
        <v>0</v>
      </c>
      <c r="G13" s="619">
        <f t="shared" si="2"/>
        <v>0</v>
      </c>
      <c r="H13" s="1173"/>
      <c r="I13" s="790">
        <v>0</v>
      </c>
      <c r="J13" s="618">
        <f>'Labor Rates'!H12</f>
        <v>0</v>
      </c>
      <c r="K13" s="619">
        <f t="shared" si="3"/>
        <v>0</v>
      </c>
      <c r="L13" s="1173"/>
      <c r="M13" s="790">
        <v>0</v>
      </c>
      <c r="N13" s="618">
        <f>'Labor Rates'!J12</f>
        <v>0</v>
      </c>
      <c r="O13" s="619">
        <f t="shared" si="4"/>
        <v>0</v>
      </c>
      <c r="P13" s="1173"/>
      <c r="Q13" s="790">
        <v>0</v>
      </c>
      <c r="R13" s="618">
        <f>'Labor Rates'!L12</f>
        <v>0</v>
      </c>
      <c r="S13" s="619">
        <f t="shared" si="5"/>
        <v>0</v>
      </c>
      <c r="T13" s="1173"/>
      <c r="U13" s="790">
        <v>0</v>
      </c>
      <c r="V13" s="618">
        <f>'Labor Rates'!N12</f>
        <v>0</v>
      </c>
      <c r="W13" s="619">
        <f t="shared" si="6"/>
        <v>0</v>
      </c>
      <c r="X13" s="1173"/>
      <c r="Y13" s="790">
        <v>0</v>
      </c>
      <c r="Z13" s="618">
        <f>'Labor Rates'!P12</f>
        <v>0</v>
      </c>
      <c r="AA13" s="619">
        <f t="shared" si="7"/>
        <v>0</v>
      </c>
      <c r="AB13" s="974"/>
      <c r="AC13" s="1002">
        <f t="shared" si="0"/>
        <v>0</v>
      </c>
      <c r="AD13" s="619">
        <f t="shared" si="1"/>
        <v>0</v>
      </c>
      <c r="AE13" s="955"/>
    </row>
    <row r="14" spans="1:61" ht="15" customHeight="1" x14ac:dyDescent="0.25">
      <c r="A14" s="1328" t="str">
        <f>IF(ISBLANK('Labor Rates'!D13),"",'Labor Rates'!D13)</f>
        <v/>
      </c>
      <c r="B14" s="1329"/>
      <c r="C14" s="946" t="str">
        <f>IF(ISBLANK('Labor Rates'!E13),"",'Labor Rates'!E13)</f>
        <v/>
      </c>
      <c r="D14" s="957"/>
      <c r="E14" s="790">
        <v>0</v>
      </c>
      <c r="F14" s="618">
        <f>'Labor Rates'!F13</f>
        <v>0</v>
      </c>
      <c r="G14" s="619">
        <f t="shared" si="2"/>
        <v>0</v>
      </c>
      <c r="H14" s="1173"/>
      <c r="I14" s="790">
        <v>0</v>
      </c>
      <c r="J14" s="618">
        <f>'Labor Rates'!H13</f>
        <v>0</v>
      </c>
      <c r="K14" s="619">
        <f t="shared" si="3"/>
        <v>0</v>
      </c>
      <c r="L14" s="1173"/>
      <c r="M14" s="790">
        <v>0</v>
      </c>
      <c r="N14" s="618">
        <f>'Labor Rates'!J13</f>
        <v>0</v>
      </c>
      <c r="O14" s="619">
        <f t="shared" si="4"/>
        <v>0</v>
      </c>
      <c r="P14" s="1173"/>
      <c r="Q14" s="790">
        <v>0</v>
      </c>
      <c r="R14" s="618">
        <f>'Labor Rates'!L13</f>
        <v>0</v>
      </c>
      <c r="S14" s="619">
        <f t="shared" si="5"/>
        <v>0</v>
      </c>
      <c r="T14" s="1173"/>
      <c r="U14" s="790">
        <v>0</v>
      </c>
      <c r="V14" s="618">
        <f>'Labor Rates'!N13</f>
        <v>0</v>
      </c>
      <c r="W14" s="619">
        <f t="shared" si="6"/>
        <v>0</v>
      </c>
      <c r="X14" s="1173"/>
      <c r="Y14" s="790">
        <v>0</v>
      </c>
      <c r="Z14" s="618">
        <f>'Labor Rates'!P13</f>
        <v>0</v>
      </c>
      <c r="AA14" s="619">
        <f t="shared" si="7"/>
        <v>0</v>
      </c>
      <c r="AB14" s="974"/>
      <c r="AC14" s="1002">
        <f t="shared" si="0"/>
        <v>0</v>
      </c>
      <c r="AD14" s="619">
        <f t="shared" si="1"/>
        <v>0</v>
      </c>
      <c r="AE14" s="955"/>
    </row>
    <row r="15" spans="1:61" ht="15" customHeight="1" x14ac:dyDescent="0.25">
      <c r="A15" s="1328" t="str">
        <f>IF(ISBLANK('Labor Rates'!D14),"",'Labor Rates'!D14)</f>
        <v/>
      </c>
      <c r="B15" s="1329"/>
      <c r="C15" s="946" t="str">
        <f>IF(ISBLANK('Labor Rates'!E14),"",'Labor Rates'!E14)</f>
        <v/>
      </c>
      <c r="D15" s="957"/>
      <c r="E15" s="790">
        <v>0</v>
      </c>
      <c r="F15" s="618">
        <f>'Labor Rates'!F14</f>
        <v>0</v>
      </c>
      <c r="G15" s="619">
        <f t="shared" si="2"/>
        <v>0</v>
      </c>
      <c r="H15" s="1173"/>
      <c r="I15" s="790">
        <v>0</v>
      </c>
      <c r="J15" s="618">
        <f>'Labor Rates'!H14</f>
        <v>0</v>
      </c>
      <c r="K15" s="619">
        <f t="shared" si="3"/>
        <v>0</v>
      </c>
      <c r="L15" s="1173"/>
      <c r="M15" s="790">
        <v>0</v>
      </c>
      <c r="N15" s="618">
        <f>'Labor Rates'!J14</f>
        <v>0</v>
      </c>
      <c r="O15" s="619">
        <f t="shared" si="4"/>
        <v>0</v>
      </c>
      <c r="P15" s="1173"/>
      <c r="Q15" s="790">
        <v>0</v>
      </c>
      <c r="R15" s="618">
        <f>'Labor Rates'!L14</f>
        <v>0</v>
      </c>
      <c r="S15" s="619">
        <f t="shared" si="5"/>
        <v>0</v>
      </c>
      <c r="T15" s="1173"/>
      <c r="U15" s="790">
        <v>0</v>
      </c>
      <c r="V15" s="618">
        <f>'Labor Rates'!N14</f>
        <v>0</v>
      </c>
      <c r="W15" s="619">
        <f t="shared" si="6"/>
        <v>0</v>
      </c>
      <c r="X15" s="1173"/>
      <c r="Y15" s="790">
        <v>0</v>
      </c>
      <c r="Z15" s="618">
        <f>'Labor Rates'!P14</f>
        <v>0</v>
      </c>
      <c r="AA15" s="619">
        <f t="shared" si="7"/>
        <v>0</v>
      </c>
      <c r="AB15" s="974"/>
      <c r="AC15" s="1002">
        <f t="shared" si="0"/>
        <v>0</v>
      </c>
      <c r="AD15" s="619">
        <f t="shared" si="1"/>
        <v>0</v>
      </c>
      <c r="AE15" s="955"/>
    </row>
    <row r="16" spans="1:61" ht="15" customHeight="1" x14ac:dyDescent="0.25">
      <c r="A16" s="1328" t="str">
        <f>IF(ISBLANK('Labor Rates'!D15),"",'Labor Rates'!D15)</f>
        <v/>
      </c>
      <c r="B16" s="1329"/>
      <c r="C16" s="946" t="str">
        <f>IF(ISBLANK('Labor Rates'!E15),"",'Labor Rates'!E15)</f>
        <v/>
      </c>
      <c r="D16" s="957"/>
      <c r="E16" s="790">
        <v>0</v>
      </c>
      <c r="F16" s="618">
        <f>'Labor Rates'!F15</f>
        <v>0</v>
      </c>
      <c r="G16" s="619">
        <f t="shared" si="2"/>
        <v>0</v>
      </c>
      <c r="H16" s="1173"/>
      <c r="I16" s="790">
        <v>0</v>
      </c>
      <c r="J16" s="618">
        <f>'Labor Rates'!H15</f>
        <v>0</v>
      </c>
      <c r="K16" s="619">
        <f t="shared" si="3"/>
        <v>0</v>
      </c>
      <c r="L16" s="1173"/>
      <c r="M16" s="790">
        <v>0</v>
      </c>
      <c r="N16" s="618">
        <f>'Labor Rates'!J15</f>
        <v>0</v>
      </c>
      <c r="O16" s="619">
        <f t="shared" si="4"/>
        <v>0</v>
      </c>
      <c r="P16" s="1173"/>
      <c r="Q16" s="790">
        <v>0</v>
      </c>
      <c r="R16" s="618">
        <f>'Labor Rates'!L15</f>
        <v>0</v>
      </c>
      <c r="S16" s="619">
        <f t="shared" si="5"/>
        <v>0</v>
      </c>
      <c r="T16" s="1173"/>
      <c r="U16" s="790">
        <v>0</v>
      </c>
      <c r="V16" s="618">
        <f>'Labor Rates'!N15</f>
        <v>0</v>
      </c>
      <c r="W16" s="619">
        <f t="shared" si="6"/>
        <v>0</v>
      </c>
      <c r="X16" s="1173"/>
      <c r="Y16" s="790">
        <v>0</v>
      </c>
      <c r="Z16" s="618">
        <f>'Labor Rates'!P15</f>
        <v>0</v>
      </c>
      <c r="AA16" s="619">
        <f t="shared" si="7"/>
        <v>0</v>
      </c>
      <c r="AB16" s="974"/>
      <c r="AC16" s="1002">
        <f t="shared" si="0"/>
        <v>0</v>
      </c>
      <c r="AD16" s="619">
        <f t="shared" si="1"/>
        <v>0</v>
      </c>
      <c r="AE16" s="955"/>
    </row>
    <row r="17" spans="1:31" ht="15" customHeight="1" x14ac:dyDescent="0.25">
      <c r="A17" s="1328" t="str">
        <f>IF(ISBLANK('Labor Rates'!D16),"",'Labor Rates'!D16)</f>
        <v/>
      </c>
      <c r="B17" s="1329"/>
      <c r="C17" s="947" t="str">
        <f>IF(ISBLANK('Labor Rates'!E16),"",'Labor Rates'!E16)</f>
        <v/>
      </c>
      <c r="D17" s="957"/>
      <c r="E17" s="790">
        <v>0</v>
      </c>
      <c r="F17" s="618">
        <f>'Labor Rates'!F16</f>
        <v>0</v>
      </c>
      <c r="G17" s="619">
        <f t="shared" si="2"/>
        <v>0</v>
      </c>
      <c r="H17" s="1173"/>
      <c r="I17" s="790">
        <v>0</v>
      </c>
      <c r="J17" s="618">
        <f>'Labor Rates'!H16</f>
        <v>0</v>
      </c>
      <c r="K17" s="619">
        <f t="shared" si="3"/>
        <v>0</v>
      </c>
      <c r="L17" s="1173"/>
      <c r="M17" s="790">
        <v>0</v>
      </c>
      <c r="N17" s="618">
        <f>'Labor Rates'!J16</f>
        <v>0</v>
      </c>
      <c r="O17" s="619">
        <f t="shared" si="4"/>
        <v>0</v>
      </c>
      <c r="P17" s="1173"/>
      <c r="Q17" s="790">
        <v>0</v>
      </c>
      <c r="R17" s="618">
        <f>'Labor Rates'!L16</f>
        <v>0</v>
      </c>
      <c r="S17" s="619">
        <f t="shared" si="5"/>
        <v>0</v>
      </c>
      <c r="T17" s="1173"/>
      <c r="U17" s="790">
        <v>0</v>
      </c>
      <c r="V17" s="618">
        <f>'Labor Rates'!N16</f>
        <v>0</v>
      </c>
      <c r="W17" s="619">
        <f t="shared" si="6"/>
        <v>0</v>
      </c>
      <c r="X17" s="1173"/>
      <c r="Y17" s="790">
        <v>0</v>
      </c>
      <c r="Z17" s="618">
        <f>'Labor Rates'!P16</f>
        <v>0</v>
      </c>
      <c r="AA17" s="619">
        <f t="shared" si="7"/>
        <v>0</v>
      </c>
      <c r="AB17" s="974"/>
      <c r="AC17" s="1002">
        <f t="shared" si="0"/>
        <v>0</v>
      </c>
      <c r="AD17" s="619">
        <f t="shared" si="1"/>
        <v>0</v>
      </c>
      <c r="AE17" s="955"/>
    </row>
    <row r="18" spans="1:31" ht="15" customHeight="1" x14ac:dyDescent="0.25">
      <c r="A18" s="1328" t="str">
        <f>IF(ISBLANK('Labor Rates'!D17),"",'Labor Rates'!D17)</f>
        <v/>
      </c>
      <c r="B18" s="1329"/>
      <c r="C18" s="947" t="str">
        <f>IF(ISBLANK('Labor Rates'!E17),"",'Labor Rates'!E17)</f>
        <v/>
      </c>
      <c r="D18" s="957"/>
      <c r="E18" s="790">
        <v>0</v>
      </c>
      <c r="F18" s="618">
        <f>'Labor Rates'!F17</f>
        <v>0</v>
      </c>
      <c r="G18" s="619">
        <f t="shared" si="2"/>
        <v>0</v>
      </c>
      <c r="H18" s="1173"/>
      <c r="I18" s="790">
        <v>0</v>
      </c>
      <c r="J18" s="618">
        <f>'Labor Rates'!H17</f>
        <v>0</v>
      </c>
      <c r="K18" s="619">
        <f t="shared" si="3"/>
        <v>0</v>
      </c>
      <c r="L18" s="1173"/>
      <c r="M18" s="790">
        <v>0</v>
      </c>
      <c r="N18" s="618">
        <f>'Labor Rates'!J17</f>
        <v>0</v>
      </c>
      <c r="O18" s="619">
        <f t="shared" si="4"/>
        <v>0</v>
      </c>
      <c r="P18" s="1173"/>
      <c r="Q18" s="790">
        <v>0</v>
      </c>
      <c r="R18" s="618">
        <f>'Labor Rates'!L17</f>
        <v>0</v>
      </c>
      <c r="S18" s="619">
        <f t="shared" si="5"/>
        <v>0</v>
      </c>
      <c r="T18" s="1173"/>
      <c r="U18" s="790">
        <v>0</v>
      </c>
      <c r="V18" s="618">
        <f>'Labor Rates'!N17</f>
        <v>0</v>
      </c>
      <c r="W18" s="619">
        <f t="shared" si="6"/>
        <v>0</v>
      </c>
      <c r="X18" s="1173"/>
      <c r="Y18" s="790">
        <v>0</v>
      </c>
      <c r="Z18" s="618">
        <f>'Labor Rates'!P17</f>
        <v>0</v>
      </c>
      <c r="AA18" s="619">
        <f t="shared" si="7"/>
        <v>0</v>
      </c>
      <c r="AB18" s="974"/>
      <c r="AC18" s="1002">
        <f t="shared" si="0"/>
        <v>0</v>
      </c>
      <c r="AD18" s="619">
        <f t="shared" si="1"/>
        <v>0</v>
      </c>
      <c r="AE18" s="955"/>
    </row>
    <row r="19" spans="1:31" ht="15" customHeight="1" x14ac:dyDescent="0.25">
      <c r="A19" s="1328" t="str">
        <f>IF(ISBLANK('Labor Rates'!D18),"",'Labor Rates'!D18)</f>
        <v/>
      </c>
      <c r="B19" s="1329"/>
      <c r="C19" s="947" t="str">
        <f>IF(ISBLANK('Labor Rates'!E18),"",'Labor Rates'!E18)</f>
        <v/>
      </c>
      <c r="D19" s="957"/>
      <c r="E19" s="790">
        <v>0</v>
      </c>
      <c r="F19" s="618">
        <f>'Labor Rates'!F18</f>
        <v>0</v>
      </c>
      <c r="G19" s="619">
        <f t="shared" si="2"/>
        <v>0</v>
      </c>
      <c r="H19" s="1173"/>
      <c r="I19" s="790">
        <v>0</v>
      </c>
      <c r="J19" s="618">
        <f>'Labor Rates'!H18</f>
        <v>0</v>
      </c>
      <c r="K19" s="619">
        <f t="shared" si="3"/>
        <v>0</v>
      </c>
      <c r="L19" s="1173"/>
      <c r="M19" s="790">
        <v>0</v>
      </c>
      <c r="N19" s="618">
        <f>'Labor Rates'!J18</f>
        <v>0</v>
      </c>
      <c r="O19" s="619">
        <f t="shared" si="4"/>
        <v>0</v>
      </c>
      <c r="P19" s="1173"/>
      <c r="Q19" s="790">
        <v>0</v>
      </c>
      <c r="R19" s="618">
        <f>'Labor Rates'!L18</f>
        <v>0</v>
      </c>
      <c r="S19" s="619">
        <f t="shared" si="5"/>
        <v>0</v>
      </c>
      <c r="T19" s="1173"/>
      <c r="U19" s="790">
        <v>0</v>
      </c>
      <c r="V19" s="618">
        <f>'Labor Rates'!N18</f>
        <v>0</v>
      </c>
      <c r="W19" s="619">
        <f t="shared" si="6"/>
        <v>0</v>
      </c>
      <c r="X19" s="1173"/>
      <c r="Y19" s="790">
        <v>0</v>
      </c>
      <c r="Z19" s="618">
        <f>'Labor Rates'!P18</f>
        <v>0</v>
      </c>
      <c r="AA19" s="619">
        <f t="shared" si="7"/>
        <v>0</v>
      </c>
      <c r="AB19" s="974"/>
      <c r="AC19" s="1002">
        <f t="shared" si="0"/>
        <v>0</v>
      </c>
      <c r="AD19" s="619">
        <f t="shared" si="1"/>
        <v>0</v>
      </c>
      <c r="AE19" s="955"/>
    </row>
    <row r="20" spans="1:31" ht="15" customHeight="1" x14ac:dyDescent="0.25">
      <c r="A20" s="1328" t="str">
        <f>IF(ISBLANK('Labor Rates'!D19),"",'Labor Rates'!D19)</f>
        <v/>
      </c>
      <c r="B20" s="1329"/>
      <c r="C20" s="947" t="str">
        <f>IF(ISBLANK('Labor Rates'!E19),"",'Labor Rates'!E19)</f>
        <v/>
      </c>
      <c r="D20" s="957"/>
      <c r="E20" s="790">
        <v>0</v>
      </c>
      <c r="F20" s="618">
        <f>'Labor Rates'!F19</f>
        <v>0</v>
      </c>
      <c r="G20" s="619">
        <f t="shared" si="2"/>
        <v>0</v>
      </c>
      <c r="H20" s="1173"/>
      <c r="I20" s="790">
        <v>0</v>
      </c>
      <c r="J20" s="618">
        <f>'Labor Rates'!H19</f>
        <v>0</v>
      </c>
      <c r="K20" s="619">
        <f t="shared" si="3"/>
        <v>0</v>
      </c>
      <c r="L20" s="1173"/>
      <c r="M20" s="790">
        <v>0</v>
      </c>
      <c r="N20" s="618">
        <f>'Labor Rates'!J19</f>
        <v>0</v>
      </c>
      <c r="O20" s="619">
        <f t="shared" si="4"/>
        <v>0</v>
      </c>
      <c r="P20" s="1173"/>
      <c r="Q20" s="790">
        <v>0</v>
      </c>
      <c r="R20" s="618">
        <f>'Labor Rates'!L19</f>
        <v>0</v>
      </c>
      <c r="S20" s="619">
        <f t="shared" si="5"/>
        <v>0</v>
      </c>
      <c r="T20" s="1173"/>
      <c r="U20" s="790">
        <v>0</v>
      </c>
      <c r="V20" s="618">
        <f>'Labor Rates'!N19</f>
        <v>0</v>
      </c>
      <c r="W20" s="619">
        <f t="shared" si="6"/>
        <v>0</v>
      </c>
      <c r="X20" s="1173"/>
      <c r="Y20" s="790">
        <v>0</v>
      </c>
      <c r="Z20" s="618">
        <f>'Labor Rates'!P19</f>
        <v>0</v>
      </c>
      <c r="AA20" s="619">
        <f t="shared" si="7"/>
        <v>0</v>
      </c>
      <c r="AB20" s="974"/>
      <c r="AC20" s="1002">
        <f t="shared" si="0"/>
        <v>0</v>
      </c>
      <c r="AD20" s="619">
        <f t="shared" si="1"/>
        <v>0</v>
      </c>
      <c r="AE20" s="955"/>
    </row>
    <row r="21" spans="1:31" ht="15" customHeight="1" x14ac:dyDescent="0.25">
      <c r="A21" s="1328" t="str">
        <f>IF(ISBLANK('Labor Rates'!D20),"",'Labor Rates'!D20)</f>
        <v/>
      </c>
      <c r="B21" s="1329"/>
      <c r="C21" s="947" t="str">
        <f>IF(ISBLANK('Labor Rates'!E20),"",'Labor Rates'!E20)</f>
        <v/>
      </c>
      <c r="D21" s="957"/>
      <c r="E21" s="790">
        <v>0</v>
      </c>
      <c r="F21" s="618">
        <f>'Labor Rates'!F20</f>
        <v>0</v>
      </c>
      <c r="G21" s="619">
        <f t="shared" si="2"/>
        <v>0</v>
      </c>
      <c r="H21" s="1173"/>
      <c r="I21" s="790">
        <v>0</v>
      </c>
      <c r="J21" s="618">
        <f>'Labor Rates'!H20</f>
        <v>0</v>
      </c>
      <c r="K21" s="619">
        <f t="shared" si="3"/>
        <v>0</v>
      </c>
      <c r="L21" s="1173"/>
      <c r="M21" s="790">
        <v>0</v>
      </c>
      <c r="N21" s="618">
        <f>'Labor Rates'!J20</f>
        <v>0</v>
      </c>
      <c r="O21" s="619">
        <f t="shared" si="4"/>
        <v>0</v>
      </c>
      <c r="P21" s="1173"/>
      <c r="Q21" s="790">
        <v>0</v>
      </c>
      <c r="R21" s="618">
        <f>'Labor Rates'!L20</f>
        <v>0</v>
      </c>
      <c r="S21" s="619">
        <f t="shared" si="5"/>
        <v>0</v>
      </c>
      <c r="T21" s="1173"/>
      <c r="U21" s="790">
        <v>0</v>
      </c>
      <c r="V21" s="618">
        <f>'Labor Rates'!N20</f>
        <v>0</v>
      </c>
      <c r="W21" s="619">
        <f t="shared" si="6"/>
        <v>0</v>
      </c>
      <c r="X21" s="1173"/>
      <c r="Y21" s="790">
        <v>0</v>
      </c>
      <c r="Z21" s="618">
        <f>'Labor Rates'!P20</f>
        <v>0</v>
      </c>
      <c r="AA21" s="619">
        <f t="shared" si="7"/>
        <v>0</v>
      </c>
      <c r="AB21" s="974"/>
      <c r="AC21" s="1002">
        <f t="shared" si="0"/>
        <v>0</v>
      </c>
      <c r="AD21" s="619">
        <f t="shared" si="1"/>
        <v>0</v>
      </c>
      <c r="AE21" s="955"/>
    </row>
    <row r="22" spans="1:31" ht="15" customHeight="1" x14ac:dyDescent="0.25">
      <c r="A22" s="1328" t="str">
        <f>IF(ISBLANK('Labor Rates'!D21),"",'Labor Rates'!D21)</f>
        <v/>
      </c>
      <c r="B22" s="1329"/>
      <c r="C22" s="947" t="str">
        <f>IF(ISBLANK('Labor Rates'!E21),"",'Labor Rates'!E21)</f>
        <v/>
      </c>
      <c r="D22" s="957"/>
      <c r="E22" s="790">
        <v>0</v>
      </c>
      <c r="F22" s="618">
        <f>'Labor Rates'!F21</f>
        <v>0</v>
      </c>
      <c r="G22" s="619">
        <f t="shared" si="2"/>
        <v>0</v>
      </c>
      <c r="H22" s="1173"/>
      <c r="I22" s="790">
        <v>0</v>
      </c>
      <c r="J22" s="618">
        <f>'Labor Rates'!H21</f>
        <v>0</v>
      </c>
      <c r="K22" s="619">
        <f t="shared" si="3"/>
        <v>0</v>
      </c>
      <c r="L22" s="1173"/>
      <c r="M22" s="790">
        <v>0</v>
      </c>
      <c r="N22" s="618">
        <f>'Labor Rates'!J21</f>
        <v>0</v>
      </c>
      <c r="O22" s="619">
        <f t="shared" si="4"/>
        <v>0</v>
      </c>
      <c r="P22" s="1173"/>
      <c r="Q22" s="790">
        <v>0</v>
      </c>
      <c r="R22" s="618">
        <f>'Labor Rates'!L21</f>
        <v>0</v>
      </c>
      <c r="S22" s="619">
        <f t="shared" si="5"/>
        <v>0</v>
      </c>
      <c r="T22" s="1173"/>
      <c r="U22" s="790">
        <v>0</v>
      </c>
      <c r="V22" s="618">
        <f>'Labor Rates'!N21</f>
        <v>0</v>
      </c>
      <c r="W22" s="619">
        <f t="shared" si="6"/>
        <v>0</v>
      </c>
      <c r="X22" s="1173"/>
      <c r="Y22" s="790">
        <v>0</v>
      </c>
      <c r="Z22" s="618">
        <f>'Labor Rates'!P21</f>
        <v>0</v>
      </c>
      <c r="AA22" s="619">
        <f t="shared" si="7"/>
        <v>0</v>
      </c>
      <c r="AB22" s="974"/>
      <c r="AC22" s="1002">
        <f t="shared" si="0"/>
        <v>0</v>
      </c>
      <c r="AD22" s="619">
        <f t="shared" si="1"/>
        <v>0</v>
      </c>
      <c r="AE22" s="955"/>
    </row>
    <row r="23" spans="1:31" ht="15" customHeight="1" x14ac:dyDescent="0.25">
      <c r="A23" s="1328" t="str">
        <f>IF(ISBLANK('Labor Rates'!D22),"",'Labor Rates'!D22)</f>
        <v/>
      </c>
      <c r="B23" s="1329"/>
      <c r="C23" s="947" t="str">
        <f>IF(ISBLANK('Labor Rates'!E22),"",'Labor Rates'!E22)</f>
        <v/>
      </c>
      <c r="D23" s="957"/>
      <c r="E23" s="790">
        <v>0</v>
      </c>
      <c r="F23" s="618">
        <f>'Labor Rates'!F22</f>
        <v>0</v>
      </c>
      <c r="G23" s="619">
        <f t="shared" si="2"/>
        <v>0</v>
      </c>
      <c r="H23" s="1173"/>
      <c r="I23" s="790">
        <v>0</v>
      </c>
      <c r="J23" s="618">
        <f>'Labor Rates'!H22</f>
        <v>0</v>
      </c>
      <c r="K23" s="619">
        <f t="shared" si="3"/>
        <v>0</v>
      </c>
      <c r="L23" s="1173"/>
      <c r="M23" s="790">
        <v>0</v>
      </c>
      <c r="N23" s="618">
        <f>'Labor Rates'!J22</f>
        <v>0</v>
      </c>
      <c r="O23" s="619">
        <f t="shared" si="4"/>
        <v>0</v>
      </c>
      <c r="P23" s="1173"/>
      <c r="Q23" s="790">
        <v>0</v>
      </c>
      <c r="R23" s="618">
        <f>'Labor Rates'!L22</f>
        <v>0</v>
      </c>
      <c r="S23" s="619">
        <f t="shared" si="5"/>
        <v>0</v>
      </c>
      <c r="T23" s="1173"/>
      <c r="U23" s="790">
        <v>0</v>
      </c>
      <c r="V23" s="618">
        <f>'Labor Rates'!N22</f>
        <v>0</v>
      </c>
      <c r="W23" s="619">
        <f t="shared" si="6"/>
        <v>0</v>
      </c>
      <c r="X23" s="1173"/>
      <c r="Y23" s="790">
        <v>0</v>
      </c>
      <c r="Z23" s="618">
        <f>'Labor Rates'!P22</f>
        <v>0</v>
      </c>
      <c r="AA23" s="619">
        <f t="shared" si="7"/>
        <v>0</v>
      </c>
      <c r="AB23" s="974"/>
      <c r="AC23" s="1002">
        <f t="shared" si="0"/>
        <v>0</v>
      </c>
      <c r="AD23" s="619">
        <f t="shared" si="1"/>
        <v>0</v>
      </c>
      <c r="AE23" s="955"/>
    </row>
    <row r="24" spans="1:31" ht="15" customHeight="1" x14ac:dyDescent="0.25">
      <c r="A24" s="1328" t="str">
        <f>IF(ISBLANK('Labor Rates'!D23),"",'Labor Rates'!D23)</f>
        <v/>
      </c>
      <c r="B24" s="1329"/>
      <c r="C24" s="947" t="str">
        <f>IF(ISBLANK('Labor Rates'!E23),"",'Labor Rates'!E23)</f>
        <v/>
      </c>
      <c r="D24" s="957"/>
      <c r="E24" s="790">
        <v>0</v>
      </c>
      <c r="F24" s="618">
        <f>'Labor Rates'!F23</f>
        <v>0</v>
      </c>
      <c r="G24" s="619">
        <f t="shared" si="2"/>
        <v>0</v>
      </c>
      <c r="H24" s="1173"/>
      <c r="I24" s="790">
        <v>0</v>
      </c>
      <c r="J24" s="618">
        <f>'Labor Rates'!H23</f>
        <v>0</v>
      </c>
      <c r="K24" s="619">
        <f t="shared" si="3"/>
        <v>0</v>
      </c>
      <c r="L24" s="1173"/>
      <c r="M24" s="790">
        <v>0</v>
      </c>
      <c r="N24" s="618">
        <f>'Labor Rates'!J23</f>
        <v>0</v>
      </c>
      <c r="O24" s="619">
        <f t="shared" si="4"/>
        <v>0</v>
      </c>
      <c r="P24" s="1173"/>
      <c r="Q24" s="790">
        <v>0</v>
      </c>
      <c r="R24" s="618">
        <f>'Labor Rates'!L23</f>
        <v>0</v>
      </c>
      <c r="S24" s="619">
        <f t="shared" si="5"/>
        <v>0</v>
      </c>
      <c r="T24" s="1173"/>
      <c r="U24" s="790">
        <v>0</v>
      </c>
      <c r="V24" s="618">
        <f>'Labor Rates'!N23</f>
        <v>0</v>
      </c>
      <c r="W24" s="619">
        <f t="shared" si="6"/>
        <v>0</v>
      </c>
      <c r="X24" s="1173"/>
      <c r="Y24" s="790">
        <v>0</v>
      </c>
      <c r="Z24" s="618">
        <f>'Labor Rates'!P23</f>
        <v>0</v>
      </c>
      <c r="AA24" s="619">
        <f t="shared" si="7"/>
        <v>0</v>
      </c>
      <c r="AB24" s="974"/>
      <c r="AC24" s="1002">
        <f t="shared" si="0"/>
        <v>0</v>
      </c>
      <c r="AD24" s="619">
        <f t="shared" si="1"/>
        <v>0</v>
      </c>
      <c r="AE24" s="955"/>
    </row>
    <row r="25" spans="1:31" ht="15" customHeight="1" x14ac:dyDescent="0.25">
      <c r="A25" s="1328" t="str">
        <f>IF(ISBLANK('Labor Rates'!D24),"",'Labor Rates'!D24)</f>
        <v/>
      </c>
      <c r="B25" s="1329"/>
      <c r="C25" s="947" t="str">
        <f>IF(ISBLANK('Labor Rates'!E24),"",'Labor Rates'!E24)</f>
        <v/>
      </c>
      <c r="D25" s="957"/>
      <c r="E25" s="790">
        <v>0</v>
      </c>
      <c r="F25" s="618">
        <f>'Labor Rates'!F24</f>
        <v>0</v>
      </c>
      <c r="G25" s="619">
        <f t="shared" si="2"/>
        <v>0</v>
      </c>
      <c r="H25" s="1173"/>
      <c r="I25" s="790">
        <v>0</v>
      </c>
      <c r="J25" s="618">
        <f>'Labor Rates'!H24</f>
        <v>0</v>
      </c>
      <c r="K25" s="619">
        <f t="shared" si="3"/>
        <v>0</v>
      </c>
      <c r="L25" s="1173"/>
      <c r="M25" s="790">
        <v>0</v>
      </c>
      <c r="N25" s="618">
        <f>'Labor Rates'!J24</f>
        <v>0</v>
      </c>
      <c r="O25" s="619">
        <f t="shared" si="4"/>
        <v>0</v>
      </c>
      <c r="P25" s="1173"/>
      <c r="Q25" s="790">
        <v>0</v>
      </c>
      <c r="R25" s="618">
        <f>'Labor Rates'!L24</f>
        <v>0</v>
      </c>
      <c r="S25" s="619">
        <f t="shared" si="5"/>
        <v>0</v>
      </c>
      <c r="T25" s="1173"/>
      <c r="U25" s="790">
        <v>0</v>
      </c>
      <c r="V25" s="618">
        <f>'Labor Rates'!N24</f>
        <v>0</v>
      </c>
      <c r="W25" s="619">
        <f t="shared" si="6"/>
        <v>0</v>
      </c>
      <c r="X25" s="1173"/>
      <c r="Y25" s="790">
        <v>0</v>
      </c>
      <c r="Z25" s="618">
        <f>'Labor Rates'!P24</f>
        <v>0</v>
      </c>
      <c r="AA25" s="619">
        <f t="shared" si="7"/>
        <v>0</v>
      </c>
      <c r="AB25" s="974"/>
      <c r="AC25" s="1002">
        <f t="shared" si="0"/>
        <v>0</v>
      </c>
      <c r="AD25" s="619">
        <f t="shared" si="1"/>
        <v>0</v>
      </c>
      <c r="AE25" s="955"/>
    </row>
    <row r="26" spans="1:31" ht="15" customHeight="1" x14ac:dyDescent="0.25">
      <c r="A26" s="1328" t="str">
        <f>IF(ISBLANK('Labor Rates'!D25),"",'Labor Rates'!D25)</f>
        <v/>
      </c>
      <c r="B26" s="1329"/>
      <c r="C26" s="947" t="str">
        <f>IF(ISBLANK('Labor Rates'!E25),"",'Labor Rates'!E25)</f>
        <v/>
      </c>
      <c r="D26" s="957"/>
      <c r="E26" s="790">
        <v>0</v>
      </c>
      <c r="F26" s="618">
        <f>'Labor Rates'!F25</f>
        <v>0</v>
      </c>
      <c r="G26" s="619">
        <f t="shared" si="2"/>
        <v>0</v>
      </c>
      <c r="H26" s="1173"/>
      <c r="I26" s="790">
        <v>0</v>
      </c>
      <c r="J26" s="618">
        <f>'Labor Rates'!H25</f>
        <v>0</v>
      </c>
      <c r="K26" s="619">
        <f t="shared" si="3"/>
        <v>0</v>
      </c>
      <c r="L26" s="1173"/>
      <c r="M26" s="790">
        <v>0</v>
      </c>
      <c r="N26" s="618">
        <f>'Labor Rates'!J25</f>
        <v>0</v>
      </c>
      <c r="O26" s="619">
        <f t="shared" si="4"/>
        <v>0</v>
      </c>
      <c r="P26" s="1173"/>
      <c r="Q26" s="790">
        <v>0</v>
      </c>
      <c r="R26" s="618">
        <f>'Labor Rates'!L25</f>
        <v>0</v>
      </c>
      <c r="S26" s="619">
        <f t="shared" si="5"/>
        <v>0</v>
      </c>
      <c r="T26" s="1173"/>
      <c r="U26" s="790">
        <v>0</v>
      </c>
      <c r="V26" s="618">
        <f>'Labor Rates'!N25</f>
        <v>0</v>
      </c>
      <c r="W26" s="619">
        <f t="shared" si="6"/>
        <v>0</v>
      </c>
      <c r="X26" s="1173"/>
      <c r="Y26" s="790">
        <v>0</v>
      </c>
      <c r="Z26" s="618">
        <f>'Labor Rates'!P25</f>
        <v>0</v>
      </c>
      <c r="AA26" s="619">
        <f t="shared" si="7"/>
        <v>0</v>
      </c>
      <c r="AB26" s="974"/>
      <c r="AC26" s="1002">
        <f t="shared" si="0"/>
        <v>0</v>
      </c>
      <c r="AD26" s="619">
        <f t="shared" si="1"/>
        <v>0</v>
      </c>
      <c r="AE26" s="955"/>
    </row>
    <row r="27" spans="1:31" ht="15" customHeight="1" x14ac:dyDescent="0.25">
      <c r="A27" s="1328" t="str">
        <f>IF(ISBLANK('Labor Rates'!D26),"",'Labor Rates'!D26)</f>
        <v/>
      </c>
      <c r="B27" s="1329"/>
      <c r="C27" s="947" t="str">
        <f>IF(ISBLANK('Labor Rates'!E26),"",'Labor Rates'!E26)</f>
        <v/>
      </c>
      <c r="D27" s="957"/>
      <c r="E27" s="790">
        <v>0</v>
      </c>
      <c r="F27" s="618">
        <f>'Labor Rates'!F26</f>
        <v>0</v>
      </c>
      <c r="G27" s="619">
        <f t="shared" si="2"/>
        <v>0</v>
      </c>
      <c r="H27" s="1173"/>
      <c r="I27" s="790">
        <v>0</v>
      </c>
      <c r="J27" s="618">
        <f>'Labor Rates'!H26</f>
        <v>0</v>
      </c>
      <c r="K27" s="619">
        <f t="shared" si="3"/>
        <v>0</v>
      </c>
      <c r="L27" s="1173"/>
      <c r="M27" s="790">
        <v>0</v>
      </c>
      <c r="N27" s="618">
        <f>'Labor Rates'!J26</f>
        <v>0</v>
      </c>
      <c r="O27" s="619">
        <f t="shared" si="4"/>
        <v>0</v>
      </c>
      <c r="P27" s="1173"/>
      <c r="Q27" s="790">
        <v>0</v>
      </c>
      <c r="R27" s="618">
        <f>'Labor Rates'!L26</f>
        <v>0</v>
      </c>
      <c r="S27" s="619">
        <f t="shared" si="5"/>
        <v>0</v>
      </c>
      <c r="T27" s="1173"/>
      <c r="U27" s="790">
        <v>0</v>
      </c>
      <c r="V27" s="618">
        <f>'Labor Rates'!N26</f>
        <v>0</v>
      </c>
      <c r="W27" s="619">
        <f t="shared" si="6"/>
        <v>0</v>
      </c>
      <c r="X27" s="1173"/>
      <c r="Y27" s="790">
        <v>0</v>
      </c>
      <c r="Z27" s="618">
        <f>'Labor Rates'!P26</f>
        <v>0</v>
      </c>
      <c r="AA27" s="619">
        <f t="shared" si="7"/>
        <v>0</v>
      </c>
      <c r="AB27" s="974"/>
      <c r="AC27" s="1002">
        <f t="shared" si="0"/>
        <v>0</v>
      </c>
      <c r="AD27" s="619">
        <f t="shared" si="1"/>
        <v>0</v>
      </c>
      <c r="AE27" s="955"/>
    </row>
    <row r="28" spans="1:31" ht="15" customHeight="1" x14ac:dyDescent="0.25">
      <c r="A28" s="1328" t="str">
        <f>IF(ISBLANK('Labor Rates'!D27),"",'Labor Rates'!D27)</f>
        <v/>
      </c>
      <c r="B28" s="1329"/>
      <c r="C28" s="947" t="str">
        <f>IF(ISBLANK('Labor Rates'!E27),"",'Labor Rates'!E27)</f>
        <v/>
      </c>
      <c r="D28" s="957"/>
      <c r="E28" s="790">
        <v>0</v>
      </c>
      <c r="F28" s="618">
        <f>'Labor Rates'!F27</f>
        <v>0</v>
      </c>
      <c r="G28" s="619">
        <f t="shared" si="2"/>
        <v>0</v>
      </c>
      <c r="H28" s="1173"/>
      <c r="I28" s="790">
        <v>0</v>
      </c>
      <c r="J28" s="618">
        <f>'Labor Rates'!H27</f>
        <v>0</v>
      </c>
      <c r="K28" s="619">
        <f t="shared" si="3"/>
        <v>0</v>
      </c>
      <c r="L28" s="1173"/>
      <c r="M28" s="790">
        <v>0</v>
      </c>
      <c r="N28" s="618">
        <f>'Labor Rates'!J27</f>
        <v>0</v>
      </c>
      <c r="O28" s="619">
        <f t="shared" si="4"/>
        <v>0</v>
      </c>
      <c r="P28" s="1173"/>
      <c r="Q28" s="790">
        <v>0</v>
      </c>
      <c r="R28" s="618">
        <f>'Labor Rates'!L27</f>
        <v>0</v>
      </c>
      <c r="S28" s="619">
        <f t="shared" si="5"/>
        <v>0</v>
      </c>
      <c r="T28" s="1173"/>
      <c r="U28" s="790">
        <v>0</v>
      </c>
      <c r="V28" s="618">
        <f>'Labor Rates'!N27</f>
        <v>0</v>
      </c>
      <c r="W28" s="619">
        <f t="shared" si="6"/>
        <v>0</v>
      </c>
      <c r="X28" s="1173"/>
      <c r="Y28" s="790">
        <v>0</v>
      </c>
      <c r="Z28" s="618">
        <f>'Labor Rates'!P27</f>
        <v>0</v>
      </c>
      <c r="AA28" s="619">
        <f t="shared" si="7"/>
        <v>0</v>
      </c>
      <c r="AB28" s="974"/>
      <c r="AC28" s="1002">
        <f t="shared" si="0"/>
        <v>0</v>
      </c>
      <c r="AD28" s="619">
        <f t="shared" si="1"/>
        <v>0</v>
      </c>
      <c r="AE28" s="955"/>
    </row>
    <row r="29" spans="1:31" ht="15" customHeight="1" x14ac:dyDescent="0.25">
      <c r="A29" s="1328" t="str">
        <f>IF(ISBLANK('Labor Rates'!D28),"",'Labor Rates'!D28)</f>
        <v/>
      </c>
      <c r="B29" s="1329"/>
      <c r="C29" s="947" t="str">
        <f>IF(ISBLANK('Labor Rates'!E28),"",'Labor Rates'!E28)</f>
        <v/>
      </c>
      <c r="D29" s="957"/>
      <c r="E29" s="790">
        <v>0</v>
      </c>
      <c r="F29" s="618">
        <f>'Labor Rates'!F28</f>
        <v>0</v>
      </c>
      <c r="G29" s="619">
        <f t="shared" si="2"/>
        <v>0</v>
      </c>
      <c r="H29" s="1173"/>
      <c r="I29" s="790">
        <v>0</v>
      </c>
      <c r="J29" s="618">
        <f>'Labor Rates'!H28</f>
        <v>0</v>
      </c>
      <c r="K29" s="619">
        <f t="shared" si="3"/>
        <v>0</v>
      </c>
      <c r="L29" s="1173"/>
      <c r="M29" s="790">
        <v>0</v>
      </c>
      <c r="N29" s="618">
        <f>'Labor Rates'!J28</f>
        <v>0</v>
      </c>
      <c r="O29" s="619">
        <f t="shared" si="4"/>
        <v>0</v>
      </c>
      <c r="P29" s="1173"/>
      <c r="Q29" s="790">
        <v>0</v>
      </c>
      <c r="R29" s="618">
        <f>'Labor Rates'!L28</f>
        <v>0</v>
      </c>
      <c r="S29" s="619">
        <f t="shared" si="5"/>
        <v>0</v>
      </c>
      <c r="T29" s="1173"/>
      <c r="U29" s="790">
        <v>0</v>
      </c>
      <c r="V29" s="618">
        <f>'Labor Rates'!N28</f>
        <v>0</v>
      </c>
      <c r="W29" s="619">
        <f t="shared" si="6"/>
        <v>0</v>
      </c>
      <c r="X29" s="1173"/>
      <c r="Y29" s="790">
        <v>0</v>
      </c>
      <c r="Z29" s="618">
        <f>'Labor Rates'!P28</f>
        <v>0</v>
      </c>
      <c r="AA29" s="619">
        <f t="shared" si="7"/>
        <v>0</v>
      </c>
      <c r="AB29" s="974"/>
      <c r="AC29" s="1002">
        <f t="shared" si="0"/>
        <v>0</v>
      </c>
      <c r="AD29" s="619">
        <f t="shared" si="1"/>
        <v>0</v>
      </c>
      <c r="AE29" s="955"/>
    </row>
    <row r="30" spans="1:31" ht="15" customHeight="1" x14ac:dyDescent="0.25">
      <c r="A30" s="1328" t="str">
        <f>IF(ISBLANK('Labor Rates'!D29),"",'Labor Rates'!D29)</f>
        <v/>
      </c>
      <c r="B30" s="1329"/>
      <c r="C30" s="947" t="str">
        <f>IF(ISBLANK('Labor Rates'!E29),"",'Labor Rates'!E29)</f>
        <v/>
      </c>
      <c r="D30" s="957"/>
      <c r="E30" s="790">
        <v>0</v>
      </c>
      <c r="F30" s="618">
        <f>'Labor Rates'!F29</f>
        <v>0</v>
      </c>
      <c r="G30" s="619">
        <f t="shared" si="2"/>
        <v>0</v>
      </c>
      <c r="H30" s="1173"/>
      <c r="I30" s="790">
        <v>0</v>
      </c>
      <c r="J30" s="618">
        <f>'Labor Rates'!H29</f>
        <v>0</v>
      </c>
      <c r="K30" s="619">
        <f t="shared" si="3"/>
        <v>0</v>
      </c>
      <c r="L30" s="1173"/>
      <c r="M30" s="790">
        <v>0</v>
      </c>
      <c r="N30" s="618">
        <f>'Labor Rates'!J29</f>
        <v>0</v>
      </c>
      <c r="O30" s="619">
        <f t="shared" si="4"/>
        <v>0</v>
      </c>
      <c r="P30" s="1173"/>
      <c r="Q30" s="790">
        <v>0</v>
      </c>
      <c r="R30" s="618">
        <f>'Labor Rates'!L29</f>
        <v>0</v>
      </c>
      <c r="S30" s="619">
        <f t="shared" si="5"/>
        <v>0</v>
      </c>
      <c r="T30" s="1173"/>
      <c r="U30" s="790">
        <v>0</v>
      </c>
      <c r="V30" s="618">
        <f>'Labor Rates'!N29</f>
        <v>0</v>
      </c>
      <c r="W30" s="619">
        <f t="shared" si="6"/>
        <v>0</v>
      </c>
      <c r="X30" s="1173"/>
      <c r="Y30" s="790">
        <v>0</v>
      </c>
      <c r="Z30" s="618">
        <f>'Labor Rates'!P29</f>
        <v>0</v>
      </c>
      <c r="AA30" s="619">
        <f t="shared" si="7"/>
        <v>0</v>
      </c>
      <c r="AB30" s="974"/>
      <c r="AC30" s="1002">
        <f t="shared" si="0"/>
        <v>0</v>
      </c>
      <c r="AD30" s="619">
        <f t="shared" si="1"/>
        <v>0</v>
      </c>
      <c r="AE30" s="955"/>
    </row>
    <row r="31" spans="1:31" ht="15" customHeight="1" x14ac:dyDescent="0.25">
      <c r="A31" s="1328" t="str">
        <f>IF(ISBLANK('Labor Rates'!D30),"",'Labor Rates'!D30)</f>
        <v/>
      </c>
      <c r="B31" s="1329"/>
      <c r="C31" s="947" t="str">
        <f>IF(ISBLANK('Labor Rates'!E30),"",'Labor Rates'!E30)</f>
        <v/>
      </c>
      <c r="D31" s="957"/>
      <c r="E31" s="790">
        <v>0</v>
      </c>
      <c r="F31" s="618">
        <f>'Labor Rates'!F30</f>
        <v>0</v>
      </c>
      <c r="G31" s="619">
        <f t="shared" si="2"/>
        <v>0</v>
      </c>
      <c r="H31" s="1173"/>
      <c r="I31" s="790">
        <v>0</v>
      </c>
      <c r="J31" s="618">
        <f>'Labor Rates'!H30</f>
        <v>0</v>
      </c>
      <c r="K31" s="619">
        <f t="shared" si="3"/>
        <v>0</v>
      </c>
      <c r="L31" s="1173"/>
      <c r="M31" s="790">
        <v>0</v>
      </c>
      <c r="N31" s="618">
        <f>'Labor Rates'!J30</f>
        <v>0</v>
      </c>
      <c r="O31" s="619">
        <f t="shared" si="4"/>
        <v>0</v>
      </c>
      <c r="P31" s="1173"/>
      <c r="Q31" s="790">
        <v>0</v>
      </c>
      <c r="R31" s="618">
        <f>'Labor Rates'!L30</f>
        <v>0</v>
      </c>
      <c r="S31" s="619">
        <f t="shared" si="5"/>
        <v>0</v>
      </c>
      <c r="T31" s="1173"/>
      <c r="U31" s="790">
        <v>0</v>
      </c>
      <c r="V31" s="618">
        <f>'Labor Rates'!N30</f>
        <v>0</v>
      </c>
      <c r="W31" s="619">
        <f t="shared" si="6"/>
        <v>0</v>
      </c>
      <c r="X31" s="1173"/>
      <c r="Y31" s="790">
        <v>0</v>
      </c>
      <c r="Z31" s="618">
        <f>'Labor Rates'!P30</f>
        <v>0</v>
      </c>
      <c r="AA31" s="619">
        <f t="shared" si="7"/>
        <v>0</v>
      </c>
      <c r="AB31" s="974"/>
      <c r="AC31" s="1002">
        <f t="shared" si="0"/>
        <v>0</v>
      </c>
      <c r="AD31" s="619">
        <f t="shared" si="1"/>
        <v>0</v>
      </c>
      <c r="AE31" s="955"/>
    </row>
    <row r="32" spans="1:31" ht="15" customHeight="1" x14ac:dyDescent="0.25">
      <c r="A32" s="1328" t="str">
        <f>IF(ISBLANK('Labor Rates'!D31),"",'Labor Rates'!D31)</f>
        <v/>
      </c>
      <c r="B32" s="1329"/>
      <c r="C32" s="946" t="str">
        <f>IF(ISBLANK('Labor Rates'!E31),"",'Labor Rates'!E31)</f>
        <v/>
      </c>
      <c r="D32" s="957"/>
      <c r="E32" s="790">
        <v>0</v>
      </c>
      <c r="F32" s="618">
        <f>'Labor Rates'!F31</f>
        <v>0</v>
      </c>
      <c r="G32" s="619">
        <f t="shared" si="2"/>
        <v>0</v>
      </c>
      <c r="H32" s="1173"/>
      <c r="I32" s="790">
        <v>0</v>
      </c>
      <c r="J32" s="618">
        <f>'Labor Rates'!H31</f>
        <v>0</v>
      </c>
      <c r="K32" s="619">
        <f t="shared" si="3"/>
        <v>0</v>
      </c>
      <c r="L32" s="1173"/>
      <c r="M32" s="790">
        <v>0</v>
      </c>
      <c r="N32" s="618">
        <f>'Labor Rates'!J31</f>
        <v>0</v>
      </c>
      <c r="O32" s="619">
        <f t="shared" si="4"/>
        <v>0</v>
      </c>
      <c r="P32" s="1173"/>
      <c r="Q32" s="790">
        <v>0</v>
      </c>
      <c r="R32" s="618">
        <f>'Labor Rates'!L31</f>
        <v>0</v>
      </c>
      <c r="S32" s="619">
        <f t="shared" si="5"/>
        <v>0</v>
      </c>
      <c r="T32" s="1173"/>
      <c r="U32" s="790">
        <v>0</v>
      </c>
      <c r="V32" s="618">
        <f>'Labor Rates'!N31</f>
        <v>0</v>
      </c>
      <c r="W32" s="619">
        <f t="shared" si="6"/>
        <v>0</v>
      </c>
      <c r="X32" s="1173"/>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6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292" t="s">
        <v>332</v>
      </c>
      <c r="B35" s="1293"/>
      <c r="C35" s="1293"/>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63" t="s">
        <v>334</v>
      </c>
      <c r="AE35" s="970"/>
    </row>
    <row r="36" spans="1:545" ht="15" customHeight="1" x14ac:dyDescent="0.25">
      <c r="A36" s="1319" t="s">
        <v>335</v>
      </c>
      <c r="B36" s="1320"/>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19" t="s">
        <v>337</v>
      </c>
      <c r="B37" s="1320"/>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19" t="s">
        <v>338</v>
      </c>
      <c r="B38" s="1320"/>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24" t="s">
        <v>339</v>
      </c>
      <c r="B39" s="1325"/>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09" t="s">
        <v>333</v>
      </c>
      <c r="B40" s="1310"/>
      <c r="C40" s="1310"/>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357"/>
      <c r="V40" s="1357"/>
      <c r="W40" s="793">
        <f>SUM(W35:W39)</f>
        <v>0</v>
      </c>
      <c r="X40" s="954"/>
      <c r="Y40" s="1357"/>
      <c r="Z40" s="1357"/>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73"/>
      <c r="V41" s="1173"/>
      <c r="W41" s="980"/>
      <c r="X41" s="954"/>
      <c r="Y41" s="1173"/>
      <c r="Z41" s="1173"/>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54" t="s">
        <v>340</v>
      </c>
      <c r="B42" s="1355"/>
      <c r="C42" s="1355"/>
      <c r="D42" s="954"/>
      <c r="E42" s="1172" t="s">
        <v>325</v>
      </c>
      <c r="F42" s="1172" t="s">
        <v>341</v>
      </c>
      <c r="G42" s="1141" t="s">
        <v>342</v>
      </c>
      <c r="H42" s="954"/>
      <c r="I42" s="1172" t="s">
        <v>325</v>
      </c>
      <c r="J42" s="1172" t="s">
        <v>341</v>
      </c>
      <c r="K42" s="1141" t="s">
        <v>342</v>
      </c>
      <c r="L42" s="954"/>
      <c r="M42" s="1172" t="s">
        <v>325</v>
      </c>
      <c r="N42" s="1172" t="s">
        <v>341</v>
      </c>
      <c r="O42" s="1141" t="s">
        <v>342</v>
      </c>
      <c r="P42" s="954"/>
      <c r="Q42" s="1172" t="s">
        <v>325</v>
      </c>
      <c r="R42" s="1172" t="s">
        <v>341</v>
      </c>
      <c r="S42" s="1141" t="s">
        <v>342</v>
      </c>
      <c r="T42" s="954"/>
      <c r="U42" s="1172" t="s">
        <v>325</v>
      </c>
      <c r="V42" s="1172" t="s">
        <v>341</v>
      </c>
      <c r="W42" s="1141" t="s">
        <v>342</v>
      </c>
      <c r="X42" s="954"/>
      <c r="Y42" s="1172" t="s">
        <v>343</v>
      </c>
      <c r="Z42" s="1172" t="s">
        <v>341</v>
      </c>
      <c r="AA42" s="1141" t="s">
        <v>342</v>
      </c>
      <c r="AB42" s="954"/>
      <c r="AC42" s="1172" t="s">
        <v>325</v>
      </c>
      <c r="AD42" s="1142" t="s">
        <v>344</v>
      </c>
      <c r="AE42" s="970"/>
    </row>
    <row r="43" spans="1:545" ht="15" customHeight="1" x14ac:dyDescent="0.25">
      <c r="A43" s="1319" t="s">
        <v>345</v>
      </c>
      <c r="B43" s="1320"/>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19" t="s">
        <v>347</v>
      </c>
      <c r="B44" s="1320"/>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19" t="s">
        <v>348</v>
      </c>
      <c r="B45" s="1320"/>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24" t="s">
        <v>349</v>
      </c>
      <c r="B46" s="1325"/>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11" t="s">
        <v>340</v>
      </c>
      <c r="B47" s="1312"/>
      <c r="C47" s="1312"/>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15" t="s">
        <v>350</v>
      </c>
      <c r="B49" s="1316"/>
      <c r="C49" s="1316"/>
      <c r="D49" s="959"/>
      <c r="E49" s="959"/>
      <c r="F49" s="959"/>
      <c r="G49" s="1168" t="s">
        <v>351</v>
      </c>
      <c r="H49" s="959"/>
      <c r="I49" s="959"/>
      <c r="J49" s="959"/>
      <c r="K49" s="1168" t="s">
        <v>351</v>
      </c>
      <c r="L49" s="959"/>
      <c r="M49" s="959"/>
      <c r="N49" s="959"/>
      <c r="O49" s="1168" t="s">
        <v>351</v>
      </c>
      <c r="P49" s="959"/>
      <c r="Q49" s="959"/>
      <c r="R49" s="959"/>
      <c r="S49" s="1168" t="s">
        <v>351</v>
      </c>
      <c r="T49" s="959"/>
      <c r="U49" s="959"/>
      <c r="V49" s="959"/>
      <c r="W49" s="1168" t="s">
        <v>343</v>
      </c>
      <c r="X49" s="959"/>
      <c r="Y49" s="959"/>
      <c r="Z49" s="959"/>
      <c r="AA49" s="1168" t="s">
        <v>351</v>
      </c>
      <c r="AB49" s="959"/>
      <c r="AC49" s="959"/>
      <c r="AD49" s="116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19" t="s">
        <v>352</v>
      </c>
      <c r="B50" s="1320"/>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19" t="s">
        <v>354</v>
      </c>
      <c r="B51" s="1320"/>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19" t="s">
        <v>48</v>
      </c>
      <c r="B52" s="1320"/>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24" t="s">
        <v>358</v>
      </c>
      <c r="B53" s="1325"/>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13" t="s">
        <v>350</v>
      </c>
      <c r="B54" s="1314"/>
      <c r="C54" s="1314"/>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338"/>
      <c r="V54" s="1338"/>
      <c r="W54" s="625">
        <f>SUM(W49:W53)</f>
        <v>0</v>
      </c>
      <c r="X54" s="959"/>
      <c r="Y54" s="1338"/>
      <c r="Z54" s="1338"/>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1"/>
      <c r="V55" s="1171"/>
      <c r="W55" s="975"/>
      <c r="X55" s="959"/>
      <c r="Y55" s="1171"/>
      <c r="Z55" s="1171"/>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294" t="s">
        <v>360</v>
      </c>
      <c r="B56" s="1295"/>
      <c r="C56" s="1295"/>
      <c r="D56" s="954"/>
      <c r="E56" s="1164">
        <v>0</v>
      </c>
      <c r="F56" s="1164" t="s">
        <v>361</v>
      </c>
      <c r="G56" s="1164" t="s">
        <v>362</v>
      </c>
      <c r="H56" s="954"/>
      <c r="I56" s="1164" t="s">
        <v>15</v>
      </c>
      <c r="J56" s="1164" t="s">
        <v>361</v>
      </c>
      <c r="K56" s="1164" t="s">
        <v>362</v>
      </c>
      <c r="L56" s="954"/>
      <c r="M56" s="1164" t="s">
        <v>15</v>
      </c>
      <c r="N56" s="1164" t="s">
        <v>361</v>
      </c>
      <c r="O56" s="1164" t="s">
        <v>362</v>
      </c>
      <c r="P56" s="954"/>
      <c r="Q56" s="1164" t="s">
        <v>15</v>
      </c>
      <c r="R56" s="1164" t="s">
        <v>361</v>
      </c>
      <c r="S56" s="1164" t="s">
        <v>362</v>
      </c>
      <c r="T56" s="954"/>
      <c r="U56" s="1164" t="s">
        <v>15</v>
      </c>
      <c r="V56" s="1164" t="s">
        <v>361</v>
      </c>
      <c r="W56" s="1164" t="s">
        <v>362</v>
      </c>
      <c r="X56" s="954"/>
      <c r="Y56" s="1164" t="s">
        <v>15</v>
      </c>
      <c r="Z56" s="1164" t="s">
        <v>361</v>
      </c>
      <c r="AA56" s="1164" t="s">
        <v>362</v>
      </c>
      <c r="AB56" s="954"/>
      <c r="AC56" s="954"/>
      <c r="AD56" s="1164"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298" t="s">
        <v>363</v>
      </c>
      <c r="B57" s="1299"/>
      <c r="C57" s="1299"/>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298" t="s">
        <v>364</v>
      </c>
      <c r="B58" s="1299"/>
      <c r="C58" s="1299"/>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17" t="s">
        <v>138</v>
      </c>
      <c r="B59" s="1318"/>
      <c r="C59" s="1318"/>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362" t="s">
        <v>365</v>
      </c>
      <c r="F62" s="1362"/>
      <c r="G62" s="1362"/>
      <c r="H62" s="954"/>
      <c r="I62" s="1362" t="s">
        <v>365</v>
      </c>
      <c r="J62" s="1362"/>
      <c r="K62" s="1362"/>
      <c r="L62" s="954"/>
      <c r="M62" s="1362" t="s">
        <v>365</v>
      </c>
      <c r="N62" s="1362"/>
      <c r="O62" s="1362"/>
      <c r="P62" s="954"/>
      <c r="Q62" s="1362" t="s">
        <v>365</v>
      </c>
      <c r="R62" s="1362"/>
      <c r="S62" s="1362"/>
      <c r="T62" s="954"/>
      <c r="U62" s="1362" t="s">
        <v>365</v>
      </c>
      <c r="V62" s="1362"/>
      <c r="W62" s="1362"/>
      <c r="X62" s="954"/>
      <c r="Y62" s="1362" t="s">
        <v>365</v>
      </c>
      <c r="Z62" s="1362"/>
      <c r="AA62" s="1362"/>
      <c r="AB62" s="975"/>
      <c r="AC62" s="954"/>
      <c r="AD62" s="1174"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45" t="s">
        <v>366</v>
      </c>
      <c r="B63" s="1346"/>
      <c r="C63" s="1346"/>
      <c r="D63" s="959"/>
      <c r="E63" s="1331">
        <f>G33+G40+G47+G54+G59</f>
        <v>0</v>
      </c>
      <c r="F63" s="1331"/>
      <c r="G63" s="1331"/>
      <c r="H63" s="959"/>
      <c r="I63" s="1331">
        <f>K33+K40+K47+K54+K59</f>
        <v>0</v>
      </c>
      <c r="J63" s="1331"/>
      <c r="K63" s="1331"/>
      <c r="L63" s="959"/>
      <c r="M63" s="1331">
        <f>O33+O40+O47+O54+O59</f>
        <v>0</v>
      </c>
      <c r="N63" s="1331"/>
      <c r="O63" s="1331"/>
      <c r="P63" s="959"/>
      <c r="Q63" s="1331">
        <f>S33+S40+S47+S54+S59</f>
        <v>0</v>
      </c>
      <c r="R63" s="1331"/>
      <c r="S63" s="1331"/>
      <c r="T63" s="959"/>
      <c r="U63" s="1331">
        <f>W33+W40+W47+W54+W59</f>
        <v>0</v>
      </c>
      <c r="V63" s="1331"/>
      <c r="W63" s="1331"/>
      <c r="X63" s="959"/>
      <c r="Y63" s="1331">
        <f>AA33+AA40+AA47+AA54+AA59</f>
        <v>0</v>
      </c>
      <c r="Z63" s="1331"/>
      <c r="AA63" s="1331"/>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296" t="s">
        <v>367</v>
      </c>
      <c r="B65" s="1297"/>
      <c r="C65" s="1297"/>
      <c r="D65" s="954"/>
      <c r="E65" s="1165" t="s">
        <v>15</v>
      </c>
      <c r="F65" s="1165" t="s">
        <v>361</v>
      </c>
      <c r="G65" s="1134" t="s">
        <v>368</v>
      </c>
      <c r="H65" s="954"/>
      <c r="I65" s="1165" t="s">
        <v>15</v>
      </c>
      <c r="J65" s="1165" t="s">
        <v>361</v>
      </c>
      <c r="K65" s="1134" t="s">
        <v>368</v>
      </c>
      <c r="L65" s="954"/>
      <c r="M65" s="1165" t="s">
        <v>15</v>
      </c>
      <c r="N65" s="1165" t="s">
        <v>361</v>
      </c>
      <c r="O65" s="1134" t="s">
        <v>368</v>
      </c>
      <c r="P65" s="954"/>
      <c r="Q65" s="1165" t="s">
        <v>15</v>
      </c>
      <c r="R65" s="1165" t="s">
        <v>361</v>
      </c>
      <c r="S65" s="1134" t="s">
        <v>368</v>
      </c>
      <c r="T65" s="954"/>
      <c r="U65" s="1165" t="s">
        <v>15</v>
      </c>
      <c r="V65" s="1165" t="s">
        <v>361</v>
      </c>
      <c r="W65" s="1134" t="s">
        <v>368</v>
      </c>
      <c r="X65" s="954"/>
      <c r="Y65" s="1165" t="s">
        <v>15</v>
      </c>
      <c r="Z65" s="116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49" t="str">
        <f>IF(LaborCollection="Academia","F&amp;A","G&amp;A")</f>
        <v>G&amp;A</v>
      </c>
      <c r="B66" s="1350"/>
      <c r="C66" s="1326"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24" t="s">
        <v>370</v>
      </c>
      <c r="B67" s="1325"/>
      <c r="C67" s="1327"/>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41" t="s">
        <v>371</v>
      </c>
      <c r="B68" s="1342"/>
      <c r="C68" s="1342"/>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357"/>
      <c r="V68" s="1357"/>
      <c r="W68" s="791">
        <f>SUM(W66:W67)</f>
        <v>0</v>
      </c>
      <c r="X68" s="954"/>
      <c r="Y68" s="1364"/>
      <c r="Z68" s="1365"/>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73"/>
      <c r="V69" s="1173"/>
      <c r="W69" s="980"/>
      <c r="X69" s="954"/>
      <c r="Y69" s="1173"/>
      <c r="Z69" s="1173"/>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73"/>
      <c r="V70" s="1173"/>
      <c r="W70" s="980"/>
      <c r="X70" s="954"/>
      <c r="Y70" s="1173"/>
      <c r="Z70" s="1173"/>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362" t="s">
        <v>372</v>
      </c>
      <c r="F71" s="1362"/>
      <c r="G71" s="1362"/>
      <c r="H71" s="954"/>
      <c r="I71" s="1362" t="s">
        <v>372</v>
      </c>
      <c r="J71" s="1362"/>
      <c r="K71" s="1362"/>
      <c r="L71" s="954"/>
      <c r="M71" s="1362" t="s">
        <v>372</v>
      </c>
      <c r="N71" s="1362"/>
      <c r="O71" s="1362"/>
      <c r="P71" s="954"/>
      <c r="Q71" s="1362" t="s">
        <v>372</v>
      </c>
      <c r="R71" s="1362"/>
      <c r="S71" s="1362"/>
      <c r="T71" s="954"/>
      <c r="U71" s="1362" t="s">
        <v>372</v>
      </c>
      <c r="V71" s="1362"/>
      <c r="W71" s="1362"/>
      <c r="X71" s="954"/>
      <c r="Y71" s="1362" t="s">
        <v>372</v>
      </c>
      <c r="Z71" s="1362"/>
      <c r="AA71" s="1362"/>
      <c r="AB71" s="975"/>
      <c r="AC71" s="954"/>
      <c r="AD71" s="1170"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45" t="s">
        <v>373</v>
      </c>
      <c r="B72" s="1346"/>
      <c r="C72" s="1346"/>
      <c r="D72" s="954"/>
      <c r="E72" s="1331">
        <f>E63+G68</f>
        <v>0</v>
      </c>
      <c r="F72" s="1331"/>
      <c r="G72" s="1331"/>
      <c r="H72" s="954"/>
      <c r="I72" s="1331">
        <f>I63+K68</f>
        <v>0</v>
      </c>
      <c r="J72" s="1331"/>
      <c r="K72" s="1331"/>
      <c r="L72" s="954"/>
      <c r="M72" s="1331">
        <f>M63+O68</f>
        <v>0</v>
      </c>
      <c r="N72" s="1331"/>
      <c r="O72" s="1331"/>
      <c r="P72" s="954"/>
      <c r="Q72" s="1331">
        <f>Q63+S68</f>
        <v>0</v>
      </c>
      <c r="R72" s="1331"/>
      <c r="S72" s="1331"/>
      <c r="T72" s="954"/>
      <c r="U72" s="1331">
        <f>U63+W68</f>
        <v>0</v>
      </c>
      <c r="V72" s="1331"/>
      <c r="W72" s="1331"/>
      <c r="X72" s="954"/>
      <c r="Y72" s="1331">
        <f>Y63+AA68</f>
        <v>0</v>
      </c>
      <c r="Z72" s="1331"/>
      <c r="AA72" s="1331"/>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02" t="s">
        <v>374</v>
      </c>
      <c r="B74" s="1303"/>
      <c r="C74" s="1303"/>
      <c r="D74" s="954"/>
      <c r="E74" s="1166" t="s">
        <v>15</v>
      </c>
      <c r="F74" s="1166" t="s">
        <v>361</v>
      </c>
      <c r="G74" s="1166" t="s">
        <v>375</v>
      </c>
      <c r="H74" s="954"/>
      <c r="I74" s="1166" t="s">
        <v>15</v>
      </c>
      <c r="J74" s="1166" t="s">
        <v>361</v>
      </c>
      <c r="K74" s="1166" t="s">
        <v>375</v>
      </c>
      <c r="L74" s="954"/>
      <c r="M74" s="1166" t="s">
        <v>15</v>
      </c>
      <c r="N74" s="1166" t="s">
        <v>361</v>
      </c>
      <c r="O74" s="1166" t="s">
        <v>375</v>
      </c>
      <c r="P74" s="954"/>
      <c r="Q74" s="1166" t="s">
        <v>15</v>
      </c>
      <c r="R74" s="1166" t="s">
        <v>361</v>
      </c>
      <c r="S74" s="1166" t="s">
        <v>375</v>
      </c>
      <c r="T74" s="954"/>
      <c r="U74" s="1166" t="s">
        <v>15</v>
      </c>
      <c r="V74" s="1166" t="s">
        <v>361</v>
      </c>
      <c r="W74" s="1166" t="s">
        <v>375</v>
      </c>
      <c r="X74" s="957"/>
      <c r="Y74" s="1166" t="s">
        <v>15</v>
      </c>
      <c r="Z74" s="1166" t="s">
        <v>361</v>
      </c>
      <c r="AA74" s="1166" t="s">
        <v>375</v>
      </c>
      <c r="AB74" s="954"/>
      <c r="AC74" s="954"/>
      <c r="AD74" s="116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298" t="s">
        <v>376</v>
      </c>
      <c r="B75" s="1299"/>
      <c r="C75" s="1299"/>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00" t="s">
        <v>377</v>
      </c>
      <c r="B76" s="1301"/>
      <c r="C76" s="1301"/>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47" t="s">
        <v>378</v>
      </c>
      <c r="B77" s="1348"/>
      <c r="C77" s="1348"/>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357"/>
      <c r="V77" s="1357"/>
      <c r="W77" s="792">
        <f>SUM(W75:W76)</f>
        <v>0</v>
      </c>
      <c r="X77" s="957"/>
      <c r="Y77" s="1363"/>
      <c r="Z77" s="1363"/>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73"/>
      <c r="V78" s="1173"/>
      <c r="W78" s="980"/>
      <c r="X78" s="957"/>
      <c r="Y78" s="1175"/>
      <c r="Z78" s="1175"/>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333" t="s">
        <v>379</v>
      </c>
      <c r="F79" s="1333"/>
      <c r="G79" s="1333"/>
      <c r="H79" s="954"/>
      <c r="I79" s="1333" t="s">
        <v>379</v>
      </c>
      <c r="J79" s="1333"/>
      <c r="K79" s="1333"/>
      <c r="L79" s="954"/>
      <c r="M79" s="1333" t="s">
        <v>379</v>
      </c>
      <c r="N79" s="1333"/>
      <c r="O79" s="1333"/>
      <c r="P79" s="954"/>
      <c r="Q79" s="1333" t="s">
        <v>379</v>
      </c>
      <c r="R79" s="1333"/>
      <c r="S79" s="1333"/>
      <c r="T79" s="954"/>
      <c r="U79" s="1333" t="s">
        <v>379</v>
      </c>
      <c r="V79" s="1333"/>
      <c r="W79" s="1333"/>
      <c r="X79" s="957"/>
      <c r="Y79" s="1333" t="s">
        <v>379</v>
      </c>
      <c r="Z79" s="1333"/>
      <c r="AA79" s="1333"/>
      <c r="AB79" s="975"/>
      <c r="AC79" s="954"/>
      <c r="AD79" s="1170"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45" t="s">
        <v>380</v>
      </c>
      <c r="B80" s="1346"/>
      <c r="C80" s="1346"/>
      <c r="D80" s="954"/>
      <c r="E80" s="1331">
        <f>E72+G77</f>
        <v>0</v>
      </c>
      <c r="F80" s="1331"/>
      <c r="G80" s="1331"/>
      <c r="H80" s="954"/>
      <c r="I80" s="1331">
        <f>I72+K77</f>
        <v>0</v>
      </c>
      <c r="J80" s="1331"/>
      <c r="K80" s="1331"/>
      <c r="L80" s="954"/>
      <c r="M80" s="1331">
        <f>M72+O77</f>
        <v>0</v>
      </c>
      <c r="N80" s="1331"/>
      <c r="O80" s="1331"/>
      <c r="P80" s="954"/>
      <c r="Q80" s="1331">
        <f>Q72+S77</f>
        <v>0</v>
      </c>
      <c r="R80" s="1331"/>
      <c r="S80" s="1331"/>
      <c r="T80" s="954"/>
      <c r="U80" s="1331">
        <f>U72+W77</f>
        <v>0</v>
      </c>
      <c r="V80" s="1331"/>
      <c r="W80" s="1331"/>
      <c r="X80" s="954"/>
      <c r="Y80" s="1331">
        <f>Y72+AA77</f>
        <v>0</v>
      </c>
      <c r="Z80" s="1331"/>
      <c r="AA80" s="1331"/>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04" t="s">
        <v>383</v>
      </c>
      <c r="B83" s="1305"/>
      <c r="C83" s="1305"/>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32" t="s">
        <v>384</v>
      </c>
      <c r="F85" s="1332"/>
      <c r="G85" s="1332"/>
      <c r="H85" s="961"/>
      <c r="I85" s="1332" t="s">
        <v>385</v>
      </c>
      <c r="J85" s="1332"/>
      <c r="K85" s="1332"/>
      <c r="L85" s="961"/>
      <c r="M85" s="1332" t="s">
        <v>386</v>
      </c>
      <c r="N85" s="1332"/>
      <c r="O85" s="1332"/>
      <c r="P85" s="961"/>
      <c r="Q85" s="1332" t="s">
        <v>387</v>
      </c>
      <c r="R85" s="1332"/>
      <c r="S85" s="1332"/>
      <c r="T85" s="961"/>
      <c r="U85" s="1332" t="s">
        <v>388</v>
      </c>
      <c r="V85" s="1332"/>
      <c r="W85" s="1332"/>
      <c r="X85" s="977"/>
      <c r="Y85" s="1332" t="s">
        <v>389</v>
      </c>
      <c r="Z85" s="1332"/>
      <c r="AA85" s="1332"/>
      <c r="AB85" s="975"/>
      <c r="AC85" s="1170" t="s">
        <v>390</v>
      </c>
      <c r="AD85" s="1170"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43" t="s">
        <v>392</v>
      </c>
      <c r="B86" s="1344"/>
      <c r="C86" s="1344"/>
      <c r="D86" s="959"/>
      <c r="E86" s="1330">
        <f>E80+G83</f>
        <v>0</v>
      </c>
      <c r="F86" s="1330"/>
      <c r="G86" s="1330"/>
      <c r="H86" s="959"/>
      <c r="I86" s="1330">
        <f>I80+K83</f>
        <v>0</v>
      </c>
      <c r="J86" s="1330"/>
      <c r="K86" s="1330"/>
      <c r="L86" s="959"/>
      <c r="M86" s="1330">
        <f>M80+O83</f>
        <v>0</v>
      </c>
      <c r="N86" s="1330"/>
      <c r="O86" s="1330"/>
      <c r="P86" s="959"/>
      <c r="Q86" s="1330">
        <f>Q80+S83</f>
        <v>0</v>
      </c>
      <c r="R86" s="1330"/>
      <c r="S86" s="1330"/>
      <c r="T86" s="959"/>
      <c r="U86" s="1330">
        <f>U80+W83</f>
        <v>0</v>
      </c>
      <c r="V86" s="1330"/>
      <c r="W86" s="1330"/>
      <c r="X86" s="959"/>
      <c r="Y86" s="1330">
        <f>Y80+AA83</f>
        <v>0</v>
      </c>
      <c r="Z86" s="1330"/>
      <c r="AA86" s="1330"/>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06" t="s">
        <v>393</v>
      </c>
      <c r="B88" s="1307"/>
      <c r="C88" s="1308"/>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21" t="s">
        <v>394</v>
      </c>
      <c r="B89" s="1322"/>
      <c r="C89" s="132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286" t="s">
        <v>395</v>
      </c>
      <c r="B90" s="1287"/>
      <c r="C90" s="1288"/>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289" t="s">
        <v>396</v>
      </c>
      <c r="B91" s="1290"/>
      <c r="C91" s="1291"/>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286" t="s">
        <v>397</v>
      </c>
      <c r="B92" s="1287"/>
      <c r="C92" s="1288"/>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C6:AD6"/>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M6:O6"/>
    <mergeCell ref="Q6:S6"/>
    <mergeCell ref="U6:W6"/>
    <mergeCell ref="Y6:AA6"/>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A2:B2"/>
    <mergeCell ref="B4:C4"/>
    <mergeCell ref="E4:G4"/>
    <mergeCell ref="I4:K4"/>
    <mergeCell ref="M4:O4"/>
    <mergeCell ref="Q4:S4"/>
    <mergeCell ref="U4:W4"/>
    <mergeCell ref="Y4:AA4"/>
    <mergeCell ref="B5:C5"/>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39" fitToHeight="3"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3"/>
  <sheetViews>
    <sheetView view="pageBreakPreview" zoomScaleNormal="100" zoomScaleSheetLayoutView="100" workbookViewId="0">
      <selection activeCell="A43" sqref="A43:XFD43"/>
    </sheetView>
  </sheetViews>
  <sheetFormatPr defaultColWidth="8.7265625" defaultRowHeight="13" x14ac:dyDescent="0.25"/>
  <cols>
    <col min="1" max="1" width="5.17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66" t="s">
        <v>535</v>
      </c>
      <c r="C2" s="1367"/>
      <c r="D2" s="1013"/>
      <c r="E2" s="1013"/>
      <c r="F2" s="1013"/>
      <c r="G2" s="1013"/>
      <c r="H2" s="1027" t="s">
        <v>290</v>
      </c>
      <c r="I2" s="1372" t="s">
        <v>399</v>
      </c>
      <c r="J2" s="1373"/>
      <c r="K2" s="1373"/>
      <c r="L2" s="1373"/>
      <c r="M2" s="1374"/>
      <c r="N2" s="1013"/>
      <c r="O2" s="1016"/>
    </row>
    <row r="3" spans="1:15" ht="32.15" customHeight="1" x14ac:dyDescent="0.25">
      <c r="A3" s="1009"/>
      <c r="B3" s="1013"/>
      <c r="C3" s="1019"/>
      <c r="D3" s="1013"/>
      <c r="E3" s="1013"/>
      <c r="F3" s="1013"/>
      <c r="G3" s="1020"/>
      <c r="H3" s="1020"/>
      <c r="I3" s="1375"/>
      <c r="J3" s="1376"/>
      <c r="K3" s="1376"/>
      <c r="L3" s="1376"/>
      <c r="M3" s="1377"/>
      <c r="N3" s="1013"/>
      <c r="O3" s="1016"/>
    </row>
    <row r="4" spans="1:15" x14ac:dyDescent="0.25">
      <c r="A4" s="1009"/>
      <c r="B4" s="1013"/>
      <c r="C4" s="1013"/>
      <c r="D4" s="1013"/>
      <c r="E4" s="1020"/>
      <c r="F4" s="1020"/>
      <c r="G4" s="1020"/>
      <c r="H4" s="1020"/>
      <c r="I4" s="1378"/>
      <c r="J4" s="1379"/>
      <c r="K4" s="1379"/>
      <c r="L4" s="1379"/>
      <c r="M4" s="1380"/>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68" t="str">
        <f>General!D4</f>
        <v>Name</v>
      </c>
      <c r="C6" s="1369"/>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1036" t="s">
        <v>405</v>
      </c>
      <c r="I7" s="1036" t="s">
        <v>406</v>
      </c>
      <c r="J7" s="1036" t="s">
        <v>407</v>
      </c>
      <c r="K7" s="1036" t="s">
        <v>408</v>
      </c>
      <c r="L7" s="883" t="s">
        <v>409</v>
      </c>
      <c r="M7" s="884" t="s">
        <v>410</v>
      </c>
      <c r="N7" s="1013"/>
      <c r="O7" s="1016"/>
    </row>
    <row r="8" spans="1:15" x14ac:dyDescent="0.25">
      <c r="A8" s="1009"/>
      <c r="B8" s="885" t="s">
        <v>536</v>
      </c>
      <c r="C8" s="886"/>
      <c r="D8" s="886"/>
      <c r="E8" s="886"/>
      <c r="F8" s="886"/>
      <c r="G8" s="1034"/>
      <c r="H8" s="889">
        <v>0</v>
      </c>
      <c r="I8" s="889">
        <v>0</v>
      </c>
      <c r="J8" s="889">
        <v>0</v>
      </c>
      <c r="K8" s="889">
        <v>0</v>
      </c>
      <c r="L8" s="1035">
        <f t="shared" ref="L8:L14" si="0">SUM(H8:K8)</f>
        <v>0</v>
      </c>
      <c r="M8" s="1371"/>
      <c r="N8" s="1013"/>
      <c r="O8" s="1016"/>
    </row>
    <row r="9" spans="1:15" x14ac:dyDescent="0.25">
      <c r="A9" s="1009"/>
      <c r="B9" s="885" t="s">
        <v>536</v>
      </c>
      <c r="C9" s="1161"/>
      <c r="D9" s="1161"/>
      <c r="E9" s="1161"/>
      <c r="F9" s="1161"/>
      <c r="G9" s="878"/>
      <c r="H9" s="889">
        <v>0</v>
      </c>
      <c r="I9" s="889">
        <v>0</v>
      </c>
      <c r="J9" s="889">
        <v>0</v>
      </c>
      <c r="K9" s="889">
        <v>0</v>
      </c>
      <c r="L9" s="903">
        <f t="shared" si="0"/>
        <v>0</v>
      </c>
      <c r="M9" s="1371"/>
      <c r="N9" s="1013"/>
      <c r="O9" s="1016"/>
    </row>
    <row r="10" spans="1:15" x14ac:dyDescent="0.25">
      <c r="A10" s="1009"/>
      <c r="B10" s="885" t="s">
        <v>536</v>
      </c>
      <c r="C10" s="1161"/>
      <c r="D10" s="1161"/>
      <c r="E10" s="1161"/>
      <c r="F10" s="1161"/>
      <c r="G10" s="878"/>
      <c r="H10" s="889">
        <v>0</v>
      </c>
      <c r="I10" s="889">
        <v>0</v>
      </c>
      <c r="J10" s="889">
        <v>0</v>
      </c>
      <c r="K10" s="889">
        <v>0</v>
      </c>
      <c r="L10" s="903">
        <f t="shared" si="0"/>
        <v>0</v>
      </c>
      <c r="M10" s="1371"/>
      <c r="N10" s="1013"/>
      <c r="O10" s="1016"/>
    </row>
    <row r="11" spans="1:15" x14ac:dyDescent="0.25">
      <c r="A11" s="1009"/>
      <c r="B11" s="885" t="s">
        <v>536</v>
      </c>
      <c r="C11" s="1161"/>
      <c r="D11" s="1161"/>
      <c r="E11" s="1161"/>
      <c r="F11" s="1161"/>
      <c r="G11" s="878"/>
      <c r="H11" s="889">
        <v>0</v>
      </c>
      <c r="I11" s="889">
        <v>0</v>
      </c>
      <c r="J11" s="889">
        <v>0</v>
      </c>
      <c r="K11" s="889">
        <v>0</v>
      </c>
      <c r="L11" s="903">
        <f t="shared" si="0"/>
        <v>0</v>
      </c>
      <c r="M11" s="1371"/>
      <c r="N11" s="1013"/>
      <c r="O11" s="1016"/>
    </row>
    <row r="12" spans="1:15" x14ac:dyDescent="0.25">
      <c r="A12" s="1009"/>
      <c r="B12" s="885" t="s">
        <v>536</v>
      </c>
      <c r="C12" s="1161"/>
      <c r="D12" s="1161"/>
      <c r="E12" s="1161"/>
      <c r="F12" s="1161"/>
      <c r="G12" s="878"/>
      <c r="H12" s="889">
        <v>0</v>
      </c>
      <c r="I12" s="889">
        <v>0</v>
      </c>
      <c r="J12" s="889">
        <v>0</v>
      </c>
      <c r="K12" s="889">
        <v>0</v>
      </c>
      <c r="L12" s="903">
        <f t="shared" si="0"/>
        <v>0</v>
      </c>
      <c r="M12" s="1371"/>
      <c r="N12" s="1013"/>
      <c r="O12" s="1016"/>
    </row>
    <row r="13" spans="1:15" x14ac:dyDescent="0.25">
      <c r="A13" s="1009"/>
      <c r="B13" s="885" t="s">
        <v>536</v>
      </c>
      <c r="C13" s="1161"/>
      <c r="D13" s="1161"/>
      <c r="E13" s="1161"/>
      <c r="F13" s="1161"/>
      <c r="G13" s="878"/>
      <c r="H13" s="889">
        <v>0</v>
      </c>
      <c r="I13" s="889">
        <v>0</v>
      </c>
      <c r="J13" s="889">
        <v>0</v>
      </c>
      <c r="K13" s="889">
        <v>0</v>
      </c>
      <c r="L13" s="903">
        <f t="shared" si="0"/>
        <v>0</v>
      </c>
      <c r="M13" s="1371"/>
      <c r="N13" s="1013"/>
      <c r="O13" s="1016"/>
    </row>
    <row r="14" spans="1:15" ht="13.5" thickBot="1" x14ac:dyDescent="0.3">
      <c r="A14" s="1009"/>
      <c r="B14" s="885" t="s">
        <v>536</v>
      </c>
      <c r="C14" s="891"/>
      <c r="D14" s="891"/>
      <c r="E14" s="891"/>
      <c r="F14" s="891"/>
      <c r="G14" s="1032"/>
      <c r="H14" s="889">
        <v>0</v>
      </c>
      <c r="I14" s="889">
        <v>0</v>
      </c>
      <c r="J14" s="889">
        <v>0</v>
      </c>
      <c r="K14" s="889">
        <v>0</v>
      </c>
      <c r="L14" s="906">
        <f t="shared" si="0"/>
        <v>0</v>
      </c>
      <c r="M14" s="1371"/>
      <c r="N14" s="1013"/>
      <c r="O14" s="1016"/>
    </row>
    <row r="15" spans="1:15" ht="19" customHeight="1" thickBot="1" x14ac:dyDescent="0.3">
      <c r="A15" s="1009"/>
      <c r="B15" s="1381" t="s">
        <v>537</v>
      </c>
      <c r="C15" s="1382"/>
      <c r="D15" s="1382"/>
      <c r="E15" s="1382"/>
      <c r="F15" s="1382"/>
      <c r="G15" s="1382"/>
      <c r="H15" s="1028">
        <f>SUM(H8:H14)</f>
        <v>0</v>
      </c>
      <c r="I15" s="1028">
        <f>SUM(I8:I14)</f>
        <v>0</v>
      </c>
      <c r="J15" s="1028">
        <f>SUM(J8:J14)</f>
        <v>0</v>
      </c>
      <c r="K15" s="1028">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538</v>
      </c>
      <c r="C17" s="897"/>
      <c r="D17" s="897"/>
      <c r="E17" s="897"/>
      <c r="F17" s="897"/>
      <c r="G17" s="897"/>
      <c r="H17" s="898">
        <v>0</v>
      </c>
      <c r="I17" s="898">
        <v>0</v>
      </c>
      <c r="J17" s="898">
        <v>0</v>
      </c>
      <c r="K17" s="899">
        <v>0</v>
      </c>
      <c r="L17" s="900">
        <f t="shared" ref="L17:L23" si="1">SUM(H17:K17)</f>
        <v>0</v>
      </c>
      <c r="M17" s="1371"/>
      <c r="N17" s="1013"/>
      <c r="O17" s="1016"/>
    </row>
    <row r="18" spans="1:15" x14ac:dyDescent="0.25">
      <c r="A18" s="1009"/>
      <c r="B18" s="901" t="s">
        <v>538</v>
      </c>
      <c r="C18" s="1161"/>
      <c r="D18" s="1161"/>
      <c r="E18" s="1161"/>
      <c r="F18" s="1161"/>
      <c r="G18" s="1161"/>
      <c r="H18" s="889">
        <v>0</v>
      </c>
      <c r="I18" s="889">
        <v>0</v>
      </c>
      <c r="J18" s="889">
        <v>0</v>
      </c>
      <c r="K18" s="902">
        <v>0</v>
      </c>
      <c r="L18" s="903">
        <f t="shared" si="1"/>
        <v>0</v>
      </c>
      <c r="M18" s="1371"/>
      <c r="N18" s="1013"/>
      <c r="O18" s="1016"/>
    </row>
    <row r="19" spans="1:15" x14ac:dyDescent="0.25">
      <c r="A19" s="1009"/>
      <c r="B19" s="901" t="s">
        <v>538</v>
      </c>
      <c r="C19" s="1161"/>
      <c r="D19" s="1161"/>
      <c r="E19" s="1161"/>
      <c r="F19" s="1161"/>
      <c r="G19" s="1161"/>
      <c r="H19" s="889">
        <v>0</v>
      </c>
      <c r="I19" s="889">
        <v>0</v>
      </c>
      <c r="J19" s="889">
        <v>0</v>
      </c>
      <c r="K19" s="902">
        <v>0</v>
      </c>
      <c r="L19" s="903">
        <f t="shared" si="1"/>
        <v>0</v>
      </c>
      <c r="M19" s="1371"/>
      <c r="N19" s="1013"/>
      <c r="O19" s="1016"/>
    </row>
    <row r="20" spans="1:15" x14ac:dyDescent="0.25">
      <c r="A20" s="1009"/>
      <c r="B20" s="901" t="s">
        <v>538</v>
      </c>
      <c r="C20" s="1161"/>
      <c r="D20" s="1161"/>
      <c r="E20" s="1161"/>
      <c r="F20" s="1161"/>
      <c r="G20" s="1161"/>
      <c r="H20" s="889">
        <v>0</v>
      </c>
      <c r="I20" s="889">
        <v>0</v>
      </c>
      <c r="J20" s="889">
        <v>0</v>
      </c>
      <c r="K20" s="902">
        <v>0</v>
      </c>
      <c r="L20" s="903">
        <f t="shared" si="1"/>
        <v>0</v>
      </c>
      <c r="M20" s="1371"/>
      <c r="N20" s="1013"/>
      <c r="O20" s="1016"/>
    </row>
    <row r="21" spans="1:15" x14ac:dyDescent="0.25">
      <c r="A21" s="1009"/>
      <c r="B21" s="901" t="s">
        <v>538</v>
      </c>
      <c r="C21" s="1161"/>
      <c r="D21" s="1161"/>
      <c r="E21" s="1161"/>
      <c r="F21" s="1161"/>
      <c r="G21" s="1161"/>
      <c r="H21" s="889">
        <v>0</v>
      </c>
      <c r="I21" s="889">
        <v>0</v>
      </c>
      <c r="J21" s="889">
        <v>0</v>
      </c>
      <c r="K21" s="902">
        <v>0</v>
      </c>
      <c r="L21" s="903">
        <f t="shared" si="1"/>
        <v>0</v>
      </c>
      <c r="M21" s="1371"/>
      <c r="N21" s="1013"/>
      <c r="O21" s="1016"/>
    </row>
    <row r="22" spans="1:15" x14ac:dyDescent="0.25">
      <c r="A22" s="1009"/>
      <c r="B22" s="901" t="s">
        <v>538</v>
      </c>
      <c r="C22" s="1161"/>
      <c r="D22" s="1161"/>
      <c r="E22" s="1161"/>
      <c r="F22" s="1161"/>
      <c r="G22" s="1161"/>
      <c r="H22" s="889">
        <v>0</v>
      </c>
      <c r="I22" s="889">
        <v>0</v>
      </c>
      <c r="J22" s="889">
        <v>0</v>
      </c>
      <c r="K22" s="902">
        <v>0</v>
      </c>
      <c r="L22" s="903">
        <f t="shared" si="1"/>
        <v>0</v>
      </c>
      <c r="M22" s="1371"/>
      <c r="N22" s="1013"/>
      <c r="O22" s="1016"/>
    </row>
    <row r="23" spans="1:15" ht="13.5" thickBot="1" x14ac:dyDescent="0.3">
      <c r="A23" s="1009"/>
      <c r="B23" s="901" t="s">
        <v>538</v>
      </c>
      <c r="C23" s="904"/>
      <c r="D23" s="904"/>
      <c r="E23" s="904"/>
      <c r="F23" s="904"/>
      <c r="G23" s="904"/>
      <c r="H23" s="892">
        <v>0</v>
      </c>
      <c r="I23" s="892">
        <v>0</v>
      </c>
      <c r="J23" s="892">
        <v>0</v>
      </c>
      <c r="K23" s="905">
        <v>0</v>
      </c>
      <c r="L23" s="906">
        <f t="shared" si="1"/>
        <v>0</v>
      </c>
      <c r="M23" s="1371"/>
      <c r="N23" s="1013"/>
      <c r="O23" s="1016"/>
    </row>
    <row r="24" spans="1:15" ht="17.5" customHeight="1" thickBot="1" x14ac:dyDescent="0.3">
      <c r="A24" s="1009"/>
      <c r="B24" s="1381" t="s">
        <v>539</v>
      </c>
      <c r="C24" s="1382"/>
      <c r="D24" s="1382"/>
      <c r="E24" s="1382"/>
      <c r="F24" s="1382"/>
      <c r="G24" s="1382"/>
      <c r="H24" s="1028">
        <f>SUM(H17:H23)</f>
        <v>0</v>
      </c>
      <c r="I24" s="1028">
        <f>SUM(I17:I23)</f>
        <v>0</v>
      </c>
      <c r="J24" s="1028">
        <f>SUM(J17:J23)</f>
        <v>0</v>
      </c>
      <c r="K24" s="1028">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540</v>
      </c>
      <c r="C26" s="897"/>
      <c r="D26" s="897"/>
      <c r="E26" s="897"/>
      <c r="F26" s="897"/>
      <c r="G26" s="1031"/>
      <c r="H26" s="889">
        <v>0</v>
      </c>
      <c r="I26" s="889">
        <v>0</v>
      </c>
      <c r="J26" s="889">
        <v>0</v>
      </c>
      <c r="K26" s="889">
        <v>0</v>
      </c>
      <c r="L26" s="900">
        <f t="shared" ref="L26:L32" si="2">SUM(H26:K26)</f>
        <v>0</v>
      </c>
      <c r="M26" s="1371"/>
      <c r="N26" s="1013"/>
      <c r="O26" s="1016"/>
    </row>
    <row r="27" spans="1:15" x14ac:dyDescent="0.25">
      <c r="A27" s="1009"/>
      <c r="B27" s="901" t="s">
        <v>540</v>
      </c>
      <c r="C27" s="1161"/>
      <c r="D27" s="1161"/>
      <c r="E27" s="1161"/>
      <c r="F27" s="1161"/>
      <c r="G27" s="878"/>
      <c r="H27" s="889">
        <v>0</v>
      </c>
      <c r="I27" s="889">
        <v>0</v>
      </c>
      <c r="J27" s="889">
        <v>0</v>
      </c>
      <c r="K27" s="889">
        <v>0</v>
      </c>
      <c r="L27" s="903">
        <f t="shared" si="2"/>
        <v>0</v>
      </c>
      <c r="M27" s="1371"/>
      <c r="N27" s="1013"/>
      <c r="O27" s="1016"/>
    </row>
    <row r="28" spans="1:15" x14ac:dyDescent="0.25">
      <c r="A28" s="1009"/>
      <c r="B28" s="901" t="s">
        <v>540</v>
      </c>
      <c r="C28" s="1161"/>
      <c r="D28" s="1161"/>
      <c r="E28" s="1161"/>
      <c r="F28" s="1161"/>
      <c r="G28" s="878"/>
      <c r="H28" s="889">
        <v>0</v>
      </c>
      <c r="I28" s="889">
        <v>0</v>
      </c>
      <c r="J28" s="889">
        <v>0</v>
      </c>
      <c r="K28" s="889">
        <v>0</v>
      </c>
      <c r="L28" s="903">
        <f t="shared" si="2"/>
        <v>0</v>
      </c>
      <c r="M28" s="1371"/>
      <c r="N28" s="1013"/>
      <c r="O28" s="1016"/>
    </row>
    <row r="29" spans="1:15" x14ac:dyDescent="0.25">
      <c r="A29" s="1009"/>
      <c r="B29" s="901" t="s">
        <v>540</v>
      </c>
      <c r="C29" s="1161"/>
      <c r="D29" s="1161"/>
      <c r="E29" s="1161"/>
      <c r="F29" s="1161"/>
      <c r="G29" s="878"/>
      <c r="H29" s="889">
        <v>0</v>
      </c>
      <c r="I29" s="889">
        <v>0</v>
      </c>
      <c r="J29" s="889">
        <v>0</v>
      </c>
      <c r="K29" s="889">
        <v>0</v>
      </c>
      <c r="L29" s="903">
        <f t="shared" si="2"/>
        <v>0</v>
      </c>
      <c r="M29" s="1371"/>
      <c r="N29" s="1013"/>
      <c r="O29" s="1016"/>
    </row>
    <row r="30" spans="1:15" x14ac:dyDescent="0.25">
      <c r="A30" s="1009"/>
      <c r="B30" s="901" t="s">
        <v>540</v>
      </c>
      <c r="C30" s="1161"/>
      <c r="D30" s="1161"/>
      <c r="E30" s="1161"/>
      <c r="F30" s="1161"/>
      <c r="G30" s="878"/>
      <c r="H30" s="889">
        <v>0</v>
      </c>
      <c r="I30" s="889">
        <v>0</v>
      </c>
      <c r="J30" s="889">
        <v>0</v>
      </c>
      <c r="K30" s="889">
        <v>0</v>
      </c>
      <c r="L30" s="903">
        <f t="shared" si="2"/>
        <v>0</v>
      </c>
      <c r="M30" s="1371"/>
      <c r="N30" s="1013"/>
      <c r="O30" s="1016"/>
    </row>
    <row r="31" spans="1:15" x14ac:dyDescent="0.25">
      <c r="A31" s="1009"/>
      <c r="B31" s="901" t="s">
        <v>540</v>
      </c>
      <c r="C31" s="1161"/>
      <c r="D31" s="1161"/>
      <c r="E31" s="1161"/>
      <c r="F31" s="1161"/>
      <c r="G31" s="878"/>
      <c r="H31" s="889">
        <v>0</v>
      </c>
      <c r="I31" s="889">
        <v>0</v>
      </c>
      <c r="J31" s="889">
        <v>0</v>
      </c>
      <c r="K31" s="889">
        <v>0</v>
      </c>
      <c r="L31" s="903">
        <f t="shared" si="2"/>
        <v>0</v>
      </c>
      <c r="M31" s="1371"/>
      <c r="N31" s="1013"/>
      <c r="O31" s="1016"/>
    </row>
    <row r="32" spans="1:15" ht="13.5" thickBot="1" x14ac:dyDescent="0.3">
      <c r="A32" s="1009"/>
      <c r="B32" s="901" t="s">
        <v>540</v>
      </c>
      <c r="C32" s="891"/>
      <c r="D32" s="891"/>
      <c r="E32" s="891"/>
      <c r="F32" s="891"/>
      <c r="G32" s="1032"/>
      <c r="H32" s="889">
        <v>0</v>
      </c>
      <c r="I32" s="889">
        <v>0</v>
      </c>
      <c r="J32" s="889">
        <v>0</v>
      </c>
      <c r="K32" s="889">
        <v>0</v>
      </c>
      <c r="L32" s="906">
        <f t="shared" si="2"/>
        <v>0</v>
      </c>
      <c r="M32" s="1371"/>
      <c r="N32" s="1013"/>
      <c r="O32" s="1016"/>
    </row>
    <row r="33" spans="1:15" ht="18" customHeight="1" thickBot="1" x14ac:dyDescent="0.3">
      <c r="A33" s="1009"/>
      <c r="B33" s="1381" t="s">
        <v>541</v>
      </c>
      <c r="C33" s="1382"/>
      <c r="D33" s="1382"/>
      <c r="E33" s="1382"/>
      <c r="F33" s="1382"/>
      <c r="G33" s="1382"/>
      <c r="H33" s="1028">
        <f>SUM(H26:H32)</f>
        <v>0</v>
      </c>
      <c r="I33" s="1028">
        <f>SUM(I26:I32)</f>
        <v>0</v>
      </c>
      <c r="J33" s="1028">
        <f>SUM(J26:J32)</f>
        <v>0</v>
      </c>
      <c r="K33" s="1028">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542</v>
      </c>
      <c r="C35" s="897"/>
      <c r="D35" s="897"/>
      <c r="E35" s="897"/>
      <c r="F35" s="897"/>
      <c r="G35" s="1031"/>
      <c r="H35" s="889">
        <v>0</v>
      </c>
      <c r="I35" s="889">
        <v>0</v>
      </c>
      <c r="J35" s="889">
        <v>0</v>
      </c>
      <c r="K35" s="889">
        <v>0</v>
      </c>
      <c r="L35" s="900">
        <f t="shared" ref="L35:L40" si="3">SUM(H35:K35)</f>
        <v>0</v>
      </c>
      <c r="M35" s="1371"/>
      <c r="N35" s="1013"/>
      <c r="O35" s="1016"/>
    </row>
    <row r="36" spans="1:15" x14ac:dyDescent="0.25">
      <c r="A36" s="1009"/>
      <c r="B36" s="901" t="s">
        <v>542</v>
      </c>
      <c r="C36" s="1161"/>
      <c r="D36" s="1161"/>
      <c r="E36" s="1161"/>
      <c r="F36" s="1161"/>
      <c r="G36" s="878"/>
      <c r="H36" s="889">
        <v>0</v>
      </c>
      <c r="I36" s="889">
        <v>0</v>
      </c>
      <c r="J36" s="889">
        <v>0</v>
      </c>
      <c r="K36" s="889">
        <v>0</v>
      </c>
      <c r="L36" s="903">
        <f t="shared" si="3"/>
        <v>0</v>
      </c>
      <c r="M36" s="1371"/>
      <c r="N36" s="1013"/>
      <c r="O36" s="1016"/>
    </row>
    <row r="37" spans="1:15" x14ac:dyDescent="0.25">
      <c r="A37" s="1009"/>
      <c r="B37" s="901" t="s">
        <v>542</v>
      </c>
      <c r="C37" s="1161"/>
      <c r="D37" s="1161"/>
      <c r="E37" s="1161"/>
      <c r="F37" s="1161"/>
      <c r="G37" s="878"/>
      <c r="H37" s="889">
        <v>0</v>
      </c>
      <c r="I37" s="889">
        <v>0</v>
      </c>
      <c r="J37" s="889">
        <v>0</v>
      </c>
      <c r="K37" s="889">
        <v>0</v>
      </c>
      <c r="L37" s="903">
        <f t="shared" si="3"/>
        <v>0</v>
      </c>
      <c r="M37" s="1371"/>
      <c r="N37" s="1013"/>
      <c r="O37" s="1016"/>
    </row>
    <row r="38" spans="1:15" x14ac:dyDescent="0.25">
      <c r="A38" s="1009"/>
      <c r="B38" s="901" t="s">
        <v>542</v>
      </c>
      <c r="C38" s="1161"/>
      <c r="D38" s="1161"/>
      <c r="E38" s="1161"/>
      <c r="F38" s="1161"/>
      <c r="G38" s="878"/>
      <c r="H38" s="889">
        <v>0</v>
      </c>
      <c r="I38" s="889">
        <v>0</v>
      </c>
      <c r="J38" s="889">
        <v>0</v>
      </c>
      <c r="K38" s="889">
        <v>0</v>
      </c>
      <c r="L38" s="903">
        <f t="shared" si="3"/>
        <v>0</v>
      </c>
      <c r="M38" s="1371"/>
      <c r="N38" s="1013"/>
      <c r="O38" s="1016"/>
    </row>
    <row r="39" spans="1:15" x14ac:dyDescent="0.25">
      <c r="A39" s="1009"/>
      <c r="B39" s="901" t="s">
        <v>542</v>
      </c>
      <c r="C39" s="1161"/>
      <c r="D39" s="1161"/>
      <c r="E39" s="1161"/>
      <c r="F39" s="1161"/>
      <c r="G39" s="878"/>
      <c r="H39" s="889">
        <v>0</v>
      </c>
      <c r="I39" s="889">
        <v>0</v>
      </c>
      <c r="J39" s="889">
        <v>0</v>
      </c>
      <c r="K39" s="889">
        <v>0</v>
      </c>
      <c r="L39" s="903">
        <f t="shared" si="3"/>
        <v>0</v>
      </c>
      <c r="M39" s="1371"/>
      <c r="N39" s="1013"/>
      <c r="O39" s="1016"/>
    </row>
    <row r="40" spans="1:15" ht="13.5" thickBot="1" x14ac:dyDescent="0.3">
      <c r="A40" s="1009"/>
      <c r="B40" s="901" t="s">
        <v>542</v>
      </c>
      <c r="C40" s="891"/>
      <c r="D40" s="891"/>
      <c r="E40" s="891"/>
      <c r="F40" s="891"/>
      <c r="G40" s="1032"/>
      <c r="H40" s="889">
        <v>0</v>
      </c>
      <c r="I40" s="889">
        <v>0</v>
      </c>
      <c r="J40" s="889">
        <v>0</v>
      </c>
      <c r="K40" s="889">
        <v>0</v>
      </c>
      <c r="L40" s="906">
        <f t="shared" si="3"/>
        <v>0</v>
      </c>
      <c r="M40" s="1371"/>
      <c r="N40" s="1013"/>
      <c r="O40" s="1016"/>
    </row>
    <row r="41" spans="1:15" ht="18" customHeight="1" thickBot="1" x14ac:dyDescent="0.3">
      <c r="A41" s="1009"/>
      <c r="B41" s="1381" t="s">
        <v>543</v>
      </c>
      <c r="C41" s="1382"/>
      <c r="D41" s="1382"/>
      <c r="E41" s="1382"/>
      <c r="F41" s="1382"/>
      <c r="G41" s="1382"/>
      <c r="H41" s="1028">
        <f>SUM(H35:H40)</f>
        <v>0</v>
      </c>
      <c r="I41" s="1028">
        <f>SUM(I35:I40)</f>
        <v>0</v>
      </c>
      <c r="J41" s="1028">
        <f>SUM(J35:J40)</f>
        <v>0</v>
      </c>
      <c r="K41" s="1028">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544</v>
      </c>
      <c r="C43" s="897"/>
      <c r="D43" s="897"/>
      <c r="E43" s="897"/>
      <c r="F43" s="897"/>
      <c r="G43" s="1031"/>
      <c r="H43" s="889">
        <v>0</v>
      </c>
      <c r="I43" s="889">
        <v>0</v>
      </c>
      <c r="J43" s="889">
        <v>0</v>
      </c>
      <c r="K43" s="889">
        <v>0</v>
      </c>
      <c r="L43" s="900">
        <f t="shared" ref="L43:L51" si="4">SUM(H43:K43)</f>
        <v>0</v>
      </c>
      <c r="M43" s="1371"/>
      <c r="N43" s="1013"/>
      <c r="O43" s="1016"/>
    </row>
    <row r="44" spans="1:15" x14ac:dyDescent="0.25">
      <c r="A44" s="1009"/>
      <c r="B44" s="901" t="s">
        <v>544</v>
      </c>
      <c r="C44" s="1161"/>
      <c r="D44" s="1161"/>
      <c r="E44" s="1161"/>
      <c r="F44" s="1161"/>
      <c r="G44" s="878"/>
      <c r="H44" s="889">
        <v>0</v>
      </c>
      <c r="I44" s="889">
        <v>0</v>
      </c>
      <c r="J44" s="889">
        <v>0</v>
      </c>
      <c r="K44" s="889">
        <v>0</v>
      </c>
      <c r="L44" s="903">
        <f t="shared" si="4"/>
        <v>0</v>
      </c>
      <c r="M44" s="1371"/>
      <c r="N44" s="1013"/>
      <c r="O44" s="1016"/>
    </row>
    <row r="45" spans="1:15" x14ac:dyDescent="0.25">
      <c r="A45" s="1009"/>
      <c r="B45" s="901" t="s">
        <v>544</v>
      </c>
      <c r="C45" s="1161"/>
      <c r="D45" s="1161"/>
      <c r="E45" s="1161"/>
      <c r="F45" s="1161"/>
      <c r="G45" s="878"/>
      <c r="H45" s="889">
        <v>0</v>
      </c>
      <c r="I45" s="889">
        <v>0</v>
      </c>
      <c r="J45" s="889">
        <v>0</v>
      </c>
      <c r="K45" s="889">
        <v>0</v>
      </c>
      <c r="L45" s="903">
        <f t="shared" si="4"/>
        <v>0</v>
      </c>
      <c r="M45" s="1371"/>
      <c r="N45" s="1013"/>
      <c r="O45" s="1016"/>
    </row>
    <row r="46" spans="1:15" x14ac:dyDescent="0.25">
      <c r="A46" s="1009"/>
      <c r="B46" s="901" t="s">
        <v>544</v>
      </c>
      <c r="C46" s="1161"/>
      <c r="D46" s="1161"/>
      <c r="E46" s="1161"/>
      <c r="F46" s="1161"/>
      <c r="G46" s="878"/>
      <c r="H46" s="889">
        <v>0</v>
      </c>
      <c r="I46" s="889">
        <v>0</v>
      </c>
      <c r="J46" s="889">
        <v>0</v>
      </c>
      <c r="K46" s="889">
        <v>0</v>
      </c>
      <c r="L46" s="903">
        <f t="shared" si="4"/>
        <v>0</v>
      </c>
      <c r="M46" s="1371"/>
      <c r="N46" s="1013"/>
      <c r="O46" s="1016"/>
    </row>
    <row r="47" spans="1:15" x14ac:dyDescent="0.25">
      <c r="A47" s="1009"/>
      <c r="B47" s="901" t="s">
        <v>544</v>
      </c>
      <c r="C47" s="1161"/>
      <c r="D47" s="1161"/>
      <c r="E47" s="1161"/>
      <c r="F47" s="1161"/>
      <c r="G47" s="878"/>
      <c r="H47" s="889">
        <v>0</v>
      </c>
      <c r="I47" s="889">
        <v>0</v>
      </c>
      <c r="J47" s="889">
        <v>0</v>
      </c>
      <c r="K47" s="889">
        <v>0</v>
      </c>
      <c r="L47" s="903">
        <f t="shared" si="4"/>
        <v>0</v>
      </c>
      <c r="M47" s="1371"/>
      <c r="N47" s="1013"/>
      <c r="O47" s="1016"/>
    </row>
    <row r="48" spans="1:15" x14ac:dyDescent="0.25">
      <c r="A48" s="1009"/>
      <c r="B48" s="901" t="s">
        <v>544</v>
      </c>
      <c r="C48" s="1161"/>
      <c r="D48" s="1161"/>
      <c r="E48" s="1161"/>
      <c r="F48" s="1161"/>
      <c r="G48" s="878"/>
      <c r="H48" s="889">
        <v>0</v>
      </c>
      <c r="I48" s="889">
        <v>0</v>
      </c>
      <c r="J48" s="889">
        <v>0</v>
      </c>
      <c r="K48" s="889">
        <v>0</v>
      </c>
      <c r="L48" s="903">
        <f t="shared" si="4"/>
        <v>0</v>
      </c>
      <c r="M48" s="1371"/>
      <c r="N48" s="1013"/>
      <c r="O48" s="1016"/>
    </row>
    <row r="49" spans="1:15" x14ac:dyDescent="0.25">
      <c r="A49" s="1009"/>
      <c r="B49" s="901" t="s">
        <v>544</v>
      </c>
      <c r="C49" s="1161"/>
      <c r="D49" s="1161"/>
      <c r="E49" s="1161"/>
      <c r="F49" s="1161"/>
      <c r="G49" s="878"/>
      <c r="H49" s="889">
        <v>0</v>
      </c>
      <c r="I49" s="889">
        <v>0</v>
      </c>
      <c r="J49" s="889">
        <v>0</v>
      </c>
      <c r="K49" s="889">
        <v>0</v>
      </c>
      <c r="L49" s="903">
        <f t="shared" si="4"/>
        <v>0</v>
      </c>
      <c r="M49" s="1371"/>
      <c r="N49" s="1013"/>
      <c r="O49" s="1016"/>
    </row>
    <row r="50" spans="1:15" x14ac:dyDescent="0.25">
      <c r="A50" s="1009"/>
      <c r="B50" s="901" t="s">
        <v>544</v>
      </c>
      <c r="C50" s="1161"/>
      <c r="D50" s="1161"/>
      <c r="E50" s="1161"/>
      <c r="F50" s="1161"/>
      <c r="G50" s="878"/>
      <c r="H50" s="889">
        <v>0</v>
      </c>
      <c r="I50" s="889">
        <v>0</v>
      </c>
      <c r="J50" s="889">
        <v>0</v>
      </c>
      <c r="K50" s="889">
        <v>0</v>
      </c>
      <c r="L50" s="903">
        <f t="shared" si="4"/>
        <v>0</v>
      </c>
      <c r="M50" s="1371"/>
      <c r="N50" s="1013"/>
      <c r="O50" s="1016"/>
    </row>
    <row r="51" spans="1:15" ht="13.5" thickBot="1" x14ac:dyDescent="0.3">
      <c r="A51" s="1009"/>
      <c r="B51" s="913" t="s">
        <v>544</v>
      </c>
      <c r="C51" s="904"/>
      <c r="D51" s="904"/>
      <c r="E51" s="904"/>
      <c r="F51" s="904"/>
      <c r="G51" s="1033"/>
      <c r="H51" s="889">
        <v>0</v>
      </c>
      <c r="I51" s="889">
        <v>0</v>
      </c>
      <c r="J51" s="889">
        <v>0</v>
      </c>
      <c r="K51" s="889">
        <v>0</v>
      </c>
      <c r="L51" s="906">
        <f t="shared" si="4"/>
        <v>0</v>
      </c>
      <c r="M51" s="1371"/>
      <c r="N51" s="1013"/>
      <c r="O51" s="1016"/>
    </row>
    <row r="52" spans="1:15" ht="20.5" customHeight="1" thickBot="1" x14ac:dyDescent="0.3">
      <c r="A52" s="1009"/>
      <c r="B52" s="1381" t="s">
        <v>545</v>
      </c>
      <c r="C52" s="1382"/>
      <c r="D52" s="1382"/>
      <c r="E52" s="1382"/>
      <c r="F52" s="1382"/>
      <c r="G52" s="1382"/>
      <c r="H52" s="1028">
        <f>SUM(H43:H51)</f>
        <v>0</v>
      </c>
      <c r="I52" s="1028">
        <f>SUM(I43:I51)</f>
        <v>0</v>
      </c>
      <c r="J52" s="1028">
        <f>SUM(J43:J51)</f>
        <v>0</v>
      </c>
      <c r="K52" s="1028">
        <f>SUM(K43:K51)</f>
        <v>0</v>
      </c>
      <c r="L52" s="1371"/>
      <c r="M52" s="895">
        <f>SUM(H52:K52)</f>
        <v>0</v>
      </c>
      <c r="N52" s="1013"/>
      <c r="O52" s="1016"/>
    </row>
    <row r="53" spans="1:15" ht="20.5" customHeight="1" thickBot="1" x14ac:dyDescent="0.3">
      <c r="A53" s="1009"/>
      <c r="B53" s="1024"/>
      <c r="C53" s="1024"/>
      <c r="D53" s="1024"/>
      <c r="E53" s="1024"/>
      <c r="F53" s="1024"/>
      <c r="G53" s="1024"/>
      <c r="H53" s="1025"/>
      <c r="I53" s="1026"/>
      <c r="J53" s="1025"/>
      <c r="K53" s="1025"/>
      <c r="L53" s="1371"/>
      <c r="M53" s="1023"/>
      <c r="N53" s="1013"/>
      <c r="O53" s="1016"/>
    </row>
    <row r="54" spans="1:15" ht="20.5" customHeight="1" thickBot="1" x14ac:dyDescent="0.3">
      <c r="A54" s="1009"/>
      <c r="B54" s="1381" t="s">
        <v>546</v>
      </c>
      <c r="C54" s="1382"/>
      <c r="D54" s="1382"/>
      <c r="E54" s="1382"/>
      <c r="F54" s="1382"/>
      <c r="G54" s="1382"/>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547</v>
      </c>
    </row>
    <row r="57" spans="1:15" ht="25.5" customHeight="1" thickBot="1" x14ac:dyDescent="0.3">
      <c r="A57" s="1011"/>
      <c r="B57" s="1014"/>
      <c r="C57" s="1014"/>
      <c r="D57" s="1014"/>
      <c r="E57" s="1014"/>
      <c r="F57" s="1014"/>
      <c r="G57" s="1014"/>
      <c r="H57" s="1014"/>
      <c r="I57" s="1014"/>
      <c r="J57" s="1014"/>
      <c r="K57" s="1015"/>
      <c r="L57" s="1014"/>
      <c r="M57" s="1014"/>
      <c r="N57" s="1014"/>
      <c r="O57" s="922">
        <f>'Phase 6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52:G52"/>
    <mergeCell ref="L52:L54"/>
    <mergeCell ref="B54:G54"/>
    <mergeCell ref="M17:M23"/>
    <mergeCell ref="B24:G24"/>
    <mergeCell ref="M26:M32"/>
    <mergeCell ref="B33:G33"/>
    <mergeCell ref="M35:M40"/>
    <mergeCell ref="B41:G41"/>
    <mergeCell ref="M43:M51"/>
    <mergeCell ref="B15:G15"/>
    <mergeCell ref="B2:C2"/>
    <mergeCell ref="I2:M4"/>
    <mergeCell ref="B6:C6"/>
    <mergeCell ref="H6:K6"/>
    <mergeCell ref="M8:M14"/>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53125" defaultRowHeight="13" x14ac:dyDescent="0.3"/>
  <cols>
    <col min="1" max="1" width="4.81640625" style="933" customWidth="1"/>
    <col min="2" max="5" width="8.453125" style="933"/>
    <col min="6" max="6" width="11.453125" style="933" customWidth="1"/>
    <col min="7" max="9" width="8.453125" style="933"/>
    <col min="10" max="10" width="10.81640625" style="933" customWidth="1"/>
    <col min="11" max="13" width="8.453125" style="933"/>
    <col min="14" max="14" width="12.81640625" style="933" customWidth="1"/>
    <col min="15" max="15" width="11.1796875" style="933" customWidth="1"/>
    <col min="16" max="16" width="12.81640625" style="933" customWidth="1"/>
    <col min="17" max="17" width="5.26953125" style="933" customWidth="1"/>
    <col min="18" max="18" width="11.81640625" style="933" customWidth="1"/>
    <col min="19" max="16384" width="8.453125" style="933"/>
  </cols>
  <sheetData>
    <row r="1" spans="1:17" ht="13.5" thickBot="1" x14ac:dyDescent="0.35">
      <c r="A1" s="930"/>
      <c r="B1" s="931"/>
      <c r="C1" s="931"/>
      <c r="D1" s="931"/>
      <c r="E1" s="931"/>
      <c r="F1" s="931"/>
      <c r="G1" s="931"/>
      <c r="H1" s="931"/>
      <c r="I1" s="931"/>
      <c r="J1" s="931"/>
      <c r="K1" s="931"/>
      <c r="L1" s="931"/>
      <c r="M1" s="931"/>
      <c r="N1" s="931"/>
      <c r="O1" s="931"/>
      <c r="P1" s="931"/>
      <c r="Q1" s="932"/>
    </row>
    <row r="2" spans="1:17" s="854" customFormat="1" ht="39" customHeight="1" thickBot="1" x14ac:dyDescent="0.3">
      <c r="A2" s="934"/>
      <c r="B2" s="1645" t="s">
        <v>548</v>
      </c>
      <c r="C2" s="1646"/>
      <c r="D2" s="1646"/>
      <c r="E2" s="1647"/>
      <c r="F2" s="935"/>
      <c r="G2" s="1650" t="str">
        <f>General!D4</f>
        <v>Name</v>
      </c>
      <c r="H2" s="1650"/>
      <c r="I2" s="1650"/>
      <c r="J2" s="1650"/>
      <c r="K2" s="1650"/>
      <c r="L2" s="1650"/>
      <c r="M2" s="935"/>
      <c r="N2" s="935"/>
      <c r="O2" s="935"/>
      <c r="P2" s="935"/>
      <c r="Q2" s="936"/>
    </row>
    <row r="3" spans="1:17" ht="50.25" customHeight="1" x14ac:dyDescent="0.3">
      <c r="A3" s="937"/>
      <c r="B3" s="1648" t="s">
        <v>549</v>
      </c>
      <c r="C3" s="1648"/>
      <c r="D3" s="1648"/>
      <c r="E3" s="1648"/>
      <c r="F3" s="1649"/>
      <c r="G3" s="1649"/>
      <c r="H3" s="1649"/>
      <c r="I3" s="1649"/>
      <c r="J3" s="1649"/>
      <c r="K3" s="1649"/>
      <c r="L3" s="1649"/>
      <c r="M3" s="1649"/>
      <c r="N3" s="1649"/>
      <c r="O3" s="1649"/>
      <c r="P3" s="1649"/>
      <c r="Q3" s="938"/>
    </row>
    <row r="4" spans="1:17" ht="15.5" x14ac:dyDescent="0.35">
      <c r="A4" s="937"/>
      <c r="B4" s="1643"/>
      <c r="C4" s="1643"/>
      <c r="D4" s="1643"/>
      <c r="E4" s="1643"/>
      <c r="F4" s="1643"/>
      <c r="G4" s="1643"/>
      <c r="H4" s="1643"/>
      <c r="I4" s="1643"/>
      <c r="J4" s="1643"/>
      <c r="K4" s="1643"/>
      <c r="L4" s="1643"/>
      <c r="M4" s="1643"/>
      <c r="N4" s="1643"/>
      <c r="O4" s="1643"/>
      <c r="P4" s="1643"/>
      <c r="Q4" s="938"/>
    </row>
    <row r="5" spans="1:17" x14ac:dyDescent="0.3">
      <c r="A5" s="937"/>
      <c r="B5" s="1642" t="s">
        <v>550</v>
      </c>
      <c r="C5" s="1642"/>
      <c r="D5" s="1642"/>
      <c r="E5" s="1642"/>
      <c r="F5" s="1642"/>
      <c r="G5" s="1642"/>
      <c r="H5" s="1642"/>
      <c r="I5" s="1642"/>
      <c r="J5" s="1642"/>
      <c r="K5" s="1642"/>
      <c r="L5" s="1642"/>
      <c r="M5" s="1642"/>
      <c r="N5" s="1642"/>
      <c r="O5" s="1642"/>
      <c r="P5" s="1642"/>
      <c r="Q5" s="938"/>
    </row>
    <row r="6" spans="1:17" ht="75.650000000000006" customHeight="1" x14ac:dyDescent="0.3">
      <c r="A6" s="937"/>
      <c r="B6" s="1642"/>
      <c r="C6" s="1642"/>
      <c r="D6" s="1642"/>
      <c r="E6" s="1642"/>
      <c r="F6" s="1642"/>
      <c r="G6" s="1642"/>
      <c r="H6" s="1642"/>
      <c r="I6" s="1642"/>
      <c r="J6" s="1642"/>
      <c r="K6" s="1642"/>
      <c r="L6" s="1642"/>
      <c r="M6" s="1642"/>
      <c r="N6" s="1642"/>
      <c r="O6" s="1642"/>
      <c r="P6" s="1642"/>
      <c r="Q6" s="938"/>
    </row>
    <row r="7" spans="1:17" ht="14.15" customHeight="1" x14ac:dyDescent="0.35">
      <c r="A7" s="937"/>
      <c r="B7" s="1644"/>
      <c r="C7" s="1644"/>
      <c r="D7" s="1644"/>
      <c r="E7" s="1644"/>
      <c r="F7" s="1644"/>
      <c r="G7" s="1644"/>
      <c r="H7" s="1644"/>
      <c r="I7" s="1644"/>
      <c r="J7" s="1644"/>
      <c r="K7" s="1644"/>
      <c r="L7" s="1644"/>
      <c r="M7" s="1644"/>
      <c r="N7" s="1644"/>
      <c r="O7" s="1644"/>
      <c r="P7" s="1644"/>
      <c r="Q7" s="938"/>
    </row>
    <row r="8" spans="1:17" ht="62.25" customHeight="1" x14ac:dyDescent="0.3">
      <c r="A8" s="937"/>
      <c r="B8" s="1641" t="s">
        <v>551</v>
      </c>
      <c r="C8" s="1641"/>
      <c r="D8" s="1641"/>
      <c r="E8" s="1641"/>
      <c r="F8" s="1641"/>
      <c r="G8" s="1640" t="s">
        <v>552</v>
      </c>
      <c r="H8" s="1640"/>
      <c r="I8" s="1640" t="s">
        <v>553</v>
      </c>
      <c r="J8" s="1640"/>
      <c r="K8" s="1640" t="s">
        <v>554</v>
      </c>
      <c r="L8" s="1640"/>
      <c r="M8" s="1640" t="s">
        <v>555</v>
      </c>
      <c r="N8" s="1640"/>
      <c r="O8" s="1640" t="s">
        <v>556</v>
      </c>
      <c r="P8" s="1640"/>
      <c r="Q8" s="938"/>
    </row>
    <row r="9" spans="1:17" ht="12.75" customHeight="1" x14ac:dyDescent="0.3">
      <c r="A9" s="937"/>
      <c r="B9" s="1639"/>
      <c r="C9" s="1639"/>
      <c r="D9" s="1639"/>
      <c r="E9" s="1639"/>
      <c r="F9" s="1639"/>
      <c r="G9" s="1639"/>
      <c r="H9" s="1639"/>
      <c r="I9" s="1639"/>
      <c r="J9" s="1639"/>
      <c r="K9" s="1639"/>
      <c r="L9" s="1639"/>
      <c r="M9" s="1639"/>
      <c r="N9" s="1639"/>
      <c r="O9" s="1639"/>
      <c r="P9" s="1639"/>
      <c r="Q9" s="938"/>
    </row>
    <row r="10" spans="1:17" x14ac:dyDescent="0.3">
      <c r="A10" s="937"/>
      <c r="B10" s="1639"/>
      <c r="C10" s="1639"/>
      <c r="D10" s="1639"/>
      <c r="E10" s="1639"/>
      <c r="F10" s="1639"/>
      <c r="G10" s="1639"/>
      <c r="H10" s="1639"/>
      <c r="I10" s="1639"/>
      <c r="J10" s="1639"/>
      <c r="K10" s="1639"/>
      <c r="L10" s="1639"/>
      <c r="M10" s="1639"/>
      <c r="N10" s="1639"/>
      <c r="O10" s="1639"/>
      <c r="P10" s="1639"/>
      <c r="Q10" s="938"/>
    </row>
    <row r="11" spans="1:17" x14ac:dyDescent="0.3">
      <c r="A11" s="937"/>
      <c r="B11" s="1639"/>
      <c r="C11" s="1639"/>
      <c r="D11" s="1639"/>
      <c r="E11" s="1639"/>
      <c r="F11" s="1639"/>
      <c r="G11" s="1639"/>
      <c r="H11" s="1639"/>
      <c r="I11" s="1639"/>
      <c r="J11" s="1639"/>
      <c r="K11" s="1639"/>
      <c r="L11" s="1639"/>
      <c r="M11" s="1639"/>
      <c r="N11" s="1639"/>
      <c r="O11" s="1639"/>
      <c r="P11" s="1639"/>
      <c r="Q11" s="938"/>
    </row>
    <row r="12" spans="1:17" x14ac:dyDescent="0.3">
      <c r="A12" s="937"/>
      <c r="B12" s="1639"/>
      <c r="C12" s="1639"/>
      <c r="D12" s="1639"/>
      <c r="E12" s="1639"/>
      <c r="F12" s="1639"/>
      <c r="G12" s="1639"/>
      <c r="H12" s="1639"/>
      <c r="I12" s="1639"/>
      <c r="J12" s="1639"/>
      <c r="K12" s="1639"/>
      <c r="L12" s="1639"/>
      <c r="M12" s="1639"/>
      <c r="N12" s="1639"/>
      <c r="O12" s="1639"/>
      <c r="P12" s="1639"/>
      <c r="Q12" s="938"/>
    </row>
    <row r="13" spans="1:17" x14ac:dyDescent="0.3">
      <c r="A13" s="937"/>
      <c r="B13" s="1639"/>
      <c r="C13" s="1639"/>
      <c r="D13" s="1639"/>
      <c r="E13" s="1639"/>
      <c r="F13" s="1639"/>
      <c r="G13" s="1639"/>
      <c r="H13" s="1639"/>
      <c r="I13" s="1639"/>
      <c r="J13" s="1639"/>
      <c r="K13" s="1639"/>
      <c r="L13" s="1639"/>
      <c r="M13" s="1639"/>
      <c r="N13" s="1639"/>
      <c r="O13" s="1639"/>
      <c r="P13" s="1639"/>
      <c r="Q13" s="938"/>
    </row>
    <row r="14" spans="1:17" x14ac:dyDescent="0.3">
      <c r="A14" s="937"/>
      <c r="B14" s="1639"/>
      <c r="C14" s="1639"/>
      <c r="D14" s="1639"/>
      <c r="E14" s="1639"/>
      <c r="F14" s="1639"/>
      <c r="G14" s="1639"/>
      <c r="H14" s="1639"/>
      <c r="I14" s="1639"/>
      <c r="J14" s="1639"/>
      <c r="K14" s="1639"/>
      <c r="L14" s="1639"/>
      <c r="M14" s="1639"/>
      <c r="N14" s="1639"/>
      <c r="O14" s="1639"/>
      <c r="P14" s="1639"/>
      <c r="Q14" s="938"/>
    </row>
    <row r="15" spans="1:17" x14ac:dyDescent="0.3">
      <c r="A15" s="937"/>
      <c r="B15" s="1639"/>
      <c r="C15" s="1639"/>
      <c r="D15" s="1639"/>
      <c r="E15" s="1639"/>
      <c r="F15" s="1639"/>
      <c r="G15" s="1639"/>
      <c r="H15" s="1639"/>
      <c r="I15" s="1639"/>
      <c r="J15" s="1639"/>
      <c r="K15" s="1639"/>
      <c r="L15" s="1639"/>
      <c r="M15" s="1639"/>
      <c r="N15" s="1639"/>
      <c r="O15" s="1639"/>
      <c r="P15" s="1639"/>
      <c r="Q15" s="938"/>
    </row>
    <row r="16" spans="1:17" x14ac:dyDescent="0.3">
      <c r="A16" s="937"/>
      <c r="B16" s="1639"/>
      <c r="C16" s="1639"/>
      <c r="D16" s="1639"/>
      <c r="E16" s="1639"/>
      <c r="F16" s="1639"/>
      <c r="G16" s="1639"/>
      <c r="H16" s="1639"/>
      <c r="I16" s="1639"/>
      <c r="J16" s="1639"/>
      <c r="K16" s="1639"/>
      <c r="L16" s="1639"/>
      <c r="M16" s="1639"/>
      <c r="N16" s="1639"/>
      <c r="O16" s="1639"/>
      <c r="P16" s="1639"/>
      <c r="Q16" s="938"/>
    </row>
    <row r="17" spans="1:17" x14ac:dyDescent="0.3">
      <c r="A17" s="937"/>
      <c r="B17" s="1639"/>
      <c r="C17" s="1639"/>
      <c r="D17" s="1639"/>
      <c r="E17" s="1639"/>
      <c r="F17" s="1639"/>
      <c r="G17" s="1639"/>
      <c r="H17" s="1639"/>
      <c r="I17" s="1639"/>
      <c r="J17" s="1639"/>
      <c r="K17" s="1639"/>
      <c r="L17" s="1639"/>
      <c r="M17" s="1639"/>
      <c r="N17" s="1639"/>
      <c r="O17" s="1639"/>
      <c r="P17" s="1639"/>
      <c r="Q17" s="938"/>
    </row>
    <row r="18" spans="1:17" ht="16" thickBot="1" x14ac:dyDescent="0.35">
      <c r="A18" s="939"/>
      <c r="B18" s="940"/>
      <c r="C18" s="940"/>
      <c r="D18" s="941"/>
      <c r="E18" s="940"/>
      <c r="F18" s="940"/>
      <c r="G18" s="940"/>
      <c r="H18" s="940"/>
      <c r="I18" s="940"/>
      <c r="J18" s="940"/>
      <c r="K18" s="940"/>
      <c r="L18" s="940"/>
      <c r="M18" s="940"/>
      <c r="N18" s="940"/>
      <c r="O18" s="940"/>
      <c r="P18" s="940"/>
      <c r="Q18" s="942"/>
    </row>
    <row r="27" spans="1:17" x14ac:dyDescent="0.3">
      <c r="K27" s="943"/>
    </row>
  </sheetData>
  <mergeCells count="66">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 ref="B15:F15"/>
    <mergeCell ref="B16:F16"/>
    <mergeCell ref="B17:F17"/>
    <mergeCell ref="B11:F11"/>
    <mergeCell ref="B12:F12"/>
    <mergeCell ref="B13:F13"/>
    <mergeCell ref="B14:F14"/>
    <mergeCell ref="B5:P6"/>
    <mergeCell ref="B4:P4"/>
    <mergeCell ref="B7:P7"/>
    <mergeCell ref="B2:E2"/>
    <mergeCell ref="B3:P3"/>
    <mergeCell ref="G2:L2"/>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16:P16"/>
    <mergeCell ref="O17:P17"/>
    <mergeCell ref="O11:P11"/>
    <mergeCell ref="O12:P12"/>
    <mergeCell ref="O13:P13"/>
    <mergeCell ref="O14:P14"/>
    <mergeCell ref="O15:P15"/>
  </mergeCells>
  <phoneticPr fontId="4" type="noConversion"/>
  <printOptions horizontalCentered="1"/>
  <pageMargins left="0.5" right="0.5" top="0.5" bottom="0.5" header="0.25" footer="0.25"/>
  <pageSetup scale="83" orientation="landscape" r:id="rId1"/>
  <headerFooter alignWithMargins="0">
    <oddHeader>&amp;C&amp;"Arial,Bold"&amp;12&amp;A</oddHeader>
    <oddFooter>&amp;LOfferor: &amp;CPage &amp;P of &amp;N Pages&amp;R&amp;F</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M55"/>
  <sheetViews>
    <sheetView view="pageBreakPreview" zoomScale="85" zoomScaleNormal="100" zoomScaleSheetLayoutView="85" workbookViewId="0">
      <selection activeCell="E2" sqref="E2:J2"/>
    </sheetView>
  </sheetViews>
  <sheetFormatPr defaultColWidth="8.453125" defaultRowHeight="13" x14ac:dyDescent="0.25"/>
  <cols>
    <col min="1" max="1" width="4.81640625" style="292" customWidth="1"/>
    <col min="2" max="2" width="12" style="292" customWidth="1"/>
    <col min="3" max="3" width="52.453125" style="292" customWidth="1"/>
    <col min="4" max="4" width="11" style="292" customWidth="1"/>
    <col min="5" max="5" width="15.7265625" style="292" customWidth="1"/>
    <col min="6" max="6" width="14.81640625" style="292" customWidth="1"/>
    <col min="7" max="7" width="16.7265625" style="292" customWidth="1"/>
    <col min="8" max="8" width="14.81640625" style="292" customWidth="1"/>
    <col min="9" max="9" width="16.453125" style="292" customWidth="1"/>
    <col min="10" max="10" width="25.81640625" style="292" customWidth="1"/>
    <col min="11" max="11" width="24.81640625" style="292" customWidth="1"/>
    <col min="12" max="12" width="18.7265625" style="292" customWidth="1"/>
    <col min="13" max="13" width="5.54296875" style="292" customWidth="1"/>
    <col min="14" max="16384" width="8.453125" style="292"/>
  </cols>
  <sheetData>
    <row r="1" spans="1:13" ht="13.5" thickBot="1" x14ac:dyDescent="0.3">
      <c r="A1" s="538"/>
      <c r="B1" s="538"/>
      <c r="C1" s="538"/>
      <c r="D1" s="538"/>
      <c r="E1" s="538"/>
      <c r="F1" s="538"/>
      <c r="G1" s="538"/>
      <c r="H1" s="538"/>
      <c r="I1" s="538"/>
      <c r="J1" s="538"/>
      <c r="K1" s="538"/>
      <c r="L1" s="538"/>
      <c r="M1" s="538"/>
    </row>
    <row r="2" spans="1:13" ht="51" customHeight="1" thickBot="1" x14ac:dyDescent="0.3">
      <c r="A2" s="538"/>
      <c r="B2" s="1654" t="s">
        <v>557</v>
      </c>
      <c r="C2" s="1655"/>
      <c r="D2" s="538"/>
      <c r="E2" s="1656" t="str">
        <f>General!D4</f>
        <v>Name</v>
      </c>
      <c r="F2" s="1657"/>
      <c r="G2" s="1657"/>
      <c r="H2" s="1657"/>
      <c r="I2" s="1657"/>
      <c r="J2" s="1658"/>
      <c r="K2" s="538"/>
      <c r="L2" s="538"/>
      <c r="M2" s="538"/>
    </row>
    <row r="3" spans="1:13" x14ac:dyDescent="0.25">
      <c r="A3" s="538"/>
      <c r="B3" s="542"/>
      <c r="C3" s="538"/>
      <c r="D3" s="538"/>
      <c r="E3" s="538"/>
      <c r="F3" s="538"/>
      <c r="G3" s="538"/>
      <c r="H3" s="538"/>
      <c r="I3" s="538"/>
      <c r="J3" s="538"/>
      <c r="K3" s="538"/>
      <c r="L3" s="538"/>
      <c r="M3" s="538"/>
    </row>
    <row r="4" spans="1:13" x14ac:dyDescent="0.25">
      <c r="A4" s="538"/>
      <c r="B4" s="542"/>
      <c r="C4" s="538"/>
      <c r="D4" s="538"/>
      <c r="E4" s="538"/>
      <c r="F4" s="538"/>
      <c r="G4" s="538"/>
      <c r="H4" s="538"/>
      <c r="I4" s="538"/>
      <c r="J4" s="538"/>
      <c r="K4" s="538"/>
      <c r="L4" s="538"/>
      <c r="M4" s="538"/>
    </row>
    <row r="5" spans="1:13" ht="32.5" customHeight="1" x14ac:dyDescent="0.25">
      <c r="A5" s="538"/>
      <c r="B5" s="686" t="s">
        <v>290</v>
      </c>
      <c r="C5" s="1653" t="s">
        <v>558</v>
      </c>
      <c r="D5" s="1653"/>
      <c r="E5" s="1653"/>
      <c r="F5" s="1653"/>
      <c r="G5" s="1653"/>
      <c r="H5" s="1653"/>
      <c r="I5" s="1653"/>
      <c r="J5" s="1653"/>
      <c r="K5" s="1653"/>
      <c r="L5" s="1653"/>
      <c r="M5" s="538"/>
    </row>
    <row r="6" spans="1:13" ht="24.65" customHeight="1" x14ac:dyDescent="0.25">
      <c r="A6" s="538"/>
      <c r="B6" s="663" t="s">
        <v>292</v>
      </c>
      <c r="C6" s="1652" t="s">
        <v>559</v>
      </c>
      <c r="D6" s="1652"/>
      <c r="E6" s="1652"/>
      <c r="F6" s="1652"/>
      <c r="G6" s="1652"/>
      <c r="H6" s="1652"/>
      <c r="I6" s="1652"/>
      <c r="J6" s="1652"/>
      <c r="K6" s="1652"/>
      <c r="L6" s="1652"/>
      <c r="M6" s="538"/>
    </row>
    <row r="7" spans="1:13" ht="25" customHeight="1" x14ac:dyDescent="0.25">
      <c r="A7" s="538"/>
      <c r="B7" s="663" t="s">
        <v>294</v>
      </c>
      <c r="C7" s="1652" t="s">
        <v>560</v>
      </c>
      <c r="D7" s="1652"/>
      <c r="E7" s="1652"/>
      <c r="F7" s="1652"/>
      <c r="G7" s="1652"/>
      <c r="H7" s="1652"/>
      <c r="I7" s="1652"/>
      <c r="J7" s="1652"/>
      <c r="K7" s="1652"/>
      <c r="L7" s="1652"/>
      <c r="M7" s="538"/>
    </row>
    <row r="8" spans="1:13" x14ac:dyDescent="0.25">
      <c r="A8" s="538"/>
      <c r="B8" s="542"/>
      <c r="C8" s="538"/>
      <c r="D8" s="538"/>
      <c r="E8" s="538"/>
      <c r="F8" s="538"/>
      <c r="G8" s="538"/>
      <c r="H8" s="538"/>
      <c r="I8" s="538"/>
      <c r="J8" s="538"/>
      <c r="K8" s="538"/>
      <c r="L8" s="538"/>
      <c r="M8" s="538"/>
    </row>
    <row r="9" spans="1:13" ht="13.5" thickBot="1" x14ac:dyDescent="0.3">
      <c r="A9" s="538"/>
      <c r="B9" s="542"/>
      <c r="C9" s="538"/>
      <c r="D9" s="538"/>
      <c r="E9" s="538"/>
      <c r="F9" s="538"/>
      <c r="G9" s="538"/>
      <c r="H9" s="538"/>
      <c r="I9" s="538"/>
      <c r="J9" s="538"/>
      <c r="K9" s="538"/>
      <c r="L9" s="538"/>
      <c r="M9" s="538"/>
    </row>
    <row r="10" spans="1:13" ht="117" customHeight="1" x14ac:dyDescent="0.25">
      <c r="A10" s="538"/>
      <c r="B10" s="675" t="s">
        <v>196</v>
      </c>
      <c r="C10" s="676" t="s">
        <v>561</v>
      </c>
      <c r="D10" s="676" t="s">
        <v>562</v>
      </c>
      <c r="E10" s="676" t="s">
        <v>341</v>
      </c>
      <c r="F10" s="676" t="s">
        <v>563</v>
      </c>
      <c r="G10" s="676" t="s">
        <v>564</v>
      </c>
      <c r="H10" s="676" t="s">
        <v>565</v>
      </c>
      <c r="I10" s="676" t="s">
        <v>343</v>
      </c>
      <c r="J10" s="676" t="s">
        <v>566</v>
      </c>
      <c r="K10" s="676" t="s">
        <v>567</v>
      </c>
      <c r="L10" s="677" t="s">
        <v>568</v>
      </c>
      <c r="M10" s="538"/>
    </row>
    <row r="11" spans="1:13" ht="27" customHeight="1" x14ac:dyDescent="0.25">
      <c r="A11" s="538"/>
      <c r="B11" s="1659" t="s">
        <v>569</v>
      </c>
      <c r="C11" s="543"/>
      <c r="D11" s="543"/>
      <c r="E11" s="544"/>
      <c r="F11" s="678">
        <f>D11*E11</f>
        <v>0</v>
      </c>
      <c r="G11" s="544"/>
      <c r="H11" s="545"/>
      <c r="I11" s="681">
        <f>F11+G11+H11</f>
        <v>0</v>
      </c>
      <c r="J11" s="544"/>
      <c r="K11"/>
      <c r="L11" s="551"/>
      <c r="M11" s="538"/>
    </row>
    <row r="12" spans="1:13" ht="27.65" customHeight="1" x14ac:dyDescent="0.25">
      <c r="A12" s="538"/>
      <c r="B12" s="1660"/>
      <c r="C12" s="543"/>
      <c r="D12" s="543"/>
      <c r="E12" s="544"/>
      <c r="F12" s="678">
        <f t="shared" ref="F12:F21" si="0">D12*E12</f>
        <v>0</v>
      </c>
      <c r="G12" s="544"/>
      <c r="H12" s="545"/>
      <c r="I12" s="681">
        <f t="shared" ref="I12:I21" si="1">F12+G12+H12</f>
        <v>0</v>
      </c>
      <c r="J12" s="544"/>
      <c r="K12" s="632"/>
      <c r="L12" s="551"/>
      <c r="M12" s="538"/>
    </row>
    <row r="13" spans="1:13" ht="27.65" customHeight="1" thickBot="1" x14ac:dyDescent="0.3">
      <c r="A13" s="538"/>
      <c r="B13" s="1661"/>
      <c r="C13" s="553"/>
      <c r="D13" s="555"/>
      <c r="E13" s="555"/>
      <c r="F13" s="679">
        <f t="shared" si="0"/>
        <v>0</v>
      </c>
      <c r="G13" s="637"/>
      <c r="H13" s="637"/>
      <c r="I13" s="682">
        <f t="shared" si="1"/>
        <v>0</v>
      </c>
      <c r="J13" s="554"/>
      <c r="K13" s="638"/>
      <c r="L13" s="556"/>
      <c r="M13" s="538"/>
    </row>
    <row r="14" spans="1:13" ht="28" customHeight="1" x14ac:dyDescent="0.25">
      <c r="A14" s="538"/>
      <c r="B14" s="633"/>
      <c r="C14" s="1185"/>
      <c r="D14" s="633"/>
      <c r="E14" s="633"/>
      <c r="F14" s="680">
        <f>SUM(F11:F13)</f>
        <v>0</v>
      </c>
      <c r="G14" s="680">
        <f>SUM(G11:G13)</f>
        <v>0</v>
      </c>
      <c r="H14" s="680">
        <f>SUM(H11:H13)</f>
        <v>0</v>
      </c>
      <c r="I14" s="683">
        <f>SUM(I11:I13)</f>
        <v>0</v>
      </c>
      <c r="J14" s="636"/>
      <c r="K14" s="631"/>
      <c r="L14" s="1185"/>
      <c r="M14" s="538"/>
    </row>
    <row r="15" spans="1:13" x14ac:dyDescent="0.25">
      <c r="A15" s="538"/>
      <c r="B15" s="633"/>
      <c r="C15" s="1185"/>
      <c r="D15" s="633"/>
      <c r="E15" s="633"/>
      <c r="F15" s="634"/>
      <c r="G15" s="635"/>
      <c r="H15" s="635"/>
      <c r="I15" s="636"/>
      <c r="J15" s="636"/>
      <c r="K15" s="631"/>
      <c r="L15" s="1185"/>
      <c r="M15" s="538"/>
    </row>
    <row r="16" spans="1:13" ht="13.5" thickBot="1" x14ac:dyDescent="0.3">
      <c r="A16" s="538"/>
      <c r="B16" s="633"/>
      <c r="C16" s="1185"/>
      <c r="D16" s="633"/>
      <c r="E16" s="633"/>
      <c r="F16" s="634"/>
      <c r="G16" s="635"/>
      <c r="H16" s="635"/>
      <c r="I16" s="636"/>
      <c r="J16" s="636"/>
      <c r="K16" s="631"/>
      <c r="L16" s="1185"/>
      <c r="M16" s="538"/>
    </row>
    <row r="17" spans="1:13" ht="27.65" customHeight="1" x14ac:dyDescent="0.25">
      <c r="A17" s="538"/>
      <c r="B17" s="1662" t="s">
        <v>570</v>
      </c>
      <c r="C17" s="639"/>
      <c r="D17" s="640"/>
      <c r="E17" s="640"/>
      <c r="F17" s="684">
        <f t="shared" si="0"/>
        <v>0</v>
      </c>
      <c r="G17" s="641"/>
      <c r="H17" s="641"/>
      <c r="I17" s="685">
        <f t="shared" si="1"/>
        <v>0</v>
      </c>
      <c r="J17" s="642"/>
      <c r="K17" s="643"/>
      <c r="L17" s="644"/>
      <c r="M17" s="538"/>
    </row>
    <row r="18" spans="1:13" ht="22" customHeight="1" x14ac:dyDescent="0.25">
      <c r="A18" s="538"/>
      <c r="B18" s="1660"/>
      <c r="C18" s="543"/>
      <c r="D18" s="543"/>
      <c r="E18" s="544"/>
      <c r="F18" s="678">
        <f t="shared" si="0"/>
        <v>0</v>
      </c>
      <c r="G18" s="544"/>
      <c r="H18" s="545"/>
      <c r="I18" s="681">
        <f t="shared" si="1"/>
        <v>0</v>
      </c>
      <c r="J18" s="544"/>
      <c r="K18" s="632"/>
      <c r="L18" s="551"/>
      <c r="M18" s="538"/>
    </row>
    <row r="19" spans="1:13" ht="22" customHeight="1" x14ac:dyDescent="0.25">
      <c r="A19" s="538"/>
      <c r="B19" s="1660"/>
      <c r="C19" s="543"/>
      <c r="D19" s="546"/>
      <c r="E19" s="546"/>
      <c r="F19" s="678">
        <f t="shared" si="0"/>
        <v>0</v>
      </c>
      <c r="G19" s="547"/>
      <c r="H19" s="547"/>
      <c r="I19" s="681">
        <f t="shared" si="1"/>
        <v>0</v>
      </c>
      <c r="J19" s="544"/>
      <c r="K19" s="632"/>
      <c r="L19" s="552"/>
      <c r="M19" s="538"/>
    </row>
    <row r="20" spans="1:13" ht="22" customHeight="1" x14ac:dyDescent="0.25">
      <c r="A20" s="538"/>
      <c r="B20" s="1660"/>
      <c r="C20" s="543"/>
      <c r="D20" s="548"/>
      <c r="E20" s="546"/>
      <c r="F20" s="678">
        <f t="shared" si="0"/>
        <v>0</v>
      </c>
      <c r="G20" s="547"/>
      <c r="H20" s="547"/>
      <c r="I20" s="681">
        <f t="shared" si="1"/>
        <v>0</v>
      </c>
      <c r="J20" s="544"/>
      <c r="K20" s="632"/>
      <c r="L20" s="552"/>
      <c r="M20" s="538"/>
    </row>
    <row r="21" spans="1:13" ht="22" customHeight="1" thickBot="1" x14ac:dyDescent="0.3">
      <c r="A21" s="538"/>
      <c r="B21" s="1661"/>
      <c r="C21" s="553"/>
      <c r="D21" s="553"/>
      <c r="E21" s="553"/>
      <c r="F21" s="679">
        <f t="shared" si="0"/>
        <v>0</v>
      </c>
      <c r="G21" s="553"/>
      <c r="H21" s="553"/>
      <c r="I21" s="682">
        <f t="shared" si="1"/>
        <v>0</v>
      </c>
      <c r="J21" s="554"/>
      <c r="K21" s="638"/>
      <c r="L21" s="556"/>
      <c r="M21" s="538"/>
    </row>
    <row r="22" spans="1:13" ht="26.5" customHeight="1" x14ac:dyDescent="0.25">
      <c r="A22" s="538"/>
      <c r="B22" s="1651"/>
      <c r="C22" s="1651"/>
      <c r="D22" s="1651"/>
      <c r="E22" s="549"/>
      <c r="F22" s="680">
        <f>SUM(F17:F21)</f>
        <v>0</v>
      </c>
      <c r="G22" s="680">
        <f>SUM(G17:G21)</f>
        <v>0</v>
      </c>
      <c r="H22" s="680">
        <f>SUM(H17:H21)</f>
        <v>0</v>
      </c>
      <c r="I22" s="680">
        <f>SUM(I17:I21)</f>
        <v>0</v>
      </c>
      <c r="J22" s="550"/>
      <c r="K22" s="550"/>
      <c r="L22" s="1185"/>
      <c r="M22" s="538"/>
    </row>
    <row r="23" spans="1:13" x14ac:dyDescent="0.25">
      <c r="A23" s="538"/>
      <c r="B23" s="538"/>
      <c r="C23" s="538"/>
      <c r="D23" s="538"/>
      <c r="E23" s="538"/>
      <c r="F23" s="538"/>
      <c r="G23" s="538"/>
      <c r="H23" s="538"/>
      <c r="I23" s="538"/>
      <c r="J23" s="538"/>
      <c r="K23" s="538"/>
      <c r="L23" s="538"/>
      <c r="M23" s="538"/>
    </row>
    <row r="24" spans="1:13" ht="13.5" thickBot="1" x14ac:dyDescent="0.3">
      <c r="A24" s="538"/>
      <c r="B24" s="538"/>
      <c r="C24" s="538"/>
      <c r="D24" s="538"/>
      <c r="E24" s="538"/>
      <c r="F24" s="538"/>
      <c r="G24" s="538"/>
      <c r="H24" s="538"/>
      <c r="I24" s="538"/>
      <c r="J24" s="538"/>
      <c r="K24" s="538"/>
      <c r="L24" s="538"/>
      <c r="M24" s="538"/>
    </row>
    <row r="25" spans="1:13" ht="22" customHeight="1" x14ac:dyDescent="0.25">
      <c r="A25" s="538"/>
      <c r="B25" s="1662" t="s">
        <v>571</v>
      </c>
      <c r="C25" s="639"/>
      <c r="D25" s="640"/>
      <c r="E25" s="640"/>
      <c r="F25" s="684">
        <f t="shared" ref="F25:F29" si="2">D25*E25</f>
        <v>0</v>
      </c>
      <c r="G25" s="641"/>
      <c r="H25" s="641"/>
      <c r="I25" s="685">
        <f t="shared" ref="I25:I29" si="3">F25+G25+H25</f>
        <v>0</v>
      </c>
      <c r="J25" s="642"/>
      <c r="K25" s="643"/>
      <c r="L25" s="644"/>
      <c r="M25" s="538"/>
    </row>
    <row r="26" spans="1:13" ht="22" customHeight="1" x14ac:dyDescent="0.25">
      <c r="A26" s="538"/>
      <c r="B26" s="1660"/>
      <c r="C26" s="543"/>
      <c r="D26" s="543"/>
      <c r="E26" s="544"/>
      <c r="F26" s="678">
        <f t="shared" si="2"/>
        <v>0</v>
      </c>
      <c r="G26" s="544"/>
      <c r="H26" s="545"/>
      <c r="I26" s="681">
        <f t="shared" si="3"/>
        <v>0</v>
      </c>
      <c r="J26" s="544"/>
      <c r="K26" s="632"/>
      <c r="L26" s="551"/>
      <c r="M26" s="538"/>
    </row>
    <row r="27" spans="1:13" ht="22" customHeight="1" x14ac:dyDescent="0.25">
      <c r="A27" s="538"/>
      <c r="B27" s="1660"/>
      <c r="C27" s="543"/>
      <c r="D27" s="546"/>
      <c r="E27" s="546"/>
      <c r="F27" s="678">
        <f t="shared" si="2"/>
        <v>0</v>
      </c>
      <c r="G27" s="547"/>
      <c r="H27" s="547"/>
      <c r="I27" s="681">
        <f t="shared" si="3"/>
        <v>0</v>
      </c>
      <c r="J27" s="544"/>
      <c r="K27" s="632"/>
      <c r="L27" s="552"/>
      <c r="M27" s="538"/>
    </row>
    <row r="28" spans="1:13" ht="22" customHeight="1" x14ac:dyDescent="0.25">
      <c r="A28" s="538"/>
      <c r="B28" s="1660"/>
      <c r="C28" s="543"/>
      <c r="D28" s="548"/>
      <c r="E28" s="546"/>
      <c r="F28" s="678">
        <f t="shared" si="2"/>
        <v>0</v>
      </c>
      <c r="G28" s="547"/>
      <c r="H28" s="547"/>
      <c r="I28" s="681">
        <f t="shared" si="3"/>
        <v>0</v>
      </c>
      <c r="J28" s="544"/>
      <c r="K28" s="632"/>
      <c r="L28" s="552"/>
      <c r="M28" s="538"/>
    </row>
    <row r="29" spans="1:13" ht="22" customHeight="1" thickBot="1" x14ac:dyDescent="0.3">
      <c r="A29" s="538"/>
      <c r="B29" s="1661"/>
      <c r="C29" s="553"/>
      <c r="D29" s="553"/>
      <c r="E29" s="553"/>
      <c r="F29" s="679">
        <f t="shared" si="2"/>
        <v>0</v>
      </c>
      <c r="G29" s="553"/>
      <c r="H29" s="553"/>
      <c r="I29" s="682">
        <f t="shared" si="3"/>
        <v>0</v>
      </c>
      <c r="J29" s="554"/>
      <c r="K29" s="638"/>
      <c r="L29" s="556"/>
      <c r="M29" s="538"/>
    </row>
    <row r="30" spans="1:13" ht="22" customHeight="1" x14ac:dyDescent="0.25">
      <c r="A30" s="538"/>
      <c r="B30" s="1651"/>
      <c r="C30" s="1651"/>
      <c r="D30" s="1651"/>
      <c r="E30" s="549"/>
      <c r="F30" s="680">
        <f>SUM(F25:F29)</f>
        <v>0</v>
      </c>
      <c r="G30" s="680">
        <f>SUM(G25:G29)</f>
        <v>0</v>
      </c>
      <c r="H30" s="680">
        <f>SUM(H25:H29)</f>
        <v>0</v>
      </c>
      <c r="I30" s="680">
        <f>SUM(I25:I29)</f>
        <v>0</v>
      </c>
      <c r="J30" s="550"/>
      <c r="K30" s="550"/>
      <c r="L30" s="1185"/>
      <c r="M30" s="538"/>
    </row>
    <row r="31" spans="1:13" x14ac:dyDescent="0.25">
      <c r="A31" s="538"/>
      <c r="B31" s="538"/>
      <c r="C31" s="538"/>
      <c r="D31" s="538"/>
      <c r="E31" s="538"/>
      <c r="F31" s="538"/>
      <c r="G31" s="538"/>
      <c r="H31" s="538"/>
      <c r="I31" s="538"/>
      <c r="J31" s="538"/>
      <c r="K31" s="538"/>
      <c r="L31" s="538"/>
      <c r="M31" s="538"/>
    </row>
    <row r="32" spans="1:13" ht="13.5" thickBot="1" x14ac:dyDescent="0.3">
      <c r="A32" s="538"/>
      <c r="B32" s="538"/>
      <c r="C32" s="538"/>
      <c r="D32" s="538"/>
      <c r="E32" s="538"/>
      <c r="F32" s="538"/>
      <c r="G32" s="538"/>
      <c r="H32" s="538"/>
      <c r="I32" s="538"/>
      <c r="J32" s="538"/>
      <c r="K32" s="538"/>
      <c r="L32" s="538"/>
      <c r="M32" s="538"/>
    </row>
    <row r="33" spans="1:13" ht="22" customHeight="1" x14ac:dyDescent="0.25">
      <c r="A33" s="538"/>
      <c r="B33" s="1662" t="s">
        <v>572</v>
      </c>
      <c r="C33" s="639"/>
      <c r="D33" s="640"/>
      <c r="E33" s="640"/>
      <c r="F33" s="684">
        <f t="shared" ref="F33:F37" si="4">D33*E33</f>
        <v>0</v>
      </c>
      <c r="G33" s="641"/>
      <c r="H33" s="641"/>
      <c r="I33" s="685">
        <f t="shared" ref="I33:I37" si="5">F33+G33+H33</f>
        <v>0</v>
      </c>
      <c r="J33" s="642"/>
      <c r="K33" s="643"/>
      <c r="L33" s="644"/>
      <c r="M33" s="538"/>
    </row>
    <row r="34" spans="1:13" ht="22" customHeight="1" x14ac:dyDescent="0.25">
      <c r="A34" s="538"/>
      <c r="B34" s="1660"/>
      <c r="C34" s="543"/>
      <c r="D34" s="543"/>
      <c r="E34" s="544"/>
      <c r="F34" s="678">
        <f t="shared" si="4"/>
        <v>0</v>
      </c>
      <c r="G34" s="544"/>
      <c r="H34" s="545"/>
      <c r="I34" s="681">
        <f t="shared" si="5"/>
        <v>0</v>
      </c>
      <c r="J34" s="544"/>
      <c r="K34" s="632"/>
      <c r="L34" s="551"/>
      <c r="M34" s="538"/>
    </row>
    <row r="35" spans="1:13" ht="22" customHeight="1" x14ac:dyDescent="0.25">
      <c r="A35" s="538"/>
      <c r="B35" s="1660"/>
      <c r="C35" s="543"/>
      <c r="D35" s="546"/>
      <c r="E35" s="546"/>
      <c r="F35" s="678">
        <f t="shared" si="4"/>
        <v>0</v>
      </c>
      <c r="G35" s="547"/>
      <c r="H35" s="547"/>
      <c r="I35" s="681">
        <f t="shared" si="5"/>
        <v>0</v>
      </c>
      <c r="J35" s="544"/>
      <c r="K35" s="632"/>
      <c r="L35" s="552"/>
      <c r="M35" s="538"/>
    </row>
    <row r="36" spans="1:13" ht="22" customHeight="1" x14ac:dyDescent="0.25">
      <c r="A36" s="538"/>
      <c r="B36" s="1660"/>
      <c r="C36" s="543"/>
      <c r="D36" s="548"/>
      <c r="E36" s="546"/>
      <c r="F36" s="678">
        <f t="shared" si="4"/>
        <v>0</v>
      </c>
      <c r="G36" s="547"/>
      <c r="H36" s="547"/>
      <c r="I36" s="681">
        <f t="shared" si="5"/>
        <v>0</v>
      </c>
      <c r="J36" s="544"/>
      <c r="K36" s="632"/>
      <c r="L36" s="552"/>
      <c r="M36" s="538"/>
    </row>
    <row r="37" spans="1:13" ht="22" customHeight="1" thickBot="1" x14ac:dyDescent="0.3">
      <c r="A37" s="538"/>
      <c r="B37" s="1661"/>
      <c r="C37" s="553"/>
      <c r="D37" s="553"/>
      <c r="E37" s="553"/>
      <c r="F37" s="679">
        <f t="shared" si="4"/>
        <v>0</v>
      </c>
      <c r="G37" s="553"/>
      <c r="H37" s="553"/>
      <c r="I37" s="682">
        <f t="shared" si="5"/>
        <v>0</v>
      </c>
      <c r="J37" s="554"/>
      <c r="K37" s="638"/>
      <c r="L37" s="556"/>
      <c r="M37" s="538"/>
    </row>
    <row r="38" spans="1:13" ht="22" customHeight="1" x14ac:dyDescent="0.25">
      <c r="A38" s="538"/>
      <c r="B38" s="1651"/>
      <c r="C38" s="1651"/>
      <c r="D38" s="1651"/>
      <c r="E38" s="549"/>
      <c r="F38" s="680">
        <f>SUM(F33:F37)</f>
        <v>0</v>
      </c>
      <c r="G38" s="680">
        <f>SUM(G33:G37)</f>
        <v>0</v>
      </c>
      <c r="H38" s="680">
        <f>SUM(H33:H37)</f>
        <v>0</v>
      </c>
      <c r="I38" s="680">
        <f>SUM(I33:I37)</f>
        <v>0</v>
      </c>
      <c r="J38" s="550"/>
      <c r="K38" s="550"/>
      <c r="L38" s="1185"/>
      <c r="M38" s="538"/>
    </row>
    <row r="39" spans="1:13" ht="13.5" thickBot="1" x14ac:dyDescent="0.3">
      <c r="A39" s="538"/>
      <c r="B39" s="538"/>
      <c r="C39" s="538"/>
      <c r="D39" s="538"/>
      <c r="E39" s="538"/>
      <c r="F39" s="538"/>
      <c r="G39" s="538"/>
      <c r="H39" s="538"/>
      <c r="I39" s="538"/>
      <c r="J39" s="538"/>
      <c r="K39" s="538"/>
      <c r="L39" s="538"/>
      <c r="M39" s="538"/>
    </row>
    <row r="40" spans="1:13" ht="22" customHeight="1" x14ac:dyDescent="0.25">
      <c r="A40" s="538"/>
      <c r="B40" s="1662" t="s">
        <v>573</v>
      </c>
      <c r="C40" s="639"/>
      <c r="D40" s="640"/>
      <c r="E40" s="640"/>
      <c r="F40" s="684">
        <f t="shared" ref="F40:F44" si="6">D40*E40</f>
        <v>0</v>
      </c>
      <c r="G40" s="641"/>
      <c r="H40" s="641"/>
      <c r="I40" s="685">
        <f t="shared" ref="I40:I44" si="7">F40+G40+H40</f>
        <v>0</v>
      </c>
      <c r="J40" s="642"/>
      <c r="K40" s="643"/>
      <c r="L40" s="644"/>
      <c r="M40" s="538"/>
    </row>
    <row r="41" spans="1:13" ht="22" customHeight="1" x14ac:dyDescent="0.25">
      <c r="A41" s="538"/>
      <c r="B41" s="1660"/>
      <c r="C41" s="543"/>
      <c r="D41" s="543"/>
      <c r="E41" s="544"/>
      <c r="F41" s="678">
        <f t="shared" si="6"/>
        <v>0</v>
      </c>
      <c r="G41" s="544"/>
      <c r="H41" s="545"/>
      <c r="I41" s="681">
        <f t="shared" si="7"/>
        <v>0</v>
      </c>
      <c r="J41" s="544"/>
      <c r="K41" s="632"/>
      <c r="L41" s="551"/>
      <c r="M41" s="538"/>
    </row>
    <row r="42" spans="1:13" ht="22" customHeight="1" x14ac:dyDescent="0.25">
      <c r="A42" s="538"/>
      <c r="B42" s="1660"/>
      <c r="C42" s="543"/>
      <c r="D42" s="546"/>
      <c r="E42" s="546"/>
      <c r="F42" s="678">
        <f t="shared" si="6"/>
        <v>0</v>
      </c>
      <c r="G42" s="547"/>
      <c r="H42" s="547"/>
      <c r="I42" s="681">
        <f t="shared" si="7"/>
        <v>0</v>
      </c>
      <c r="J42" s="544"/>
      <c r="K42" s="632"/>
      <c r="L42" s="552"/>
      <c r="M42" s="538"/>
    </row>
    <row r="43" spans="1:13" ht="22" customHeight="1" x14ac:dyDescent="0.25">
      <c r="A43" s="538"/>
      <c r="B43" s="1660"/>
      <c r="C43" s="543"/>
      <c r="D43" s="548"/>
      <c r="E43" s="546"/>
      <c r="F43" s="678">
        <f t="shared" si="6"/>
        <v>0</v>
      </c>
      <c r="G43" s="547"/>
      <c r="H43" s="547"/>
      <c r="I43" s="681">
        <f t="shared" si="7"/>
        <v>0</v>
      </c>
      <c r="J43" s="544"/>
      <c r="K43" s="632"/>
      <c r="L43" s="552"/>
      <c r="M43" s="538"/>
    </row>
    <row r="44" spans="1:13" ht="22" customHeight="1" thickBot="1" x14ac:dyDescent="0.3">
      <c r="A44" s="538"/>
      <c r="B44" s="1661"/>
      <c r="C44" s="553"/>
      <c r="D44" s="553"/>
      <c r="E44" s="553"/>
      <c r="F44" s="679">
        <f t="shared" si="6"/>
        <v>0</v>
      </c>
      <c r="G44" s="553"/>
      <c r="H44" s="553"/>
      <c r="I44" s="682">
        <f t="shared" si="7"/>
        <v>0</v>
      </c>
      <c r="J44" s="554"/>
      <c r="K44" s="638"/>
      <c r="L44" s="556"/>
      <c r="M44" s="538"/>
    </row>
    <row r="45" spans="1:13" ht="22" customHeight="1" x14ac:dyDescent="0.25">
      <c r="A45" s="538"/>
      <c r="B45" s="1651"/>
      <c r="C45" s="1651"/>
      <c r="D45" s="1651"/>
      <c r="E45" s="549"/>
      <c r="F45" s="680">
        <f>SUM(F40:F44)</f>
        <v>0</v>
      </c>
      <c r="G45" s="680">
        <f>SUM(G40:G44)</f>
        <v>0</v>
      </c>
      <c r="H45" s="680">
        <f>SUM(H40:H44)</f>
        <v>0</v>
      </c>
      <c r="I45" s="680">
        <f>SUM(I40:I44)</f>
        <v>0</v>
      </c>
      <c r="J45" s="550"/>
      <c r="K45" s="550"/>
      <c r="L45" s="1185"/>
      <c r="M45" s="538"/>
    </row>
    <row r="46" spans="1:13" x14ac:dyDescent="0.25">
      <c r="A46" s="538"/>
      <c r="B46" s="538"/>
      <c r="C46" s="538"/>
      <c r="D46" s="538"/>
      <c r="E46" s="538"/>
      <c r="F46" s="538"/>
      <c r="G46" s="538"/>
      <c r="H46" s="538"/>
      <c r="I46" s="538"/>
      <c r="J46" s="538"/>
      <c r="K46" s="538"/>
      <c r="L46" s="538"/>
      <c r="M46" s="538"/>
    </row>
    <row r="47" spans="1:13" ht="13.5" thickBot="1" x14ac:dyDescent="0.3">
      <c r="A47" s="538"/>
      <c r="B47" s="538"/>
      <c r="C47" s="538"/>
      <c r="D47" s="538"/>
      <c r="E47" s="538"/>
      <c r="F47" s="538"/>
      <c r="G47" s="538"/>
      <c r="H47" s="538"/>
      <c r="I47" s="538"/>
      <c r="J47" s="538"/>
      <c r="K47" s="538"/>
      <c r="L47" s="538"/>
      <c r="M47" s="538"/>
    </row>
    <row r="48" spans="1:13" ht="22" customHeight="1" x14ac:dyDescent="0.25">
      <c r="A48" s="538"/>
      <c r="B48" s="1662" t="s">
        <v>574</v>
      </c>
      <c r="C48" s="639"/>
      <c r="D48" s="640"/>
      <c r="E48" s="640"/>
      <c r="F48" s="684">
        <f t="shared" ref="F48:F52" si="8">D48*E48</f>
        <v>0</v>
      </c>
      <c r="G48" s="641"/>
      <c r="H48" s="641"/>
      <c r="I48" s="685">
        <f t="shared" ref="I48:I52" si="9">F48+G48+H48</f>
        <v>0</v>
      </c>
      <c r="J48" s="642"/>
      <c r="K48" s="643"/>
      <c r="L48" s="644"/>
      <c r="M48" s="538"/>
    </row>
    <row r="49" spans="1:13" ht="22" customHeight="1" x14ac:dyDescent="0.25">
      <c r="A49" s="538"/>
      <c r="B49" s="1660"/>
      <c r="C49" s="543"/>
      <c r="D49" s="543"/>
      <c r="E49" s="544"/>
      <c r="F49" s="678">
        <f t="shared" si="8"/>
        <v>0</v>
      </c>
      <c r="G49" s="544"/>
      <c r="H49" s="545"/>
      <c r="I49" s="681">
        <f t="shared" si="9"/>
        <v>0</v>
      </c>
      <c r="J49" s="544"/>
      <c r="K49" s="632"/>
      <c r="L49" s="551"/>
      <c r="M49" s="538"/>
    </row>
    <row r="50" spans="1:13" ht="22" customHeight="1" x14ac:dyDescent="0.25">
      <c r="A50" s="538"/>
      <c r="B50" s="1660"/>
      <c r="C50" s="543"/>
      <c r="D50" s="546"/>
      <c r="E50" s="546"/>
      <c r="F50" s="678">
        <f t="shared" si="8"/>
        <v>0</v>
      </c>
      <c r="G50" s="547"/>
      <c r="H50" s="547"/>
      <c r="I50" s="681">
        <f t="shared" si="9"/>
        <v>0</v>
      </c>
      <c r="J50" s="544"/>
      <c r="K50" s="632"/>
      <c r="L50" s="552"/>
      <c r="M50" s="538"/>
    </row>
    <row r="51" spans="1:13" ht="22" customHeight="1" x14ac:dyDescent="0.25">
      <c r="A51" s="538"/>
      <c r="B51" s="1660"/>
      <c r="C51" s="543"/>
      <c r="D51" s="548"/>
      <c r="E51" s="546"/>
      <c r="F51" s="678">
        <f t="shared" si="8"/>
        <v>0</v>
      </c>
      <c r="G51" s="547"/>
      <c r="H51" s="547"/>
      <c r="I51" s="681">
        <f t="shared" si="9"/>
        <v>0</v>
      </c>
      <c r="J51" s="544"/>
      <c r="K51" s="632"/>
      <c r="L51" s="552"/>
      <c r="M51" s="538"/>
    </row>
    <row r="52" spans="1:13" ht="22" customHeight="1" thickBot="1" x14ac:dyDescent="0.3">
      <c r="A52" s="538"/>
      <c r="B52" s="1661"/>
      <c r="C52" s="553"/>
      <c r="D52" s="553"/>
      <c r="E52" s="553"/>
      <c r="F52" s="679">
        <f t="shared" si="8"/>
        <v>0</v>
      </c>
      <c r="G52" s="553"/>
      <c r="H52" s="553"/>
      <c r="I52" s="682">
        <f t="shared" si="9"/>
        <v>0</v>
      </c>
      <c r="J52" s="554"/>
      <c r="K52" s="638"/>
      <c r="L52" s="556"/>
      <c r="M52" s="538"/>
    </row>
    <row r="53" spans="1:13" ht="22" customHeight="1" x14ac:dyDescent="0.25">
      <c r="A53" s="538"/>
      <c r="B53" s="1651"/>
      <c r="C53" s="1651"/>
      <c r="D53" s="1651"/>
      <c r="E53" s="549"/>
      <c r="F53" s="680">
        <f>SUM(F48:F52)</f>
        <v>0</v>
      </c>
      <c r="G53" s="680">
        <f>SUM(G48:G52)</f>
        <v>0</v>
      </c>
      <c r="H53" s="680">
        <f>SUM(H48:H52)</f>
        <v>0</v>
      </c>
      <c r="I53" s="680">
        <f>SUM(I48:I52)</f>
        <v>0</v>
      </c>
      <c r="J53" s="550"/>
      <c r="K53" s="550"/>
      <c r="L53" s="1185"/>
      <c r="M53" s="538"/>
    </row>
    <row r="54" spans="1:13" x14ac:dyDescent="0.25">
      <c r="A54" s="538"/>
      <c r="B54" s="538"/>
      <c r="C54" s="538"/>
      <c r="D54" s="538"/>
      <c r="E54" s="538"/>
      <c r="F54" s="538"/>
      <c r="G54" s="538"/>
      <c r="H54" s="538"/>
      <c r="I54" s="538"/>
      <c r="J54" s="538"/>
      <c r="K54" s="538"/>
      <c r="L54" s="538"/>
      <c r="M54" s="538"/>
    </row>
    <row r="55" spans="1:13" x14ac:dyDescent="0.25">
      <c r="A55" s="538"/>
      <c r="B55" s="538"/>
      <c r="C55" s="538"/>
      <c r="D55" s="538"/>
      <c r="E55" s="538"/>
      <c r="F55" s="538"/>
      <c r="G55" s="538"/>
      <c r="H55" s="538"/>
      <c r="I55" s="538"/>
      <c r="J55" s="538"/>
      <c r="K55" s="538"/>
      <c r="L55" s="538"/>
      <c r="M55" s="538"/>
    </row>
  </sheetData>
  <mergeCells count="16">
    <mergeCell ref="B45:D45"/>
    <mergeCell ref="B48:B52"/>
    <mergeCell ref="B53:D53"/>
    <mergeCell ref="B25:B29"/>
    <mergeCell ref="B30:D30"/>
    <mergeCell ref="B33:B37"/>
    <mergeCell ref="B38:D38"/>
    <mergeCell ref="B40:B44"/>
    <mergeCell ref="B22:D22"/>
    <mergeCell ref="C6:L6"/>
    <mergeCell ref="C7:L7"/>
    <mergeCell ref="C5:L5"/>
    <mergeCell ref="B2:C2"/>
    <mergeCell ref="E2:J2"/>
    <mergeCell ref="B11:B13"/>
    <mergeCell ref="B17:B21"/>
  </mergeCells>
  <phoneticPr fontId="4" type="noConversion"/>
  <pageMargins left="0.75" right="0.75" top="1" bottom="1" header="0.5" footer="0.5"/>
  <pageSetup scale="97" orientation="landscape" r:id="rId1"/>
  <headerFooter alignWithMargins="0"/>
  <rowBreaks count="2" manualBreakCount="2">
    <brk id="14" max="16383" man="1"/>
    <brk id="38" max="16383" man="1"/>
  </rowBreaks>
  <colBreaks count="1" manualBreakCount="1">
    <brk id="6" max="1048575" man="1"/>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dimension ref="A1:AO60"/>
  <sheetViews>
    <sheetView view="pageBreakPreview" zoomScale="70" zoomScaleNormal="85" zoomScaleSheetLayoutView="70" workbookViewId="0">
      <selection activeCell="V5" sqref="V5"/>
    </sheetView>
  </sheetViews>
  <sheetFormatPr defaultColWidth="8.81640625" defaultRowHeight="13" x14ac:dyDescent="0.25"/>
  <cols>
    <col min="1" max="1" width="3.81640625" style="292" customWidth="1"/>
    <col min="2" max="2" width="18.1796875" style="292" customWidth="1"/>
    <col min="3" max="3" width="45.81640625" style="292" customWidth="1"/>
    <col min="4" max="4" width="16.453125" style="292" customWidth="1"/>
    <col min="5" max="5" width="16" style="292" customWidth="1"/>
    <col min="6" max="6" width="5.1796875" style="292" customWidth="1"/>
    <col min="7" max="7" width="4.7265625" style="292" customWidth="1"/>
    <col min="8" max="8" width="5.81640625" style="292" customWidth="1"/>
    <col min="9" max="9" width="2.1796875" style="292" customWidth="1"/>
    <col min="10" max="10" width="11" style="292" customWidth="1"/>
    <col min="11" max="11" width="6.1796875" style="292" customWidth="1"/>
    <col min="12" max="12" width="13.54296875" style="292" bestFit="1" customWidth="1"/>
    <col min="13" max="13" width="2.7265625" style="292" customWidth="1"/>
    <col min="14" max="14" width="3.1796875" style="292" hidden="1" customWidth="1"/>
    <col min="15" max="15" width="9.81640625" style="292" customWidth="1"/>
    <col min="16" max="16" width="12.1796875" style="292" customWidth="1"/>
    <col min="17" max="17" width="2.453125" style="292" customWidth="1"/>
    <col min="18" max="18" width="8.1796875" style="292" customWidth="1"/>
    <col min="19" max="19" width="5.453125" style="292" hidden="1" customWidth="1"/>
    <col min="20" max="20" width="6.7265625" style="292" customWidth="1"/>
    <col min="21" max="21" width="12.453125" style="292" customWidth="1"/>
    <col min="22" max="22" width="2.26953125" style="292" customWidth="1"/>
    <col min="23" max="23" width="8.453125" style="292" customWidth="1"/>
    <col min="24" max="24" width="8" style="292" customWidth="1"/>
    <col min="25" max="25" width="5.1796875" style="292" customWidth="1"/>
    <col min="26" max="26" width="8.453125" style="292" hidden="1" customWidth="1"/>
    <col min="27" max="27" width="11.26953125" style="292" customWidth="1"/>
    <col min="28" max="28" width="13" style="292" customWidth="1"/>
    <col min="29" max="29" width="1.81640625" style="292" customWidth="1"/>
    <col min="30" max="30" width="11.1796875" style="292" customWidth="1"/>
    <col min="31" max="31" width="12.7265625" style="292" customWidth="1"/>
    <col min="32" max="32" width="2.453125" style="292" customWidth="1"/>
    <col min="33" max="33" width="9.54296875" style="292" customWidth="1"/>
    <col min="34" max="34" width="5.453125" style="292" hidden="1" customWidth="1"/>
    <col min="35" max="35" width="8.453125" style="292" hidden="1" customWidth="1"/>
    <col min="36" max="36" width="5.453125" style="292" hidden="1" customWidth="1"/>
    <col min="37" max="37" width="8.453125" style="292" hidden="1" customWidth="1"/>
    <col min="38" max="38" width="11.7265625" style="292" customWidth="1"/>
    <col min="39" max="39" width="2.7265625" style="292" customWidth="1"/>
    <col min="40" max="40" width="17.81640625" style="292" customWidth="1"/>
    <col min="41" max="41" width="7.1796875" style="292" customWidth="1"/>
    <col min="42" max="16384" width="8.81640625" style="292"/>
  </cols>
  <sheetData>
    <row r="1" spans="1:41" ht="13.5" thickBot="1" x14ac:dyDescent="0.3">
      <c r="A1" s="1037"/>
      <c r="B1" s="950"/>
      <c r="C1" s="950"/>
      <c r="D1" s="957"/>
      <c r="E1" s="957"/>
      <c r="F1" s="957"/>
      <c r="G1" s="957"/>
      <c r="H1" s="957"/>
      <c r="I1" s="957"/>
      <c r="J1" s="957"/>
      <c r="K1" s="957"/>
      <c r="L1" s="950"/>
      <c r="M1" s="950"/>
      <c r="N1" s="950"/>
      <c r="O1" s="950"/>
      <c r="P1" s="950"/>
      <c r="Q1" s="950"/>
      <c r="R1" s="950"/>
      <c r="S1" s="950"/>
      <c r="T1" s="950"/>
      <c r="U1" s="950"/>
      <c r="V1" s="950"/>
      <c r="W1" s="950"/>
      <c r="X1" s="950"/>
      <c r="Y1" s="950"/>
      <c r="Z1" s="950"/>
      <c r="AA1" s="950"/>
      <c r="AB1" s="950"/>
      <c r="AC1" s="950"/>
      <c r="AD1" s="950"/>
      <c r="AE1" s="950"/>
      <c r="AF1" s="950"/>
      <c r="AG1" s="950"/>
      <c r="AH1" s="950"/>
      <c r="AI1" s="950"/>
      <c r="AJ1" s="950"/>
      <c r="AK1" s="950"/>
      <c r="AL1" s="950"/>
      <c r="AM1" s="950"/>
      <c r="AN1" s="950"/>
      <c r="AO1" s="1041"/>
    </row>
    <row r="2" spans="1:41" ht="36" customHeight="1" thickBot="1" x14ac:dyDescent="0.3">
      <c r="A2" s="956"/>
      <c r="B2" s="957"/>
      <c r="C2" s="944" t="str">
        <f>General!D4</f>
        <v>Name</v>
      </c>
      <c r="D2" s="957"/>
      <c r="E2" s="1679" t="s">
        <v>575</v>
      </c>
      <c r="F2" s="1680"/>
      <c r="G2" s="1680"/>
      <c r="H2" s="1680"/>
      <c r="I2" s="1680"/>
      <c r="J2" s="957"/>
      <c r="K2" s="957"/>
      <c r="L2" s="957"/>
      <c r="M2" s="957"/>
      <c r="N2" s="957"/>
      <c r="O2" s="957"/>
      <c r="P2" s="957"/>
      <c r="Q2" s="957"/>
      <c r="R2" s="957"/>
      <c r="S2" s="957"/>
      <c r="T2" s="957"/>
      <c r="U2" s="957"/>
      <c r="V2" s="957"/>
      <c r="W2" s="957"/>
      <c r="X2" s="957"/>
      <c r="Y2" s="957"/>
      <c r="Z2" s="957"/>
      <c r="AA2" s="957"/>
      <c r="AB2" s="957"/>
      <c r="AC2" s="957"/>
      <c r="AD2" s="957"/>
      <c r="AE2" s="1175"/>
      <c r="AF2" s="957"/>
      <c r="AG2" s="957"/>
      <c r="AH2" s="957"/>
      <c r="AI2" s="957"/>
      <c r="AJ2" s="957"/>
      <c r="AK2" s="957"/>
      <c r="AL2" s="957"/>
      <c r="AM2" s="957"/>
      <c r="AN2" s="957"/>
      <c r="AO2" s="966"/>
    </row>
    <row r="3" spans="1:41" ht="18" customHeight="1" x14ac:dyDescent="0.25">
      <c r="A3" s="956"/>
      <c r="B3" s="1040"/>
      <c r="C3" s="1058"/>
      <c r="D3" s="1059"/>
      <c r="E3" s="1059"/>
      <c r="F3" s="1059"/>
      <c r="G3" s="1059"/>
      <c r="H3" s="1059"/>
      <c r="I3" s="957"/>
      <c r="J3" s="957"/>
      <c r="K3" s="957"/>
      <c r="L3" s="957"/>
      <c r="M3" s="957"/>
      <c r="N3" s="957"/>
      <c r="O3" s="957"/>
      <c r="P3" s="957"/>
      <c r="Q3" s="957"/>
      <c r="R3" s="957"/>
      <c r="S3" s="957"/>
      <c r="T3" s="957"/>
      <c r="U3" s="957"/>
      <c r="V3" s="957"/>
      <c r="W3" s="957"/>
      <c r="X3" s="957"/>
      <c r="Y3" s="957"/>
      <c r="Z3" s="957"/>
      <c r="AA3" s="957"/>
      <c r="AB3" s="957"/>
      <c r="AC3" s="957"/>
      <c r="AD3" s="957"/>
      <c r="AE3" s="1175"/>
      <c r="AF3" s="957"/>
      <c r="AG3" s="957"/>
      <c r="AH3" s="957"/>
      <c r="AI3" s="957"/>
      <c r="AJ3" s="957"/>
      <c r="AK3" s="957"/>
      <c r="AL3" s="957"/>
      <c r="AM3" s="957"/>
      <c r="AN3" s="957"/>
      <c r="AO3" s="966"/>
    </row>
    <row r="4" spans="1:41" ht="42" customHeight="1" x14ac:dyDescent="0.25">
      <c r="A4" s="956"/>
      <c r="B4" s="1685" t="s">
        <v>290</v>
      </c>
      <c r="C4" s="1666" t="s">
        <v>576</v>
      </c>
      <c r="D4" s="1666"/>
      <c r="E4" s="1666"/>
      <c r="F4" s="1666"/>
      <c r="G4" s="1666"/>
      <c r="H4" s="1666"/>
      <c r="I4" s="1666"/>
      <c r="J4" s="1666"/>
      <c r="K4" s="1666"/>
      <c r="L4" s="1666"/>
      <c r="M4" s="1666"/>
      <c r="N4" s="1666"/>
      <c r="O4" s="1666"/>
      <c r="P4" s="1666"/>
      <c r="Q4" s="957"/>
      <c r="R4" s="957"/>
      <c r="S4" s="957"/>
      <c r="T4" s="957"/>
      <c r="U4" s="957"/>
      <c r="V4" s="957"/>
      <c r="W4" s="957"/>
      <c r="X4" s="957"/>
      <c r="Y4" s="957"/>
      <c r="Z4" s="957"/>
      <c r="AA4" s="957"/>
      <c r="AB4" s="957"/>
      <c r="AC4" s="957"/>
      <c r="AD4" s="957"/>
      <c r="AE4" s="1175"/>
      <c r="AF4" s="957"/>
      <c r="AG4" s="957"/>
      <c r="AH4" s="957"/>
      <c r="AI4" s="957"/>
      <c r="AJ4" s="957"/>
      <c r="AK4" s="957"/>
      <c r="AL4" s="957"/>
      <c r="AM4" s="957"/>
      <c r="AN4" s="957"/>
      <c r="AO4" s="966"/>
    </row>
    <row r="5" spans="1:41" ht="36" customHeight="1" x14ac:dyDescent="0.25">
      <c r="A5" s="956"/>
      <c r="B5" s="1685"/>
      <c r="C5" s="1666" t="s">
        <v>577</v>
      </c>
      <c r="D5" s="1666"/>
      <c r="E5" s="1666"/>
      <c r="F5" s="1666"/>
      <c r="G5" s="1666"/>
      <c r="H5" s="1666"/>
      <c r="I5" s="1666"/>
      <c r="J5" s="1666"/>
      <c r="K5" s="1666"/>
      <c r="L5" s="1666"/>
      <c r="M5" s="1666"/>
      <c r="N5" s="1666"/>
      <c r="O5" s="1666"/>
      <c r="P5" s="1666"/>
      <c r="Q5" s="957"/>
      <c r="R5" s="957"/>
      <c r="S5" s="957"/>
      <c r="T5" s="957"/>
      <c r="U5" s="957"/>
      <c r="V5" s="957"/>
      <c r="W5" s="957"/>
      <c r="X5" s="957"/>
      <c r="Y5" s="957"/>
      <c r="Z5" s="957"/>
      <c r="AA5" s="957"/>
      <c r="AB5" s="957"/>
      <c r="AC5" s="957"/>
      <c r="AD5" s="957"/>
      <c r="AE5" s="1175"/>
      <c r="AF5" s="957"/>
      <c r="AG5" s="957"/>
      <c r="AH5" s="957"/>
      <c r="AI5" s="957"/>
      <c r="AJ5" s="957"/>
      <c r="AK5" s="957"/>
      <c r="AL5" s="957"/>
      <c r="AM5" s="957"/>
      <c r="AN5" s="957"/>
      <c r="AO5" s="966"/>
    </row>
    <row r="6" spans="1:41" ht="36" customHeight="1" x14ac:dyDescent="0.25">
      <c r="A6" s="956"/>
      <c r="B6" s="1685"/>
      <c r="C6" s="1666" t="s">
        <v>578</v>
      </c>
      <c r="D6" s="1666"/>
      <c r="E6" s="1666"/>
      <c r="F6" s="1666"/>
      <c r="G6" s="1666"/>
      <c r="H6" s="1666"/>
      <c r="I6" s="1666"/>
      <c r="J6" s="1666"/>
      <c r="K6" s="1666"/>
      <c r="L6" s="1666"/>
      <c r="M6" s="1666"/>
      <c r="N6" s="1666"/>
      <c r="O6" s="1666"/>
      <c r="P6" s="1666"/>
      <c r="Q6" s="957"/>
      <c r="R6" s="957"/>
      <c r="S6" s="957"/>
      <c r="T6" s="957"/>
      <c r="U6" s="957"/>
      <c r="V6" s="957"/>
      <c r="W6" s="957"/>
      <c r="X6" s="957"/>
      <c r="Y6" s="957"/>
      <c r="Z6" s="957"/>
      <c r="AA6" s="957"/>
      <c r="AB6" s="957"/>
      <c r="AC6" s="957"/>
      <c r="AD6" s="957"/>
      <c r="AE6" s="1175"/>
      <c r="AF6" s="957"/>
      <c r="AG6" s="957"/>
      <c r="AH6" s="957"/>
      <c r="AI6" s="957"/>
      <c r="AJ6" s="957"/>
      <c r="AK6" s="957"/>
      <c r="AL6" s="957"/>
      <c r="AM6" s="957"/>
      <c r="AN6" s="957"/>
      <c r="AO6" s="966"/>
    </row>
    <row r="7" spans="1:41" ht="19.5" customHeight="1" x14ac:dyDescent="0.25">
      <c r="A7" s="956"/>
      <c r="B7" s="1685"/>
      <c r="C7" s="1666" t="s">
        <v>579</v>
      </c>
      <c r="D7" s="1666"/>
      <c r="E7" s="1666"/>
      <c r="F7" s="1666"/>
      <c r="G7" s="1666"/>
      <c r="H7" s="1666"/>
      <c r="I7" s="1666"/>
      <c r="J7" s="1666"/>
      <c r="K7" s="1666"/>
      <c r="L7" s="1666"/>
      <c r="M7" s="1666"/>
      <c r="N7" s="1666"/>
      <c r="O7" s="1666"/>
      <c r="P7" s="1666"/>
      <c r="Q7" s="957"/>
      <c r="R7" s="957"/>
      <c r="S7" s="957"/>
      <c r="T7" s="957"/>
      <c r="U7" s="957"/>
      <c r="V7" s="957"/>
      <c r="W7" s="957"/>
      <c r="X7" s="957"/>
      <c r="Y7" s="957"/>
      <c r="Z7" s="957"/>
      <c r="AA7" s="957"/>
      <c r="AB7" s="957"/>
      <c r="AC7" s="957"/>
      <c r="AD7" s="957"/>
      <c r="AE7" s="1175"/>
      <c r="AF7" s="957"/>
      <c r="AG7" s="957"/>
      <c r="AH7" s="957"/>
      <c r="AI7" s="957"/>
      <c r="AJ7" s="957"/>
      <c r="AK7" s="957"/>
      <c r="AL7" s="957"/>
      <c r="AM7" s="957"/>
      <c r="AN7" s="957"/>
      <c r="AO7" s="966"/>
    </row>
    <row r="8" spans="1:41" ht="48" customHeight="1" x14ac:dyDescent="0.25">
      <c r="A8" s="956"/>
      <c r="B8" s="1685"/>
      <c r="C8" s="1666" t="s">
        <v>580</v>
      </c>
      <c r="D8" s="1666"/>
      <c r="E8" s="1666"/>
      <c r="F8" s="1666"/>
      <c r="G8" s="1666"/>
      <c r="H8" s="1666"/>
      <c r="I8" s="1666"/>
      <c r="J8" s="1666"/>
      <c r="K8" s="1666"/>
      <c r="L8" s="1666"/>
      <c r="M8" s="1666"/>
      <c r="N8" s="1666"/>
      <c r="O8" s="1666"/>
      <c r="P8" s="1666"/>
      <c r="Q8" s="957"/>
      <c r="R8" s="957"/>
      <c r="S8" s="957"/>
      <c r="T8" s="957"/>
      <c r="U8" s="957"/>
      <c r="V8" s="957"/>
      <c r="W8" s="957"/>
      <c r="X8" s="957"/>
      <c r="Y8" s="957"/>
      <c r="Z8" s="957"/>
      <c r="AA8" s="957"/>
      <c r="AB8" s="957"/>
      <c r="AC8" s="957"/>
      <c r="AD8" s="957"/>
      <c r="AE8" s="1175"/>
      <c r="AF8" s="957"/>
      <c r="AG8" s="957"/>
      <c r="AH8" s="957"/>
      <c r="AI8" s="957"/>
      <c r="AJ8" s="957"/>
      <c r="AK8" s="957"/>
      <c r="AL8" s="957"/>
      <c r="AM8" s="957"/>
      <c r="AN8" s="957"/>
      <c r="AO8" s="966"/>
    </row>
    <row r="9" spans="1:41" ht="21.65" customHeight="1" x14ac:dyDescent="0.25">
      <c r="A9" s="956"/>
      <c r="B9" s="1685"/>
      <c r="C9" s="1666" t="s">
        <v>581</v>
      </c>
      <c r="D9" s="1666"/>
      <c r="E9" s="1666"/>
      <c r="F9" s="1666"/>
      <c r="G9" s="1666"/>
      <c r="H9" s="1666"/>
      <c r="I9" s="1666"/>
      <c r="J9" s="1666"/>
      <c r="K9" s="1666"/>
      <c r="L9" s="1666"/>
      <c r="M9" s="1666"/>
      <c r="N9" s="1666"/>
      <c r="O9" s="1666"/>
      <c r="P9" s="1666"/>
      <c r="Q9" s="957"/>
      <c r="R9" s="957"/>
      <c r="S9" s="957"/>
      <c r="T9" s="957"/>
      <c r="U9" s="957"/>
      <c r="V9" s="957"/>
      <c r="W9" s="957"/>
      <c r="X9" s="957"/>
      <c r="Y9" s="957"/>
      <c r="Z9" s="957"/>
      <c r="AA9" s="957"/>
      <c r="AB9" s="957"/>
      <c r="AC9" s="957"/>
      <c r="AD9" s="957"/>
      <c r="AE9" s="1175"/>
      <c r="AF9" s="957"/>
      <c r="AG9" s="957"/>
      <c r="AH9" s="957"/>
      <c r="AI9" s="957"/>
      <c r="AJ9" s="957"/>
      <c r="AK9" s="957"/>
      <c r="AL9" s="957"/>
      <c r="AM9" s="957"/>
      <c r="AN9" s="957"/>
      <c r="AO9" s="966"/>
    </row>
    <row r="10" spans="1:41" ht="20.149999999999999" customHeight="1" x14ac:dyDescent="0.25">
      <c r="A10" s="956"/>
      <c r="B10" s="1685"/>
      <c r="C10" s="1666" t="s">
        <v>582</v>
      </c>
      <c r="D10" s="1666"/>
      <c r="E10" s="1666"/>
      <c r="F10" s="1666"/>
      <c r="G10" s="1666"/>
      <c r="H10" s="1666"/>
      <c r="I10" s="1666"/>
      <c r="J10" s="1666"/>
      <c r="K10" s="1666"/>
      <c r="L10" s="1666"/>
      <c r="M10" s="1666"/>
      <c r="N10" s="1666"/>
      <c r="O10" s="1666"/>
      <c r="P10" s="1666"/>
      <c r="Q10" s="957"/>
      <c r="R10" s="957"/>
      <c r="S10" s="957"/>
      <c r="T10" s="957"/>
      <c r="U10" s="957"/>
      <c r="V10" s="957"/>
      <c r="W10" s="957"/>
      <c r="X10" s="957"/>
      <c r="Y10" s="957"/>
      <c r="Z10" s="957"/>
      <c r="AA10" s="957"/>
      <c r="AB10" s="957"/>
      <c r="AC10" s="957"/>
      <c r="AD10" s="957"/>
      <c r="AE10" s="1175"/>
      <c r="AF10" s="957"/>
      <c r="AG10" s="957"/>
      <c r="AH10" s="957"/>
      <c r="AI10" s="957"/>
      <c r="AJ10" s="957"/>
      <c r="AK10" s="957"/>
      <c r="AL10" s="957"/>
      <c r="AM10" s="957"/>
      <c r="AN10" s="957"/>
      <c r="AO10" s="966"/>
    </row>
    <row r="11" spans="1:41" ht="22.5" customHeight="1" x14ac:dyDescent="0.25">
      <c r="A11" s="956"/>
      <c r="B11" s="1685"/>
      <c r="C11" s="1666" t="s">
        <v>583</v>
      </c>
      <c r="D11" s="1666"/>
      <c r="E11" s="1666"/>
      <c r="F11" s="1666"/>
      <c r="G11" s="1666"/>
      <c r="H11" s="1666"/>
      <c r="I11" s="1666"/>
      <c r="J11" s="1666"/>
      <c r="K11" s="1666"/>
      <c r="L11" s="1666"/>
      <c r="M11" s="1666"/>
      <c r="N11" s="1666"/>
      <c r="O11" s="1666"/>
      <c r="P11" s="1666"/>
      <c r="Q11" s="957"/>
      <c r="R11" s="957"/>
      <c r="S11" s="957"/>
      <c r="T11" s="957"/>
      <c r="U11" s="957"/>
      <c r="V11" s="957"/>
      <c r="W11" s="957"/>
      <c r="X11" s="957"/>
      <c r="Y11" s="957"/>
      <c r="Z11" s="957"/>
      <c r="AA11" s="957"/>
      <c r="AB11" s="957"/>
      <c r="AC11" s="957"/>
      <c r="AD11" s="957"/>
      <c r="AE11" s="1175"/>
      <c r="AF11" s="957"/>
      <c r="AG11" s="957"/>
      <c r="AH11" s="957"/>
      <c r="AI11" s="957"/>
      <c r="AJ11" s="957"/>
      <c r="AK11" s="957"/>
      <c r="AL11" s="957"/>
      <c r="AM11" s="957"/>
      <c r="AN11" s="957"/>
      <c r="AO11" s="966"/>
    </row>
    <row r="12" spans="1:41" ht="22.5" customHeight="1" x14ac:dyDescent="0.25">
      <c r="A12" s="956"/>
      <c r="B12" s="697" t="s">
        <v>292</v>
      </c>
      <c r="C12" s="1666" t="s">
        <v>584</v>
      </c>
      <c r="D12" s="1666"/>
      <c r="E12" s="1666"/>
      <c r="F12" s="1666"/>
      <c r="G12" s="1666"/>
      <c r="H12" s="1666"/>
      <c r="I12" s="1666"/>
      <c r="J12" s="1666"/>
      <c r="K12" s="1666"/>
      <c r="L12" s="1666"/>
      <c r="M12" s="1666"/>
      <c r="N12" s="1666"/>
      <c r="O12" s="1666"/>
      <c r="P12" s="1666"/>
      <c r="Q12" s="1044"/>
      <c r="R12" s="957"/>
      <c r="S12" s="957"/>
      <c r="T12" s="957"/>
      <c r="U12" s="957"/>
      <c r="V12" s="957"/>
      <c r="W12" s="957"/>
      <c r="X12" s="957"/>
      <c r="Y12" s="957"/>
      <c r="Z12" s="957"/>
      <c r="AA12" s="957"/>
      <c r="AB12" s="957"/>
      <c r="AC12" s="957"/>
      <c r="AD12" s="957"/>
      <c r="AE12" s="1175"/>
      <c r="AF12" s="957"/>
      <c r="AG12" s="957"/>
      <c r="AH12" s="957"/>
      <c r="AI12" s="957"/>
      <c r="AJ12" s="957"/>
      <c r="AK12" s="957"/>
      <c r="AL12" s="957"/>
      <c r="AM12" s="957"/>
      <c r="AN12" s="957"/>
      <c r="AO12" s="966"/>
    </row>
    <row r="13" spans="1:41" ht="22.5" customHeight="1" x14ac:dyDescent="0.25">
      <c r="A13" s="956"/>
      <c r="B13" s="697" t="s">
        <v>294</v>
      </c>
      <c r="C13" s="1666" t="s">
        <v>585</v>
      </c>
      <c r="D13" s="1666"/>
      <c r="E13" s="1666"/>
      <c r="F13" s="1666"/>
      <c r="G13" s="1666"/>
      <c r="H13" s="1666"/>
      <c r="I13" s="1666"/>
      <c r="J13" s="1666"/>
      <c r="K13" s="1666"/>
      <c r="L13" s="1666"/>
      <c r="M13" s="1666"/>
      <c r="N13" s="1666"/>
      <c r="O13" s="1666"/>
      <c r="P13" s="1666"/>
      <c r="Q13" s="1044"/>
      <c r="R13" s="957"/>
      <c r="S13" s="957"/>
      <c r="T13" s="957"/>
      <c r="U13" s="957"/>
      <c r="V13" s="957"/>
      <c r="W13" s="957"/>
      <c r="X13" s="957"/>
      <c r="Y13" s="957"/>
      <c r="Z13" s="957"/>
      <c r="AA13" s="957"/>
      <c r="AB13" s="957"/>
      <c r="AC13" s="957"/>
      <c r="AD13" s="957"/>
      <c r="AE13" s="1175"/>
      <c r="AF13" s="957"/>
      <c r="AG13" s="957"/>
      <c r="AH13" s="957"/>
      <c r="AI13" s="957"/>
      <c r="AJ13" s="957"/>
      <c r="AK13" s="957"/>
      <c r="AL13" s="957"/>
      <c r="AM13" s="957"/>
      <c r="AN13" s="957"/>
      <c r="AO13" s="966"/>
    </row>
    <row r="14" spans="1:41" s="522" customFormat="1" x14ac:dyDescent="0.25">
      <c r="A14" s="1038"/>
      <c r="B14" s="1042"/>
      <c r="C14" s="1042"/>
      <c r="D14" s="1042"/>
      <c r="E14" s="1042"/>
      <c r="F14" s="1042"/>
      <c r="G14" s="1042"/>
      <c r="H14" s="1042"/>
      <c r="I14" s="1042"/>
      <c r="J14" s="957"/>
      <c r="K14" s="957"/>
      <c r="L14" s="957"/>
      <c r="M14" s="1042"/>
      <c r="N14" s="957"/>
      <c r="O14" s="957"/>
      <c r="P14" s="957"/>
      <c r="Q14" s="1042"/>
      <c r="R14" s="957"/>
      <c r="S14" s="957"/>
      <c r="T14" s="957"/>
      <c r="U14" s="957"/>
      <c r="V14" s="1042"/>
      <c r="W14" s="957"/>
      <c r="X14" s="957"/>
      <c r="Y14" s="957"/>
      <c r="Z14" s="957"/>
      <c r="AA14" s="957"/>
      <c r="AB14" s="957"/>
      <c r="AC14" s="1042"/>
      <c r="AD14" s="957"/>
      <c r="AE14" s="1175"/>
      <c r="AF14" s="1042"/>
      <c r="AG14" s="957"/>
      <c r="AH14" s="957"/>
      <c r="AI14" s="957"/>
      <c r="AJ14" s="957"/>
      <c r="AK14" s="957"/>
      <c r="AL14" s="957"/>
      <c r="AM14" s="1042"/>
      <c r="AN14" s="1042"/>
      <c r="AO14" s="1043"/>
    </row>
    <row r="15" spans="1:41" s="594" customFormat="1" ht="55.5" customHeight="1" x14ac:dyDescent="0.25">
      <c r="A15" s="1039"/>
      <c r="B15" s="1675" t="s">
        <v>586</v>
      </c>
      <c r="C15" s="1675"/>
      <c r="D15" s="1675"/>
      <c r="E15" s="1675"/>
      <c r="F15" s="1675"/>
      <c r="G15" s="1675"/>
      <c r="H15" s="1675"/>
      <c r="I15" s="1045"/>
      <c r="J15" s="1677" t="s">
        <v>587</v>
      </c>
      <c r="K15" s="1677"/>
      <c r="L15" s="1677"/>
      <c r="M15" s="1045"/>
      <c r="N15" s="538"/>
      <c r="O15" s="1678" t="s">
        <v>588</v>
      </c>
      <c r="P15" s="1678"/>
      <c r="Q15" s="1045"/>
      <c r="R15" s="1669" t="s">
        <v>589</v>
      </c>
      <c r="S15" s="1669"/>
      <c r="T15" s="1669"/>
      <c r="U15" s="1669"/>
      <c r="V15" s="1045"/>
      <c r="W15" s="1682" t="s">
        <v>590</v>
      </c>
      <c r="X15" s="1682"/>
      <c r="Y15" s="1682"/>
      <c r="Z15" s="1682"/>
      <c r="AA15" s="1682"/>
      <c r="AB15" s="1682"/>
      <c r="AC15" s="1045"/>
      <c r="AD15" s="1683" t="s">
        <v>591</v>
      </c>
      <c r="AE15" s="1683"/>
      <c r="AF15" s="1045"/>
      <c r="AG15" s="1684" t="s">
        <v>592</v>
      </c>
      <c r="AH15" s="1684"/>
      <c r="AI15" s="1684"/>
      <c r="AJ15" s="1684"/>
      <c r="AK15" s="1684"/>
      <c r="AL15" s="1684"/>
      <c r="AM15" s="1045"/>
      <c r="AN15" s="1676" t="s">
        <v>593</v>
      </c>
      <c r="AO15" s="1057"/>
    </row>
    <row r="16" spans="1:41" s="522" customFormat="1" ht="105.65" customHeight="1" x14ac:dyDescent="0.25">
      <c r="A16" s="1038"/>
      <c r="B16" s="695" t="s">
        <v>594</v>
      </c>
      <c r="C16" s="696" t="s">
        <v>595</v>
      </c>
      <c r="D16" s="696" t="s">
        <v>596</v>
      </c>
      <c r="E16" s="696" t="s">
        <v>597</v>
      </c>
      <c r="F16" s="608" t="s">
        <v>598</v>
      </c>
      <c r="G16" s="608" t="s">
        <v>599</v>
      </c>
      <c r="H16" s="608" t="s">
        <v>600</v>
      </c>
      <c r="I16" s="1042"/>
      <c r="J16" s="1100" t="s">
        <v>601</v>
      </c>
      <c r="K16" s="1100" t="s">
        <v>602</v>
      </c>
      <c r="L16" s="1105" t="s">
        <v>603</v>
      </c>
      <c r="M16" s="1046"/>
      <c r="N16" s="591" t="s">
        <v>604</v>
      </c>
      <c r="O16" s="1101" t="s">
        <v>605</v>
      </c>
      <c r="P16" s="1104" t="s">
        <v>603</v>
      </c>
      <c r="Q16" s="1046"/>
      <c r="R16" s="1102" t="s">
        <v>606</v>
      </c>
      <c r="S16" s="608" t="s">
        <v>607</v>
      </c>
      <c r="T16" s="1102" t="s">
        <v>608</v>
      </c>
      <c r="U16" s="1103" t="s">
        <v>603</v>
      </c>
      <c r="V16" s="1046"/>
      <c r="W16" s="1106" t="s">
        <v>609</v>
      </c>
      <c r="X16" s="1107" t="s">
        <v>610</v>
      </c>
      <c r="Y16" s="1107" t="s">
        <v>611</v>
      </c>
      <c r="Z16" s="1108" t="s">
        <v>612</v>
      </c>
      <c r="AA16" s="1108" t="s">
        <v>613</v>
      </c>
      <c r="AB16" s="1109" t="s">
        <v>603</v>
      </c>
      <c r="AC16" s="1056"/>
      <c r="AD16" s="1110" t="s">
        <v>614</v>
      </c>
      <c r="AE16" s="693" t="s">
        <v>603</v>
      </c>
      <c r="AF16" s="1046"/>
      <c r="AG16" s="591" t="s">
        <v>615</v>
      </c>
      <c r="AH16" s="608" t="s">
        <v>616</v>
      </c>
      <c r="AI16" s="608" t="s">
        <v>617</v>
      </c>
      <c r="AJ16" s="608" t="s">
        <v>618</v>
      </c>
      <c r="AK16" s="608" t="s">
        <v>619</v>
      </c>
      <c r="AL16" s="695" t="s">
        <v>603</v>
      </c>
      <c r="AM16" s="1046"/>
      <c r="AN16" s="1676"/>
      <c r="AO16" s="1043"/>
    </row>
    <row r="17" spans="1:41" s="522" customFormat="1" ht="17.5" customHeight="1" x14ac:dyDescent="0.25">
      <c r="A17" s="1038"/>
      <c r="B17" s="575"/>
      <c r="C17" s="575"/>
      <c r="D17" s="575"/>
      <c r="E17" s="575"/>
      <c r="F17" s="598"/>
      <c r="G17" s="595"/>
      <c r="H17" s="595"/>
      <c r="I17" s="1042"/>
      <c r="J17" s="596">
        <v>0</v>
      </c>
      <c r="K17" s="596"/>
      <c r="L17" s="1127">
        <f>J17*F17*H17</f>
        <v>0</v>
      </c>
      <c r="M17" s="1048"/>
      <c r="N17" s="605">
        <f>IF((G17&gt;0),G17-1,0)</f>
        <v>0</v>
      </c>
      <c r="O17" s="687">
        <v>0</v>
      </c>
      <c r="P17" s="602">
        <f>O17*F17*N17*H17</f>
        <v>0</v>
      </c>
      <c r="Q17" s="1047"/>
      <c r="R17" s="687">
        <v>0</v>
      </c>
      <c r="S17" s="598">
        <f>G17</f>
        <v>0</v>
      </c>
      <c r="T17" s="599"/>
      <c r="U17" s="1126">
        <f>T17*R17*S17*H17</f>
        <v>0</v>
      </c>
      <c r="V17" s="1047"/>
      <c r="W17" s="688">
        <v>0</v>
      </c>
      <c r="X17" s="599"/>
      <c r="Y17" s="599"/>
      <c r="Z17" s="600">
        <f>X17*W17*Y17</f>
        <v>0</v>
      </c>
      <c r="AA17" s="689">
        <v>0</v>
      </c>
      <c r="AB17" s="1123">
        <f>(Z17+AA17)*H17</f>
        <v>0</v>
      </c>
      <c r="AC17" s="1048"/>
      <c r="AD17" s="689">
        <v>0</v>
      </c>
      <c r="AE17" s="1124">
        <f>AD17*H17</f>
        <v>0</v>
      </c>
      <c r="AF17" s="1054"/>
      <c r="AG17" s="689">
        <v>0</v>
      </c>
      <c r="AH17" s="605">
        <f>IF(G17&lt;=2,G17,G17-AJ17)</f>
        <v>0</v>
      </c>
      <c r="AI17" s="601">
        <f t="shared" ref="AI17:AI24" si="0">(+AG17*F17*AH17)*0.75</f>
        <v>0</v>
      </c>
      <c r="AJ17" s="597">
        <f>IF(G17&gt;2,G17-2,0)</f>
        <v>0</v>
      </c>
      <c r="AK17" s="601">
        <f t="shared" ref="AK17:AK24" si="1">+AG17*F17*AJ17</f>
        <v>0</v>
      </c>
      <c r="AL17" s="1125">
        <f>(AI17+AK17)*H17</f>
        <v>0</v>
      </c>
      <c r="AM17" s="1053"/>
      <c r="AN17" s="1099">
        <f t="shared" ref="AN17:AN24" si="2">AL17+AD17+AB17+U17+P17+L17</f>
        <v>0</v>
      </c>
      <c r="AO17" s="1043"/>
    </row>
    <row r="18" spans="1:41" s="522" customFormat="1" ht="17.5" customHeight="1" x14ac:dyDescent="0.25">
      <c r="A18" s="1038"/>
      <c r="B18" s="575"/>
      <c r="C18" s="575"/>
      <c r="D18" s="575"/>
      <c r="E18" s="575"/>
      <c r="F18" s="598"/>
      <c r="G18" s="595"/>
      <c r="H18" s="595"/>
      <c r="I18" s="1042"/>
      <c r="J18" s="596">
        <v>0</v>
      </c>
      <c r="K18" s="596"/>
      <c r="L18" s="1127">
        <f t="shared" ref="L18:L24" si="3">J18*F18*H18</f>
        <v>0</v>
      </c>
      <c r="M18" s="1048"/>
      <c r="N18" s="605">
        <f t="shared" ref="N18:N24" si="4">IF((G18&gt;0),G18-1,0)</f>
        <v>0</v>
      </c>
      <c r="O18" s="687">
        <v>0</v>
      </c>
      <c r="P18" s="602">
        <f t="shared" ref="P18:P24" si="5">O18*F18*N18*H18</f>
        <v>0</v>
      </c>
      <c r="Q18" s="1047"/>
      <c r="R18" s="687">
        <v>0</v>
      </c>
      <c r="S18" s="598">
        <f t="shared" ref="S18:S24" si="6">G18</f>
        <v>0</v>
      </c>
      <c r="T18" s="599"/>
      <c r="U18" s="1126">
        <f t="shared" ref="U18:U24" si="7">T18*R18*S18*H18</f>
        <v>0</v>
      </c>
      <c r="V18" s="1047"/>
      <c r="W18" s="688">
        <v>0</v>
      </c>
      <c r="X18" s="599"/>
      <c r="Y18" s="599"/>
      <c r="Z18" s="600">
        <f t="shared" ref="Z18:Z24" si="8">X18*W18*Y18</f>
        <v>0</v>
      </c>
      <c r="AA18" s="689">
        <v>0</v>
      </c>
      <c r="AB18" s="1123">
        <f t="shared" ref="AB18:AB24" si="9">(Z18+AA18)*H18</f>
        <v>0</v>
      </c>
      <c r="AC18" s="1048"/>
      <c r="AD18" s="689">
        <v>0</v>
      </c>
      <c r="AE18" s="1124">
        <f t="shared" ref="AE18:AE24" si="10">AD18*H18</f>
        <v>0</v>
      </c>
      <c r="AF18" s="1054"/>
      <c r="AG18" s="689">
        <v>0</v>
      </c>
      <c r="AH18" s="605">
        <f t="shared" ref="AH18:AH24" si="11">IF(G18&lt;=2,G18,G18-AJ18)</f>
        <v>0</v>
      </c>
      <c r="AI18" s="601">
        <f t="shared" si="0"/>
        <v>0</v>
      </c>
      <c r="AJ18" s="597">
        <f t="shared" ref="AJ18:AJ24" si="12">IF(G18&gt;2,G18-2,0)</f>
        <v>0</v>
      </c>
      <c r="AK18" s="601">
        <f t="shared" si="1"/>
        <v>0</v>
      </c>
      <c r="AL18" s="1125">
        <f t="shared" ref="AL18:AL24" si="13">(AI18+AK18)*H18</f>
        <v>0</v>
      </c>
      <c r="AM18" s="1053"/>
      <c r="AN18" s="1099">
        <f t="shared" si="2"/>
        <v>0</v>
      </c>
      <c r="AO18" s="1043"/>
    </row>
    <row r="19" spans="1:41" s="522" customFormat="1" ht="17.5" customHeight="1" x14ac:dyDescent="0.25">
      <c r="A19" s="1038"/>
      <c r="B19" s="575"/>
      <c r="C19" s="575"/>
      <c r="D19" s="575"/>
      <c r="E19" s="575"/>
      <c r="F19" s="692"/>
      <c r="G19" s="595"/>
      <c r="H19" s="595"/>
      <c r="I19" s="1042"/>
      <c r="J19" s="596">
        <v>0</v>
      </c>
      <c r="K19" s="596"/>
      <c r="L19" s="1127">
        <f>J19*F19*H19</f>
        <v>0</v>
      </c>
      <c r="M19" s="1048"/>
      <c r="N19" s="605">
        <f t="shared" si="4"/>
        <v>0</v>
      </c>
      <c r="O19" s="687">
        <v>0</v>
      </c>
      <c r="P19" s="602">
        <f>O19*F20*N19*H19</f>
        <v>0</v>
      </c>
      <c r="Q19" s="1047"/>
      <c r="R19" s="687">
        <v>0</v>
      </c>
      <c r="S19" s="598">
        <f t="shared" si="6"/>
        <v>0</v>
      </c>
      <c r="T19" s="599"/>
      <c r="U19" s="1126">
        <f t="shared" si="7"/>
        <v>0</v>
      </c>
      <c r="V19" s="1047"/>
      <c r="W19" s="688">
        <v>0</v>
      </c>
      <c r="X19" s="599"/>
      <c r="Y19" s="599"/>
      <c r="Z19" s="600">
        <f t="shared" si="8"/>
        <v>0</v>
      </c>
      <c r="AA19" s="689">
        <v>0</v>
      </c>
      <c r="AB19" s="1123">
        <f t="shared" si="9"/>
        <v>0</v>
      </c>
      <c r="AC19" s="1048"/>
      <c r="AD19" s="689">
        <v>0</v>
      </c>
      <c r="AE19" s="1124">
        <f t="shared" si="10"/>
        <v>0</v>
      </c>
      <c r="AF19" s="1054"/>
      <c r="AG19" s="689">
        <v>0</v>
      </c>
      <c r="AH19" s="605">
        <f t="shared" si="11"/>
        <v>0</v>
      </c>
      <c r="AI19" s="601">
        <f>(+AG19*F19*AH19)*0.75</f>
        <v>0</v>
      </c>
      <c r="AJ19" s="597">
        <f t="shared" si="12"/>
        <v>0</v>
      </c>
      <c r="AK19" s="601">
        <f>+AG19*F19*AJ19</f>
        <v>0</v>
      </c>
      <c r="AL19" s="1125">
        <f t="shared" si="13"/>
        <v>0</v>
      </c>
      <c r="AM19" s="1053"/>
      <c r="AN19" s="1099">
        <f t="shared" si="2"/>
        <v>0</v>
      </c>
      <c r="AO19" s="1043"/>
    </row>
    <row r="20" spans="1:41" s="522" customFormat="1" ht="17.5" customHeight="1" x14ac:dyDescent="0.25">
      <c r="A20" s="1038"/>
      <c r="B20" s="575"/>
      <c r="C20" s="575"/>
      <c r="D20" s="575"/>
      <c r="E20" s="575"/>
      <c r="F20" s="598"/>
      <c r="G20" s="595"/>
      <c r="H20" s="595"/>
      <c r="I20" s="1042"/>
      <c r="J20" s="596">
        <v>0</v>
      </c>
      <c r="K20" s="596"/>
      <c r="L20" s="1127">
        <f>J20*F20*H20</f>
        <v>0</v>
      </c>
      <c r="M20" s="1048"/>
      <c r="N20" s="605">
        <f t="shared" si="4"/>
        <v>0</v>
      </c>
      <c r="O20" s="687">
        <v>0</v>
      </c>
      <c r="P20" s="602">
        <f>O20*F21*N20*H20</f>
        <v>0</v>
      </c>
      <c r="Q20" s="1047"/>
      <c r="R20" s="687">
        <v>0</v>
      </c>
      <c r="S20" s="598">
        <f t="shared" si="6"/>
        <v>0</v>
      </c>
      <c r="T20" s="599"/>
      <c r="U20" s="1126">
        <f t="shared" si="7"/>
        <v>0</v>
      </c>
      <c r="V20" s="1047"/>
      <c r="W20" s="688">
        <v>0</v>
      </c>
      <c r="X20" s="599"/>
      <c r="Y20" s="599"/>
      <c r="Z20" s="600">
        <f t="shared" si="8"/>
        <v>0</v>
      </c>
      <c r="AA20" s="689">
        <v>0</v>
      </c>
      <c r="AB20" s="1123">
        <f t="shared" si="9"/>
        <v>0</v>
      </c>
      <c r="AC20" s="1048"/>
      <c r="AD20" s="689">
        <v>0</v>
      </c>
      <c r="AE20" s="1124">
        <f t="shared" si="10"/>
        <v>0</v>
      </c>
      <c r="AF20" s="1054"/>
      <c r="AG20" s="689">
        <v>0</v>
      </c>
      <c r="AH20" s="605">
        <f t="shared" si="11"/>
        <v>0</v>
      </c>
      <c r="AI20" s="601">
        <f>(+AG20*F20*AH20)*0.75</f>
        <v>0</v>
      </c>
      <c r="AJ20" s="597">
        <f t="shared" si="12"/>
        <v>0</v>
      </c>
      <c r="AK20" s="601">
        <f>+AG20*F20*AJ20</f>
        <v>0</v>
      </c>
      <c r="AL20" s="1125">
        <f t="shared" si="13"/>
        <v>0</v>
      </c>
      <c r="AM20" s="1053"/>
      <c r="AN20" s="1099">
        <f t="shared" si="2"/>
        <v>0</v>
      </c>
      <c r="AO20" s="1043"/>
    </row>
    <row r="21" spans="1:41" s="522" customFormat="1" ht="17.5" customHeight="1" x14ac:dyDescent="0.25">
      <c r="A21" s="1038"/>
      <c r="B21" s="575"/>
      <c r="C21" s="575"/>
      <c r="D21" s="575"/>
      <c r="E21" s="575"/>
      <c r="F21" s="598"/>
      <c r="G21" s="595"/>
      <c r="H21" s="595"/>
      <c r="I21" s="1042"/>
      <c r="J21" s="596">
        <v>0</v>
      </c>
      <c r="K21" s="596"/>
      <c r="L21" s="1127">
        <f t="shared" si="3"/>
        <v>0</v>
      </c>
      <c r="M21" s="1048"/>
      <c r="N21" s="605">
        <f t="shared" si="4"/>
        <v>0</v>
      </c>
      <c r="O21" s="687">
        <v>0</v>
      </c>
      <c r="P21" s="602">
        <f t="shared" si="5"/>
        <v>0</v>
      </c>
      <c r="Q21" s="1047"/>
      <c r="R21" s="687">
        <v>0</v>
      </c>
      <c r="S21" s="598">
        <f t="shared" si="6"/>
        <v>0</v>
      </c>
      <c r="T21" s="599"/>
      <c r="U21" s="1126">
        <f t="shared" si="7"/>
        <v>0</v>
      </c>
      <c r="V21" s="1047"/>
      <c r="W21" s="688">
        <v>0</v>
      </c>
      <c r="X21" s="599"/>
      <c r="Y21" s="599"/>
      <c r="Z21" s="600">
        <f t="shared" si="8"/>
        <v>0</v>
      </c>
      <c r="AA21" s="689">
        <v>0</v>
      </c>
      <c r="AB21" s="1123">
        <f t="shared" si="9"/>
        <v>0</v>
      </c>
      <c r="AC21" s="1048"/>
      <c r="AD21" s="689">
        <v>0</v>
      </c>
      <c r="AE21" s="1124">
        <f t="shared" si="10"/>
        <v>0</v>
      </c>
      <c r="AF21" s="1054"/>
      <c r="AG21" s="689">
        <v>0</v>
      </c>
      <c r="AH21" s="605">
        <f t="shared" si="11"/>
        <v>0</v>
      </c>
      <c r="AI21" s="601">
        <f t="shared" si="0"/>
        <v>0</v>
      </c>
      <c r="AJ21" s="597">
        <f t="shared" si="12"/>
        <v>0</v>
      </c>
      <c r="AK21" s="601">
        <f t="shared" si="1"/>
        <v>0</v>
      </c>
      <c r="AL21" s="1125">
        <f t="shared" si="13"/>
        <v>0</v>
      </c>
      <c r="AM21" s="1053"/>
      <c r="AN21" s="1099">
        <f t="shared" si="2"/>
        <v>0</v>
      </c>
      <c r="AO21" s="1043"/>
    </row>
    <row r="22" spans="1:41" s="522" customFormat="1" ht="17.5" customHeight="1" x14ac:dyDescent="0.25">
      <c r="A22" s="1038"/>
      <c r="B22" s="575"/>
      <c r="C22" s="575"/>
      <c r="D22" s="575"/>
      <c r="E22" s="575"/>
      <c r="F22" s="598"/>
      <c r="G22" s="595"/>
      <c r="H22" s="595"/>
      <c r="I22" s="1042"/>
      <c r="J22" s="596">
        <v>0</v>
      </c>
      <c r="K22" s="596"/>
      <c r="L22" s="1127">
        <f t="shared" si="3"/>
        <v>0</v>
      </c>
      <c r="M22" s="1048"/>
      <c r="N22" s="605">
        <f t="shared" si="4"/>
        <v>0</v>
      </c>
      <c r="O22" s="687">
        <v>0</v>
      </c>
      <c r="P22" s="602">
        <f t="shared" si="5"/>
        <v>0</v>
      </c>
      <c r="Q22" s="1047"/>
      <c r="R22" s="687">
        <v>0</v>
      </c>
      <c r="S22" s="598">
        <f t="shared" si="6"/>
        <v>0</v>
      </c>
      <c r="T22" s="599"/>
      <c r="U22" s="1126">
        <f t="shared" si="7"/>
        <v>0</v>
      </c>
      <c r="V22" s="1047"/>
      <c r="W22" s="688">
        <v>0</v>
      </c>
      <c r="X22" s="599"/>
      <c r="Y22" s="599"/>
      <c r="Z22" s="600">
        <f t="shared" si="8"/>
        <v>0</v>
      </c>
      <c r="AA22" s="689">
        <v>0</v>
      </c>
      <c r="AB22" s="1123">
        <f t="shared" si="9"/>
        <v>0</v>
      </c>
      <c r="AC22" s="1048"/>
      <c r="AD22" s="689">
        <v>0</v>
      </c>
      <c r="AE22" s="1124">
        <f t="shared" si="10"/>
        <v>0</v>
      </c>
      <c r="AF22" s="1054"/>
      <c r="AG22" s="689">
        <v>0</v>
      </c>
      <c r="AH22" s="605">
        <f t="shared" si="11"/>
        <v>0</v>
      </c>
      <c r="AI22" s="601">
        <f t="shared" si="0"/>
        <v>0</v>
      </c>
      <c r="AJ22" s="597">
        <f t="shared" si="12"/>
        <v>0</v>
      </c>
      <c r="AK22" s="601">
        <f t="shared" si="1"/>
        <v>0</v>
      </c>
      <c r="AL22" s="1125">
        <f t="shared" si="13"/>
        <v>0</v>
      </c>
      <c r="AM22" s="1053"/>
      <c r="AN22" s="1099">
        <f t="shared" si="2"/>
        <v>0</v>
      </c>
      <c r="AO22" s="1043"/>
    </row>
    <row r="23" spans="1:41" s="522" customFormat="1" ht="17.5" customHeight="1" x14ac:dyDescent="0.25">
      <c r="A23" s="1038"/>
      <c r="B23" s="575"/>
      <c r="C23" s="575"/>
      <c r="D23" s="575"/>
      <c r="E23" s="575"/>
      <c r="F23" s="598"/>
      <c r="G23" s="595"/>
      <c r="H23" s="595"/>
      <c r="I23" s="1042"/>
      <c r="J23" s="596">
        <v>0</v>
      </c>
      <c r="K23" s="596"/>
      <c r="L23" s="1127">
        <f t="shared" si="3"/>
        <v>0</v>
      </c>
      <c r="M23" s="1048"/>
      <c r="N23" s="605">
        <f t="shared" si="4"/>
        <v>0</v>
      </c>
      <c r="O23" s="687">
        <v>0</v>
      </c>
      <c r="P23" s="602">
        <f t="shared" si="5"/>
        <v>0</v>
      </c>
      <c r="Q23" s="1047"/>
      <c r="R23" s="687">
        <v>0</v>
      </c>
      <c r="S23" s="598">
        <f t="shared" si="6"/>
        <v>0</v>
      </c>
      <c r="T23" s="599"/>
      <c r="U23" s="1126">
        <f t="shared" si="7"/>
        <v>0</v>
      </c>
      <c r="V23" s="1047"/>
      <c r="W23" s="688">
        <v>0</v>
      </c>
      <c r="X23" s="599"/>
      <c r="Y23" s="599"/>
      <c r="Z23" s="600">
        <f t="shared" si="8"/>
        <v>0</v>
      </c>
      <c r="AA23" s="689">
        <v>0</v>
      </c>
      <c r="AB23" s="1123">
        <f t="shared" si="9"/>
        <v>0</v>
      </c>
      <c r="AC23" s="1048"/>
      <c r="AD23" s="689">
        <v>0</v>
      </c>
      <c r="AE23" s="1124">
        <f t="shared" si="10"/>
        <v>0</v>
      </c>
      <c r="AF23" s="1054"/>
      <c r="AG23" s="689">
        <v>0</v>
      </c>
      <c r="AH23" s="605">
        <f t="shared" si="11"/>
        <v>0</v>
      </c>
      <c r="AI23" s="601">
        <f t="shared" si="0"/>
        <v>0</v>
      </c>
      <c r="AJ23" s="597">
        <f t="shared" si="12"/>
        <v>0</v>
      </c>
      <c r="AK23" s="601">
        <f t="shared" si="1"/>
        <v>0</v>
      </c>
      <c r="AL23" s="1125">
        <f t="shared" si="13"/>
        <v>0</v>
      </c>
      <c r="AM23" s="1053"/>
      <c r="AN23" s="1099">
        <f t="shared" si="2"/>
        <v>0</v>
      </c>
      <c r="AO23" s="1043"/>
    </row>
    <row r="24" spans="1:41" s="522" customFormat="1" ht="17.5" customHeight="1" x14ac:dyDescent="0.25">
      <c r="A24" s="1038"/>
      <c r="B24" s="575"/>
      <c r="C24" s="575"/>
      <c r="D24" s="575"/>
      <c r="E24" s="575"/>
      <c r="F24" s="598"/>
      <c r="G24" s="595"/>
      <c r="H24" s="595"/>
      <c r="I24" s="1042"/>
      <c r="J24" s="596">
        <v>0</v>
      </c>
      <c r="K24" s="596"/>
      <c r="L24" s="1127">
        <f t="shared" si="3"/>
        <v>0</v>
      </c>
      <c r="M24" s="1048"/>
      <c r="N24" s="605">
        <f t="shared" si="4"/>
        <v>0</v>
      </c>
      <c r="O24" s="687">
        <v>0</v>
      </c>
      <c r="P24" s="602">
        <f t="shared" si="5"/>
        <v>0</v>
      </c>
      <c r="Q24" s="1047"/>
      <c r="R24" s="687">
        <v>0</v>
      </c>
      <c r="S24" s="598">
        <f t="shared" si="6"/>
        <v>0</v>
      </c>
      <c r="T24" s="599"/>
      <c r="U24" s="1126">
        <f t="shared" si="7"/>
        <v>0</v>
      </c>
      <c r="V24" s="1047"/>
      <c r="W24" s="688">
        <v>0</v>
      </c>
      <c r="X24" s="599"/>
      <c r="Y24" s="599"/>
      <c r="Z24" s="600">
        <f t="shared" si="8"/>
        <v>0</v>
      </c>
      <c r="AA24" s="689">
        <v>0</v>
      </c>
      <c r="AB24" s="1123">
        <f t="shared" si="9"/>
        <v>0</v>
      </c>
      <c r="AC24" s="1048"/>
      <c r="AD24" s="689">
        <v>0</v>
      </c>
      <c r="AE24" s="1124">
        <f t="shared" si="10"/>
        <v>0</v>
      </c>
      <c r="AF24" s="1054"/>
      <c r="AG24" s="689">
        <v>0</v>
      </c>
      <c r="AH24" s="1061">
        <f t="shared" si="11"/>
        <v>0</v>
      </c>
      <c r="AI24" s="601">
        <f t="shared" si="0"/>
        <v>0</v>
      </c>
      <c r="AJ24" s="597">
        <f t="shared" si="12"/>
        <v>0</v>
      </c>
      <c r="AK24" s="601">
        <f t="shared" si="1"/>
        <v>0</v>
      </c>
      <c r="AL24" s="1125">
        <f t="shared" si="13"/>
        <v>0</v>
      </c>
      <c r="AM24" s="1053"/>
      <c r="AN24" s="1099">
        <f t="shared" si="2"/>
        <v>0</v>
      </c>
      <c r="AO24" s="1043"/>
    </row>
    <row r="25" spans="1:41" s="592" customFormat="1" ht="29.5" customHeight="1" x14ac:dyDescent="0.25">
      <c r="A25" s="1038"/>
      <c r="B25" s="1668" t="s">
        <v>620</v>
      </c>
      <c r="C25" s="1668"/>
      <c r="D25" s="1668"/>
      <c r="E25" s="1668"/>
      <c r="F25" s="1668"/>
      <c r="G25" s="1668"/>
      <c r="H25" s="1668"/>
      <c r="I25" s="1189"/>
      <c r="J25" s="1042"/>
      <c r="K25" s="1042"/>
      <c r="L25" s="1114">
        <f>SUM(L17:L24)</f>
        <v>0</v>
      </c>
      <c r="M25" s="1190"/>
      <c r="O25" s="1189"/>
      <c r="P25" s="1113">
        <f>SUM(P17:P24)</f>
        <v>0</v>
      </c>
      <c r="Q25" s="1190"/>
      <c r="R25" s="1672"/>
      <c r="S25" s="1672"/>
      <c r="T25" s="1672"/>
      <c r="U25" s="1115">
        <f>SUM(U17:U24)</f>
        <v>0</v>
      </c>
      <c r="V25" s="1192"/>
      <c r="W25" s="1674"/>
      <c r="X25" s="1674"/>
      <c r="Y25" s="1674"/>
      <c r="Z25" s="1060">
        <f>SUM(Z17:Z24)</f>
        <v>0</v>
      </c>
      <c r="AA25" s="606">
        <f>SUM(AA17:AA24)</f>
        <v>0</v>
      </c>
      <c r="AB25" s="1116">
        <f>SUM(AB17:AB24)</f>
        <v>0</v>
      </c>
      <c r="AC25" s="1192"/>
      <c r="AD25" s="1189"/>
      <c r="AE25" s="1118">
        <f>SUM(AE17:AE24)</f>
        <v>0</v>
      </c>
      <c r="AF25" s="1190"/>
      <c r="AG25" s="1674"/>
      <c r="AH25" s="1674"/>
      <c r="AI25" s="1060">
        <f>SUM(AI17:AI24)</f>
        <v>0</v>
      </c>
      <c r="AJ25" s="604"/>
      <c r="AK25" s="593">
        <f>SUM(AK17:AK24)</f>
        <v>0</v>
      </c>
      <c r="AL25" s="1120">
        <f>SUM(AL17:AL24)</f>
        <v>0</v>
      </c>
      <c r="AM25" s="1047"/>
      <c r="AN25" s="1111">
        <f>SUM(AN17:AN24)</f>
        <v>0</v>
      </c>
      <c r="AO25" s="1043"/>
    </row>
    <row r="26" spans="1:41" s="522" customFormat="1" ht="14.5" customHeight="1" x14ac:dyDescent="0.25">
      <c r="A26" s="1038"/>
      <c r="B26" s="1672"/>
      <c r="C26" s="1672"/>
      <c r="D26" s="1672"/>
      <c r="E26" s="1672"/>
      <c r="F26" s="1672"/>
      <c r="G26" s="1672"/>
      <c r="H26" s="1672"/>
      <c r="I26" s="1672"/>
      <c r="J26" s="1672"/>
      <c r="K26" s="1672"/>
      <c r="L26" s="1672"/>
      <c r="M26" s="1672"/>
      <c r="N26" s="1672"/>
      <c r="O26" s="1672"/>
      <c r="P26" s="1672"/>
      <c r="Q26" s="1672"/>
      <c r="R26" s="1672"/>
      <c r="S26" s="1672"/>
      <c r="T26" s="1672"/>
      <c r="U26" s="1672"/>
      <c r="V26" s="1672"/>
      <c r="W26" s="1672"/>
      <c r="X26" s="1672"/>
      <c r="Y26" s="1672"/>
      <c r="Z26" s="1672"/>
      <c r="AA26" s="1672"/>
      <c r="AB26" s="1672"/>
      <c r="AC26" s="1672"/>
      <c r="AD26" s="1672"/>
      <c r="AE26" s="1672"/>
      <c r="AF26" s="1672"/>
      <c r="AG26" s="1672"/>
      <c r="AH26" s="1672"/>
      <c r="AI26" s="1672"/>
      <c r="AJ26" s="1672"/>
      <c r="AK26" s="1672"/>
      <c r="AL26" s="1672"/>
      <c r="AM26" s="1672"/>
      <c r="AN26" s="1672"/>
      <c r="AO26" s="1673"/>
    </row>
    <row r="27" spans="1:41" s="522" customFormat="1" ht="111.65" customHeight="1" x14ac:dyDescent="0.25">
      <c r="A27" s="1038"/>
      <c r="B27" s="695" t="s">
        <v>621</v>
      </c>
      <c r="C27" s="696" t="s">
        <v>595</v>
      </c>
      <c r="D27" s="696" t="s">
        <v>596</v>
      </c>
      <c r="E27" s="696" t="s">
        <v>597</v>
      </c>
      <c r="F27" s="608" t="s">
        <v>598</v>
      </c>
      <c r="G27" s="608" t="s">
        <v>599</v>
      </c>
      <c r="H27" s="608" t="s">
        <v>600</v>
      </c>
      <c r="I27" s="1042"/>
      <c r="J27" s="1100" t="s">
        <v>601</v>
      </c>
      <c r="K27" s="1100"/>
      <c r="L27" s="1105" t="s">
        <v>603</v>
      </c>
      <c r="M27" s="1052"/>
      <c r="N27" s="591" t="s">
        <v>604</v>
      </c>
      <c r="O27" s="1101" t="s">
        <v>605</v>
      </c>
      <c r="P27" s="1104" t="s">
        <v>603</v>
      </c>
      <c r="Q27" s="1052"/>
      <c r="R27" s="1102" t="s">
        <v>606</v>
      </c>
      <c r="S27" s="608" t="s">
        <v>607</v>
      </c>
      <c r="T27" s="1102" t="s">
        <v>608</v>
      </c>
      <c r="U27" s="1103" t="s">
        <v>603</v>
      </c>
      <c r="V27" s="1052"/>
      <c r="W27" s="1106" t="s">
        <v>609</v>
      </c>
      <c r="X27" s="1107" t="s">
        <v>622</v>
      </c>
      <c r="Y27" s="1107" t="s">
        <v>611</v>
      </c>
      <c r="Z27" s="1108" t="s">
        <v>612</v>
      </c>
      <c r="AA27" s="1108" t="s">
        <v>613</v>
      </c>
      <c r="AB27" s="1109" t="s">
        <v>603</v>
      </c>
      <c r="AC27" s="1052"/>
      <c r="AD27" s="1110" t="s">
        <v>614</v>
      </c>
      <c r="AE27" s="693" t="s">
        <v>603</v>
      </c>
      <c r="AF27" s="1052"/>
      <c r="AG27" s="591" t="s">
        <v>615</v>
      </c>
      <c r="AH27" s="608" t="s">
        <v>616</v>
      </c>
      <c r="AI27" s="608" t="s">
        <v>617</v>
      </c>
      <c r="AJ27" s="608" t="s">
        <v>618</v>
      </c>
      <c r="AK27" s="608" t="s">
        <v>619</v>
      </c>
      <c r="AL27" s="695" t="s">
        <v>603</v>
      </c>
      <c r="AM27" s="1052"/>
      <c r="AN27" s="1191" t="s">
        <v>623</v>
      </c>
      <c r="AO27" s="1043"/>
    </row>
    <row r="28" spans="1:41" s="522" customFormat="1" ht="17.5" customHeight="1" x14ac:dyDescent="0.25">
      <c r="A28" s="1038"/>
      <c r="B28" s="575"/>
      <c r="C28" s="575"/>
      <c r="D28" s="575"/>
      <c r="E28" s="575"/>
      <c r="F28" s="598"/>
      <c r="G28" s="595"/>
      <c r="H28" s="595"/>
      <c r="I28" s="1042"/>
      <c r="J28" s="596">
        <v>0</v>
      </c>
      <c r="K28" s="596"/>
      <c r="L28" s="1127">
        <f>J28*F28*H28</f>
        <v>0</v>
      </c>
      <c r="M28" s="1048"/>
      <c r="N28" s="597">
        <f t="shared" ref="N28:N35" si="14">IF((G28&gt;0),G28-1,0)</f>
        <v>0</v>
      </c>
      <c r="O28" s="687">
        <v>0</v>
      </c>
      <c r="P28" s="602">
        <f t="shared" ref="P28:P35" si="15">O28*F28*N28*H28</f>
        <v>0</v>
      </c>
      <c r="Q28" s="1048"/>
      <c r="R28" s="687">
        <v>0</v>
      </c>
      <c r="S28" s="598">
        <f t="shared" ref="S28:S35" si="16">G28</f>
        <v>0</v>
      </c>
      <c r="T28" s="599"/>
      <c r="U28" s="1126">
        <f t="shared" ref="U28:U35" si="17">T28*R28*S28*H28</f>
        <v>0</v>
      </c>
      <c r="V28" s="1047"/>
      <c r="W28" s="688">
        <v>0</v>
      </c>
      <c r="X28" s="599"/>
      <c r="Y28" s="599"/>
      <c r="Z28" s="600">
        <f t="shared" ref="Z28:Z35" si="18">X28*W28*Y28</f>
        <v>0</v>
      </c>
      <c r="AA28" s="689">
        <v>0</v>
      </c>
      <c r="AB28" s="1123">
        <f t="shared" ref="AB28:AB35" si="19">(Z28+AA28)*H28</f>
        <v>0</v>
      </c>
      <c r="AC28" s="1048"/>
      <c r="AD28" s="689">
        <v>0</v>
      </c>
      <c r="AE28" s="1124">
        <f t="shared" ref="AE28:AE35" si="20">AD28*H28</f>
        <v>0</v>
      </c>
      <c r="AF28" s="1054"/>
      <c r="AG28" s="689">
        <v>0</v>
      </c>
      <c r="AH28" s="605">
        <f t="shared" ref="AH28:AH35" si="21">IF(G28&lt;=2,G28,G28-AJ28)</f>
        <v>0</v>
      </c>
      <c r="AI28" s="601">
        <f t="shared" ref="AI28:AI35" si="22">(+AG28*F28*AH28)*0.75</f>
        <v>0</v>
      </c>
      <c r="AJ28" s="597">
        <f t="shared" ref="AJ28:AJ35" si="23">IF(G28&gt;2,G28-2,0)</f>
        <v>0</v>
      </c>
      <c r="AK28" s="601">
        <f t="shared" ref="AK28:AK35" si="24">+AG28*F28*AJ28</f>
        <v>0</v>
      </c>
      <c r="AL28" s="1125">
        <f t="shared" ref="AL28:AL35" si="25">(AI28+AK28)*H28</f>
        <v>0</v>
      </c>
      <c r="AM28" s="1053"/>
      <c r="AN28" s="1099">
        <f t="shared" ref="AN28:AN35" si="26">AL28+AD28+AB28+U28+P28+L28</f>
        <v>0</v>
      </c>
      <c r="AO28" s="1043"/>
    </row>
    <row r="29" spans="1:41" s="522" customFormat="1" ht="17.5" customHeight="1" x14ac:dyDescent="0.25">
      <c r="A29" s="1038"/>
      <c r="B29" s="575"/>
      <c r="C29" s="575"/>
      <c r="D29" s="575"/>
      <c r="E29" s="575"/>
      <c r="F29" s="598"/>
      <c r="G29" s="595"/>
      <c r="H29" s="595"/>
      <c r="I29" s="1042"/>
      <c r="J29" s="596">
        <v>0</v>
      </c>
      <c r="K29" s="596"/>
      <c r="L29" s="1127">
        <f t="shared" ref="L29:L34" si="27">J29*F29*H29</f>
        <v>0</v>
      </c>
      <c r="M29" s="1048"/>
      <c r="N29" s="597">
        <f t="shared" si="14"/>
        <v>0</v>
      </c>
      <c r="O29" s="687">
        <v>0</v>
      </c>
      <c r="P29" s="602">
        <f t="shared" si="15"/>
        <v>0</v>
      </c>
      <c r="Q29" s="1048"/>
      <c r="R29" s="687">
        <v>0</v>
      </c>
      <c r="S29" s="598">
        <f t="shared" si="16"/>
        <v>0</v>
      </c>
      <c r="T29" s="599"/>
      <c r="U29" s="1126">
        <f t="shared" si="17"/>
        <v>0</v>
      </c>
      <c r="V29" s="1047"/>
      <c r="W29" s="688">
        <v>0</v>
      </c>
      <c r="X29" s="599"/>
      <c r="Y29" s="599"/>
      <c r="Z29" s="600">
        <f t="shared" si="18"/>
        <v>0</v>
      </c>
      <c r="AA29" s="689">
        <v>0</v>
      </c>
      <c r="AB29" s="1123">
        <f t="shared" si="19"/>
        <v>0</v>
      </c>
      <c r="AC29" s="1048"/>
      <c r="AD29" s="689">
        <v>0</v>
      </c>
      <c r="AE29" s="1124">
        <f t="shared" si="20"/>
        <v>0</v>
      </c>
      <c r="AF29" s="1054"/>
      <c r="AG29" s="689">
        <v>0</v>
      </c>
      <c r="AH29" s="605">
        <f t="shared" si="21"/>
        <v>0</v>
      </c>
      <c r="AI29" s="601">
        <f t="shared" si="22"/>
        <v>0</v>
      </c>
      <c r="AJ29" s="597">
        <f t="shared" si="23"/>
        <v>0</v>
      </c>
      <c r="AK29" s="601">
        <f t="shared" si="24"/>
        <v>0</v>
      </c>
      <c r="AL29" s="1125">
        <f t="shared" si="25"/>
        <v>0</v>
      </c>
      <c r="AM29" s="1053"/>
      <c r="AN29" s="1099">
        <f t="shared" si="26"/>
        <v>0</v>
      </c>
      <c r="AO29" s="1043"/>
    </row>
    <row r="30" spans="1:41" s="522" customFormat="1" ht="17.5" customHeight="1" x14ac:dyDescent="0.25">
      <c r="A30" s="1038"/>
      <c r="B30" s="575"/>
      <c r="C30" s="575"/>
      <c r="D30" s="575"/>
      <c r="E30" s="575"/>
      <c r="F30" s="598"/>
      <c r="G30" s="595"/>
      <c r="H30" s="595"/>
      <c r="I30" s="1042"/>
      <c r="J30" s="596">
        <v>0</v>
      </c>
      <c r="K30" s="596"/>
      <c r="L30" s="1127">
        <f t="shared" si="27"/>
        <v>0</v>
      </c>
      <c r="M30" s="1048"/>
      <c r="N30" s="597">
        <f t="shared" si="14"/>
        <v>0</v>
      </c>
      <c r="O30" s="687">
        <v>0</v>
      </c>
      <c r="P30" s="602">
        <f t="shared" si="15"/>
        <v>0</v>
      </c>
      <c r="Q30" s="1048"/>
      <c r="R30" s="687">
        <v>0</v>
      </c>
      <c r="S30" s="598">
        <f t="shared" si="16"/>
        <v>0</v>
      </c>
      <c r="T30" s="599"/>
      <c r="U30" s="1126">
        <f t="shared" si="17"/>
        <v>0</v>
      </c>
      <c r="V30" s="1047"/>
      <c r="W30" s="688">
        <v>0</v>
      </c>
      <c r="X30" s="599"/>
      <c r="Y30" s="599"/>
      <c r="Z30" s="600">
        <f t="shared" si="18"/>
        <v>0</v>
      </c>
      <c r="AA30" s="689">
        <v>0</v>
      </c>
      <c r="AB30" s="1123">
        <f t="shared" si="19"/>
        <v>0</v>
      </c>
      <c r="AC30" s="1048"/>
      <c r="AD30" s="689">
        <v>0</v>
      </c>
      <c r="AE30" s="1124">
        <f t="shared" si="20"/>
        <v>0</v>
      </c>
      <c r="AF30" s="1054"/>
      <c r="AG30" s="689">
        <v>0</v>
      </c>
      <c r="AH30" s="605">
        <f t="shared" si="21"/>
        <v>0</v>
      </c>
      <c r="AI30" s="601">
        <f t="shared" si="22"/>
        <v>0</v>
      </c>
      <c r="AJ30" s="597">
        <f t="shared" si="23"/>
        <v>0</v>
      </c>
      <c r="AK30" s="601">
        <f t="shared" si="24"/>
        <v>0</v>
      </c>
      <c r="AL30" s="1125">
        <f t="shared" si="25"/>
        <v>0</v>
      </c>
      <c r="AM30" s="1053"/>
      <c r="AN30" s="1099">
        <f t="shared" si="26"/>
        <v>0</v>
      </c>
      <c r="AO30" s="1043"/>
    </row>
    <row r="31" spans="1:41" s="522" customFormat="1" ht="17.5" customHeight="1" x14ac:dyDescent="0.25">
      <c r="A31" s="1038"/>
      <c r="B31" s="575"/>
      <c r="C31" s="575"/>
      <c r="D31" s="575"/>
      <c r="E31" s="575"/>
      <c r="F31" s="598"/>
      <c r="G31" s="595"/>
      <c r="H31" s="595"/>
      <c r="I31" s="1042"/>
      <c r="J31" s="596">
        <v>0</v>
      </c>
      <c r="K31" s="596"/>
      <c r="L31" s="1127">
        <f t="shared" si="27"/>
        <v>0</v>
      </c>
      <c r="M31" s="1048"/>
      <c r="N31" s="597">
        <f t="shared" si="14"/>
        <v>0</v>
      </c>
      <c r="O31" s="687">
        <v>0</v>
      </c>
      <c r="P31" s="602">
        <f t="shared" si="15"/>
        <v>0</v>
      </c>
      <c r="Q31" s="1048"/>
      <c r="R31" s="687">
        <v>0</v>
      </c>
      <c r="S31" s="598">
        <f t="shared" si="16"/>
        <v>0</v>
      </c>
      <c r="T31" s="599"/>
      <c r="U31" s="1126">
        <f t="shared" si="17"/>
        <v>0</v>
      </c>
      <c r="V31" s="1047"/>
      <c r="W31" s="688">
        <v>0</v>
      </c>
      <c r="X31" s="599"/>
      <c r="Y31" s="599"/>
      <c r="Z31" s="600">
        <f t="shared" si="18"/>
        <v>0</v>
      </c>
      <c r="AA31" s="689">
        <v>0</v>
      </c>
      <c r="AB31" s="1123">
        <f t="shared" si="19"/>
        <v>0</v>
      </c>
      <c r="AC31" s="1048"/>
      <c r="AD31" s="689">
        <v>0</v>
      </c>
      <c r="AE31" s="1124">
        <f t="shared" si="20"/>
        <v>0</v>
      </c>
      <c r="AF31" s="1054"/>
      <c r="AG31" s="689">
        <v>0</v>
      </c>
      <c r="AH31" s="605">
        <f t="shared" si="21"/>
        <v>0</v>
      </c>
      <c r="AI31" s="601">
        <f t="shared" si="22"/>
        <v>0</v>
      </c>
      <c r="AJ31" s="597">
        <f t="shared" si="23"/>
        <v>0</v>
      </c>
      <c r="AK31" s="601">
        <f t="shared" si="24"/>
        <v>0</v>
      </c>
      <c r="AL31" s="1125">
        <f t="shared" si="25"/>
        <v>0</v>
      </c>
      <c r="AM31" s="1053"/>
      <c r="AN31" s="1099">
        <f t="shared" si="26"/>
        <v>0</v>
      </c>
      <c r="AO31" s="1043"/>
    </row>
    <row r="32" spans="1:41" s="522" customFormat="1" ht="17.5" customHeight="1" x14ac:dyDescent="0.25">
      <c r="A32" s="1038"/>
      <c r="B32" s="575"/>
      <c r="C32" s="575"/>
      <c r="D32" s="575"/>
      <c r="E32" s="575"/>
      <c r="F32" s="598"/>
      <c r="G32" s="595"/>
      <c r="H32" s="595"/>
      <c r="I32" s="1042"/>
      <c r="J32" s="596">
        <v>0</v>
      </c>
      <c r="K32" s="596"/>
      <c r="L32" s="1127">
        <f t="shared" si="27"/>
        <v>0</v>
      </c>
      <c r="M32" s="1048"/>
      <c r="N32" s="597">
        <f t="shared" si="14"/>
        <v>0</v>
      </c>
      <c r="O32" s="687">
        <v>0</v>
      </c>
      <c r="P32" s="602">
        <f t="shared" si="15"/>
        <v>0</v>
      </c>
      <c r="Q32" s="1048"/>
      <c r="R32" s="687">
        <v>0</v>
      </c>
      <c r="S32" s="598">
        <f t="shared" si="16"/>
        <v>0</v>
      </c>
      <c r="T32" s="599"/>
      <c r="U32" s="1126">
        <f t="shared" si="17"/>
        <v>0</v>
      </c>
      <c r="V32" s="1047"/>
      <c r="W32" s="688">
        <v>0</v>
      </c>
      <c r="X32" s="599"/>
      <c r="Y32" s="599"/>
      <c r="Z32" s="600">
        <f t="shared" si="18"/>
        <v>0</v>
      </c>
      <c r="AA32" s="689">
        <v>0</v>
      </c>
      <c r="AB32" s="1123">
        <f t="shared" si="19"/>
        <v>0</v>
      </c>
      <c r="AC32" s="1048"/>
      <c r="AD32" s="689">
        <v>0</v>
      </c>
      <c r="AE32" s="1124">
        <f t="shared" si="20"/>
        <v>0</v>
      </c>
      <c r="AF32" s="1054"/>
      <c r="AG32" s="689">
        <v>0</v>
      </c>
      <c r="AH32" s="605">
        <f t="shared" si="21"/>
        <v>0</v>
      </c>
      <c r="AI32" s="601">
        <f t="shared" si="22"/>
        <v>0</v>
      </c>
      <c r="AJ32" s="597">
        <f t="shared" si="23"/>
        <v>0</v>
      </c>
      <c r="AK32" s="601">
        <f t="shared" si="24"/>
        <v>0</v>
      </c>
      <c r="AL32" s="1125">
        <f t="shared" si="25"/>
        <v>0</v>
      </c>
      <c r="AM32" s="1053"/>
      <c r="AN32" s="1099">
        <f t="shared" si="26"/>
        <v>0</v>
      </c>
      <c r="AO32" s="1043"/>
    </row>
    <row r="33" spans="1:41" s="522" customFormat="1" ht="17.5" customHeight="1" x14ac:dyDescent="0.25">
      <c r="A33" s="1038"/>
      <c r="B33" s="575"/>
      <c r="C33" s="575"/>
      <c r="D33" s="575"/>
      <c r="E33" s="575"/>
      <c r="F33" s="598"/>
      <c r="G33" s="595"/>
      <c r="H33" s="595"/>
      <c r="I33" s="1042"/>
      <c r="J33" s="596">
        <v>0</v>
      </c>
      <c r="K33" s="596"/>
      <c r="L33" s="1127">
        <f t="shared" si="27"/>
        <v>0</v>
      </c>
      <c r="M33" s="1048"/>
      <c r="N33" s="597">
        <f t="shared" si="14"/>
        <v>0</v>
      </c>
      <c r="O33" s="687">
        <v>0</v>
      </c>
      <c r="P33" s="602">
        <f t="shared" si="15"/>
        <v>0</v>
      </c>
      <c r="Q33" s="1048"/>
      <c r="R33" s="687">
        <v>0</v>
      </c>
      <c r="S33" s="598">
        <f t="shared" si="16"/>
        <v>0</v>
      </c>
      <c r="T33" s="599"/>
      <c r="U33" s="1126">
        <f t="shared" si="17"/>
        <v>0</v>
      </c>
      <c r="V33" s="1047"/>
      <c r="W33" s="688">
        <v>0</v>
      </c>
      <c r="X33" s="599"/>
      <c r="Y33" s="599"/>
      <c r="Z33" s="600">
        <f t="shared" si="18"/>
        <v>0</v>
      </c>
      <c r="AA33" s="689">
        <v>0</v>
      </c>
      <c r="AB33" s="1123">
        <f t="shared" si="19"/>
        <v>0</v>
      </c>
      <c r="AC33" s="1048"/>
      <c r="AD33" s="689">
        <v>0</v>
      </c>
      <c r="AE33" s="1124">
        <f t="shared" si="20"/>
        <v>0</v>
      </c>
      <c r="AF33" s="1054"/>
      <c r="AG33" s="689">
        <v>0</v>
      </c>
      <c r="AH33" s="605">
        <f t="shared" si="21"/>
        <v>0</v>
      </c>
      <c r="AI33" s="601">
        <f t="shared" si="22"/>
        <v>0</v>
      </c>
      <c r="AJ33" s="597">
        <f t="shared" si="23"/>
        <v>0</v>
      </c>
      <c r="AK33" s="601">
        <f t="shared" si="24"/>
        <v>0</v>
      </c>
      <c r="AL33" s="1125">
        <f t="shared" si="25"/>
        <v>0</v>
      </c>
      <c r="AM33" s="1053"/>
      <c r="AN33" s="1099">
        <f t="shared" si="26"/>
        <v>0</v>
      </c>
      <c r="AO33" s="1043"/>
    </row>
    <row r="34" spans="1:41" s="522" customFormat="1" ht="17.5" customHeight="1" x14ac:dyDescent="0.25">
      <c r="A34" s="1038"/>
      <c r="B34" s="575"/>
      <c r="C34" s="575"/>
      <c r="D34" s="575"/>
      <c r="E34" s="575"/>
      <c r="F34" s="598"/>
      <c r="G34" s="595"/>
      <c r="H34" s="595"/>
      <c r="I34" s="1042"/>
      <c r="J34" s="596">
        <v>0</v>
      </c>
      <c r="K34" s="596"/>
      <c r="L34" s="1127">
        <f t="shared" si="27"/>
        <v>0</v>
      </c>
      <c r="M34" s="1048"/>
      <c r="N34" s="597">
        <f t="shared" si="14"/>
        <v>0</v>
      </c>
      <c r="O34" s="687">
        <v>0</v>
      </c>
      <c r="P34" s="602">
        <f t="shared" si="15"/>
        <v>0</v>
      </c>
      <c r="Q34" s="1048"/>
      <c r="R34" s="687">
        <v>0</v>
      </c>
      <c r="S34" s="598">
        <f t="shared" si="16"/>
        <v>0</v>
      </c>
      <c r="T34" s="599"/>
      <c r="U34" s="1126">
        <f t="shared" si="17"/>
        <v>0</v>
      </c>
      <c r="V34" s="1047"/>
      <c r="W34" s="688">
        <v>0</v>
      </c>
      <c r="X34" s="599"/>
      <c r="Y34" s="599"/>
      <c r="Z34" s="600">
        <f t="shared" si="18"/>
        <v>0</v>
      </c>
      <c r="AA34" s="689">
        <v>0</v>
      </c>
      <c r="AB34" s="1123">
        <f t="shared" si="19"/>
        <v>0</v>
      </c>
      <c r="AC34" s="1048"/>
      <c r="AD34" s="689">
        <v>0</v>
      </c>
      <c r="AE34" s="1124">
        <f t="shared" si="20"/>
        <v>0</v>
      </c>
      <c r="AF34" s="1054"/>
      <c r="AG34" s="689">
        <v>0</v>
      </c>
      <c r="AH34" s="605">
        <f t="shared" si="21"/>
        <v>0</v>
      </c>
      <c r="AI34" s="601">
        <f t="shared" si="22"/>
        <v>0</v>
      </c>
      <c r="AJ34" s="597">
        <f t="shared" si="23"/>
        <v>0</v>
      </c>
      <c r="AK34" s="601">
        <f t="shared" si="24"/>
        <v>0</v>
      </c>
      <c r="AL34" s="1125">
        <f t="shared" si="25"/>
        <v>0</v>
      </c>
      <c r="AM34" s="1053"/>
      <c r="AN34" s="1099">
        <f t="shared" si="26"/>
        <v>0</v>
      </c>
      <c r="AO34" s="1043"/>
    </row>
    <row r="35" spans="1:41" s="522" customFormat="1" ht="17.5" customHeight="1" x14ac:dyDescent="0.25">
      <c r="A35" s="1038"/>
      <c r="B35" s="575"/>
      <c r="C35" s="575"/>
      <c r="D35" s="575"/>
      <c r="E35" s="575"/>
      <c r="F35" s="598"/>
      <c r="G35" s="595"/>
      <c r="H35" s="595"/>
      <c r="I35" s="1042"/>
      <c r="J35" s="596">
        <v>0</v>
      </c>
      <c r="K35" s="596"/>
      <c r="L35" s="1127">
        <f>J35*F35</f>
        <v>0</v>
      </c>
      <c r="M35" s="1048"/>
      <c r="N35" s="607">
        <f t="shared" si="14"/>
        <v>0</v>
      </c>
      <c r="O35" s="687">
        <v>0</v>
      </c>
      <c r="P35" s="602">
        <f t="shared" si="15"/>
        <v>0</v>
      </c>
      <c r="Q35" s="1048"/>
      <c r="R35" s="687">
        <v>0</v>
      </c>
      <c r="S35" s="598">
        <f t="shared" si="16"/>
        <v>0</v>
      </c>
      <c r="T35" s="599"/>
      <c r="U35" s="1126">
        <f t="shared" si="17"/>
        <v>0</v>
      </c>
      <c r="V35" s="1047"/>
      <c r="W35" s="688">
        <v>0</v>
      </c>
      <c r="X35" s="599"/>
      <c r="Y35" s="599"/>
      <c r="Z35" s="600">
        <f t="shared" si="18"/>
        <v>0</v>
      </c>
      <c r="AA35" s="689">
        <v>0</v>
      </c>
      <c r="AB35" s="1123">
        <f t="shared" si="19"/>
        <v>0</v>
      </c>
      <c r="AC35" s="1048"/>
      <c r="AD35" s="689">
        <v>0</v>
      </c>
      <c r="AE35" s="1124">
        <f t="shared" si="20"/>
        <v>0</v>
      </c>
      <c r="AF35" s="1054"/>
      <c r="AG35" s="689">
        <v>0</v>
      </c>
      <c r="AH35" s="1061">
        <f t="shared" si="21"/>
        <v>0</v>
      </c>
      <c r="AI35" s="601">
        <f t="shared" si="22"/>
        <v>0</v>
      </c>
      <c r="AJ35" s="597">
        <f t="shared" si="23"/>
        <v>0</v>
      </c>
      <c r="AK35" s="601">
        <f t="shared" si="24"/>
        <v>0</v>
      </c>
      <c r="AL35" s="1125">
        <f t="shared" si="25"/>
        <v>0</v>
      </c>
      <c r="AM35" s="1053"/>
      <c r="AN35" s="1099">
        <f t="shared" si="26"/>
        <v>0</v>
      </c>
      <c r="AO35" s="1043"/>
    </row>
    <row r="36" spans="1:41" s="522" customFormat="1" ht="22" customHeight="1" x14ac:dyDescent="0.25">
      <c r="A36" s="1038"/>
      <c r="B36" s="1668" t="s">
        <v>624</v>
      </c>
      <c r="C36" s="1668"/>
      <c r="D36" s="1668"/>
      <c r="E36" s="1668"/>
      <c r="F36" s="1668"/>
      <c r="G36" s="1668"/>
      <c r="H36" s="1668"/>
      <c r="I36" s="1042"/>
      <c r="J36" s="1672"/>
      <c r="K36" s="1672"/>
      <c r="L36" s="1122">
        <f>SUM(L28:L35)</f>
        <v>0</v>
      </c>
      <c r="M36" s="1055"/>
      <c r="O36" s="1042"/>
      <c r="P36" s="1113">
        <f>SUM(P28:P35)</f>
        <v>0</v>
      </c>
      <c r="Q36" s="1055"/>
      <c r="R36" s="1672"/>
      <c r="S36" s="1672"/>
      <c r="T36" s="1672"/>
      <c r="U36" s="1115">
        <f>SUM(U28:U35)</f>
        <v>0</v>
      </c>
      <c r="V36" s="1055"/>
      <c r="W36" s="1681"/>
      <c r="X36" s="1681"/>
      <c r="Y36" s="1681"/>
      <c r="Z36" s="1062">
        <f>SUM(Z28:Z35)</f>
        <v>0</v>
      </c>
      <c r="AA36" s="1063">
        <f>SUM(AA28:AA35)</f>
        <v>0</v>
      </c>
      <c r="AB36" s="1117">
        <f>SUM(AB28:AB35)</f>
        <v>0</v>
      </c>
      <c r="AC36" s="1055"/>
      <c r="AD36" s="1042"/>
      <c r="AE36" s="1119">
        <f>SUM(AE28:AE35)</f>
        <v>0</v>
      </c>
      <c r="AF36" s="1055"/>
      <c r="AG36" s="1681"/>
      <c r="AH36" s="1681"/>
      <c r="AI36" s="1060">
        <f>SUM(AI28:AI35)</f>
        <v>0</v>
      </c>
      <c r="AJ36" s="610"/>
      <c r="AK36" s="593">
        <f>SUM(AK28:AK35)</f>
        <v>0</v>
      </c>
      <c r="AL36" s="1121">
        <f>SUM(AL28:AL35)</f>
        <v>0</v>
      </c>
      <c r="AM36" s="1192"/>
      <c r="AN36" s="1112">
        <f>SUM(AN28:AN35)</f>
        <v>0</v>
      </c>
      <c r="AO36" s="1043"/>
    </row>
    <row r="37" spans="1:41" s="522" customFormat="1" ht="22" customHeight="1" x14ac:dyDescent="0.25">
      <c r="A37" s="1038"/>
      <c r="B37" s="1042"/>
      <c r="C37" s="1042"/>
      <c r="D37" s="1042"/>
      <c r="E37" s="1042"/>
      <c r="F37" s="1042"/>
      <c r="G37" s="1042"/>
      <c r="H37" s="1042"/>
      <c r="I37" s="1042"/>
      <c r="J37" s="1042"/>
      <c r="K37" s="1042"/>
      <c r="L37" s="1042"/>
      <c r="M37" s="1042"/>
      <c r="N37" s="1042"/>
      <c r="O37" s="1042"/>
      <c r="P37" s="1042"/>
      <c r="Q37" s="1042"/>
      <c r="R37" s="1042"/>
      <c r="S37" s="1042"/>
      <c r="T37" s="1042"/>
      <c r="U37" s="1042"/>
      <c r="V37" s="1042"/>
      <c r="W37" s="1042"/>
      <c r="X37" s="1042"/>
      <c r="Y37" s="1042"/>
      <c r="Z37" s="1042"/>
      <c r="AA37" s="1042"/>
      <c r="AB37" s="1042"/>
      <c r="AC37" s="1042"/>
      <c r="AD37" s="1042"/>
      <c r="AE37" s="1042"/>
      <c r="AF37" s="1042"/>
      <c r="AG37" s="1042"/>
      <c r="AH37" s="1042"/>
      <c r="AI37" s="1042"/>
      <c r="AJ37" s="1042"/>
      <c r="AK37" s="1042"/>
      <c r="AL37" s="1042"/>
      <c r="AM37" s="1042"/>
      <c r="AN37" s="1042"/>
      <c r="AO37" s="1043"/>
    </row>
    <row r="38" spans="1:41" ht="29.15" customHeight="1" x14ac:dyDescent="0.25">
      <c r="A38" s="956"/>
      <c r="B38" s="1669" t="s">
        <v>625</v>
      </c>
      <c r="C38" s="1669"/>
      <c r="D38" s="1669"/>
      <c r="E38" s="1669"/>
      <c r="F38" s="1669"/>
      <c r="G38" s="1669"/>
      <c r="H38" s="1669"/>
      <c r="I38" s="957"/>
      <c r="J38" s="1670">
        <f>L36+L25</f>
        <v>0</v>
      </c>
      <c r="K38" s="1670"/>
      <c r="L38" s="1671"/>
      <c r="M38" s="957"/>
      <c r="O38" s="1670">
        <f>P36+P25</f>
        <v>0</v>
      </c>
      <c r="P38" s="1671"/>
      <c r="Q38" s="957"/>
      <c r="R38" s="1670">
        <f>U36+U25</f>
        <v>0</v>
      </c>
      <c r="S38" s="1671"/>
      <c r="T38" s="1671"/>
      <c r="U38" s="1671"/>
      <c r="V38" s="957"/>
      <c r="W38" s="1670">
        <f>AB36+AB25</f>
        <v>0</v>
      </c>
      <c r="X38" s="1671"/>
      <c r="Y38" s="1671"/>
      <c r="Z38" s="1671"/>
      <c r="AA38" s="1671"/>
      <c r="AB38" s="1671"/>
      <c r="AC38" s="957"/>
      <c r="AD38" s="1670">
        <f>AE36+AE25</f>
        <v>0</v>
      </c>
      <c r="AE38" s="1670"/>
      <c r="AF38" s="957"/>
      <c r="AG38" s="1670">
        <f>AL36+AL25</f>
        <v>0</v>
      </c>
      <c r="AH38" s="1671"/>
      <c r="AI38" s="1671"/>
      <c r="AJ38" s="1671"/>
      <c r="AK38" s="1671"/>
      <c r="AL38" s="1671"/>
      <c r="AM38" s="957"/>
      <c r="AN38" s="694" t="s">
        <v>626</v>
      </c>
      <c r="AO38" s="966"/>
    </row>
    <row r="39" spans="1:41" ht="22" customHeight="1" x14ac:dyDescent="0.25">
      <c r="A39" s="956"/>
      <c r="B39" s="957"/>
      <c r="C39" s="957"/>
      <c r="D39" s="957"/>
      <c r="E39" s="957"/>
      <c r="F39" s="957"/>
      <c r="G39" s="957"/>
      <c r="H39" s="957"/>
      <c r="I39" s="957"/>
      <c r="J39" s="957"/>
      <c r="K39" s="957"/>
      <c r="L39" s="957"/>
      <c r="M39" s="957"/>
      <c r="N39" s="538"/>
      <c r="O39" s="957"/>
      <c r="P39" s="957"/>
      <c r="Q39" s="957"/>
      <c r="R39" s="957"/>
      <c r="S39" s="957"/>
      <c r="T39" s="957"/>
      <c r="U39" s="957"/>
      <c r="V39" s="957"/>
      <c r="W39" s="957"/>
      <c r="X39" s="957"/>
      <c r="Y39" s="957"/>
      <c r="Z39" s="957"/>
      <c r="AA39" s="957"/>
      <c r="AB39" s="957"/>
      <c r="AC39" s="957"/>
      <c r="AD39" s="957"/>
      <c r="AE39" s="957"/>
      <c r="AF39" s="957"/>
      <c r="AG39" s="957"/>
      <c r="AH39" s="957"/>
      <c r="AI39" s="957"/>
      <c r="AJ39" s="957"/>
      <c r="AK39" s="957"/>
      <c r="AL39" s="957"/>
      <c r="AM39" s="957"/>
      <c r="AN39" s="1064">
        <f>AN25+AN36</f>
        <v>0</v>
      </c>
      <c r="AO39" s="966"/>
    </row>
    <row r="40" spans="1:41" ht="20.5" customHeight="1" x14ac:dyDescent="0.25">
      <c r="A40" s="956"/>
      <c r="B40" s="1194" t="s">
        <v>627</v>
      </c>
      <c r="C40" s="1188" t="s">
        <v>628</v>
      </c>
      <c r="D40" s="1667" t="s">
        <v>629</v>
      </c>
      <c r="E40" s="1667"/>
      <c r="F40" s="1667"/>
      <c r="G40" s="1667"/>
      <c r="H40" s="1667"/>
      <c r="I40" s="1049"/>
      <c r="J40" s="1049"/>
      <c r="K40" s="1049"/>
      <c r="L40" s="1049"/>
      <c r="M40" s="1049"/>
      <c r="N40" s="690"/>
      <c r="O40" s="1049"/>
      <c r="P40" s="1049"/>
      <c r="Q40" s="957"/>
      <c r="R40" s="957"/>
      <c r="S40" s="957"/>
      <c r="T40" s="957"/>
      <c r="U40" s="957"/>
      <c r="V40" s="957"/>
      <c r="W40" s="957"/>
      <c r="X40" s="957"/>
      <c r="Y40" s="957"/>
      <c r="Z40" s="957"/>
      <c r="AA40" s="957"/>
      <c r="AB40" s="957"/>
      <c r="AC40" s="957"/>
      <c r="AD40" s="957"/>
      <c r="AE40" s="957"/>
      <c r="AF40" s="957"/>
      <c r="AG40" s="957"/>
      <c r="AH40" s="957"/>
      <c r="AI40" s="957"/>
      <c r="AJ40" s="957"/>
      <c r="AK40" s="957"/>
      <c r="AL40" s="957"/>
      <c r="AM40" s="957"/>
      <c r="AN40" s="957"/>
      <c r="AO40" s="966"/>
    </row>
    <row r="41" spans="1:41" ht="20.5" customHeight="1" x14ac:dyDescent="0.25">
      <c r="A41" s="956"/>
      <c r="B41" s="691"/>
      <c r="C41" s="1187"/>
      <c r="D41" s="1663"/>
      <c r="E41" s="1664"/>
      <c r="F41" s="1664"/>
      <c r="G41" s="1664"/>
      <c r="H41" s="1665"/>
      <c r="I41" s="1049"/>
      <c r="J41" s="1049"/>
      <c r="K41" s="1049"/>
      <c r="L41" s="1049"/>
      <c r="M41" s="1049"/>
      <c r="N41" s="690"/>
      <c r="O41" s="1049"/>
      <c r="P41" s="1049"/>
      <c r="Q41" s="957"/>
      <c r="R41" s="957"/>
      <c r="S41" s="957"/>
      <c r="T41" s="957"/>
      <c r="U41" s="957"/>
      <c r="V41" s="957"/>
      <c r="W41" s="957"/>
      <c r="X41" s="957"/>
      <c r="Y41" s="957"/>
      <c r="Z41" s="957"/>
      <c r="AA41" s="957"/>
      <c r="AB41" s="957"/>
      <c r="AC41" s="957"/>
      <c r="AD41" s="957"/>
      <c r="AE41" s="957"/>
      <c r="AF41" s="957"/>
      <c r="AG41" s="957"/>
      <c r="AH41" s="957"/>
      <c r="AI41" s="957"/>
      <c r="AJ41" s="957"/>
      <c r="AK41" s="957"/>
      <c r="AL41" s="957"/>
      <c r="AM41" s="957"/>
      <c r="AN41" s="957"/>
      <c r="AO41" s="966"/>
    </row>
    <row r="42" spans="1:41" ht="20.5" customHeight="1" x14ac:dyDescent="0.25">
      <c r="A42" s="956"/>
      <c r="B42" s="691"/>
      <c r="C42" s="1187"/>
      <c r="D42" s="1663"/>
      <c r="E42" s="1664"/>
      <c r="F42" s="1664"/>
      <c r="G42" s="1664"/>
      <c r="H42" s="1665"/>
      <c r="I42" s="1049"/>
      <c r="J42" s="1049"/>
      <c r="K42" s="1049"/>
      <c r="L42" s="1049"/>
      <c r="M42" s="1049"/>
      <c r="N42" s="690"/>
      <c r="O42" s="1049"/>
      <c r="P42" s="1049"/>
      <c r="Q42" s="957"/>
      <c r="R42" s="957"/>
      <c r="S42" s="957"/>
      <c r="T42" s="957"/>
      <c r="U42" s="957"/>
      <c r="V42" s="957"/>
      <c r="W42" s="957"/>
      <c r="X42" s="957"/>
      <c r="Y42" s="957"/>
      <c r="Z42" s="957"/>
      <c r="AA42" s="957"/>
      <c r="AB42" s="957"/>
      <c r="AC42" s="957"/>
      <c r="AD42" s="957"/>
      <c r="AE42" s="957"/>
      <c r="AF42" s="957"/>
      <c r="AG42" s="957"/>
      <c r="AH42" s="957"/>
      <c r="AI42" s="957"/>
      <c r="AJ42" s="957"/>
      <c r="AK42" s="957"/>
      <c r="AL42" s="957"/>
      <c r="AM42" s="957"/>
      <c r="AN42" s="957"/>
      <c r="AO42" s="966"/>
    </row>
    <row r="43" spans="1:41" ht="20.5" customHeight="1" x14ac:dyDescent="0.25">
      <c r="A43" s="956"/>
      <c r="B43" s="691"/>
      <c r="C43" s="1187"/>
      <c r="D43" s="1663"/>
      <c r="E43" s="1664"/>
      <c r="F43" s="1664"/>
      <c r="G43" s="1664"/>
      <c r="H43" s="1665"/>
      <c r="I43" s="1049"/>
      <c r="J43" s="1049"/>
      <c r="K43" s="1049"/>
      <c r="L43" s="1049"/>
      <c r="M43" s="1049"/>
      <c r="N43" s="690"/>
      <c r="O43" s="1049"/>
      <c r="P43" s="1049"/>
      <c r="Q43" s="957"/>
      <c r="R43" s="957"/>
      <c r="S43" s="957"/>
      <c r="T43" s="957"/>
      <c r="U43" s="957"/>
      <c r="V43" s="957"/>
      <c r="W43" s="957"/>
      <c r="X43" s="957"/>
      <c r="Y43" s="957"/>
      <c r="Z43" s="957"/>
      <c r="AA43" s="957"/>
      <c r="AB43" s="957"/>
      <c r="AC43" s="957"/>
      <c r="AD43" s="957"/>
      <c r="AE43" s="957"/>
      <c r="AF43" s="957"/>
      <c r="AG43" s="957"/>
      <c r="AH43" s="957"/>
      <c r="AI43" s="957"/>
      <c r="AJ43" s="957"/>
      <c r="AK43" s="957"/>
      <c r="AL43" s="957"/>
      <c r="AM43" s="957"/>
      <c r="AN43" s="957"/>
      <c r="AO43" s="966"/>
    </row>
    <row r="44" spans="1:41" ht="20.5" customHeight="1" x14ac:dyDescent="0.25">
      <c r="A44" s="956"/>
      <c r="B44" s="691"/>
      <c r="C44" s="1187"/>
      <c r="D44" s="1663"/>
      <c r="E44" s="1664"/>
      <c r="F44" s="1664"/>
      <c r="G44" s="1664"/>
      <c r="H44" s="1665"/>
      <c r="I44" s="1049"/>
      <c r="J44" s="1049"/>
      <c r="K44" s="1049"/>
      <c r="L44" s="1049"/>
      <c r="M44" s="1049"/>
      <c r="N44" s="690"/>
      <c r="O44" s="1049"/>
      <c r="P44" s="1049"/>
      <c r="Q44" s="957"/>
      <c r="R44" s="957"/>
      <c r="S44" s="957"/>
      <c r="T44" s="957"/>
      <c r="U44" s="957"/>
      <c r="V44" s="957"/>
      <c r="W44" s="957"/>
      <c r="X44" s="957"/>
      <c r="Y44" s="957"/>
      <c r="Z44" s="957"/>
      <c r="AA44" s="957"/>
      <c r="AB44" s="957"/>
      <c r="AC44" s="957"/>
      <c r="AD44" s="957"/>
      <c r="AE44" s="957"/>
      <c r="AF44" s="957"/>
      <c r="AG44" s="957"/>
      <c r="AH44" s="957"/>
      <c r="AI44" s="957"/>
      <c r="AJ44" s="957"/>
      <c r="AK44" s="957"/>
      <c r="AL44" s="957"/>
      <c r="AM44" s="957"/>
      <c r="AN44" s="957"/>
      <c r="AO44" s="966"/>
    </row>
    <row r="45" spans="1:41" ht="20.5" customHeight="1" thickBot="1" x14ac:dyDescent="0.3">
      <c r="A45" s="967"/>
      <c r="B45" s="1051"/>
      <c r="C45" s="1050"/>
      <c r="D45" s="1050"/>
      <c r="E45" s="1050"/>
      <c r="F45" s="1050"/>
      <c r="G45" s="1050"/>
      <c r="H45" s="1050"/>
      <c r="I45" s="1050"/>
      <c r="J45" s="1050"/>
      <c r="K45" s="1050"/>
      <c r="L45" s="1050"/>
      <c r="M45" s="1050"/>
      <c r="N45" s="1050"/>
      <c r="O45" s="1050"/>
      <c r="P45" s="1050"/>
      <c r="Q45" s="963"/>
      <c r="R45" s="963"/>
      <c r="S45" s="963"/>
      <c r="T45" s="963"/>
      <c r="U45" s="963"/>
      <c r="V45" s="963"/>
      <c r="W45" s="963"/>
      <c r="X45" s="963"/>
      <c r="Y45" s="963"/>
      <c r="Z45" s="963"/>
      <c r="AA45" s="963"/>
      <c r="AB45" s="963"/>
      <c r="AC45" s="963"/>
      <c r="AD45" s="963"/>
      <c r="AE45" s="963"/>
      <c r="AF45" s="963"/>
      <c r="AG45" s="963"/>
      <c r="AH45" s="963"/>
      <c r="AI45" s="963"/>
      <c r="AJ45" s="963"/>
      <c r="AK45" s="963"/>
      <c r="AL45" s="963"/>
      <c r="AM45" s="963"/>
      <c r="AN45" s="963"/>
      <c r="AO45" s="969"/>
    </row>
    <row r="47" spans="1:41" ht="22.5" customHeight="1" x14ac:dyDescent="0.25"/>
    <row r="48" spans="1:41" ht="29.15" customHeight="1" x14ac:dyDescent="0.25"/>
    <row r="49" spans="2:37" ht="20.149999999999999" customHeight="1" x14ac:dyDescent="0.25"/>
    <row r="55" spans="2:37" ht="12.65" customHeight="1" x14ac:dyDescent="0.25"/>
    <row r="60" spans="2:37" x14ac:dyDescent="0.25">
      <c r="B60" s="613"/>
      <c r="C60" s="613"/>
      <c r="D60" s="613"/>
      <c r="E60" s="613"/>
      <c r="F60" s="613"/>
      <c r="G60" s="613"/>
      <c r="H60" s="613"/>
      <c r="J60" s="613"/>
      <c r="K60" s="613"/>
      <c r="L60" s="613"/>
      <c r="M60" s="613"/>
      <c r="N60" s="613"/>
      <c r="O60" s="613"/>
      <c r="P60" s="613"/>
      <c r="Q60" s="613"/>
      <c r="AG60" s="613"/>
      <c r="AH60" s="613"/>
      <c r="AI60" s="613"/>
      <c r="AJ60" s="613"/>
      <c r="AK60" s="613"/>
    </row>
  </sheetData>
  <mergeCells count="42">
    <mergeCell ref="W15:AB15"/>
    <mergeCell ref="AD15:AE15"/>
    <mergeCell ref="AG15:AL15"/>
    <mergeCell ref="B4:B11"/>
    <mergeCell ref="AD38:AE38"/>
    <mergeCell ref="W36:Y36"/>
    <mergeCell ref="AG36:AH36"/>
    <mergeCell ref="W38:AB38"/>
    <mergeCell ref="AG38:AL38"/>
    <mergeCell ref="R15:U15"/>
    <mergeCell ref="R36:T36"/>
    <mergeCell ref="R25:T25"/>
    <mergeCell ref="J36:K36"/>
    <mergeCell ref="E2:I2"/>
    <mergeCell ref="B25:H25"/>
    <mergeCell ref="C5:P5"/>
    <mergeCell ref="O38:P38"/>
    <mergeCell ref="C4:P4"/>
    <mergeCell ref="J15:L15"/>
    <mergeCell ref="O15:P15"/>
    <mergeCell ref="C6:P6"/>
    <mergeCell ref="C7:P7"/>
    <mergeCell ref="C8:P8"/>
    <mergeCell ref="C9:P9"/>
    <mergeCell ref="C10:P10"/>
    <mergeCell ref="C11:P11"/>
    <mergeCell ref="D44:H44"/>
    <mergeCell ref="C12:P12"/>
    <mergeCell ref="C13:P13"/>
    <mergeCell ref="D40:H40"/>
    <mergeCell ref="D41:H41"/>
    <mergeCell ref="D42:H42"/>
    <mergeCell ref="D43:H43"/>
    <mergeCell ref="B36:H36"/>
    <mergeCell ref="B38:H38"/>
    <mergeCell ref="J38:L38"/>
    <mergeCell ref="B26:AO26"/>
    <mergeCell ref="AG25:AH25"/>
    <mergeCell ref="W25:Y25"/>
    <mergeCell ref="B15:H15"/>
    <mergeCell ref="AN15:AN16"/>
    <mergeCell ref="R38:U38"/>
  </mergeCells>
  <pageMargins left="0.75" right="0.75" top="1" bottom="1" header="0.5" footer="0.5"/>
  <pageSetup scale="92" orientation="landscape" horizontalDpi="1200" verticalDpi="1200" r:id="rId1"/>
  <headerFooter alignWithMargins="0"/>
  <rowBreaks count="2" manualBreakCount="2">
    <brk id="14" max="40" man="1"/>
    <brk id="25" max="40" man="1"/>
  </rowBreaks>
  <colBreaks count="2" manualBreakCount="2">
    <brk id="9" max="44" man="1"/>
    <brk id="28" max="44" man="1"/>
  </col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M31"/>
  <sheetViews>
    <sheetView view="pageBreakPreview" zoomScaleNormal="100" zoomScaleSheetLayoutView="100" workbookViewId="0"/>
  </sheetViews>
  <sheetFormatPr defaultColWidth="8.453125" defaultRowHeight="13" x14ac:dyDescent="0.25"/>
  <cols>
    <col min="1" max="1" width="5" style="292" customWidth="1"/>
    <col min="2" max="2" width="16.1796875" style="292" customWidth="1"/>
    <col min="3" max="3" width="38.1796875" style="292" customWidth="1"/>
    <col min="4" max="4" width="13" style="292" customWidth="1"/>
    <col min="5" max="5" width="15" style="292" customWidth="1"/>
    <col min="6" max="7" width="15.453125" style="292" customWidth="1"/>
    <col min="8" max="8" width="26.1796875" style="292" customWidth="1"/>
    <col min="9" max="9" width="24.1796875" style="292" customWidth="1"/>
    <col min="10" max="10" width="20" style="292" customWidth="1"/>
    <col min="11" max="11" width="21.7265625" style="292" customWidth="1"/>
    <col min="12" max="12" width="4.26953125" style="292" customWidth="1"/>
    <col min="13" max="16384" width="8.453125" style="292"/>
  </cols>
  <sheetData>
    <row r="1" spans="1:12" ht="13.5" thickBot="1" x14ac:dyDescent="0.3">
      <c r="A1" s="581"/>
      <c r="B1" s="582"/>
      <c r="C1" s="582"/>
      <c r="D1" s="582"/>
      <c r="E1" s="582"/>
      <c r="F1" s="582"/>
      <c r="G1" s="582"/>
      <c r="H1" s="582"/>
      <c r="I1" s="582"/>
      <c r="J1" s="582"/>
      <c r="K1" s="582"/>
      <c r="L1" s="583"/>
    </row>
    <row r="2" spans="1:12" ht="34.5" customHeight="1" thickBot="1" x14ac:dyDescent="0.3">
      <c r="A2" s="584"/>
      <c r="B2" s="1692" t="s">
        <v>630</v>
      </c>
      <c r="C2" s="1693"/>
      <c r="D2" s="664"/>
      <c r="E2" s="1689" t="str">
        <f>General!D4</f>
        <v>Name</v>
      </c>
      <c r="F2" s="1690"/>
      <c r="G2" s="1690"/>
      <c r="H2" s="1691"/>
      <c r="I2" s="664"/>
      <c r="J2" s="664"/>
      <c r="K2" s="664"/>
      <c r="L2" s="585"/>
    </row>
    <row r="3" spans="1:12" x14ac:dyDescent="0.25">
      <c r="A3" s="584"/>
      <c r="B3" s="603"/>
      <c r="C3" s="603"/>
      <c r="D3" s="603"/>
      <c r="E3" s="603"/>
      <c r="F3" s="603"/>
      <c r="G3" s="603"/>
      <c r="H3" s="603"/>
      <c r="I3" s="603"/>
      <c r="J3" s="665"/>
      <c r="K3" s="665"/>
      <c r="L3" s="585"/>
    </row>
    <row r="4" spans="1:12" ht="52" x14ac:dyDescent="0.25">
      <c r="A4" s="584"/>
      <c r="B4" s="669" t="s">
        <v>631</v>
      </c>
      <c r="C4" s="670" t="s">
        <v>632</v>
      </c>
      <c r="D4" s="670" t="s">
        <v>633</v>
      </c>
      <c r="E4" s="670" t="s">
        <v>634</v>
      </c>
      <c r="F4" s="670" t="s">
        <v>635</v>
      </c>
      <c r="G4" s="669" t="s">
        <v>636</v>
      </c>
      <c r="H4" s="669" t="s">
        <v>637</v>
      </c>
      <c r="I4" s="671" t="s">
        <v>638</v>
      </c>
      <c r="J4" s="672" t="s">
        <v>639</v>
      </c>
      <c r="K4" s="672" t="s">
        <v>568</v>
      </c>
      <c r="L4" s="585"/>
    </row>
    <row r="5" spans="1:12" x14ac:dyDescent="0.25">
      <c r="A5" s="584"/>
      <c r="B5" s="649" t="s">
        <v>640</v>
      </c>
      <c r="C5" s="645"/>
      <c r="D5" s="646"/>
      <c r="E5" s="647"/>
      <c r="F5" s="673">
        <f>D5*E5</f>
        <v>0</v>
      </c>
      <c r="G5" s="648"/>
      <c r="H5" s="649"/>
      <c r="I5" s="649"/>
      <c r="J5" s="546"/>
      <c r="K5" s="546"/>
      <c r="L5" s="585"/>
    </row>
    <row r="6" spans="1:12" x14ac:dyDescent="0.25">
      <c r="A6" s="584"/>
      <c r="B6" s="649" t="s">
        <v>641</v>
      </c>
      <c r="C6" s="645"/>
      <c r="D6" s="646"/>
      <c r="E6" s="647"/>
      <c r="F6" s="673">
        <f t="shared" ref="F6:F16" si="0">D6*E6</f>
        <v>0</v>
      </c>
      <c r="G6" s="648"/>
      <c r="H6" s="649"/>
      <c r="I6" s="662"/>
      <c r="J6" s="546"/>
      <c r="K6" s="546"/>
      <c r="L6" s="585"/>
    </row>
    <row r="7" spans="1:12" x14ac:dyDescent="0.25">
      <c r="A7" s="584"/>
      <c r="B7" s="649" t="s">
        <v>642</v>
      </c>
      <c r="C7" s="645"/>
      <c r="D7" s="646"/>
      <c r="E7" s="647"/>
      <c r="F7" s="673">
        <f t="shared" si="0"/>
        <v>0</v>
      </c>
      <c r="G7" s="648"/>
      <c r="H7" s="649"/>
      <c r="I7" s="649"/>
      <c r="J7" s="546"/>
      <c r="K7" s="546"/>
      <c r="L7" s="585"/>
    </row>
    <row r="8" spans="1:12" x14ac:dyDescent="0.25">
      <c r="A8" s="584"/>
      <c r="B8" s="768" t="s">
        <v>643</v>
      </c>
      <c r="C8" s="645"/>
      <c r="D8" s="646"/>
      <c r="E8" s="647"/>
      <c r="F8" s="673">
        <f t="shared" si="0"/>
        <v>0</v>
      </c>
      <c r="G8" s="648"/>
      <c r="H8" s="649"/>
      <c r="I8" s="649"/>
      <c r="J8" s="546"/>
      <c r="K8" s="546"/>
      <c r="L8" s="585"/>
    </row>
    <row r="9" spans="1:12" x14ac:dyDescent="0.25">
      <c r="A9" s="584"/>
      <c r="B9" s="657"/>
      <c r="C9" s="658"/>
      <c r="D9" s="659"/>
      <c r="E9" s="668" t="s">
        <v>644</v>
      </c>
      <c r="F9" s="674">
        <f>SUM(F5:F8)</f>
        <v>0</v>
      </c>
      <c r="G9" s="661"/>
      <c r="H9" s="657"/>
      <c r="I9" s="657"/>
      <c r="J9" s="633"/>
      <c r="K9" s="633"/>
      <c r="L9" s="585"/>
    </row>
    <row r="10" spans="1:12" x14ac:dyDescent="0.25">
      <c r="A10" s="584"/>
      <c r="B10" s="657"/>
      <c r="C10" s="658"/>
      <c r="D10" s="659"/>
      <c r="E10" s="660"/>
      <c r="F10" s="661"/>
      <c r="G10" s="661"/>
      <c r="H10" s="657"/>
      <c r="I10" s="657"/>
      <c r="J10" s="633"/>
      <c r="K10" s="633"/>
      <c r="L10" s="585"/>
    </row>
    <row r="11" spans="1:12" ht="16" customHeight="1" x14ac:dyDescent="0.25">
      <c r="A11" s="584"/>
      <c r="B11" s="763" t="s">
        <v>645</v>
      </c>
      <c r="C11" s="658"/>
      <c r="D11" s="659"/>
      <c r="E11" s="660"/>
      <c r="F11" s="661"/>
      <c r="G11" s="661"/>
      <c r="H11" s="657"/>
      <c r="I11" s="657"/>
      <c r="J11" s="633"/>
      <c r="K11" s="633"/>
      <c r="L11" s="585"/>
    </row>
    <row r="12" spans="1:12" x14ac:dyDescent="0.25">
      <c r="A12" s="584"/>
      <c r="B12" s="1193"/>
      <c r="C12" s="645"/>
      <c r="D12" s="646"/>
      <c r="E12" s="647"/>
      <c r="F12" s="673">
        <f t="shared" si="0"/>
        <v>0</v>
      </c>
      <c r="G12" s="648"/>
      <c r="H12" s="649"/>
      <c r="I12" s="649"/>
      <c r="J12" s="546"/>
      <c r="K12" s="546"/>
      <c r="L12" s="585"/>
    </row>
    <row r="13" spans="1:12" x14ac:dyDescent="0.25">
      <c r="A13" s="584"/>
      <c r="B13" s="649"/>
      <c r="C13" s="645"/>
      <c r="D13" s="646"/>
      <c r="E13" s="647"/>
      <c r="F13" s="673">
        <f t="shared" si="0"/>
        <v>0</v>
      </c>
      <c r="G13" s="648"/>
      <c r="H13" s="649"/>
      <c r="I13" s="649"/>
      <c r="J13" s="546"/>
      <c r="K13" s="546"/>
      <c r="L13" s="585"/>
    </row>
    <row r="14" spans="1:12" x14ac:dyDescent="0.25">
      <c r="A14" s="584"/>
      <c r="B14" s="649"/>
      <c r="C14" s="645"/>
      <c r="D14" s="646"/>
      <c r="E14" s="647"/>
      <c r="F14" s="673">
        <f t="shared" si="0"/>
        <v>0</v>
      </c>
      <c r="G14" s="648"/>
      <c r="H14" s="649"/>
      <c r="I14" s="649"/>
      <c r="J14" s="546"/>
      <c r="K14" s="546"/>
      <c r="L14" s="585"/>
    </row>
    <row r="15" spans="1:12" x14ac:dyDescent="0.25">
      <c r="A15" s="584"/>
      <c r="B15" s="649"/>
      <c r="C15" s="645"/>
      <c r="D15" s="646"/>
      <c r="E15" s="647"/>
      <c r="F15" s="673">
        <f t="shared" si="0"/>
        <v>0</v>
      </c>
      <c r="G15" s="648"/>
      <c r="H15" s="649"/>
      <c r="I15" s="649"/>
      <c r="J15" s="546"/>
      <c r="K15" s="546"/>
      <c r="L15" s="585"/>
    </row>
    <row r="16" spans="1:12" x14ac:dyDescent="0.25">
      <c r="A16" s="584"/>
      <c r="B16" s="649"/>
      <c r="C16" s="645"/>
      <c r="D16" s="650"/>
      <c r="E16" s="647"/>
      <c r="F16" s="673">
        <f t="shared" si="0"/>
        <v>0</v>
      </c>
      <c r="G16" s="651"/>
      <c r="H16" s="652"/>
      <c r="I16" s="653"/>
      <c r="J16" s="546"/>
      <c r="K16" s="654"/>
      <c r="L16" s="585"/>
    </row>
    <row r="17" spans="1:13" ht="24.65" customHeight="1" x14ac:dyDescent="0.25">
      <c r="A17" s="584"/>
      <c r="B17" s="657"/>
      <c r="C17" s="666"/>
      <c r="D17" s="667"/>
      <c r="E17" s="668" t="s">
        <v>644</v>
      </c>
      <c r="F17" s="674">
        <f>SUM(F12:F16)</f>
        <v>0</v>
      </c>
      <c r="G17" s="655"/>
      <c r="H17" s="589"/>
      <c r="I17" s="538"/>
      <c r="J17" s="538"/>
      <c r="K17" s="538"/>
      <c r="L17" s="585"/>
    </row>
    <row r="18" spans="1:13" x14ac:dyDescent="0.25">
      <c r="A18" s="584"/>
      <c r="B18" s="538"/>
      <c r="C18" s="538"/>
      <c r="D18" s="538"/>
      <c r="E18" s="538"/>
      <c r="F18" s="589"/>
      <c r="G18" s="538"/>
      <c r="H18" s="538"/>
      <c r="I18" s="538"/>
      <c r="J18" s="538"/>
      <c r="K18" s="538"/>
      <c r="L18" s="585"/>
    </row>
    <row r="19" spans="1:13" ht="28" customHeight="1" x14ac:dyDescent="0.25">
      <c r="A19" s="584"/>
      <c r="B19" s="1694" t="s">
        <v>290</v>
      </c>
      <c r="C19" s="1686" t="s">
        <v>646</v>
      </c>
      <c r="D19" s="1686"/>
      <c r="E19" s="1686"/>
      <c r="F19" s="1686"/>
      <c r="G19" s="1686"/>
      <c r="H19" s="1686"/>
      <c r="I19" s="1686"/>
      <c r="J19" s="1686"/>
      <c r="K19" s="1686"/>
      <c r="L19" s="585"/>
      <c r="M19" s="656"/>
    </row>
    <row r="20" spans="1:13" ht="19" customHeight="1" x14ac:dyDescent="0.25">
      <c r="A20" s="584"/>
      <c r="B20" s="1694"/>
      <c r="C20" s="1686" t="s">
        <v>647</v>
      </c>
      <c r="D20" s="1686"/>
      <c r="E20" s="1686"/>
      <c r="F20" s="1686"/>
      <c r="G20" s="1686"/>
      <c r="H20" s="1686"/>
      <c r="I20" s="1686"/>
      <c r="J20" s="1686"/>
      <c r="K20" s="1686"/>
      <c r="L20" s="585"/>
      <c r="M20" s="656"/>
    </row>
    <row r="21" spans="1:13" ht="22.5" customHeight="1" x14ac:dyDescent="0.25">
      <c r="A21" s="584"/>
      <c r="B21" s="1694"/>
      <c r="C21" s="1686" t="s">
        <v>648</v>
      </c>
      <c r="D21" s="1686"/>
      <c r="E21" s="1686"/>
      <c r="F21" s="1686"/>
      <c r="G21" s="1686"/>
      <c r="H21" s="1686"/>
      <c r="I21" s="1686"/>
      <c r="J21" s="1686"/>
      <c r="K21" s="1686"/>
      <c r="L21" s="585"/>
      <c r="M21" s="656"/>
    </row>
    <row r="22" spans="1:13" ht="30.65" customHeight="1" x14ac:dyDescent="0.25">
      <c r="A22" s="584"/>
      <c r="B22" s="1694"/>
      <c r="C22" s="1686" t="s">
        <v>649</v>
      </c>
      <c r="D22" s="1686"/>
      <c r="E22" s="1686"/>
      <c r="F22" s="1686"/>
      <c r="G22" s="1686"/>
      <c r="H22" s="1686"/>
      <c r="I22" s="1686"/>
      <c r="J22" s="1686"/>
      <c r="K22" s="1686"/>
      <c r="L22" s="585"/>
      <c r="M22" s="656"/>
    </row>
    <row r="23" spans="1:13" ht="47.15" customHeight="1" x14ac:dyDescent="0.25">
      <c r="A23" s="584"/>
      <c r="B23" s="1694"/>
      <c r="C23" s="1686" t="s">
        <v>650</v>
      </c>
      <c r="D23" s="1686"/>
      <c r="E23" s="1686"/>
      <c r="F23" s="1686"/>
      <c r="G23" s="1686"/>
      <c r="H23" s="1686"/>
      <c r="I23" s="1686"/>
      <c r="J23" s="1686"/>
      <c r="K23" s="1686"/>
      <c r="L23" s="585"/>
      <c r="M23" s="656"/>
    </row>
    <row r="24" spans="1:13" ht="23.15" customHeight="1" x14ac:dyDescent="0.25">
      <c r="A24" s="584"/>
      <c r="B24" s="1694"/>
      <c r="C24" s="1686" t="s">
        <v>651</v>
      </c>
      <c r="D24" s="1686"/>
      <c r="E24" s="1686"/>
      <c r="F24" s="1686"/>
      <c r="G24" s="1686"/>
      <c r="H24" s="1686"/>
      <c r="I24" s="1686"/>
      <c r="J24" s="1686"/>
      <c r="K24" s="1686"/>
      <c r="L24" s="585"/>
      <c r="M24" s="656"/>
    </row>
    <row r="25" spans="1:13" ht="32.15" customHeight="1" x14ac:dyDescent="0.25">
      <c r="A25" s="584"/>
      <c r="B25" s="1694"/>
      <c r="C25" s="1686" t="s">
        <v>652</v>
      </c>
      <c r="D25" s="1686"/>
      <c r="E25" s="1686"/>
      <c r="F25" s="1686"/>
      <c r="G25" s="1686"/>
      <c r="H25" s="1686"/>
      <c r="I25" s="1686"/>
      <c r="J25" s="1686"/>
      <c r="K25" s="1686"/>
      <c r="L25" s="585"/>
      <c r="M25" s="656"/>
    </row>
    <row r="26" spans="1:13" x14ac:dyDescent="0.25">
      <c r="A26" s="584"/>
      <c r="B26" s="1688"/>
      <c r="C26" s="1688"/>
      <c r="D26" s="1688"/>
      <c r="E26" s="1688"/>
      <c r="F26" s="1688"/>
      <c r="G26" s="1688"/>
      <c r="H26" s="1688"/>
      <c r="I26" s="1688"/>
      <c r="J26" s="1688"/>
      <c r="K26" s="1688"/>
      <c r="L26" s="585"/>
    </row>
    <row r="27" spans="1:13" ht="33.65" customHeight="1" x14ac:dyDescent="0.25">
      <c r="A27" s="584"/>
      <c r="B27" s="1196" t="s">
        <v>292</v>
      </c>
      <c r="C27" s="1686" t="s">
        <v>653</v>
      </c>
      <c r="D27" s="1686"/>
      <c r="E27" s="1686"/>
      <c r="F27" s="1686"/>
      <c r="G27" s="1686"/>
      <c r="H27" s="1686"/>
      <c r="I27" s="1686"/>
      <c r="J27" s="1686"/>
      <c r="K27" s="1686"/>
      <c r="L27" s="585"/>
    </row>
    <row r="28" spans="1:13" ht="23.15" customHeight="1" x14ac:dyDescent="0.25">
      <c r="A28" s="584"/>
      <c r="B28" s="1196" t="s">
        <v>294</v>
      </c>
      <c r="C28" s="1687" t="s">
        <v>654</v>
      </c>
      <c r="D28" s="1687"/>
      <c r="E28" s="1687"/>
      <c r="F28" s="1687"/>
      <c r="G28" s="1687"/>
      <c r="H28" s="1687"/>
      <c r="I28" s="1687"/>
      <c r="J28" s="1687"/>
      <c r="K28" s="1687"/>
      <c r="L28" s="585"/>
    </row>
    <row r="29" spans="1:13" ht="28.5" customHeight="1" x14ac:dyDescent="0.25">
      <c r="A29" s="584"/>
      <c r="B29" s="1196" t="s">
        <v>463</v>
      </c>
      <c r="C29" s="1686" t="s">
        <v>655</v>
      </c>
      <c r="D29" s="1686"/>
      <c r="E29" s="1686"/>
      <c r="F29" s="1686"/>
      <c r="G29" s="1686"/>
      <c r="H29" s="1686"/>
      <c r="I29" s="1686"/>
      <c r="J29" s="1686"/>
      <c r="K29" s="1686"/>
      <c r="L29" s="585"/>
    </row>
    <row r="30" spans="1:13" x14ac:dyDescent="0.25">
      <c r="A30" s="584"/>
      <c r="B30" s="538"/>
      <c r="C30" s="538"/>
      <c r="D30" s="538"/>
      <c r="E30" s="538"/>
      <c r="F30" s="538"/>
      <c r="G30" s="538"/>
      <c r="H30" s="538"/>
      <c r="I30" s="538"/>
      <c r="J30" s="538"/>
      <c r="K30" s="538"/>
      <c r="L30" s="585"/>
    </row>
    <row r="31" spans="1:13" ht="13.5" thickBot="1" x14ac:dyDescent="0.3">
      <c r="A31" s="586"/>
      <c r="B31" s="587"/>
      <c r="C31" s="587"/>
      <c r="D31" s="587"/>
      <c r="E31" s="587"/>
      <c r="F31" s="587"/>
      <c r="G31" s="587"/>
      <c r="H31" s="587"/>
      <c r="I31" s="587"/>
      <c r="J31" s="587"/>
      <c r="K31" s="587"/>
      <c r="L31" s="588"/>
    </row>
  </sheetData>
  <mergeCells count="14">
    <mergeCell ref="E2:H2"/>
    <mergeCell ref="B2:C2"/>
    <mergeCell ref="C20:K20"/>
    <mergeCell ref="C21:K21"/>
    <mergeCell ref="C22:K22"/>
    <mergeCell ref="B19:B25"/>
    <mergeCell ref="C29:K29"/>
    <mergeCell ref="C27:K27"/>
    <mergeCell ref="C28:K28"/>
    <mergeCell ref="C19:K19"/>
    <mergeCell ref="C23:K23"/>
    <mergeCell ref="C24:K24"/>
    <mergeCell ref="C25:K25"/>
    <mergeCell ref="B26:K26"/>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orientation="landscape" horizontalDpi="1200" verticalDpi="1200" r:id="rId1"/>
  <headerFooter alignWithMargins="0"/>
  <rowBreaks count="1" manualBreakCount="1">
    <brk id="18" max="16383" man="1"/>
  </rowBreaks>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A1:Q59"/>
  <sheetViews>
    <sheetView view="pageBreakPreview" zoomScale="70" zoomScaleNormal="85" zoomScaleSheetLayoutView="70" workbookViewId="0">
      <selection activeCell="C48" sqref="C48"/>
    </sheetView>
  </sheetViews>
  <sheetFormatPr defaultColWidth="8.453125" defaultRowHeight="13" x14ac:dyDescent="0.25"/>
  <cols>
    <col min="1" max="1" width="8.453125" style="292"/>
    <col min="2" max="2" width="16.453125" style="292" customWidth="1"/>
    <col min="3" max="3" width="39.81640625" style="292" customWidth="1"/>
    <col min="4" max="4" width="33.7265625" style="292" customWidth="1"/>
    <col min="5" max="5" width="25.453125" style="292" customWidth="1"/>
    <col min="6" max="6" width="29.1796875" style="292" customWidth="1"/>
    <col min="7" max="7" width="7.453125" style="292" customWidth="1"/>
    <col min="8" max="8" width="10.81640625" style="292" customWidth="1"/>
    <col min="9" max="9" width="11.453125" style="292" customWidth="1"/>
    <col min="10" max="10" width="17" style="292" customWidth="1"/>
    <col min="11" max="11" width="30.54296875" style="292" customWidth="1"/>
    <col min="12" max="12" width="25.54296875" style="292" customWidth="1"/>
    <col min="13" max="13" width="19.81640625" style="292" customWidth="1"/>
    <col min="14" max="14" width="19" style="292" customWidth="1"/>
    <col min="15" max="15" width="7.1796875" style="292" customWidth="1"/>
    <col min="16" max="16384" width="8.453125" style="292"/>
  </cols>
  <sheetData>
    <row r="1" spans="1:15" ht="22.5" customHeight="1" thickBot="1" x14ac:dyDescent="0.3">
      <c r="A1" s="581"/>
      <c r="B1" s="582"/>
      <c r="C1" s="582"/>
      <c r="D1" s="582"/>
      <c r="E1" s="582"/>
      <c r="F1" s="582"/>
      <c r="G1" s="582"/>
      <c r="H1" s="582"/>
      <c r="I1" s="582"/>
      <c r="J1" s="582"/>
      <c r="K1" s="582"/>
      <c r="L1" s="582"/>
      <c r="M1" s="582"/>
      <c r="N1" s="582"/>
      <c r="O1" s="583"/>
    </row>
    <row r="2" spans="1:15" ht="46.5" customHeight="1" thickBot="1" x14ac:dyDescent="0.3">
      <c r="A2" s="584"/>
      <c r="B2" s="1699" t="s">
        <v>656</v>
      </c>
      <c r="C2" s="1700"/>
      <c r="D2" s="538"/>
      <c r="E2" s="1701" t="str">
        <f>General!D4</f>
        <v>Name</v>
      </c>
      <c r="F2" s="1702"/>
      <c r="G2" s="1703"/>
      <c r="H2" s="538"/>
      <c r="I2" s="538"/>
      <c r="J2" s="538"/>
      <c r="K2" s="538"/>
      <c r="L2" s="538"/>
      <c r="M2" s="538"/>
      <c r="N2" s="538"/>
      <c r="O2" s="585"/>
    </row>
    <row r="3" spans="1:15" ht="18.5" thickBot="1" x14ac:dyDescent="0.3">
      <c r="A3" s="584"/>
      <c r="B3" s="705"/>
      <c r="C3" s="538"/>
      <c r="D3" s="538"/>
      <c r="E3" s="538"/>
      <c r="F3" s="538"/>
      <c r="G3" s="538"/>
      <c r="H3" s="538"/>
      <c r="I3" s="538"/>
      <c r="J3" s="538"/>
      <c r="K3" s="538"/>
      <c r="L3" s="538"/>
      <c r="M3" s="538"/>
      <c r="N3" s="538"/>
      <c r="O3" s="585"/>
    </row>
    <row r="4" spans="1:15" ht="73" thickBot="1" x14ac:dyDescent="0.3">
      <c r="A4" s="584"/>
      <c r="B4" s="764" t="s">
        <v>569</v>
      </c>
      <c r="C4" s="724" t="s">
        <v>657</v>
      </c>
      <c r="D4" s="725" t="s">
        <v>658</v>
      </c>
      <c r="E4" s="725" t="s">
        <v>659</v>
      </c>
      <c r="F4" s="725" t="s">
        <v>660</v>
      </c>
      <c r="G4" s="725" t="s">
        <v>633</v>
      </c>
      <c r="H4" s="725" t="s">
        <v>661</v>
      </c>
      <c r="I4" s="725" t="s">
        <v>634</v>
      </c>
      <c r="J4" s="726" t="s">
        <v>662</v>
      </c>
      <c r="K4" s="725" t="s">
        <v>663</v>
      </c>
      <c r="L4" s="725" t="s">
        <v>664</v>
      </c>
      <c r="M4" s="725" t="s">
        <v>665</v>
      </c>
      <c r="N4" s="727" t="s">
        <v>568</v>
      </c>
      <c r="O4" s="585"/>
    </row>
    <row r="5" spans="1:15" ht="15.5" x14ac:dyDescent="0.25">
      <c r="A5" s="584"/>
      <c r="B5" s="769" t="s">
        <v>666</v>
      </c>
      <c r="C5" s="706"/>
      <c r="D5" s="539"/>
      <c r="E5" s="541"/>
      <c r="F5" s="539"/>
      <c r="G5" s="541"/>
      <c r="H5" s="541"/>
      <c r="I5" s="576"/>
      <c r="J5" s="698">
        <f>G5*I5</f>
        <v>0</v>
      </c>
      <c r="K5" s="541"/>
      <c r="L5" s="539"/>
      <c r="M5" s="541"/>
      <c r="N5" s="715"/>
      <c r="O5" s="585"/>
    </row>
    <row r="6" spans="1:15" ht="15.5" x14ac:dyDescent="0.25">
      <c r="A6" s="584"/>
      <c r="B6" s="770" t="s">
        <v>667</v>
      </c>
      <c r="C6" s="706"/>
      <c r="D6" s="539"/>
      <c r="E6" s="541"/>
      <c r="F6" s="539"/>
      <c r="G6" s="541"/>
      <c r="H6" s="541"/>
      <c r="I6" s="576"/>
      <c r="J6" s="698">
        <f t="shared" ref="J6:J9" si="0">G6*I6</f>
        <v>0</v>
      </c>
      <c r="K6" s="541"/>
      <c r="L6" s="539"/>
      <c r="M6" s="541"/>
      <c r="N6" s="715"/>
      <c r="O6" s="585"/>
    </row>
    <row r="7" spans="1:15" ht="15.5" x14ac:dyDescent="0.25">
      <c r="A7" s="584"/>
      <c r="B7" s="770" t="s">
        <v>668</v>
      </c>
      <c r="C7" s="706"/>
      <c r="D7" s="539"/>
      <c r="E7" s="541"/>
      <c r="F7" s="539"/>
      <c r="G7" s="541"/>
      <c r="H7" s="541"/>
      <c r="I7" s="576"/>
      <c r="J7" s="698">
        <f t="shared" si="0"/>
        <v>0</v>
      </c>
      <c r="K7" s="541"/>
      <c r="L7" s="539"/>
      <c r="M7" s="541"/>
      <c r="N7" s="715"/>
      <c r="O7" s="585"/>
    </row>
    <row r="8" spans="1:15" ht="15.5" x14ac:dyDescent="0.25">
      <c r="A8" s="584"/>
      <c r="B8" s="770" t="s">
        <v>669</v>
      </c>
      <c r="C8" s="706"/>
      <c r="D8" s="539"/>
      <c r="E8" s="541"/>
      <c r="F8" s="539"/>
      <c r="G8" s="541"/>
      <c r="H8" s="541"/>
      <c r="I8" s="576"/>
      <c r="J8" s="698">
        <f t="shared" si="0"/>
        <v>0</v>
      </c>
      <c r="K8" s="541"/>
      <c r="L8" s="539"/>
      <c r="M8" s="541"/>
      <c r="N8" s="715"/>
      <c r="O8" s="585"/>
    </row>
    <row r="9" spans="1:15" ht="16" thickBot="1" x14ac:dyDescent="0.3">
      <c r="A9" s="584"/>
      <c r="B9" s="771" t="s">
        <v>670</v>
      </c>
      <c r="C9" s="717"/>
      <c r="D9" s="718"/>
      <c r="E9" s="719"/>
      <c r="F9" s="718"/>
      <c r="G9" s="719"/>
      <c r="H9" s="719"/>
      <c r="I9" s="720"/>
      <c r="J9" s="721">
        <f t="shared" si="0"/>
        <v>0</v>
      </c>
      <c r="K9" s="719"/>
      <c r="L9" s="718"/>
      <c r="M9" s="719"/>
      <c r="N9" s="722"/>
      <c r="O9" s="585"/>
    </row>
    <row r="10" spans="1:15" ht="24.65" customHeight="1" thickBot="1" x14ac:dyDescent="0.3">
      <c r="A10" s="584"/>
      <c r="B10" s="702"/>
      <c r="C10" s="703"/>
      <c r="D10" s="703"/>
      <c r="E10" s="702"/>
      <c r="F10" s="703"/>
      <c r="G10" s="702"/>
      <c r="H10" s="1708" t="s">
        <v>671</v>
      </c>
      <c r="I10" s="1709"/>
      <c r="J10" s="723">
        <f>SUM(J5:J9)</f>
        <v>0</v>
      </c>
      <c r="K10" s="702"/>
      <c r="L10" s="703"/>
      <c r="M10" s="702"/>
      <c r="N10" s="702"/>
      <c r="O10" s="585"/>
    </row>
    <row r="11" spans="1:15" ht="26.5" customHeight="1" thickBot="1" x14ac:dyDescent="0.3">
      <c r="A11" s="584"/>
      <c r="B11" s="762" t="s">
        <v>645</v>
      </c>
      <c r="C11" s="703"/>
      <c r="D11" s="703"/>
      <c r="E11" s="702"/>
      <c r="F11" s="703"/>
      <c r="G11" s="702"/>
      <c r="H11" s="702"/>
      <c r="I11" s="704"/>
      <c r="J11" s="704"/>
      <c r="K11" s="702"/>
      <c r="L11" s="703"/>
      <c r="M11" s="702"/>
      <c r="N11" s="702"/>
      <c r="O11" s="585"/>
    </row>
    <row r="12" spans="1:15" ht="15.5" x14ac:dyDescent="0.25">
      <c r="A12" s="584"/>
      <c r="B12" s="765"/>
      <c r="C12" s="709"/>
      <c r="D12" s="710"/>
      <c r="E12" s="711"/>
      <c r="F12" s="710"/>
      <c r="G12" s="711"/>
      <c r="H12" s="711"/>
      <c r="I12" s="712"/>
      <c r="J12" s="713">
        <f t="shared" ref="J12:J16" si="1">G12*I12</f>
        <v>0</v>
      </c>
      <c r="K12" s="711"/>
      <c r="L12" s="710"/>
      <c r="M12" s="711"/>
      <c r="N12" s="714"/>
      <c r="O12" s="585"/>
    </row>
    <row r="13" spans="1:15" ht="15.5" x14ac:dyDescent="0.25">
      <c r="A13" s="584"/>
      <c r="B13" s="766"/>
      <c r="C13" s="706"/>
      <c r="D13" s="539"/>
      <c r="E13" s="541"/>
      <c r="F13" s="539"/>
      <c r="G13" s="541"/>
      <c r="H13" s="541"/>
      <c r="I13" s="540"/>
      <c r="J13" s="698">
        <f t="shared" si="1"/>
        <v>0</v>
      </c>
      <c r="K13" s="541"/>
      <c r="L13" s="539"/>
      <c r="M13" s="541"/>
      <c r="N13" s="715"/>
      <c r="O13" s="585"/>
    </row>
    <row r="14" spans="1:15" ht="15.5" x14ac:dyDescent="0.25">
      <c r="A14" s="584"/>
      <c r="B14" s="766"/>
      <c r="C14" s="707"/>
      <c r="D14" s="699"/>
      <c r="E14" s="700"/>
      <c r="F14" s="699"/>
      <c r="G14" s="700"/>
      <c r="H14" s="700"/>
      <c r="I14" s="701"/>
      <c r="J14" s="698">
        <f t="shared" si="1"/>
        <v>0</v>
      </c>
      <c r="K14" s="700"/>
      <c r="L14" s="699"/>
      <c r="M14" s="700"/>
      <c r="N14" s="716"/>
      <c r="O14" s="585"/>
    </row>
    <row r="15" spans="1:15" ht="15.5" x14ac:dyDescent="0.25">
      <c r="A15" s="584"/>
      <c r="B15" s="766"/>
      <c r="C15" s="707"/>
      <c r="D15" s="699"/>
      <c r="E15" s="700"/>
      <c r="F15" s="699"/>
      <c r="G15" s="700"/>
      <c r="H15" s="700"/>
      <c r="I15" s="701"/>
      <c r="J15" s="698">
        <f t="shared" si="1"/>
        <v>0</v>
      </c>
      <c r="K15" s="700"/>
      <c r="L15" s="699"/>
      <c r="M15" s="700"/>
      <c r="N15" s="716"/>
      <c r="O15" s="585"/>
    </row>
    <row r="16" spans="1:15" ht="16" thickBot="1" x14ac:dyDescent="0.3">
      <c r="A16" s="584"/>
      <c r="B16" s="767"/>
      <c r="C16" s="717"/>
      <c r="D16" s="718"/>
      <c r="E16" s="719"/>
      <c r="F16" s="718"/>
      <c r="G16" s="719"/>
      <c r="H16" s="719"/>
      <c r="I16" s="720"/>
      <c r="J16" s="721">
        <f t="shared" si="1"/>
        <v>0</v>
      </c>
      <c r="K16" s="719"/>
      <c r="L16" s="718"/>
      <c r="M16" s="719"/>
      <c r="N16" s="722"/>
      <c r="O16" s="585"/>
    </row>
    <row r="17" spans="1:16" ht="25" customHeight="1" thickBot="1" x14ac:dyDescent="0.3">
      <c r="A17" s="584"/>
      <c r="B17" s="703"/>
      <c r="C17" s="703"/>
      <c r="D17" s="703"/>
      <c r="E17" s="703"/>
      <c r="F17" s="703"/>
      <c r="G17" s="703"/>
      <c r="H17" s="1708" t="s">
        <v>671</v>
      </c>
      <c r="I17" s="1709"/>
      <c r="J17" s="708">
        <f>SUM(J12:J16)</f>
        <v>0</v>
      </c>
      <c r="K17" s="703"/>
      <c r="L17" s="703"/>
      <c r="M17" s="703"/>
      <c r="N17" s="703"/>
      <c r="O17" s="585"/>
    </row>
    <row r="18" spans="1:16" ht="13.5" thickBot="1" x14ac:dyDescent="0.3">
      <c r="A18" s="584"/>
      <c r="B18" s="538"/>
      <c r="C18" s="538"/>
      <c r="D18" s="538"/>
      <c r="E18" s="538"/>
      <c r="F18" s="538"/>
      <c r="G18" s="538"/>
      <c r="H18" s="538"/>
      <c r="I18" s="538"/>
      <c r="J18" s="538"/>
      <c r="K18" s="538"/>
      <c r="L18" s="538"/>
      <c r="M18" s="538"/>
      <c r="N18" s="538"/>
      <c r="O18" s="585"/>
    </row>
    <row r="19" spans="1:16" ht="35.15" customHeight="1" x14ac:dyDescent="0.25">
      <c r="A19" s="584"/>
      <c r="B19" s="1705" t="s">
        <v>290</v>
      </c>
      <c r="C19" s="1704" t="s">
        <v>646</v>
      </c>
      <c r="D19" s="1653"/>
      <c r="E19" s="1653"/>
      <c r="F19" s="1653"/>
      <c r="G19" s="1653"/>
      <c r="H19" s="1653"/>
      <c r="I19" s="1653"/>
      <c r="J19" s="1653"/>
      <c r="K19" s="1653"/>
      <c r="L19" s="1653"/>
      <c r="M19" s="1653"/>
      <c r="N19" s="1653"/>
      <c r="O19" s="585"/>
    </row>
    <row r="20" spans="1:16" ht="24.65" customHeight="1" x14ac:dyDescent="0.25">
      <c r="A20" s="584"/>
      <c r="B20" s="1706"/>
      <c r="C20" s="1704" t="s">
        <v>672</v>
      </c>
      <c r="D20" s="1653"/>
      <c r="E20" s="1653"/>
      <c r="F20" s="1653"/>
      <c r="G20" s="1653"/>
      <c r="H20" s="1653"/>
      <c r="I20" s="1653"/>
      <c r="J20" s="1653"/>
      <c r="K20" s="1653"/>
      <c r="L20" s="1653"/>
      <c r="M20" s="1653"/>
      <c r="N20" s="1653"/>
      <c r="O20" s="585"/>
      <c r="P20" s="530"/>
    </row>
    <row r="21" spans="1:16" ht="24" customHeight="1" x14ac:dyDescent="0.25">
      <c r="A21" s="584"/>
      <c r="B21" s="1706"/>
      <c r="C21" s="1704" t="s">
        <v>673</v>
      </c>
      <c r="D21" s="1653"/>
      <c r="E21" s="1653"/>
      <c r="F21" s="1653"/>
      <c r="G21" s="1653"/>
      <c r="H21" s="1653"/>
      <c r="I21" s="1653"/>
      <c r="J21" s="1653"/>
      <c r="K21" s="1653"/>
      <c r="L21" s="1653"/>
      <c r="M21" s="1653"/>
      <c r="N21" s="1653"/>
      <c r="O21" s="585"/>
      <c r="P21" s="530"/>
    </row>
    <row r="22" spans="1:16" ht="36" customHeight="1" x14ac:dyDescent="0.25">
      <c r="A22" s="584"/>
      <c r="B22" s="1706"/>
      <c r="C22" s="1704" t="s">
        <v>674</v>
      </c>
      <c r="D22" s="1653"/>
      <c r="E22" s="1653"/>
      <c r="F22" s="1653"/>
      <c r="G22" s="1653"/>
      <c r="H22" s="1653"/>
      <c r="I22" s="1653"/>
      <c r="J22" s="1653"/>
      <c r="K22" s="1653"/>
      <c r="L22" s="1653"/>
      <c r="M22" s="1653"/>
      <c r="N22" s="1653"/>
      <c r="O22" s="585"/>
      <c r="P22" s="530"/>
    </row>
    <row r="23" spans="1:16" ht="42" customHeight="1" x14ac:dyDescent="0.25">
      <c r="A23" s="584"/>
      <c r="B23" s="1706"/>
      <c r="C23" s="1704" t="s">
        <v>675</v>
      </c>
      <c r="D23" s="1653"/>
      <c r="E23" s="1653"/>
      <c r="F23" s="1653"/>
      <c r="G23" s="1653"/>
      <c r="H23" s="1653"/>
      <c r="I23" s="1653"/>
      <c r="J23" s="1653"/>
      <c r="K23" s="1653"/>
      <c r="L23" s="1653"/>
      <c r="M23" s="1653"/>
      <c r="N23" s="1653"/>
      <c r="O23" s="585"/>
      <c r="P23" s="530"/>
    </row>
    <row r="24" spans="1:16" ht="63" customHeight="1" x14ac:dyDescent="0.25">
      <c r="A24" s="584"/>
      <c r="B24" s="1706"/>
      <c r="C24" s="1704" t="s">
        <v>676</v>
      </c>
      <c r="D24" s="1653"/>
      <c r="E24" s="1653"/>
      <c r="F24" s="1653"/>
      <c r="G24" s="1653"/>
      <c r="H24" s="1653"/>
      <c r="I24" s="1653"/>
      <c r="J24" s="1653"/>
      <c r="K24" s="1653"/>
      <c r="L24" s="1653"/>
      <c r="M24" s="1653"/>
      <c r="N24" s="1653"/>
      <c r="O24" s="585"/>
      <c r="P24" s="530"/>
    </row>
    <row r="25" spans="1:16" ht="26.15" customHeight="1" x14ac:dyDescent="0.25">
      <c r="A25" s="584"/>
      <c r="B25" s="1706"/>
      <c r="C25" s="1704" t="s">
        <v>677</v>
      </c>
      <c r="D25" s="1653"/>
      <c r="E25" s="1653"/>
      <c r="F25" s="1653"/>
      <c r="G25" s="1653"/>
      <c r="H25" s="1653"/>
      <c r="I25" s="1653"/>
      <c r="J25" s="1653"/>
      <c r="K25" s="1653"/>
      <c r="L25" s="1653"/>
      <c r="M25" s="1653"/>
      <c r="N25" s="1653"/>
      <c r="O25" s="585"/>
      <c r="P25" s="530"/>
    </row>
    <row r="26" spans="1:16" ht="45" customHeight="1" thickBot="1" x14ac:dyDescent="0.3">
      <c r="A26" s="584"/>
      <c r="B26" s="1707"/>
      <c r="C26" s="1704" t="s">
        <v>678</v>
      </c>
      <c r="D26" s="1653"/>
      <c r="E26" s="1653"/>
      <c r="F26" s="1653"/>
      <c r="G26" s="1653"/>
      <c r="H26" s="1653"/>
      <c r="I26" s="1653"/>
      <c r="J26" s="1653"/>
      <c r="K26" s="1653"/>
      <c r="L26" s="1653"/>
      <c r="M26" s="1653"/>
      <c r="N26" s="1653"/>
      <c r="O26" s="585"/>
      <c r="P26" s="530"/>
    </row>
    <row r="27" spans="1:16" ht="42.65" customHeight="1" thickBot="1" x14ac:dyDescent="0.3">
      <c r="A27" s="584"/>
      <c r="B27" s="728" t="s">
        <v>679</v>
      </c>
      <c r="C27" s="1695" t="s">
        <v>680</v>
      </c>
      <c r="D27" s="1257"/>
      <c r="E27" s="1257"/>
      <c r="F27" s="1257"/>
      <c r="G27" s="1257"/>
      <c r="H27" s="1257"/>
      <c r="I27" s="1257"/>
      <c r="J27" s="1257"/>
      <c r="K27" s="1257"/>
      <c r="L27" s="1257"/>
      <c r="M27" s="1257"/>
      <c r="N27" s="1257"/>
      <c r="O27" s="585"/>
      <c r="P27" s="530"/>
    </row>
    <row r="28" spans="1:16" ht="16" thickBot="1" x14ac:dyDescent="0.3">
      <c r="A28" s="586"/>
      <c r="B28" s="587"/>
      <c r="C28" s="587"/>
      <c r="D28" s="587"/>
      <c r="E28" s="587"/>
      <c r="F28" s="587"/>
      <c r="G28" s="587"/>
      <c r="H28" s="587"/>
      <c r="I28" s="587"/>
      <c r="J28" s="587"/>
      <c r="K28" s="587"/>
      <c r="L28" s="587"/>
      <c r="M28" s="587"/>
      <c r="N28" s="587"/>
      <c r="O28" s="588"/>
      <c r="P28" s="530"/>
    </row>
    <row r="29" spans="1:16" ht="15.75" customHeight="1" x14ac:dyDescent="0.25">
      <c r="B29" s="613"/>
      <c r="C29" s="1696"/>
      <c r="D29" s="1696"/>
      <c r="E29" s="1696"/>
      <c r="F29" s="1696"/>
      <c r="G29" s="1696"/>
      <c r="H29" s="1696"/>
      <c r="I29" s="1696"/>
      <c r="J29" s="1696"/>
      <c r="K29" s="1696"/>
      <c r="L29" s="1696"/>
      <c r="M29" s="1696"/>
      <c r="N29" s="1696"/>
      <c r="O29" s="577"/>
      <c r="P29" s="519"/>
    </row>
    <row r="30" spans="1:16" ht="37.5" customHeight="1" x14ac:dyDescent="0.25">
      <c r="C30" s="1696"/>
      <c r="D30" s="1696"/>
      <c r="E30" s="1696"/>
      <c r="F30" s="1696"/>
      <c r="G30" s="1696"/>
      <c r="H30" s="1696"/>
      <c r="I30" s="1696"/>
      <c r="J30" s="1696"/>
      <c r="K30" s="1696"/>
      <c r="L30" s="1696"/>
      <c r="M30" s="1696"/>
      <c r="N30" s="1696"/>
      <c r="O30" s="577"/>
      <c r="P30" s="578"/>
    </row>
    <row r="31" spans="1:16" ht="14.25" customHeight="1" x14ac:dyDescent="0.25">
      <c r="C31" s="579"/>
      <c r="D31" s="579"/>
      <c r="E31" s="579"/>
      <c r="F31" s="579"/>
      <c r="G31" s="579"/>
      <c r="H31" s="579"/>
      <c r="I31" s="579"/>
      <c r="J31" s="579"/>
      <c r="K31" s="579"/>
      <c r="L31" s="579"/>
      <c r="M31" s="579"/>
      <c r="N31" s="577"/>
      <c r="O31" s="577"/>
      <c r="P31" s="519"/>
    </row>
    <row r="32" spans="1:16" ht="15.5" x14ac:dyDescent="0.25">
      <c r="B32" s="613"/>
      <c r="C32" s="1698"/>
      <c r="D32" s="1698"/>
      <c r="E32" s="1698"/>
      <c r="F32" s="1698"/>
      <c r="G32" s="1698"/>
      <c r="H32" s="1698"/>
      <c r="I32" s="1698"/>
      <c r="J32" s="1698"/>
      <c r="K32" s="1698"/>
      <c r="L32" s="519"/>
      <c r="M32" s="519"/>
      <c r="N32" s="519"/>
      <c r="O32" s="519"/>
      <c r="P32" s="519"/>
    </row>
    <row r="33" spans="2:17" ht="15.5" x14ac:dyDescent="0.25">
      <c r="B33" s="519"/>
      <c r="C33" s="519"/>
      <c r="D33" s="519"/>
      <c r="E33" s="519"/>
      <c r="F33" s="519"/>
      <c r="G33" s="519"/>
      <c r="H33" s="519"/>
      <c r="I33" s="519"/>
      <c r="J33" s="519"/>
      <c r="K33" s="519"/>
      <c r="L33" s="519"/>
      <c r="M33" s="519"/>
      <c r="N33" s="519"/>
      <c r="O33" s="519"/>
      <c r="P33" s="519"/>
    </row>
    <row r="34" spans="2:17" ht="15.5" x14ac:dyDescent="0.25">
      <c r="B34" s="613"/>
      <c r="C34" s="1698"/>
      <c r="D34" s="1698"/>
      <c r="E34" s="1698"/>
      <c r="F34" s="1698"/>
      <c r="G34" s="1698"/>
      <c r="H34" s="1698"/>
      <c r="I34" s="1698"/>
      <c r="J34" s="1698"/>
      <c r="K34" s="1698"/>
      <c r="L34" s="1698"/>
      <c r="M34" s="519"/>
      <c r="N34" s="519"/>
      <c r="O34" s="519"/>
      <c r="P34" s="578"/>
    </row>
    <row r="35" spans="2:17" ht="15.75" customHeight="1" x14ac:dyDescent="0.25">
      <c r="B35" s="613"/>
      <c r="C35" s="1696"/>
      <c r="D35" s="1696"/>
      <c r="E35" s="1696"/>
      <c r="F35" s="1696"/>
      <c r="G35" s="1696"/>
      <c r="H35" s="1696"/>
      <c r="I35" s="1696"/>
      <c r="J35" s="1696"/>
      <c r="K35" s="1696"/>
      <c r="L35" s="1696"/>
      <c r="M35" s="1696"/>
      <c r="N35" s="1696"/>
      <c r="O35" s="519"/>
    </row>
    <row r="36" spans="2:17" ht="24.75" customHeight="1" x14ac:dyDescent="0.25">
      <c r="B36" s="613"/>
      <c r="C36" s="1696"/>
      <c r="D36" s="1696"/>
      <c r="E36" s="1696"/>
      <c r="F36" s="1696"/>
      <c r="G36" s="1696"/>
      <c r="H36" s="1696"/>
      <c r="I36" s="1696"/>
      <c r="J36" s="1696"/>
      <c r="K36" s="1696"/>
      <c r="L36" s="1696"/>
      <c r="M36" s="1696"/>
      <c r="N36" s="1696"/>
      <c r="O36" s="519"/>
    </row>
    <row r="37" spans="2:17" ht="15.75" customHeight="1" x14ac:dyDescent="0.25">
      <c r="B37" s="613"/>
      <c r="C37" s="1195"/>
      <c r="D37" s="1195"/>
      <c r="E37" s="1195"/>
      <c r="F37" s="1195"/>
      <c r="G37" s="1195"/>
      <c r="H37" s="1195"/>
      <c r="I37" s="1195"/>
      <c r="J37" s="1195"/>
      <c r="K37" s="1195"/>
      <c r="L37" s="1195"/>
      <c r="M37" s="579"/>
      <c r="N37" s="519"/>
      <c r="O37" s="519"/>
    </row>
    <row r="38" spans="2:17" ht="15.5" x14ac:dyDescent="0.25">
      <c r="B38" s="613"/>
      <c r="C38" s="1696"/>
      <c r="D38" s="1696"/>
      <c r="E38" s="1696"/>
      <c r="F38" s="1696"/>
      <c r="G38" s="1696"/>
      <c r="H38" s="1696"/>
      <c r="I38" s="1696"/>
      <c r="J38" s="1696"/>
      <c r="K38" s="1696"/>
      <c r="L38" s="1696"/>
      <c r="M38" s="1696"/>
      <c r="N38" s="1696"/>
      <c r="O38" s="519"/>
    </row>
    <row r="39" spans="2:17" ht="15.5" x14ac:dyDescent="0.25">
      <c r="B39" s="613"/>
      <c r="C39" s="1696"/>
      <c r="D39" s="1696"/>
      <c r="E39" s="1696"/>
      <c r="F39" s="1696"/>
      <c r="G39" s="1696"/>
      <c r="H39" s="1696"/>
      <c r="I39" s="1696"/>
      <c r="J39" s="1696"/>
      <c r="K39" s="1696"/>
      <c r="L39" s="1696"/>
      <c r="M39" s="1696"/>
      <c r="N39" s="1696"/>
      <c r="O39" s="519"/>
    </row>
    <row r="40" spans="2:17" ht="8.25" customHeight="1" x14ac:dyDescent="0.25">
      <c r="B40" s="613"/>
      <c r="C40" s="1696"/>
      <c r="D40" s="1696"/>
      <c r="E40" s="1696"/>
      <c r="F40" s="1696"/>
      <c r="G40" s="1696"/>
      <c r="H40" s="1696"/>
      <c r="I40" s="1696"/>
      <c r="J40" s="1696"/>
      <c r="K40" s="1696"/>
      <c r="L40" s="1696"/>
      <c r="M40" s="1696"/>
      <c r="N40" s="1696"/>
      <c r="O40" s="519"/>
    </row>
    <row r="41" spans="2:17" ht="15.5" x14ac:dyDescent="0.25">
      <c r="B41" s="519"/>
      <c r="C41" s="579"/>
      <c r="D41" s="579"/>
      <c r="E41" s="579"/>
      <c r="F41" s="579"/>
      <c r="G41" s="579"/>
      <c r="H41" s="579"/>
      <c r="I41" s="579"/>
      <c r="J41" s="579"/>
      <c r="K41" s="579"/>
      <c r="L41" s="579"/>
      <c r="M41" s="579"/>
      <c r="N41" s="519"/>
      <c r="O41" s="519"/>
    </row>
    <row r="42" spans="2:17" ht="15.5" x14ac:dyDescent="0.25">
      <c r="B42" s="519"/>
      <c r="C42" s="1696"/>
      <c r="D42" s="1696"/>
      <c r="E42" s="1696"/>
      <c r="F42" s="1696"/>
      <c r="G42" s="1696"/>
      <c r="H42" s="1696"/>
      <c r="I42" s="1696"/>
      <c r="J42" s="1696"/>
      <c r="K42" s="1696"/>
      <c r="L42" s="1696"/>
      <c r="M42" s="1696"/>
      <c r="N42" s="1696"/>
      <c r="O42" s="519"/>
    </row>
    <row r="43" spans="2:17" ht="12.75" customHeight="1" x14ac:dyDescent="0.25">
      <c r="B43" s="519"/>
      <c r="C43" s="1696"/>
      <c r="D43" s="1696"/>
      <c r="E43" s="1696"/>
      <c r="F43" s="1696"/>
      <c r="G43" s="1696"/>
      <c r="H43" s="1696"/>
      <c r="I43" s="1696"/>
      <c r="J43" s="1696"/>
      <c r="K43" s="1696"/>
      <c r="L43" s="1696"/>
      <c r="M43" s="1696"/>
      <c r="N43" s="1696"/>
      <c r="O43" s="519"/>
    </row>
    <row r="44" spans="2:17" ht="15.5" x14ac:dyDescent="0.25">
      <c r="B44" s="519"/>
      <c r="C44" s="579"/>
      <c r="D44" s="579"/>
      <c r="E44" s="579"/>
      <c r="F44" s="579"/>
      <c r="G44" s="579"/>
      <c r="H44" s="579"/>
      <c r="I44" s="579"/>
      <c r="J44" s="579"/>
      <c r="K44" s="579"/>
      <c r="L44" s="519"/>
      <c r="M44" s="519"/>
      <c r="N44" s="519"/>
      <c r="O44" s="519"/>
    </row>
    <row r="45" spans="2:17" ht="32.25" customHeight="1" x14ac:dyDescent="0.25">
      <c r="B45" s="613"/>
      <c r="C45" s="1697"/>
      <c r="D45" s="1697"/>
      <c r="E45" s="1697"/>
      <c r="F45" s="1697"/>
      <c r="G45" s="1697"/>
      <c r="H45" s="1697"/>
      <c r="I45" s="1697"/>
      <c r="J45" s="1697"/>
      <c r="K45" s="1697"/>
      <c r="L45" s="1697"/>
      <c r="M45" s="1697"/>
      <c r="N45" s="1697"/>
      <c r="O45" s="519"/>
      <c r="P45" s="519"/>
      <c r="Q45" s="519"/>
    </row>
    <row r="46" spans="2:17" ht="15.5" x14ac:dyDescent="0.25">
      <c r="C46" s="530"/>
    </row>
    <row r="47" spans="2:17" ht="15.5" x14ac:dyDescent="0.25">
      <c r="C47" s="530"/>
    </row>
    <row r="48" spans="2:17" ht="15.5" x14ac:dyDescent="0.25">
      <c r="C48" s="530"/>
    </row>
    <row r="49" spans="2:3" ht="15.5" x14ac:dyDescent="0.25">
      <c r="C49" s="530"/>
    </row>
    <row r="50" spans="2:3" ht="15.5" x14ac:dyDescent="0.25">
      <c r="C50" s="530"/>
    </row>
    <row r="51" spans="2:3" ht="15.5" x14ac:dyDescent="0.25">
      <c r="C51" s="530"/>
    </row>
    <row r="52" spans="2:3" ht="15.5" x14ac:dyDescent="0.25">
      <c r="C52" s="530"/>
    </row>
    <row r="53" spans="2:3" ht="15.5" x14ac:dyDescent="0.25">
      <c r="B53" s="580"/>
      <c r="C53" s="530"/>
    </row>
    <row r="54" spans="2:3" ht="15.5" x14ac:dyDescent="0.25">
      <c r="C54" s="530"/>
    </row>
    <row r="55" spans="2:3" x14ac:dyDescent="0.25">
      <c r="B55" s="580"/>
    </row>
    <row r="57" spans="2:3" x14ac:dyDescent="0.25">
      <c r="B57" s="580"/>
    </row>
    <row r="59" spans="2:3" x14ac:dyDescent="0.25">
      <c r="B59" s="580"/>
    </row>
  </sheetData>
  <mergeCells count="21">
    <mergeCell ref="B2:C2"/>
    <mergeCell ref="E2:G2"/>
    <mergeCell ref="C20:N20"/>
    <mergeCell ref="C21:N21"/>
    <mergeCell ref="C22:N22"/>
    <mergeCell ref="B19:B26"/>
    <mergeCell ref="C19:N19"/>
    <mergeCell ref="C23:N23"/>
    <mergeCell ref="C24:N24"/>
    <mergeCell ref="C25:N25"/>
    <mergeCell ref="C26:N26"/>
    <mergeCell ref="H10:I10"/>
    <mergeCell ref="H17:I17"/>
    <mergeCell ref="C27:N27"/>
    <mergeCell ref="C42:N43"/>
    <mergeCell ref="C45:N45"/>
    <mergeCell ref="C34:L34"/>
    <mergeCell ref="C29:N30"/>
    <mergeCell ref="C35:N36"/>
    <mergeCell ref="C38:N40"/>
    <mergeCell ref="C32:K32"/>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orientation="landscape" r:id="rId1"/>
  <headerFooter alignWithMargins="0"/>
  <rowBreaks count="1" manualBreakCount="1">
    <brk id="18"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O35"/>
  <sheetViews>
    <sheetView view="pageBreakPreview" zoomScaleNormal="100" zoomScaleSheetLayoutView="100" workbookViewId="0"/>
  </sheetViews>
  <sheetFormatPr defaultColWidth="8.453125" defaultRowHeight="14.5" x14ac:dyDescent="0.25"/>
  <cols>
    <col min="1" max="1" width="4.54296875" style="511" customWidth="1"/>
    <col min="2" max="2" width="14.1796875" style="511" customWidth="1"/>
    <col min="3" max="3" width="39.1796875" style="511" customWidth="1"/>
    <col min="4" max="4" width="8.81640625" style="511" customWidth="1"/>
    <col min="5" max="5" width="11.453125" style="511" customWidth="1"/>
    <col min="6" max="6" width="15.453125" style="511" customWidth="1"/>
    <col min="7" max="7" width="17.54296875" style="511" customWidth="1"/>
    <col min="8" max="8" width="23.1796875" style="511" customWidth="1"/>
    <col min="9" max="9" width="23.7265625" style="511" customWidth="1"/>
    <col min="10" max="10" width="21" style="511" customWidth="1"/>
    <col min="11" max="11" width="5.81640625" style="511" customWidth="1"/>
    <col min="12" max="16384" width="8.453125" style="511"/>
  </cols>
  <sheetData>
    <row r="1" spans="1:11" ht="15" thickBot="1" x14ac:dyDescent="0.3">
      <c r="A1" s="531"/>
      <c r="B1" s="531"/>
      <c r="C1" s="531"/>
      <c r="D1" s="531"/>
      <c r="E1" s="531"/>
      <c r="F1" s="531"/>
      <c r="G1" s="531"/>
      <c r="H1" s="531"/>
      <c r="I1" s="531"/>
      <c r="J1" s="531"/>
      <c r="K1" s="531"/>
    </row>
    <row r="2" spans="1:11" ht="39" customHeight="1" thickBot="1" x14ac:dyDescent="0.3">
      <c r="A2" s="531"/>
      <c r="B2" s="531"/>
      <c r="C2" s="1711" t="s">
        <v>681</v>
      </c>
      <c r="D2" s="1712"/>
      <c r="E2" s="1713"/>
      <c r="F2" s="531"/>
      <c r="G2" s="1714" t="str">
        <f>General!D4</f>
        <v>Name</v>
      </c>
      <c r="H2" s="1715"/>
      <c r="I2" s="1715"/>
      <c r="J2" s="1716"/>
      <c r="K2" s="531"/>
    </row>
    <row r="3" spans="1:11" ht="15" thickBot="1" x14ac:dyDescent="0.3">
      <c r="A3" s="531"/>
      <c r="B3" s="531"/>
      <c r="C3" s="532"/>
      <c r="D3" s="531"/>
      <c r="E3" s="531"/>
      <c r="F3" s="531"/>
      <c r="G3" s="531"/>
      <c r="H3" s="531"/>
      <c r="I3" s="531"/>
      <c r="J3" s="531"/>
      <c r="K3" s="531"/>
    </row>
    <row r="4" spans="1:11" ht="57" customHeight="1" x14ac:dyDescent="0.25">
      <c r="A4" s="531"/>
      <c r="B4" s="1717" t="s">
        <v>569</v>
      </c>
      <c r="C4" s="676" t="s">
        <v>682</v>
      </c>
      <c r="D4" s="676" t="s">
        <v>633</v>
      </c>
      <c r="E4" s="676" t="s">
        <v>661</v>
      </c>
      <c r="F4" s="676" t="s">
        <v>634</v>
      </c>
      <c r="G4" s="676" t="s">
        <v>662</v>
      </c>
      <c r="H4" s="676" t="s">
        <v>683</v>
      </c>
      <c r="I4" s="676" t="s">
        <v>684</v>
      </c>
      <c r="J4" s="677" t="s">
        <v>568</v>
      </c>
      <c r="K4" s="531"/>
    </row>
    <row r="5" spans="1:11" ht="23.15" customHeight="1" x14ac:dyDescent="0.25">
      <c r="A5" s="531"/>
      <c r="B5" s="1718"/>
      <c r="C5" s="1186"/>
      <c r="D5" s="734"/>
      <c r="E5" s="734"/>
      <c r="F5" s="732"/>
      <c r="G5" s="738">
        <f t="shared" ref="G5:G21" si="0">D5*F5</f>
        <v>0</v>
      </c>
      <c r="H5" s="734"/>
      <c r="I5" s="734"/>
      <c r="J5" s="740"/>
      <c r="K5" s="531"/>
    </row>
    <row r="6" spans="1:11" x14ac:dyDescent="0.25">
      <c r="A6" s="531"/>
      <c r="B6" s="1718"/>
      <c r="C6" s="735"/>
      <c r="D6" s="734"/>
      <c r="E6" s="734"/>
      <c r="F6" s="732"/>
      <c r="G6" s="738">
        <f t="shared" si="0"/>
        <v>0</v>
      </c>
      <c r="H6" s="734"/>
      <c r="I6" s="734"/>
      <c r="J6" s="740"/>
      <c r="K6" s="531"/>
    </row>
    <row r="7" spans="1:11" x14ac:dyDescent="0.25">
      <c r="A7" s="531"/>
      <c r="B7" s="1718"/>
      <c r="C7" s="735"/>
      <c r="D7" s="734"/>
      <c r="E7" s="734"/>
      <c r="F7" s="733"/>
      <c r="G7" s="738">
        <f t="shared" si="0"/>
        <v>0</v>
      </c>
      <c r="H7" s="734"/>
      <c r="I7" s="734"/>
      <c r="J7" s="740"/>
      <c r="K7" s="531"/>
    </row>
    <row r="8" spans="1:11" x14ac:dyDescent="0.25">
      <c r="A8" s="531"/>
      <c r="B8" s="1718"/>
      <c r="C8" s="735"/>
      <c r="D8" s="734"/>
      <c r="E8" s="734"/>
      <c r="F8" s="733"/>
      <c r="G8" s="738">
        <f t="shared" si="0"/>
        <v>0</v>
      </c>
      <c r="H8" s="734"/>
      <c r="I8" s="734"/>
      <c r="J8" s="740"/>
      <c r="K8" s="531"/>
    </row>
    <row r="9" spans="1:11" x14ac:dyDescent="0.25">
      <c r="A9" s="531"/>
      <c r="B9" s="1718"/>
      <c r="C9" s="735"/>
      <c r="D9" s="734"/>
      <c r="E9" s="734"/>
      <c r="F9" s="733"/>
      <c r="G9" s="738">
        <f t="shared" si="0"/>
        <v>0</v>
      </c>
      <c r="H9" s="734"/>
      <c r="I9" s="734"/>
      <c r="J9" s="740"/>
      <c r="K9" s="531"/>
    </row>
    <row r="10" spans="1:11" x14ac:dyDescent="0.25">
      <c r="A10" s="531"/>
      <c r="B10" s="1718"/>
      <c r="C10" s="735"/>
      <c r="D10" s="734"/>
      <c r="E10" s="734"/>
      <c r="F10" s="733"/>
      <c r="G10" s="738">
        <f t="shared" si="0"/>
        <v>0</v>
      </c>
      <c r="H10" s="734"/>
      <c r="I10" s="734"/>
      <c r="J10" s="740"/>
      <c r="K10" s="531"/>
    </row>
    <row r="11" spans="1:11" x14ac:dyDescent="0.25">
      <c r="A11" s="531"/>
      <c r="B11" s="1718"/>
      <c r="C11" s="735"/>
      <c r="D11" s="734"/>
      <c r="E11" s="734"/>
      <c r="F11" s="733"/>
      <c r="G11" s="738">
        <f t="shared" si="0"/>
        <v>0</v>
      </c>
      <c r="H11" s="734"/>
      <c r="I11" s="734"/>
      <c r="J11" s="740"/>
      <c r="K11" s="531"/>
    </row>
    <row r="12" spans="1:11" ht="15" thickBot="1" x14ac:dyDescent="0.3">
      <c r="A12" s="531"/>
      <c r="B12" s="1719"/>
      <c r="C12" s="741"/>
      <c r="D12" s="742"/>
      <c r="E12" s="742"/>
      <c r="F12" s="743"/>
      <c r="G12" s="744">
        <f t="shared" si="0"/>
        <v>0</v>
      </c>
      <c r="H12" s="742"/>
      <c r="I12" s="742"/>
      <c r="J12" s="745"/>
      <c r="K12" s="531"/>
    </row>
    <row r="13" spans="1:11" ht="15" thickBot="1" x14ac:dyDescent="0.3">
      <c r="A13" s="531"/>
      <c r="B13" s="531"/>
      <c r="C13" s="729"/>
      <c r="D13" s="730"/>
      <c r="E13" s="730"/>
      <c r="F13" s="737" t="s">
        <v>671</v>
      </c>
      <c r="G13" s="752">
        <f>SUM(G5:G12)</f>
        <v>0</v>
      </c>
      <c r="H13" s="730"/>
      <c r="I13" s="730"/>
      <c r="J13" s="730"/>
      <c r="K13" s="531"/>
    </row>
    <row r="14" spans="1:11" ht="15" thickBot="1" x14ac:dyDescent="0.3">
      <c r="A14" s="531"/>
      <c r="B14" s="531"/>
      <c r="C14" s="729"/>
      <c r="D14" s="730"/>
      <c r="E14" s="730"/>
      <c r="F14" s="731"/>
      <c r="G14" s="731"/>
      <c r="H14" s="730"/>
      <c r="I14" s="730"/>
      <c r="J14" s="730"/>
      <c r="K14" s="531"/>
    </row>
    <row r="15" spans="1:11" ht="19" customHeight="1" x14ac:dyDescent="0.25">
      <c r="A15" s="531"/>
      <c r="B15" s="1717" t="s">
        <v>645</v>
      </c>
      <c r="C15" s="747"/>
      <c r="D15" s="748"/>
      <c r="E15" s="748"/>
      <c r="F15" s="749"/>
      <c r="G15" s="750">
        <f t="shared" si="0"/>
        <v>0</v>
      </c>
      <c r="H15" s="748"/>
      <c r="I15" s="748"/>
      <c r="J15" s="751"/>
      <c r="K15" s="531"/>
    </row>
    <row r="16" spans="1:11" x14ac:dyDescent="0.25">
      <c r="A16" s="531"/>
      <c r="B16" s="1718"/>
      <c r="C16" s="735"/>
      <c r="D16" s="734"/>
      <c r="E16" s="734"/>
      <c r="F16" s="733"/>
      <c r="G16" s="738">
        <f t="shared" si="0"/>
        <v>0</v>
      </c>
      <c r="H16" s="734"/>
      <c r="I16" s="734"/>
      <c r="J16" s="740"/>
      <c r="K16" s="531"/>
    </row>
    <row r="17" spans="1:15" x14ac:dyDescent="0.25">
      <c r="A17" s="531"/>
      <c r="B17" s="1718"/>
      <c r="C17" s="735"/>
      <c r="D17" s="734"/>
      <c r="E17" s="734"/>
      <c r="F17" s="733"/>
      <c r="G17" s="738">
        <f t="shared" si="0"/>
        <v>0</v>
      </c>
      <c r="H17" s="734"/>
      <c r="I17" s="734"/>
      <c r="J17" s="740"/>
      <c r="K17" s="531"/>
    </row>
    <row r="18" spans="1:15" x14ac:dyDescent="0.25">
      <c r="A18" s="531"/>
      <c r="B18" s="1718"/>
      <c r="C18" s="735"/>
      <c r="D18" s="734"/>
      <c r="E18" s="734"/>
      <c r="F18" s="733"/>
      <c r="G18" s="738">
        <f t="shared" si="0"/>
        <v>0</v>
      </c>
      <c r="H18" s="734"/>
      <c r="I18" s="734"/>
      <c r="J18" s="740"/>
      <c r="K18" s="531"/>
    </row>
    <row r="19" spans="1:15" x14ac:dyDescent="0.25">
      <c r="A19" s="531"/>
      <c r="B19" s="1718"/>
      <c r="C19" s="735"/>
      <c r="D19" s="734"/>
      <c r="E19" s="734"/>
      <c r="F19" s="733"/>
      <c r="G19" s="738">
        <f t="shared" si="0"/>
        <v>0</v>
      </c>
      <c r="H19" s="734"/>
      <c r="I19" s="734"/>
      <c r="J19" s="740"/>
      <c r="K19" s="531"/>
    </row>
    <row r="20" spans="1:15" x14ac:dyDescent="0.25">
      <c r="A20" s="531"/>
      <c r="B20" s="1718"/>
      <c r="C20" s="735"/>
      <c r="D20" s="734"/>
      <c r="E20" s="734"/>
      <c r="F20" s="733"/>
      <c r="G20" s="738">
        <f t="shared" si="0"/>
        <v>0</v>
      </c>
      <c r="H20" s="734"/>
      <c r="I20" s="734"/>
      <c r="J20" s="740"/>
      <c r="K20" s="531"/>
    </row>
    <row r="21" spans="1:15" ht="15" thickBot="1" x14ac:dyDescent="0.3">
      <c r="A21" s="531"/>
      <c r="B21" s="1719"/>
      <c r="C21" s="741"/>
      <c r="D21" s="742"/>
      <c r="E21" s="742"/>
      <c r="F21" s="743"/>
      <c r="G21" s="744">
        <f t="shared" si="0"/>
        <v>0</v>
      </c>
      <c r="H21" s="742"/>
      <c r="I21" s="742"/>
      <c r="J21" s="745"/>
      <c r="K21" s="531"/>
    </row>
    <row r="22" spans="1:15" ht="16.5" customHeight="1" thickBot="1" x14ac:dyDescent="0.3">
      <c r="A22" s="531"/>
      <c r="B22" s="531"/>
      <c r="C22" s="533"/>
      <c r="D22" s="531"/>
      <c r="E22" s="531"/>
      <c r="F22" s="737" t="s">
        <v>671</v>
      </c>
      <c r="G22" s="746">
        <f>SUM(G15:G21)</f>
        <v>0</v>
      </c>
      <c r="H22" s="534"/>
      <c r="I22" s="534"/>
      <c r="J22" s="531"/>
      <c r="K22" s="531"/>
    </row>
    <row r="23" spans="1:15" x14ac:dyDescent="0.25">
      <c r="A23" s="531"/>
      <c r="B23" s="531"/>
      <c r="C23" s="531"/>
      <c r="D23" s="531"/>
      <c r="E23" s="531"/>
      <c r="F23" s="531"/>
      <c r="G23" s="531"/>
      <c r="H23" s="531"/>
      <c r="I23" s="531"/>
      <c r="J23" s="531"/>
      <c r="K23" s="531"/>
    </row>
    <row r="24" spans="1:15" s="536" customFormat="1" ht="33" customHeight="1" x14ac:dyDescent="0.25">
      <c r="A24" s="535"/>
      <c r="B24" s="1710" t="s">
        <v>290</v>
      </c>
      <c r="C24" s="1666" t="s">
        <v>685</v>
      </c>
      <c r="D24" s="1666"/>
      <c r="E24" s="1666"/>
      <c r="F24" s="1666"/>
      <c r="G24" s="1666"/>
      <c r="H24" s="1666"/>
      <c r="I24" s="1666"/>
      <c r="J24" s="1666"/>
      <c r="K24" s="531"/>
      <c r="L24" s="511"/>
      <c r="M24" s="511"/>
      <c r="N24" s="511"/>
      <c r="O24" s="511"/>
    </row>
    <row r="25" spans="1:15" ht="18.649999999999999" customHeight="1" x14ac:dyDescent="0.25">
      <c r="A25" s="531"/>
      <c r="B25" s="1710"/>
      <c r="C25" s="1653" t="s">
        <v>686</v>
      </c>
      <c r="D25" s="1653"/>
      <c r="E25" s="1653"/>
      <c r="F25" s="1653"/>
      <c r="G25" s="1653"/>
      <c r="H25" s="1653"/>
      <c r="I25" s="1653"/>
      <c r="J25" s="1653"/>
      <c r="K25" s="531"/>
    </row>
    <row r="26" spans="1:15" ht="39.65" customHeight="1" x14ac:dyDescent="0.25">
      <c r="A26" s="531"/>
      <c r="B26" s="1710"/>
      <c r="C26" s="1666" t="s">
        <v>687</v>
      </c>
      <c r="D26" s="1666"/>
      <c r="E26" s="1666"/>
      <c r="F26" s="1666"/>
      <c r="G26" s="1666"/>
      <c r="H26" s="1666"/>
      <c r="I26" s="1666"/>
      <c r="J26" s="1666"/>
      <c r="K26" s="531"/>
    </row>
    <row r="27" spans="1:15" ht="64" customHeight="1" x14ac:dyDescent="0.25">
      <c r="A27" s="531"/>
      <c r="B27" s="1710"/>
      <c r="C27" s="1666" t="s">
        <v>688</v>
      </c>
      <c r="D27" s="1666"/>
      <c r="E27" s="1666"/>
      <c r="F27" s="1666"/>
      <c r="G27" s="1666"/>
      <c r="H27" s="1666"/>
      <c r="I27" s="1666"/>
      <c r="J27" s="1666"/>
      <c r="K27" s="535"/>
      <c r="L27" s="536"/>
      <c r="M27" s="536"/>
      <c r="N27" s="536"/>
      <c r="O27" s="536"/>
    </row>
    <row r="28" spans="1:15" ht="24" customHeight="1" x14ac:dyDescent="0.25">
      <c r="A28" s="531"/>
      <c r="B28" s="1710"/>
      <c r="C28" s="1666" t="s">
        <v>689</v>
      </c>
      <c r="D28" s="1666"/>
      <c r="E28" s="1666"/>
      <c r="F28" s="1666"/>
      <c r="G28" s="1666"/>
      <c r="H28" s="1666"/>
      <c r="I28" s="1666"/>
      <c r="J28" s="1666"/>
      <c r="K28" s="531"/>
    </row>
    <row r="29" spans="1:15" ht="69.650000000000006" customHeight="1" x14ac:dyDescent="0.25">
      <c r="A29" s="531"/>
      <c r="B29" s="1710"/>
      <c r="C29" s="1666" t="s">
        <v>690</v>
      </c>
      <c r="D29" s="1666"/>
      <c r="E29" s="1666"/>
      <c r="F29" s="1666"/>
      <c r="G29" s="1666"/>
      <c r="H29" s="1666"/>
      <c r="I29" s="1666"/>
      <c r="J29" s="1666"/>
      <c r="K29" s="531"/>
    </row>
    <row r="30" spans="1:15" ht="15" customHeight="1" x14ac:dyDescent="0.25">
      <c r="A30" s="531"/>
      <c r="B30" s="531"/>
      <c r="C30" s="531"/>
      <c r="D30" s="531"/>
      <c r="E30" s="531"/>
      <c r="F30" s="531"/>
      <c r="G30" s="531"/>
      <c r="H30" s="531"/>
      <c r="I30" s="531"/>
      <c r="J30" s="531"/>
      <c r="K30" s="531"/>
    </row>
    <row r="31" spans="1:15" ht="26.5" customHeight="1" x14ac:dyDescent="0.25">
      <c r="A31" s="531"/>
      <c r="B31" s="736" t="s">
        <v>292</v>
      </c>
      <c r="C31" s="1666" t="s">
        <v>691</v>
      </c>
      <c r="D31" s="1666"/>
      <c r="E31" s="1666"/>
      <c r="F31" s="1666"/>
      <c r="G31" s="1666"/>
      <c r="H31" s="1666"/>
      <c r="I31" s="1666"/>
      <c r="J31" s="1666"/>
      <c r="K31" s="739"/>
    </row>
    <row r="32" spans="1:15" ht="23.5" customHeight="1" x14ac:dyDescent="0.25">
      <c r="A32" s="531"/>
      <c r="B32" s="736" t="s">
        <v>294</v>
      </c>
      <c r="C32" s="1666" t="s">
        <v>692</v>
      </c>
      <c r="D32" s="1666"/>
      <c r="E32" s="1666"/>
      <c r="F32" s="1666"/>
      <c r="G32" s="1666"/>
      <c r="H32" s="1666"/>
      <c r="I32" s="1666"/>
      <c r="J32" s="1666"/>
      <c r="K32" s="739"/>
    </row>
    <row r="33" spans="1:11" ht="34" customHeight="1" x14ac:dyDescent="0.25">
      <c r="A33" s="531"/>
      <c r="B33" s="736" t="s">
        <v>463</v>
      </c>
      <c r="C33" s="1666" t="s">
        <v>680</v>
      </c>
      <c r="D33" s="1666"/>
      <c r="E33" s="1666"/>
      <c r="F33" s="1666"/>
      <c r="G33" s="1666"/>
      <c r="H33" s="1666"/>
      <c r="I33" s="1666"/>
      <c r="J33" s="1666"/>
      <c r="K33" s="739"/>
    </row>
    <row r="34" spans="1:11" x14ac:dyDescent="0.25">
      <c r="A34" s="531"/>
      <c r="B34" s="531"/>
      <c r="C34" s="531"/>
      <c r="D34" s="531"/>
      <c r="E34" s="531"/>
      <c r="F34" s="531"/>
      <c r="G34" s="531"/>
      <c r="H34" s="531"/>
      <c r="I34" s="531"/>
      <c r="J34" s="531"/>
      <c r="K34" s="531"/>
    </row>
    <row r="35" spans="1:11" x14ac:dyDescent="0.25">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orientation="landscape" horizontalDpi="1200" verticalDpi="1200" r:id="rId1"/>
  <headerFooter alignWithMargins="0"/>
  <rowBreaks count="1" manualBreakCount="1">
    <brk id="23" max="10"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AT93"/>
  <sheetViews>
    <sheetView view="pageBreakPreview" zoomScaleNormal="100" zoomScaleSheetLayoutView="100" workbookViewId="0">
      <pane xSplit="3" ySplit="5" topLeftCell="D6" activePane="bottomRight" state="frozen"/>
      <selection pane="topRight" activeCell="D1" sqref="D1"/>
      <selection pane="bottomLeft" activeCell="A6" sqref="A6"/>
      <selection pane="bottomRight"/>
    </sheetView>
  </sheetViews>
  <sheetFormatPr defaultColWidth="21.26953125" defaultRowHeight="13" x14ac:dyDescent="0.25"/>
  <cols>
    <col min="1" max="1" width="4.1796875" style="292" customWidth="1"/>
    <col min="2" max="2" width="27.54296875" style="292" customWidth="1"/>
    <col min="3" max="3" width="25.453125" style="292" customWidth="1"/>
    <col min="4" max="4" width="2.54296875" style="292" customWidth="1"/>
    <col min="5" max="5" width="13.453125" style="292" customWidth="1"/>
    <col min="6" max="6" width="14.1796875" style="292" customWidth="1"/>
    <col min="7" max="7" width="2.453125" style="292" customWidth="1"/>
    <col min="8" max="8" width="11.54296875" style="292" customWidth="1"/>
    <col min="9" max="9" width="18.26953125" style="292" customWidth="1"/>
    <col min="10" max="10" width="2.81640625" style="292" customWidth="1"/>
    <col min="11" max="11" width="11.7265625" style="292" customWidth="1"/>
    <col min="12" max="12" width="16.54296875" style="292" customWidth="1"/>
    <col min="13" max="13" width="2.7265625" style="292" customWidth="1"/>
    <col min="14" max="14" width="10.453125" style="292" customWidth="1"/>
    <col min="15" max="15" width="17" style="292" customWidth="1"/>
    <col min="16" max="16" width="2.453125" style="292" customWidth="1"/>
    <col min="17" max="17" width="13.1796875" style="292" customWidth="1"/>
    <col min="18" max="18" width="15.453125" style="292" customWidth="1"/>
    <col min="19" max="19" width="2.1796875" style="292" customWidth="1"/>
    <col min="20" max="20" width="12.26953125" style="292" customWidth="1"/>
    <col min="21" max="21" width="16.54296875" style="292" customWidth="1"/>
    <col min="22" max="22" width="2.1796875" style="620" customWidth="1"/>
    <col min="23" max="23" width="13.81640625" style="292" customWidth="1"/>
    <col min="24" max="24" width="17.54296875" style="292" customWidth="1"/>
    <col min="25" max="25" width="7.453125" style="292" customWidth="1"/>
    <col min="26" max="16384" width="21.26953125" style="292"/>
  </cols>
  <sheetData>
    <row r="1" spans="1:25" ht="17.5" customHeight="1" x14ac:dyDescent="0.25">
      <c r="A1" s="957"/>
      <c r="B1" s="957"/>
      <c r="C1" s="957"/>
      <c r="D1" s="957"/>
      <c r="E1" s="957"/>
      <c r="F1" s="957"/>
      <c r="G1" s="957"/>
      <c r="H1" s="957"/>
      <c r="I1" s="957"/>
      <c r="J1" s="957"/>
      <c r="K1" s="957"/>
      <c r="L1" s="957"/>
      <c r="M1" s="957"/>
      <c r="N1" s="957"/>
      <c r="O1" s="957"/>
      <c r="P1" s="957"/>
      <c r="Q1" s="957"/>
      <c r="R1" s="957"/>
      <c r="S1" s="957"/>
      <c r="T1" s="957"/>
      <c r="U1" s="957"/>
      <c r="V1" s="957"/>
      <c r="W1" s="957"/>
      <c r="X1" s="957"/>
      <c r="Y1" s="957"/>
    </row>
    <row r="2" spans="1:25" ht="24" customHeight="1" x14ac:dyDescent="0.25">
      <c r="A2" s="957"/>
      <c r="B2" s="807" t="s">
        <v>318</v>
      </c>
      <c r="C2" s="1131" t="str">
        <f>General!D4</f>
        <v>Name</v>
      </c>
      <c r="D2" s="1081"/>
      <c r="E2" s="1081"/>
      <c r="F2" s="957"/>
      <c r="G2" s="957"/>
      <c r="H2" s="957"/>
      <c r="I2" s="957"/>
      <c r="J2" s="957"/>
      <c r="K2" s="1678" t="s">
        <v>693</v>
      </c>
      <c r="L2" s="1678"/>
      <c r="M2" s="1678"/>
      <c r="N2" s="1678"/>
      <c r="O2" s="957"/>
      <c r="P2" s="957"/>
      <c r="Q2" s="957"/>
      <c r="R2" s="957"/>
      <c r="S2" s="957"/>
      <c r="T2" s="957"/>
      <c r="U2" s="957"/>
      <c r="V2" s="957"/>
      <c r="W2" s="957"/>
      <c r="X2" s="957"/>
      <c r="Y2" s="957"/>
    </row>
    <row r="3" spans="1:25" ht="23.15" customHeight="1" x14ac:dyDescent="0.25">
      <c r="A3" s="957"/>
      <c r="B3" s="807" t="s">
        <v>319</v>
      </c>
      <c r="C3" s="1131" t="str">
        <f>General!D5</f>
        <v>Name</v>
      </c>
      <c r="D3" s="1081"/>
      <c r="E3" s="1081"/>
      <c r="F3" s="957"/>
      <c r="G3" s="957"/>
      <c r="H3" s="957"/>
      <c r="I3" s="957"/>
      <c r="J3" s="957"/>
      <c r="K3" s="957"/>
      <c r="L3" s="957"/>
      <c r="M3" s="957"/>
      <c r="N3" s="957"/>
      <c r="O3" s="957"/>
      <c r="P3" s="957"/>
      <c r="Q3" s="957"/>
      <c r="R3" s="957"/>
      <c r="S3" s="957"/>
      <c r="T3" s="957"/>
      <c r="U3" s="957"/>
      <c r="V3" s="957"/>
      <c r="W3" s="957"/>
      <c r="X3" s="957"/>
      <c r="Y3" s="957"/>
    </row>
    <row r="4" spans="1:25" ht="13" customHeight="1" x14ac:dyDescent="0.25">
      <c r="A4" s="957"/>
      <c r="B4" s="957"/>
      <c r="C4" s="1040"/>
      <c r="D4" s="1040"/>
      <c r="E4" s="1363"/>
      <c r="F4" s="1363"/>
      <c r="G4" s="957"/>
      <c r="H4" s="1363"/>
      <c r="I4" s="1363"/>
      <c r="J4" s="957"/>
      <c r="K4" s="1363"/>
      <c r="L4" s="1363"/>
      <c r="M4" s="957"/>
      <c r="N4" s="1363"/>
      <c r="O4" s="1363"/>
      <c r="P4" s="957"/>
      <c r="Q4" s="1363"/>
      <c r="R4" s="1363"/>
      <c r="S4" s="957"/>
      <c r="T4" s="1363"/>
      <c r="U4" s="1363"/>
      <c r="V4" s="957"/>
      <c r="W4" s="957"/>
      <c r="X4" s="957"/>
      <c r="Y4" s="957"/>
    </row>
    <row r="5" spans="1:25" ht="18" customHeight="1" x14ac:dyDescent="0.25">
      <c r="A5" s="957"/>
      <c r="B5" s="1746" t="s">
        <v>426</v>
      </c>
      <c r="C5" s="1746"/>
      <c r="D5" s="1040"/>
      <c r="E5" s="1741" t="s">
        <v>569</v>
      </c>
      <c r="F5" s="1741"/>
      <c r="G5" s="1040"/>
      <c r="H5" s="1741" t="s">
        <v>570</v>
      </c>
      <c r="I5" s="1741"/>
      <c r="J5" s="1065"/>
      <c r="K5" s="1741" t="s">
        <v>571</v>
      </c>
      <c r="L5" s="1741"/>
      <c r="M5" s="1040"/>
      <c r="N5" s="1741" t="s">
        <v>572</v>
      </c>
      <c r="O5" s="1741"/>
      <c r="P5" s="1040"/>
      <c r="Q5" s="1741" t="s">
        <v>573</v>
      </c>
      <c r="R5" s="1741"/>
      <c r="S5" s="1065"/>
      <c r="T5" s="1741" t="s">
        <v>574</v>
      </c>
      <c r="U5" s="1741"/>
      <c r="V5" s="1088"/>
      <c r="W5" s="1736" t="s">
        <v>694</v>
      </c>
      <c r="X5" s="1737"/>
      <c r="Y5" s="957"/>
    </row>
    <row r="6" spans="1:25" ht="29.15" customHeight="1" x14ac:dyDescent="0.25">
      <c r="A6" s="957"/>
      <c r="B6" s="1746"/>
      <c r="C6" s="1746"/>
      <c r="D6" s="1040"/>
      <c r="E6" s="1733" t="str">
        <f>'Phase 1 Costs'!$C2</f>
        <v>Proposed PoP as "MM/YY to MM/YY"</v>
      </c>
      <c r="F6" s="1733"/>
      <c r="G6" s="1080"/>
      <c r="H6" s="1733" t="str">
        <f>'Phase 2 Costs '!$C2</f>
        <v>Proposed PoP as "MM/YY to MM/YY"</v>
      </c>
      <c r="I6" s="1733"/>
      <c r="J6" s="1066"/>
      <c r="K6" s="1733" t="str">
        <f>'Phase 3 Costs'!$C2</f>
        <v>Proposed PoP as "MM/YY to MM/YY"</v>
      </c>
      <c r="L6" s="1733"/>
      <c r="M6" s="1080"/>
      <c r="N6" s="1733" t="str">
        <f>'Phase 4 Costs'!$C2</f>
        <v>Proposed PoP as "MM/YY to MM/YY"</v>
      </c>
      <c r="O6" s="1733"/>
      <c r="P6" s="1080"/>
      <c r="Q6" s="1733" t="str">
        <f>'Phase 5 Costs'!$C2</f>
        <v>Proposed PoP as "MM/YY to MM/YY"</v>
      </c>
      <c r="R6" s="1733"/>
      <c r="S6" s="1066"/>
      <c r="T6" s="1733" t="str">
        <f>'Phase 6 Costs'!$C2</f>
        <v>Proposed PoP as "MM/YY to MM/YY"</v>
      </c>
      <c r="U6" s="1733"/>
      <c r="V6" s="1089"/>
      <c r="W6" s="1740" t="s">
        <v>695</v>
      </c>
      <c r="X6" s="1740"/>
      <c r="Y6" s="957"/>
    </row>
    <row r="7" spans="1:25" ht="30" customHeight="1" x14ac:dyDescent="0.25">
      <c r="A7" s="957"/>
      <c r="B7" s="817" t="s">
        <v>696</v>
      </c>
      <c r="C7" s="1197" t="s">
        <v>287</v>
      </c>
      <c r="D7" s="1065"/>
      <c r="E7" s="808" t="s">
        <v>325</v>
      </c>
      <c r="F7" s="809" t="s">
        <v>697</v>
      </c>
      <c r="G7" s="1065"/>
      <c r="H7" s="808" t="s">
        <v>325</v>
      </c>
      <c r="I7" s="809" t="s">
        <v>697</v>
      </c>
      <c r="J7" s="1065"/>
      <c r="K7" s="808" t="s">
        <v>325</v>
      </c>
      <c r="L7" s="809" t="s">
        <v>697</v>
      </c>
      <c r="M7" s="1065"/>
      <c r="N7" s="808" t="s">
        <v>325</v>
      </c>
      <c r="O7" s="809" t="s">
        <v>697</v>
      </c>
      <c r="P7" s="1065"/>
      <c r="Q7" s="808" t="s">
        <v>325</v>
      </c>
      <c r="R7" s="809" t="s">
        <v>697</v>
      </c>
      <c r="S7" s="1065"/>
      <c r="T7" s="808" t="s">
        <v>325</v>
      </c>
      <c r="U7" s="816" t="s">
        <v>697</v>
      </c>
      <c r="V7" s="1090"/>
      <c r="W7" s="808" t="s">
        <v>325</v>
      </c>
      <c r="X7" s="809" t="s">
        <v>697</v>
      </c>
      <c r="Y7" s="957"/>
    </row>
    <row r="8" spans="1:25" x14ac:dyDescent="0.25">
      <c r="A8" s="957"/>
      <c r="B8" s="820" t="str">
        <f>IF(ISBLANK('Labor Rates'!D8),"",'Labor Rates'!D8)</f>
        <v/>
      </c>
      <c r="C8" s="820" t="str">
        <f>IF(ISBLANK('Labor Rates'!E8),"",'Labor Rates'!E8)</f>
        <v/>
      </c>
      <c r="D8" s="1082"/>
      <c r="E8" s="819">
        <f>'Phase 1 Costs'!$AC9</f>
        <v>0</v>
      </c>
      <c r="F8" s="813">
        <f>'Phase 1 Costs'!AD9</f>
        <v>0</v>
      </c>
      <c r="G8" s="1067"/>
      <c r="H8" s="819">
        <f>'Phase 2 Costs '!AC9</f>
        <v>0</v>
      </c>
      <c r="I8" s="813">
        <f>'Phase 2 Costs '!AD9</f>
        <v>0</v>
      </c>
      <c r="J8" s="1067"/>
      <c r="K8" s="819">
        <f>'Phase 3 Costs'!AC9</f>
        <v>0</v>
      </c>
      <c r="L8" s="813">
        <f>'Phase 3 Costs'!AD9</f>
        <v>0</v>
      </c>
      <c r="M8" s="1067"/>
      <c r="N8" s="819">
        <f>'Phase 4 Costs'!$AC9</f>
        <v>0</v>
      </c>
      <c r="O8" s="813">
        <f>'Phase 4 Costs'!$AD9</f>
        <v>0</v>
      </c>
      <c r="P8" s="1067"/>
      <c r="Q8" s="819">
        <f>'Phase 5 Costs'!$AC9</f>
        <v>0</v>
      </c>
      <c r="R8" s="813">
        <f>'Phase 5 Costs'!$AD9</f>
        <v>0</v>
      </c>
      <c r="S8" s="1067"/>
      <c r="T8" s="819">
        <f>'Phase 6 Costs'!$AC9</f>
        <v>0</v>
      </c>
      <c r="U8" s="813">
        <f>'Phase 6 Costs'!$AD9</f>
        <v>0</v>
      </c>
      <c r="V8" s="1067"/>
      <c r="W8" s="819">
        <f t="shared" ref="W8:W31" si="0">E8+H8+K8+N8+Q8+T8</f>
        <v>0</v>
      </c>
      <c r="X8" s="813">
        <f t="shared" ref="X8:X31" si="1">F8+I8+L8+O8+R8+U8</f>
        <v>0</v>
      </c>
      <c r="Y8" s="957"/>
    </row>
    <row r="9" spans="1:25" x14ac:dyDescent="0.25">
      <c r="A9" s="957"/>
      <c r="B9" s="820" t="str">
        <f>IF(ISBLANK('Labor Rates'!D9),"",'Labor Rates'!D9)</f>
        <v/>
      </c>
      <c r="C9" s="820" t="str">
        <f>IF(ISBLANK('Labor Rates'!E9),"",'Labor Rates'!E9)</f>
        <v/>
      </c>
      <c r="D9" s="1082"/>
      <c r="E9" s="819">
        <f>'Phase 1 Costs'!$AC10</f>
        <v>0</v>
      </c>
      <c r="F9" s="813">
        <f>'Phase 1 Costs'!AD10</f>
        <v>0</v>
      </c>
      <c r="G9" s="1067"/>
      <c r="H9" s="819">
        <f>'Phase 2 Costs '!AC10</f>
        <v>0</v>
      </c>
      <c r="I9" s="813">
        <f>'Phase 2 Costs '!AD10</f>
        <v>0</v>
      </c>
      <c r="J9" s="1067"/>
      <c r="K9" s="819">
        <f>'Phase 3 Costs'!AC10</f>
        <v>0</v>
      </c>
      <c r="L9" s="813">
        <f>'Phase 3 Costs'!AD10</f>
        <v>0</v>
      </c>
      <c r="M9" s="1067"/>
      <c r="N9" s="819">
        <f>'Phase 4 Costs'!$AC10</f>
        <v>0</v>
      </c>
      <c r="O9" s="813">
        <f>'Phase 4 Costs'!$AD10</f>
        <v>0</v>
      </c>
      <c r="P9" s="1067"/>
      <c r="Q9" s="819">
        <f>'Phase 5 Costs'!$AC10</f>
        <v>0</v>
      </c>
      <c r="R9" s="813">
        <f>'Phase 5 Costs'!$AD10</f>
        <v>0</v>
      </c>
      <c r="S9" s="1067"/>
      <c r="T9" s="819">
        <f>'Phase 6 Costs'!$AC10</f>
        <v>0</v>
      </c>
      <c r="U9" s="813">
        <f>'Phase 6 Costs'!$AD10</f>
        <v>0</v>
      </c>
      <c r="V9" s="1067"/>
      <c r="W9" s="819">
        <f t="shared" si="0"/>
        <v>0</v>
      </c>
      <c r="X9" s="813">
        <f t="shared" si="1"/>
        <v>0</v>
      </c>
      <c r="Y9" s="957"/>
    </row>
    <row r="10" spans="1:25" x14ac:dyDescent="0.25">
      <c r="A10" s="957"/>
      <c r="B10" s="820" t="str">
        <f>IF(ISBLANK('Labor Rates'!D10),"",'Labor Rates'!D10)</f>
        <v/>
      </c>
      <c r="C10" s="820" t="str">
        <f>IF(ISBLANK('Labor Rates'!E10),"",'Labor Rates'!E10)</f>
        <v/>
      </c>
      <c r="D10" s="1082"/>
      <c r="E10" s="819">
        <f>'Phase 1 Costs'!$AC11</f>
        <v>0</v>
      </c>
      <c r="F10" s="813">
        <f>'Phase 1 Costs'!AD11</f>
        <v>0</v>
      </c>
      <c r="G10" s="1067"/>
      <c r="H10" s="819">
        <f>'Phase 2 Costs '!AC11</f>
        <v>0</v>
      </c>
      <c r="I10" s="813">
        <f>'Phase 2 Costs '!AD11</f>
        <v>0</v>
      </c>
      <c r="J10" s="1067"/>
      <c r="K10" s="819">
        <f>'Phase 3 Costs'!AC11</f>
        <v>0</v>
      </c>
      <c r="L10" s="813">
        <f>'Phase 3 Costs'!AD11</f>
        <v>0</v>
      </c>
      <c r="M10" s="1067"/>
      <c r="N10" s="819">
        <f>'Phase 4 Costs'!$AC11</f>
        <v>0</v>
      </c>
      <c r="O10" s="813">
        <f>'Phase 4 Costs'!$AD11</f>
        <v>0</v>
      </c>
      <c r="P10" s="1067"/>
      <c r="Q10" s="819">
        <f>'Phase 5 Costs'!$AC11</f>
        <v>0</v>
      </c>
      <c r="R10" s="813">
        <f>'Phase 5 Costs'!$AD11</f>
        <v>0</v>
      </c>
      <c r="S10" s="1067"/>
      <c r="T10" s="819">
        <f>'Phase 6 Costs'!$AC11</f>
        <v>0</v>
      </c>
      <c r="U10" s="813">
        <f>'Phase 6 Costs'!$AD11</f>
        <v>0</v>
      </c>
      <c r="V10" s="1067"/>
      <c r="W10" s="819">
        <f t="shared" si="0"/>
        <v>0</v>
      </c>
      <c r="X10" s="813">
        <f t="shared" si="1"/>
        <v>0</v>
      </c>
      <c r="Y10" s="957"/>
    </row>
    <row r="11" spans="1:25" x14ac:dyDescent="0.25">
      <c r="A11" s="957"/>
      <c r="B11" s="820" t="str">
        <f>IF(ISBLANK('Labor Rates'!D11),"",'Labor Rates'!D11)</f>
        <v/>
      </c>
      <c r="C11" s="820" t="str">
        <f>IF(ISBLANK('Labor Rates'!E11),"",'Labor Rates'!E11)</f>
        <v/>
      </c>
      <c r="D11" s="1082"/>
      <c r="E11" s="819">
        <f>'Phase 1 Costs'!$AC12</f>
        <v>0</v>
      </c>
      <c r="F11" s="813">
        <f>'Phase 1 Costs'!AD12</f>
        <v>0</v>
      </c>
      <c r="G11" s="1067"/>
      <c r="H11" s="819">
        <f>'Phase 2 Costs '!AC12</f>
        <v>0</v>
      </c>
      <c r="I11" s="813">
        <f>'Phase 2 Costs '!AD12</f>
        <v>0</v>
      </c>
      <c r="J11" s="1067"/>
      <c r="K11" s="819">
        <f>'Phase 3 Costs'!AC12</f>
        <v>0</v>
      </c>
      <c r="L11" s="813">
        <f>'Phase 3 Costs'!AD12</f>
        <v>0</v>
      </c>
      <c r="M11" s="1067"/>
      <c r="N11" s="819">
        <f>'Phase 4 Costs'!$AC12</f>
        <v>0</v>
      </c>
      <c r="O11" s="813">
        <f>'Phase 4 Costs'!$AD12</f>
        <v>0</v>
      </c>
      <c r="P11" s="1067"/>
      <c r="Q11" s="819">
        <f>'Phase 5 Costs'!$AC12</f>
        <v>0</v>
      </c>
      <c r="R11" s="813">
        <f>'Phase 5 Costs'!$AD12</f>
        <v>0</v>
      </c>
      <c r="S11" s="1067"/>
      <c r="T11" s="819">
        <f>'Phase 6 Costs'!$AC12</f>
        <v>0</v>
      </c>
      <c r="U11" s="813">
        <f>'Phase 6 Costs'!$AD12</f>
        <v>0</v>
      </c>
      <c r="V11" s="1067"/>
      <c r="W11" s="819">
        <f t="shared" si="0"/>
        <v>0</v>
      </c>
      <c r="X11" s="813">
        <f t="shared" si="1"/>
        <v>0</v>
      </c>
      <c r="Y11" s="957"/>
    </row>
    <row r="12" spans="1:25" x14ac:dyDescent="0.25">
      <c r="A12" s="957"/>
      <c r="B12" s="820" t="str">
        <f>IF(ISBLANK('Labor Rates'!D12),"",'Labor Rates'!D12)</f>
        <v/>
      </c>
      <c r="C12" s="820" t="str">
        <f>IF(ISBLANK('Labor Rates'!E12),"",'Labor Rates'!E12)</f>
        <v/>
      </c>
      <c r="D12" s="1082"/>
      <c r="E12" s="819">
        <f>'Phase 1 Costs'!$AC13</f>
        <v>0</v>
      </c>
      <c r="F12" s="813">
        <f>'Phase 1 Costs'!AD13</f>
        <v>0</v>
      </c>
      <c r="G12" s="1067"/>
      <c r="H12" s="819">
        <f>'Phase 2 Costs '!AC13</f>
        <v>0</v>
      </c>
      <c r="I12" s="813">
        <f>'Phase 2 Costs '!AD13</f>
        <v>0</v>
      </c>
      <c r="J12" s="1067"/>
      <c r="K12" s="819">
        <f>'Phase 3 Costs'!AC13</f>
        <v>0</v>
      </c>
      <c r="L12" s="813">
        <f>'Phase 3 Costs'!AD13</f>
        <v>0</v>
      </c>
      <c r="M12" s="1067"/>
      <c r="N12" s="819">
        <f>'Phase 4 Costs'!$AC13</f>
        <v>0</v>
      </c>
      <c r="O12" s="813">
        <f>'Phase 4 Costs'!$AD13</f>
        <v>0</v>
      </c>
      <c r="P12" s="1067"/>
      <c r="Q12" s="819">
        <f>'Phase 5 Costs'!$AC13</f>
        <v>0</v>
      </c>
      <c r="R12" s="813">
        <f>'Phase 5 Costs'!$AD13</f>
        <v>0</v>
      </c>
      <c r="S12" s="1067"/>
      <c r="T12" s="819">
        <f>'Phase 6 Costs'!$AC13</f>
        <v>0</v>
      </c>
      <c r="U12" s="813">
        <f>'Phase 6 Costs'!$AD13</f>
        <v>0</v>
      </c>
      <c r="V12" s="1067"/>
      <c r="W12" s="819">
        <f t="shared" si="0"/>
        <v>0</v>
      </c>
      <c r="X12" s="813">
        <f t="shared" si="1"/>
        <v>0</v>
      </c>
      <c r="Y12" s="957"/>
    </row>
    <row r="13" spans="1:25" x14ac:dyDescent="0.25">
      <c r="A13" s="957"/>
      <c r="B13" s="820" t="str">
        <f>IF(ISBLANK('Labor Rates'!D13),"",'Labor Rates'!D13)</f>
        <v/>
      </c>
      <c r="C13" s="820" t="str">
        <f>IF(ISBLANK('Labor Rates'!E13),"",'Labor Rates'!E13)</f>
        <v/>
      </c>
      <c r="D13" s="1082"/>
      <c r="E13" s="819">
        <f>'Phase 1 Costs'!$AC14</f>
        <v>0</v>
      </c>
      <c r="F13" s="813">
        <f>'Phase 1 Costs'!AD14</f>
        <v>0</v>
      </c>
      <c r="G13" s="1067"/>
      <c r="H13" s="819">
        <f>'Phase 2 Costs '!AC14</f>
        <v>0</v>
      </c>
      <c r="I13" s="813">
        <f>'Phase 2 Costs '!AD14</f>
        <v>0</v>
      </c>
      <c r="J13" s="1067"/>
      <c r="K13" s="819">
        <f>'Phase 3 Costs'!AC14</f>
        <v>0</v>
      </c>
      <c r="L13" s="813">
        <f>'Phase 3 Costs'!AD14</f>
        <v>0</v>
      </c>
      <c r="M13" s="1067"/>
      <c r="N13" s="819">
        <f>'Phase 4 Costs'!$AC14</f>
        <v>0</v>
      </c>
      <c r="O13" s="813">
        <f>'Phase 4 Costs'!$AD14</f>
        <v>0</v>
      </c>
      <c r="P13" s="1067"/>
      <c r="Q13" s="819">
        <f>'Phase 5 Costs'!$AC14</f>
        <v>0</v>
      </c>
      <c r="R13" s="813">
        <f>'Phase 5 Costs'!$AD14</f>
        <v>0</v>
      </c>
      <c r="S13" s="1067"/>
      <c r="T13" s="819">
        <f>'Phase 6 Costs'!$AC14</f>
        <v>0</v>
      </c>
      <c r="U13" s="813">
        <f>'Phase 6 Costs'!$AD14</f>
        <v>0</v>
      </c>
      <c r="V13" s="1067"/>
      <c r="W13" s="819">
        <f t="shared" si="0"/>
        <v>0</v>
      </c>
      <c r="X13" s="813">
        <f t="shared" si="1"/>
        <v>0</v>
      </c>
      <c r="Y13" s="957"/>
    </row>
    <row r="14" spans="1:25" x14ac:dyDescent="0.25">
      <c r="A14" s="957"/>
      <c r="B14" s="820" t="str">
        <f>IF(ISBLANK('Labor Rates'!D14),"",'Labor Rates'!D14)</f>
        <v/>
      </c>
      <c r="C14" s="820" t="str">
        <f>IF(ISBLANK('Labor Rates'!E14),"",'Labor Rates'!E14)</f>
        <v/>
      </c>
      <c r="D14" s="1082"/>
      <c r="E14" s="819">
        <f>'Phase 1 Costs'!$AC15</f>
        <v>0</v>
      </c>
      <c r="F14" s="813">
        <f>'Phase 1 Costs'!AD15</f>
        <v>0</v>
      </c>
      <c r="G14" s="1067"/>
      <c r="H14" s="819">
        <f>'Phase 2 Costs '!AC15</f>
        <v>0</v>
      </c>
      <c r="I14" s="813">
        <f>'Phase 2 Costs '!AD15</f>
        <v>0</v>
      </c>
      <c r="J14" s="1067"/>
      <c r="K14" s="819">
        <f>'Phase 3 Costs'!AC15</f>
        <v>0</v>
      </c>
      <c r="L14" s="813">
        <f>'Phase 3 Costs'!AD15</f>
        <v>0</v>
      </c>
      <c r="M14" s="1067"/>
      <c r="N14" s="819">
        <f>'Phase 4 Costs'!$AC15</f>
        <v>0</v>
      </c>
      <c r="O14" s="813">
        <f>'Phase 4 Costs'!$AD15</f>
        <v>0</v>
      </c>
      <c r="P14" s="1067"/>
      <c r="Q14" s="819">
        <f>'Phase 5 Costs'!$AC15</f>
        <v>0</v>
      </c>
      <c r="R14" s="813">
        <f>'Phase 5 Costs'!$AD15</f>
        <v>0</v>
      </c>
      <c r="S14" s="1067"/>
      <c r="T14" s="819">
        <f>'Phase 6 Costs'!$AC15</f>
        <v>0</v>
      </c>
      <c r="U14" s="813">
        <f>'Phase 6 Costs'!$AD15</f>
        <v>0</v>
      </c>
      <c r="V14" s="1067"/>
      <c r="W14" s="819">
        <f t="shared" si="0"/>
        <v>0</v>
      </c>
      <c r="X14" s="813">
        <f t="shared" si="1"/>
        <v>0</v>
      </c>
      <c r="Y14" s="957"/>
    </row>
    <row r="15" spans="1:25" x14ac:dyDescent="0.25">
      <c r="A15" s="957"/>
      <c r="B15" s="820" t="str">
        <f>IF(ISBLANK('Labor Rates'!D15),"",'Labor Rates'!D15)</f>
        <v/>
      </c>
      <c r="C15" s="820" t="str">
        <f>IF(ISBLANK('Labor Rates'!E15),"",'Labor Rates'!E15)</f>
        <v/>
      </c>
      <c r="D15" s="1082"/>
      <c r="E15" s="819">
        <f>'Phase 1 Costs'!$AC16</f>
        <v>0</v>
      </c>
      <c r="F15" s="813">
        <f>'Phase 1 Costs'!AD16</f>
        <v>0</v>
      </c>
      <c r="G15" s="1067"/>
      <c r="H15" s="819">
        <f>'Phase 2 Costs '!AC16</f>
        <v>0</v>
      </c>
      <c r="I15" s="813">
        <f>'Phase 2 Costs '!AD16</f>
        <v>0</v>
      </c>
      <c r="J15" s="1067"/>
      <c r="K15" s="819">
        <f>'Phase 3 Costs'!AC16</f>
        <v>0</v>
      </c>
      <c r="L15" s="813">
        <f>'Phase 3 Costs'!AD16</f>
        <v>0</v>
      </c>
      <c r="M15" s="1067"/>
      <c r="N15" s="819">
        <f>'Phase 4 Costs'!$AC16</f>
        <v>0</v>
      </c>
      <c r="O15" s="813">
        <f>'Phase 4 Costs'!$AD16</f>
        <v>0</v>
      </c>
      <c r="P15" s="1067"/>
      <c r="Q15" s="819">
        <f>'Phase 5 Costs'!$AC16</f>
        <v>0</v>
      </c>
      <c r="R15" s="813">
        <f>'Phase 5 Costs'!$AD16</f>
        <v>0</v>
      </c>
      <c r="S15" s="1067"/>
      <c r="T15" s="819">
        <f>'Phase 6 Costs'!$AC16</f>
        <v>0</v>
      </c>
      <c r="U15" s="813">
        <f>'Phase 6 Costs'!$AD16</f>
        <v>0</v>
      </c>
      <c r="V15" s="1067"/>
      <c r="W15" s="819">
        <f t="shared" si="0"/>
        <v>0</v>
      </c>
      <c r="X15" s="813">
        <f t="shared" si="1"/>
        <v>0</v>
      </c>
      <c r="Y15" s="957"/>
    </row>
    <row r="16" spans="1:25" x14ac:dyDescent="0.25">
      <c r="A16" s="957"/>
      <c r="B16" s="820" t="str">
        <f>IF(ISBLANK('Labor Rates'!D16),"",'Labor Rates'!D16)</f>
        <v/>
      </c>
      <c r="C16" s="820" t="str">
        <f>IF(ISBLANK('Labor Rates'!E16),"",'Labor Rates'!E16)</f>
        <v/>
      </c>
      <c r="D16" s="1082"/>
      <c r="E16" s="819">
        <f>'Phase 1 Costs'!$AC17</f>
        <v>0</v>
      </c>
      <c r="F16" s="813">
        <f>'Phase 1 Costs'!AD17</f>
        <v>0</v>
      </c>
      <c r="G16" s="1067"/>
      <c r="H16" s="819">
        <f>'Phase 2 Costs '!AC17</f>
        <v>0</v>
      </c>
      <c r="I16" s="813">
        <f>'Phase 2 Costs '!AD17</f>
        <v>0</v>
      </c>
      <c r="J16" s="1067"/>
      <c r="K16" s="819">
        <f>'Phase 3 Costs'!AC17</f>
        <v>0</v>
      </c>
      <c r="L16" s="813">
        <f>'Phase 3 Costs'!AD17</f>
        <v>0</v>
      </c>
      <c r="M16" s="1067"/>
      <c r="N16" s="819">
        <f>'Phase 4 Costs'!$AC17</f>
        <v>0</v>
      </c>
      <c r="O16" s="813">
        <f>'Phase 4 Costs'!$AD17</f>
        <v>0</v>
      </c>
      <c r="P16" s="1067"/>
      <c r="Q16" s="819">
        <f>'Phase 5 Costs'!$AC17</f>
        <v>0</v>
      </c>
      <c r="R16" s="813">
        <f>'Phase 5 Costs'!$AD17</f>
        <v>0</v>
      </c>
      <c r="S16" s="1067"/>
      <c r="T16" s="819">
        <f>'Phase 6 Costs'!$AC17</f>
        <v>0</v>
      </c>
      <c r="U16" s="813">
        <f>'Phase 6 Costs'!$AD17</f>
        <v>0</v>
      </c>
      <c r="V16" s="1067"/>
      <c r="W16" s="819">
        <f t="shared" si="0"/>
        <v>0</v>
      </c>
      <c r="X16" s="813">
        <f t="shared" si="1"/>
        <v>0</v>
      </c>
      <c r="Y16" s="957"/>
    </row>
    <row r="17" spans="1:25" x14ac:dyDescent="0.25">
      <c r="A17" s="957"/>
      <c r="B17" s="820" t="str">
        <f>IF(ISBLANK('Labor Rates'!D17),"",'Labor Rates'!D17)</f>
        <v/>
      </c>
      <c r="C17" s="820" t="str">
        <f>IF(ISBLANK('Labor Rates'!E17),"",'Labor Rates'!E17)</f>
        <v/>
      </c>
      <c r="D17" s="1082"/>
      <c r="E17" s="819">
        <f>'Phase 1 Costs'!$AC18</f>
        <v>0</v>
      </c>
      <c r="F17" s="813">
        <f>'Phase 1 Costs'!AD18</f>
        <v>0</v>
      </c>
      <c r="G17" s="1067"/>
      <c r="H17" s="819">
        <f>'Phase 2 Costs '!AC18</f>
        <v>0</v>
      </c>
      <c r="I17" s="813">
        <f>'Phase 2 Costs '!AD18</f>
        <v>0</v>
      </c>
      <c r="J17" s="1067"/>
      <c r="K17" s="819">
        <f>'Phase 3 Costs'!AC18</f>
        <v>0</v>
      </c>
      <c r="L17" s="813">
        <f>'Phase 3 Costs'!AD18</f>
        <v>0</v>
      </c>
      <c r="M17" s="1067"/>
      <c r="N17" s="819">
        <f>'Phase 4 Costs'!$AC18</f>
        <v>0</v>
      </c>
      <c r="O17" s="813">
        <f>'Phase 4 Costs'!$AD18</f>
        <v>0</v>
      </c>
      <c r="P17" s="1067"/>
      <c r="Q17" s="819">
        <f>'Phase 5 Costs'!$AC18</f>
        <v>0</v>
      </c>
      <c r="R17" s="813">
        <f>'Phase 5 Costs'!$AD18</f>
        <v>0</v>
      </c>
      <c r="S17" s="1067"/>
      <c r="T17" s="819">
        <f>'Phase 6 Costs'!$AC18</f>
        <v>0</v>
      </c>
      <c r="U17" s="813">
        <f>'Phase 6 Costs'!$AD18</f>
        <v>0</v>
      </c>
      <c r="V17" s="1067"/>
      <c r="W17" s="819">
        <f t="shared" si="0"/>
        <v>0</v>
      </c>
      <c r="X17" s="813">
        <f t="shared" si="1"/>
        <v>0</v>
      </c>
      <c r="Y17" s="957"/>
    </row>
    <row r="18" spans="1:25" x14ac:dyDescent="0.25">
      <c r="A18" s="957"/>
      <c r="B18" s="820" t="str">
        <f>IF(ISBLANK('Labor Rates'!D18),"",'Labor Rates'!D18)</f>
        <v/>
      </c>
      <c r="C18" s="820" t="str">
        <f>IF(ISBLANK('Labor Rates'!E18),"",'Labor Rates'!E18)</f>
        <v/>
      </c>
      <c r="D18" s="1082"/>
      <c r="E18" s="819">
        <f>'Phase 1 Costs'!$AC19</f>
        <v>0</v>
      </c>
      <c r="F18" s="813">
        <f>'Phase 1 Costs'!AD19</f>
        <v>0</v>
      </c>
      <c r="G18" s="1067"/>
      <c r="H18" s="819">
        <f>'Phase 2 Costs '!AC19</f>
        <v>0</v>
      </c>
      <c r="I18" s="813">
        <f>'Phase 2 Costs '!AD19</f>
        <v>0</v>
      </c>
      <c r="J18" s="1067"/>
      <c r="K18" s="819">
        <f>'Phase 3 Costs'!AC19</f>
        <v>0</v>
      </c>
      <c r="L18" s="813">
        <f>'Phase 3 Costs'!AD19</f>
        <v>0</v>
      </c>
      <c r="M18" s="1067"/>
      <c r="N18" s="819">
        <f>'Phase 4 Costs'!$AC19</f>
        <v>0</v>
      </c>
      <c r="O18" s="813">
        <f>'Phase 4 Costs'!$AD19</f>
        <v>0</v>
      </c>
      <c r="P18" s="1067"/>
      <c r="Q18" s="819">
        <f>'Phase 5 Costs'!$AC19</f>
        <v>0</v>
      </c>
      <c r="R18" s="813">
        <f>'Phase 5 Costs'!$AD19</f>
        <v>0</v>
      </c>
      <c r="S18" s="1067"/>
      <c r="T18" s="819">
        <f>'Phase 6 Costs'!$AC19</f>
        <v>0</v>
      </c>
      <c r="U18" s="813">
        <f>'Phase 6 Costs'!$AD19</f>
        <v>0</v>
      </c>
      <c r="V18" s="1067"/>
      <c r="W18" s="819">
        <f t="shared" si="0"/>
        <v>0</v>
      </c>
      <c r="X18" s="813">
        <f t="shared" si="1"/>
        <v>0</v>
      </c>
      <c r="Y18" s="957"/>
    </row>
    <row r="19" spans="1:25" x14ac:dyDescent="0.25">
      <c r="A19" s="957"/>
      <c r="B19" s="820" t="str">
        <f>IF(ISBLANK('Labor Rates'!D19),"",'Labor Rates'!D19)</f>
        <v/>
      </c>
      <c r="C19" s="820" t="str">
        <f>IF(ISBLANK('Labor Rates'!E19),"",'Labor Rates'!E19)</f>
        <v/>
      </c>
      <c r="D19" s="1082"/>
      <c r="E19" s="819">
        <f>'Phase 1 Costs'!$AC20</f>
        <v>0</v>
      </c>
      <c r="F19" s="813">
        <f>'Phase 1 Costs'!AD20</f>
        <v>0</v>
      </c>
      <c r="G19" s="1067"/>
      <c r="H19" s="819">
        <f>'Phase 2 Costs '!AC20</f>
        <v>0</v>
      </c>
      <c r="I19" s="813">
        <f>'Phase 2 Costs '!AD20</f>
        <v>0</v>
      </c>
      <c r="J19" s="1067"/>
      <c r="K19" s="819">
        <f>'Phase 3 Costs'!AC20</f>
        <v>0</v>
      </c>
      <c r="L19" s="813">
        <f>'Phase 3 Costs'!AD20</f>
        <v>0</v>
      </c>
      <c r="M19" s="1067"/>
      <c r="N19" s="819">
        <f>'Phase 4 Costs'!$AC20</f>
        <v>0</v>
      </c>
      <c r="O19" s="813">
        <f>'Phase 4 Costs'!$AD20</f>
        <v>0</v>
      </c>
      <c r="P19" s="1067"/>
      <c r="Q19" s="819">
        <f>'Phase 5 Costs'!$AC20</f>
        <v>0</v>
      </c>
      <c r="R19" s="813">
        <f>'Phase 5 Costs'!$AD20</f>
        <v>0</v>
      </c>
      <c r="S19" s="1067"/>
      <c r="T19" s="819">
        <f>'Phase 6 Costs'!$AC20</f>
        <v>0</v>
      </c>
      <c r="U19" s="813">
        <f>'Phase 6 Costs'!$AD20</f>
        <v>0</v>
      </c>
      <c r="V19" s="1067"/>
      <c r="W19" s="819">
        <f t="shared" si="0"/>
        <v>0</v>
      </c>
      <c r="X19" s="813">
        <f t="shared" si="1"/>
        <v>0</v>
      </c>
      <c r="Y19" s="957"/>
    </row>
    <row r="20" spans="1:25" x14ac:dyDescent="0.25">
      <c r="A20" s="957"/>
      <c r="B20" s="820" t="str">
        <f>IF(ISBLANK('Labor Rates'!D20),"",'Labor Rates'!D20)</f>
        <v/>
      </c>
      <c r="C20" s="820" t="str">
        <f>IF(ISBLANK('Labor Rates'!E20),"",'Labor Rates'!E20)</f>
        <v/>
      </c>
      <c r="D20" s="1082"/>
      <c r="E20" s="819">
        <f>'Phase 1 Costs'!$AC21</f>
        <v>0</v>
      </c>
      <c r="F20" s="813">
        <f>'Phase 1 Costs'!AD21</f>
        <v>0</v>
      </c>
      <c r="G20" s="1067"/>
      <c r="H20" s="819">
        <f>'Phase 2 Costs '!AC21</f>
        <v>0</v>
      </c>
      <c r="I20" s="813">
        <f>'Phase 2 Costs '!AD21</f>
        <v>0</v>
      </c>
      <c r="J20" s="1067"/>
      <c r="K20" s="819">
        <f>'Phase 3 Costs'!AC21</f>
        <v>0</v>
      </c>
      <c r="L20" s="813">
        <f>'Phase 3 Costs'!AD21</f>
        <v>0</v>
      </c>
      <c r="M20" s="1067"/>
      <c r="N20" s="819">
        <f>'Phase 4 Costs'!$AC21</f>
        <v>0</v>
      </c>
      <c r="O20" s="813">
        <f>'Phase 4 Costs'!$AD21</f>
        <v>0</v>
      </c>
      <c r="P20" s="1067"/>
      <c r="Q20" s="819">
        <f>'Phase 5 Costs'!$AC21</f>
        <v>0</v>
      </c>
      <c r="R20" s="813">
        <f>'Phase 5 Costs'!$AD21</f>
        <v>0</v>
      </c>
      <c r="S20" s="1067"/>
      <c r="T20" s="819">
        <f>'Phase 6 Costs'!$AC21</f>
        <v>0</v>
      </c>
      <c r="U20" s="813">
        <f>'Phase 6 Costs'!$AD21</f>
        <v>0</v>
      </c>
      <c r="V20" s="1067"/>
      <c r="W20" s="819">
        <f t="shared" si="0"/>
        <v>0</v>
      </c>
      <c r="X20" s="813">
        <f t="shared" si="1"/>
        <v>0</v>
      </c>
      <c r="Y20" s="957"/>
    </row>
    <row r="21" spans="1:25" x14ac:dyDescent="0.25">
      <c r="A21" s="957"/>
      <c r="B21" s="820" t="str">
        <f>IF(ISBLANK('Labor Rates'!D21),"",'Labor Rates'!D21)</f>
        <v/>
      </c>
      <c r="C21" s="820" t="str">
        <f>IF(ISBLANK('Labor Rates'!E21),"",'Labor Rates'!E21)</f>
        <v/>
      </c>
      <c r="D21" s="1082"/>
      <c r="E21" s="819">
        <f>'Phase 1 Costs'!$AC22</f>
        <v>0</v>
      </c>
      <c r="F21" s="813">
        <f>'Phase 1 Costs'!AD22</f>
        <v>0</v>
      </c>
      <c r="G21" s="1067"/>
      <c r="H21" s="819">
        <f>'Phase 2 Costs '!AC22</f>
        <v>0</v>
      </c>
      <c r="I21" s="813">
        <f>'Phase 2 Costs '!AD22</f>
        <v>0</v>
      </c>
      <c r="J21" s="1067"/>
      <c r="K21" s="819">
        <f>'Phase 3 Costs'!AC22</f>
        <v>0</v>
      </c>
      <c r="L21" s="813">
        <f>'Phase 3 Costs'!AD22</f>
        <v>0</v>
      </c>
      <c r="M21" s="1067"/>
      <c r="N21" s="819">
        <f>'Phase 4 Costs'!$AC22</f>
        <v>0</v>
      </c>
      <c r="O21" s="813">
        <f>'Phase 4 Costs'!$AD22</f>
        <v>0</v>
      </c>
      <c r="P21" s="1067"/>
      <c r="Q21" s="819">
        <f>'Phase 5 Costs'!$AC22</f>
        <v>0</v>
      </c>
      <c r="R21" s="813">
        <f>'Phase 5 Costs'!$AD22</f>
        <v>0</v>
      </c>
      <c r="S21" s="1067"/>
      <c r="T21" s="819">
        <f>'Phase 6 Costs'!$AC22</f>
        <v>0</v>
      </c>
      <c r="U21" s="813">
        <f>'Phase 6 Costs'!$AD22</f>
        <v>0</v>
      </c>
      <c r="V21" s="1067"/>
      <c r="W21" s="819">
        <f t="shared" si="0"/>
        <v>0</v>
      </c>
      <c r="X21" s="813">
        <f t="shared" si="1"/>
        <v>0</v>
      </c>
      <c r="Y21" s="957"/>
    </row>
    <row r="22" spans="1:25" x14ac:dyDescent="0.25">
      <c r="A22" s="957"/>
      <c r="B22" s="820" t="str">
        <f>IF(ISBLANK('Labor Rates'!D22),"",'Labor Rates'!D22)</f>
        <v/>
      </c>
      <c r="C22" s="820" t="str">
        <f>IF(ISBLANK('Labor Rates'!E22),"",'Labor Rates'!E22)</f>
        <v/>
      </c>
      <c r="D22" s="1082"/>
      <c r="E22" s="819">
        <f>'Phase 1 Costs'!$AC23</f>
        <v>0</v>
      </c>
      <c r="F22" s="813">
        <f>'Phase 1 Costs'!AD23</f>
        <v>0</v>
      </c>
      <c r="G22" s="1067"/>
      <c r="H22" s="819">
        <f>'Phase 2 Costs '!AC23</f>
        <v>0</v>
      </c>
      <c r="I22" s="813">
        <f>'Phase 2 Costs '!AD23</f>
        <v>0</v>
      </c>
      <c r="J22" s="1067"/>
      <c r="K22" s="819">
        <f>'Phase 3 Costs'!AC23</f>
        <v>0</v>
      </c>
      <c r="L22" s="813">
        <f>'Phase 3 Costs'!AD23</f>
        <v>0</v>
      </c>
      <c r="M22" s="1067"/>
      <c r="N22" s="819">
        <f>'Phase 4 Costs'!$AC23</f>
        <v>0</v>
      </c>
      <c r="O22" s="813">
        <f>'Phase 4 Costs'!$AD23</f>
        <v>0</v>
      </c>
      <c r="P22" s="1067"/>
      <c r="Q22" s="819">
        <f>'Phase 5 Costs'!$AC23</f>
        <v>0</v>
      </c>
      <c r="R22" s="813">
        <f>'Phase 5 Costs'!$AD23</f>
        <v>0</v>
      </c>
      <c r="S22" s="1067"/>
      <c r="T22" s="819">
        <f>'Phase 6 Costs'!$AC23</f>
        <v>0</v>
      </c>
      <c r="U22" s="813">
        <f>'Phase 6 Costs'!$AD23</f>
        <v>0</v>
      </c>
      <c r="V22" s="1067"/>
      <c r="W22" s="819">
        <f t="shared" si="0"/>
        <v>0</v>
      </c>
      <c r="X22" s="813">
        <f t="shared" si="1"/>
        <v>0</v>
      </c>
      <c r="Y22" s="957"/>
    </row>
    <row r="23" spans="1:25" x14ac:dyDescent="0.25">
      <c r="A23" s="957"/>
      <c r="B23" s="820" t="str">
        <f>IF(ISBLANK('Labor Rates'!D23),"",'Labor Rates'!D23)</f>
        <v/>
      </c>
      <c r="C23" s="820" t="str">
        <f>IF(ISBLANK('Labor Rates'!E23),"",'Labor Rates'!E23)</f>
        <v/>
      </c>
      <c r="D23" s="1082"/>
      <c r="E23" s="819">
        <f>'Phase 1 Costs'!$AC24</f>
        <v>0</v>
      </c>
      <c r="F23" s="813">
        <f>'Phase 1 Costs'!AD24</f>
        <v>0</v>
      </c>
      <c r="G23" s="1067"/>
      <c r="H23" s="819">
        <f>'Phase 2 Costs '!AC24</f>
        <v>0</v>
      </c>
      <c r="I23" s="813">
        <f>'Phase 2 Costs '!AD24</f>
        <v>0</v>
      </c>
      <c r="J23" s="1067"/>
      <c r="K23" s="819">
        <f>'Phase 3 Costs'!AC24</f>
        <v>0</v>
      </c>
      <c r="L23" s="813">
        <f>'Phase 3 Costs'!AD24</f>
        <v>0</v>
      </c>
      <c r="M23" s="1067"/>
      <c r="N23" s="819">
        <f>'Phase 4 Costs'!$AC24</f>
        <v>0</v>
      </c>
      <c r="O23" s="813">
        <f>'Phase 4 Costs'!$AD24</f>
        <v>0</v>
      </c>
      <c r="P23" s="1067"/>
      <c r="Q23" s="819">
        <f>'Phase 5 Costs'!$AC24</f>
        <v>0</v>
      </c>
      <c r="R23" s="813">
        <f>'Phase 5 Costs'!$AD24</f>
        <v>0</v>
      </c>
      <c r="S23" s="1067"/>
      <c r="T23" s="819">
        <f>'Phase 6 Costs'!$AC24</f>
        <v>0</v>
      </c>
      <c r="U23" s="813">
        <f>'Phase 6 Costs'!$AD24</f>
        <v>0</v>
      </c>
      <c r="V23" s="1067"/>
      <c r="W23" s="819">
        <f t="shared" si="0"/>
        <v>0</v>
      </c>
      <c r="X23" s="813">
        <f t="shared" si="1"/>
        <v>0</v>
      </c>
      <c r="Y23" s="957"/>
    </row>
    <row r="24" spans="1:25" x14ac:dyDescent="0.25">
      <c r="A24" s="957"/>
      <c r="B24" s="820" t="str">
        <f>IF(ISBLANK('Labor Rates'!D24),"",'Labor Rates'!D24)</f>
        <v/>
      </c>
      <c r="C24" s="820" t="str">
        <f>IF(ISBLANK('Labor Rates'!E24),"",'Labor Rates'!E24)</f>
        <v/>
      </c>
      <c r="D24" s="1082"/>
      <c r="E24" s="819">
        <f>'Phase 1 Costs'!$AC25</f>
        <v>0</v>
      </c>
      <c r="F24" s="813">
        <f>'Phase 1 Costs'!AD25</f>
        <v>0</v>
      </c>
      <c r="G24" s="1067"/>
      <c r="H24" s="819">
        <f>'Phase 2 Costs '!AC25</f>
        <v>0</v>
      </c>
      <c r="I24" s="813">
        <f>'Phase 2 Costs '!AD25</f>
        <v>0</v>
      </c>
      <c r="J24" s="1067"/>
      <c r="K24" s="819">
        <f>'Phase 3 Costs'!AC25</f>
        <v>0</v>
      </c>
      <c r="L24" s="813">
        <f>'Phase 3 Costs'!AD25</f>
        <v>0</v>
      </c>
      <c r="M24" s="1067"/>
      <c r="N24" s="819">
        <f>'Phase 4 Costs'!$AC25</f>
        <v>0</v>
      </c>
      <c r="O24" s="813">
        <f>'Phase 4 Costs'!$AD25</f>
        <v>0</v>
      </c>
      <c r="P24" s="1067"/>
      <c r="Q24" s="819">
        <f>'Phase 5 Costs'!$AC25</f>
        <v>0</v>
      </c>
      <c r="R24" s="813">
        <f>'Phase 5 Costs'!$AD25</f>
        <v>0</v>
      </c>
      <c r="S24" s="1067"/>
      <c r="T24" s="819">
        <f>'Phase 6 Costs'!$AC25</f>
        <v>0</v>
      </c>
      <c r="U24" s="813">
        <f>'Phase 6 Costs'!$AD25</f>
        <v>0</v>
      </c>
      <c r="V24" s="1067"/>
      <c r="W24" s="819">
        <f t="shared" si="0"/>
        <v>0</v>
      </c>
      <c r="X24" s="813">
        <f t="shared" si="1"/>
        <v>0</v>
      </c>
      <c r="Y24" s="957"/>
    </row>
    <row r="25" spans="1:25" x14ac:dyDescent="0.25">
      <c r="A25" s="957"/>
      <c r="B25" s="820" t="str">
        <f>IF(ISBLANK('Labor Rates'!D25),"",'Labor Rates'!D25)</f>
        <v/>
      </c>
      <c r="C25" s="820" t="str">
        <f>IF(ISBLANK('Labor Rates'!E25),"",'Labor Rates'!E25)</f>
        <v/>
      </c>
      <c r="D25" s="1082"/>
      <c r="E25" s="819">
        <f>'Phase 1 Costs'!$AC26</f>
        <v>0</v>
      </c>
      <c r="F25" s="813">
        <f>'Phase 1 Costs'!AD26</f>
        <v>0</v>
      </c>
      <c r="G25" s="1067"/>
      <c r="H25" s="819">
        <f>'Phase 2 Costs '!AC26</f>
        <v>0</v>
      </c>
      <c r="I25" s="813">
        <f>'Phase 2 Costs '!AD26</f>
        <v>0</v>
      </c>
      <c r="J25" s="1067"/>
      <c r="K25" s="819">
        <f>'Phase 3 Costs'!AC26</f>
        <v>0</v>
      </c>
      <c r="L25" s="813">
        <f>'Phase 3 Costs'!AD26</f>
        <v>0</v>
      </c>
      <c r="M25" s="1067"/>
      <c r="N25" s="819">
        <f>'Phase 4 Costs'!$AC26</f>
        <v>0</v>
      </c>
      <c r="O25" s="813">
        <f>'Phase 4 Costs'!$AD26</f>
        <v>0</v>
      </c>
      <c r="P25" s="1067"/>
      <c r="Q25" s="819">
        <f>'Phase 5 Costs'!$AC26</f>
        <v>0</v>
      </c>
      <c r="R25" s="813">
        <f>'Phase 5 Costs'!$AD26</f>
        <v>0</v>
      </c>
      <c r="S25" s="1067"/>
      <c r="T25" s="819">
        <f>'Phase 6 Costs'!$AC26</f>
        <v>0</v>
      </c>
      <c r="U25" s="813">
        <f>'Phase 6 Costs'!$AD26</f>
        <v>0</v>
      </c>
      <c r="V25" s="1067"/>
      <c r="W25" s="819">
        <f t="shared" si="0"/>
        <v>0</v>
      </c>
      <c r="X25" s="813">
        <f t="shared" si="1"/>
        <v>0</v>
      </c>
      <c r="Y25" s="957"/>
    </row>
    <row r="26" spans="1:25" x14ac:dyDescent="0.25">
      <c r="A26" s="957"/>
      <c r="B26" s="820" t="str">
        <f>IF(ISBLANK('Labor Rates'!D26),"",'Labor Rates'!D26)</f>
        <v/>
      </c>
      <c r="C26" s="820" t="str">
        <f>IF(ISBLANK('Labor Rates'!E26),"",'Labor Rates'!E26)</f>
        <v/>
      </c>
      <c r="D26" s="1082"/>
      <c r="E26" s="819">
        <f>'Phase 1 Costs'!$AC27</f>
        <v>0</v>
      </c>
      <c r="F26" s="813">
        <f>'Phase 1 Costs'!AD27</f>
        <v>0</v>
      </c>
      <c r="G26" s="1067"/>
      <c r="H26" s="819">
        <f>'Phase 2 Costs '!AC27</f>
        <v>0</v>
      </c>
      <c r="I26" s="813">
        <f>'Phase 2 Costs '!AD27</f>
        <v>0</v>
      </c>
      <c r="J26" s="1067"/>
      <c r="K26" s="819">
        <f>'Phase 3 Costs'!AC27</f>
        <v>0</v>
      </c>
      <c r="L26" s="813">
        <f>'Phase 3 Costs'!AD27</f>
        <v>0</v>
      </c>
      <c r="M26" s="1067"/>
      <c r="N26" s="819">
        <f>'Phase 4 Costs'!$AC27</f>
        <v>0</v>
      </c>
      <c r="O26" s="813">
        <f>'Phase 4 Costs'!$AD27</f>
        <v>0</v>
      </c>
      <c r="P26" s="1067"/>
      <c r="Q26" s="819">
        <f>'Phase 5 Costs'!$AC27</f>
        <v>0</v>
      </c>
      <c r="R26" s="813">
        <f>'Phase 5 Costs'!$AD27</f>
        <v>0</v>
      </c>
      <c r="S26" s="1067"/>
      <c r="T26" s="819">
        <f>'Phase 6 Costs'!$AC27</f>
        <v>0</v>
      </c>
      <c r="U26" s="813">
        <f>'Phase 6 Costs'!$AD27</f>
        <v>0</v>
      </c>
      <c r="V26" s="1067"/>
      <c r="W26" s="819">
        <f t="shared" si="0"/>
        <v>0</v>
      </c>
      <c r="X26" s="813">
        <f t="shared" si="1"/>
        <v>0</v>
      </c>
      <c r="Y26" s="957"/>
    </row>
    <row r="27" spans="1:25" x14ac:dyDescent="0.25">
      <c r="A27" s="957"/>
      <c r="B27" s="820" t="str">
        <f>IF(ISBLANK('Labor Rates'!D27),"",'Labor Rates'!D27)</f>
        <v/>
      </c>
      <c r="C27" s="820" t="str">
        <f>IF(ISBLANK('Labor Rates'!E27),"",'Labor Rates'!E27)</f>
        <v/>
      </c>
      <c r="D27" s="1082"/>
      <c r="E27" s="819">
        <f>'Phase 1 Costs'!$AC28</f>
        <v>0</v>
      </c>
      <c r="F27" s="813">
        <f>'Phase 1 Costs'!AD28</f>
        <v>0</v>
      </c>
      <c r="G27" s="1067"/>
      <c r="H27" s="819">
        <f>'Phase 2 Costs '!AC28</f>
        <v>0</v>
      </c>
      <c r="I27" s="813">
        <f>'Phase 2 Costs '!AD28</f>
        <v>0</v>
      </c>
      <c r="J27" s="1067"/>
      <c r="K27" s="819">
        <f>'Phase 3 Costs'!AC28</f>
        <v>0</v>
      </c>
      <c r="L27" s="813">
        <f>'Phase 3 Costs'!AD28</f>
        <v>0</v>
      </c>
      <c r="M27" s="1067"/>
      <c r="N27" s="819">
        <f>'Phase 4 Costs'!$AC28</f>
        <v>0</v>
      </c>
      <c r="O27" s="813">
        <f>'Phase 4 Costs'!$AD28</f>
        <v>0</v>
      </c>
      <c r="P27" s="1067"/>
      <c r="Q27" s="819">
        <f>'Phase 5 Costs'!$AC28</f>
        <v>0</v>
      </c>
      <c r="R27" s="813">
        <f>'Phase 5 Costs'!$AD28</f>
        <v>0</v>
      </c>
      <c r="S27" s="1067"/>
      <c r="T27" s="819">
        <f>'Phase 6 Costs'!$AC28</f>
        <v>0</v>
      </c>
      <c r="U27" s="813">
        <f>'Phase 6 Costs'!$AD28</f>
        <v>0</v>
      </c>
      <c r="V27" s="1067"/>
      <c r="W27" s="819">
        <f t="shared" si="0"/>
        <v>0</v>
      </c>
      <c r="X27" s="813">
        <f t="shared" si="1"/>
        <v>0</v>
      </c>
      <c r="Y27" s="957"/>
    </row>
    <row r="28" spans="1:25" x14ac:dyDescent="0.25">
      <c r="A28" s="957"/>
      <c r="B28" s="820" t="str">
        <f>IF(ISBLANK('Labor Rates'!D28),"",'Labor Rates'!D28)</f>
        <v/>
      </c>
      <c r="C28" s="820" t="str">
        <f>IF(ISBLANK('Labor Rates'!E28),"",'Labor Rates'!E28)</f>
        <v/>
      </c>
      <c r="D28" s="1082"/>
      <c r="E28" s="819">
        <f>'Phase 1 Costs'!$AC29</f>
        <v>0</v>
      </c>
      <c r="F28" s="813">
        <f>'Phase 1 Costs'!AD29</f>
        <v>0</v>
      </c>
      <c r="G28" s="1067"/>
      <c r="H28" s="819">
        <f>'Phase 2 Costs '!AC29</f>
        <v>0</v>
      </c>
      <c r="I28" s="813">
        <f>'Phase 2 Costs '!AD29</f>
        <v>0</v>
      </c>
      <c r="J28" s="1067"/>
      <c r="K28" s="819">
        <f>'Phase 3 Costs'!AC29</f>
        <v>0</v>
      </c>
      <c r="L28" s="813">
        <f>'Phase 3 Costs'!AD29</f>
        <v>0</v>
      </c>
      <c r="M28" s="1067"/>
      <c r="N28" s="819">
        <f>'Phase 4 Costs'!$AC29</f>
        <v>0</v>
      </c>
      <c r="O28" s="813">
        <f>'Phase 4 Costs'!$AD29</f>
        <v>0</v>
      </c>
      <c r="P28" s="1067"/>
      <c r="Q28" s="819">
        <f>'Phase 5 Costs'!$AC29</f>
        <v>0</v>
      </c>
      <c r="R28" s="813">
        <f>'Phase 5 Costs'!$AD29</f>
        <v>0</v>
      </c>
      <c r="S28" s="1067"/>
      <c r="T28" s="819">
        <f>'Phase 6 Costs'!$AC29</f>
        <v>0</v>
      </c>
      <c r="U28" s="813">
        <f>'Phase 6 Costs'!$AD29</f>
        <v>0</v>
      </c>
      <c r="V28" s="1067"/>
      <c r="W28" s="819">
        <f t="shared" si="0"/>
        <v>0</v>
      </c>
      <c r="X28" s="813">
        <f t="shared" si="1"/>
        <v>0</v>
      </c>
      <c r="Y28" s="957"/>
    </row>
    <row r="29" spans="1:25" x14ac:dyDescent="0.25">
      <c r="A29" s="957"/>
      <c r="B29" s="820" t="str">
        <f>IF(ISBLANK('Labor Rates'!D29),"",'Labor Rates'!D29)</f>
        <v/>
      </c>
      <c r="C29" s="820" t="str">
        <f>IF(ISBLANK('Labor Rates'!E29),"",'Labor Rates'!E29)</f>
        <v/>
      </c>
      <c r="D29" s="1082"/>
      <c r="E29" s="819">
        <f>'Phase 1 Costs'!$AC30</f>
        <v>0</v>
      </c>
      <c r="F29" s="813">
        <f>'Phase 1 Costs'!AD30</f>
        <v>0</v>
      </c>
      <c r="G29" s="1067"/>
      <c r="H29" s="819">
        <f>'Phase 2 Costs '!AC30</f>
        <v>0</v>
      </c>
      <c r="I29" s="813">
        <f>'Phase 2 Costs '!AD30</f>
        <v>0</v>
      </c>
      <c r="J29" s="1067"/>
      <c r="K29" s="819">
        <f>'Phase 3 Costs'!AC30</f>
        <v>0</v>
      </c>
      <c r="L29" s="813">
        <f>'Phase 3 Costs'!AD30</f>
        <v>0</v>
      </c>
      <c r="M29" s="1067"/>
      <c r="N29" s="819">
        <f>'Phase 4 Costs'!$AC30</f>
        <v>0</v>
      </c>
      <c r="O29" s="813">
        <f>'Phase 4 Costs'!$AD30</f>
        <v>0</v>
      </c>
      <c r="P29" s="1067"/>
      <c r="Q29" s="819">
        <f>'Phase 5 Costs'!$AC30</f>
        <v>0</v>
      </c>
      <c r="R29" s="813">
        <f>'Phase 5 Costs'!$AD30</f>
        <v>0</v>
      </c>
      <c r="S29" s="1067"/>
      <c r="T29" s="819">
        <f>'Phase 6 Costs'!$AC30</f>
        <v>0</v>
      </c>
      <c r="U29" s="813">
        <f>'Phase 6 Costs'!$AD30</f>
        <v>0</v>
      </c>
      <c r="V29" s="1067"/>
      <c r="W29" s="819">
        <f t="shared" si="0"/>
        <v>0</v>
      </c>
      <c r="X29" s="813">
        <f t="shared" si="1"/>
        <v>0</v>
      </c>
      <c r="Y29" s="957"/>
    </row>
    <row r="30" spans="1:25" x14ac:dyDescent="0.25">
      <c r="A30" s="957"/>
      <c r="B30" s="820" t="str">
        <f>IF(ISBLANK('Labor Rates'!D30),"",'Labor Rates'!D30)</f>
        <v/>
      </c>
      <c r="C30" s="820" t="str">
        <f>IF(ISBLANK('Labor Rates'!E30),"",'Labor Rates'!E30)</f>
        <v/>
      </c>
      <c r="D30" s="1082"/>
      <c r="E30" s="819">
        <f>'Phase 1 Costs'!$AC31</f>
        <v>0</v>
      </c>
      <c r="F30" s="813">
        <f>'Phase 1 Costs'!AD31</f>
        <v>0</v>
      </c>
      <c r="G30" s="1067"/>
      <c r="H30" s="819">
        <f>'Phase 2 Costs '!AC31</f>
        <v>0</v>
      </c>
      <c r="I30" s="813">
        <f>'Phase 2 Costs '!AD31</f>
        <v>0</v>
      </c>
      <c r="J30" s="1067"/>
      <c r="K30" s="819">
        <f>'Phase 3 Costs'!AC31</f>
        <v>0</v>
      </c>
      <c r="L30" s="813">
        <f>'Phase 3 Costs'!AD31</f>
        <v>0</v>
      </c>
      <c r="M30" s="1067"/>
      <c r="N30" s="819">
        <f>'Phase 4 Costs'!$AC31</f>
        <v>0</v>
      </c>
      <c r="O30" s="813">
        <f>'Phase 4 Costs'!$AD31</f>
        <v>0</v>
      </c>
      <c r="P30" s="1067"/>
      <c r="Q30" s="819">
        <f>'Phase 5 Costs'!$AC31</f>
        <v>0</v>
      </c>
      <c r="R30" s="813">
        <f>'Phase 5 Costs'!$AD31</f>
        <v>0</v>
      </c>
      <c r="S30" s="1067"/>
      <c r="T30" s="819">
        <f>'Phase 6 Costs'!$AC31</f>
        <v>0</v>
      </c>
      <c r="U30" s="813">
        <f>'Phase 6 Costs'!$AD31</f>
        <v>0</v>
      </c>
      <c r="V30" s="1067"/>
      <c r="W30" s="819">
        <f t="shared" si="0"/>
        <v>0</v>
      </c>
      <c r="X30" s="813">
        <f t="shared" si="1"/>
        <v>0</v>
      </c>
      <c r="Y30" s="957"/>
    </row>
    <row r="31" spans="1:25" x14ac:dyDescent="0.25">
      <c r="A31" s="957"/>
      <c r="B31" s="820" t="str">
        <f>IF(ISBLANK('Labor Rates'!D31),"",'Labor Rates'!D31)</f>
        <v/>
      </c>
      <c r="C31" s="820" t="str">
        <f>IF(ISBLANK('Labor Rates'!E31),"",'Labor Rates'!E31)</f>
        <v/>
      </c>
      <c r="D31" s="1082"/>
      <c r="E31" s="819">
        <f>'Phase 1 Costs'!$AC32</f>
        <v>0</v>
      </c>
      <c r="F31" s="813">
        <f>'Phase 1 Costs'!AD32</f>
        <v>0</v>
      </c>
      <c r="G31" s="1067"/>
      <c r="H31" s="819">
        <f>'Phase 2 Costs '!AC32</f>
        <v>0</v>
      </c>
      <c r="I31" s="813">
        <f>'Phase 2 Costs '!AD32</f>
        <v>0</v>
      </c>
      <c r="J31" s="1067"/>
      <c r="K31" s="819">
        <f>'Phase 3 Costs'!AC32</f>
        <v>0</v>
      </c>
      <c r="L31" s="813">
        <f>'Phase 3 Costs'!AD32</f>
        <v>0</v>
      </c>
      <c r="M31" s="1067"/>
      <c r="N31" s="819">
        <f>'Phase 4 Costs'!$AC32</f>
        <v>0</v>
      </c>
      <c r="O31" s="813">
        <f>'Phase 4 Costs'!$AD32</f>
        <v>0</v>
      </c>
      <c r="P31" s="1067"/>
      <c r="Q31" s="819">
        <f>'Phase 5 Costs'!$AC32</f>
        <v>0</v>
      </c>
      <c r="R31" s="813">
        <f>'Phase 5 Costs'!$AD32</f>
        <v>0</v>
      </c>
      <c r="S31" s="1067"/>
      <c r="T31" s="819">
        <f>'Phase 6 Costs'!$AC32</f>
        <v>0</v>
      </c>
      <c r="U31" s="813">
        <f>'Phase 6 Costs'!$AD32</f>
        <v>0</v>
      </c>
      <c r="V31" s="1067"/>
      <c r="W31" s="819">
        <f t="shared" si="0"/>
        <v>0</v>
      </c>
      <c r="X31" s="813">
        <f t="shared" si="1"/>
        <v>0</v>
      </c>
      <c r="Y31" s="957"/>
    </row>
    <row r="32" spans="1:25" ht="21" customHeight="1" x14ac:dyDescent="0.25">
      <c r="A32" s="957"/>
      <c r="B32" s="1734" t="s">
        <v>698</v>
      </c>
      <c r="C32" s="1735"/>
      <c r="D32" s="1083"/>
      <c r="E32" s="1155">
        <f>'Phase 1 Costs'!AC33</f>
        <v>0</v>
      </c>
      <c r="F32" s="1153">
        <f>'Phase 1 Costs'!AD33</f>
        <v>0</v>
      </c>
      <c r="G32" s="1068"/>
      <c r="H32" s="1154">
        <f>'Phase 2 Costs '!AC33</f>
        <v>0</v>
      </c>
      <c r="I32" s="1153">
        <f>'Phase 2 Costs '!AD33</f>
        <v>0</v>
      </c>
      <c r="J32" s="1068"/>
      <c r="K32" s="1154">
        <f>'Phase 3 Costs'!AC33</f>
        <v>0</v>
      </c>
      <c r="L32" s="1153">
        <f>'Phase 3 Costs'!AD33</f>
        <v>0</v>
      </c>
      <c r="M32" s="1068"/>
      <c r="N32" s="1154">
        <f>'Phase 4 Costs'!AC33</f>
        <v>0</v>
      </c>
      <c r="O32" s="1153">
        <f>'Phase 4 Costs'!AD33</f>
        <v>0</v>
      </c>
      <c r="P32" s="1068"/>
      <c r="Q32" s="1154">
        <f>'Phase 5 Costs'!$AC33</f>
        <v>0</v>
      </c>
      <c r="R32" s="1153">
        <f>'Phase 5 Costs'!$AD33</f>
        <v>0</v>
      </c>
      <c r="S32" s="1068"/>
      <c r="T32" s="1154">
        <f>'Phase 6 Costs'!$AC33</f>
        <v>0</v>
      </c>
      <c r="U32" s="1153">
        <f>'Phase 6 Costs'!$AD33</f>
        <v>0</v>
      </c>
      <c r="V32" s="1068"/>
      <c r="W32" s="1154">
        <f>SUM(W8:W31)</f>
        <v>0</v>
      </c>
      <c r="X32" s="1153">
        <f>F32+I32+L32+O32+R32+U32</f>
        <v>0</v>
      </c>
      <c r="Y32" s="957"/>
    </row>
    <row r="33" spans="1:46" ht="15" customHeight="1" x14ac:dyDescent="0.25">
      <c r="A33" s="957"/>
      <c r="B33" s="1084"/>
      <c r="C33" s="1085"/>
      <c r="D33" s="1083"/>
      <c r="E33" s="1086"/>
      <c r="F33" s="1068"/>
      <c r="G33" s="1068"/>
      <c r="H33" s="1086"/>
      <c r="I33" s="1068"/>
      <c r="J33" s="1068"/>
      <c r="K33" s="1087"/>
      <c r="L33" s="1068"/>
      <c r="M33" s="1068"/>
      <c r="N33" s="1086"/>
      <c r="O33" s="1068"/>
      <c r="P33" s="1068"/>
      <c r="Q33" s="1086"/>
      <c r="R33" s="1068"/>
      <c r="S33" s="1068"/>
      <c r="T33" s="1086"/>
      <c r="U33" s="1068"/>
      <c r="V33" s="1068"/>
      <c r="W33" s="1086"/>
      <c r="X33" s="1072"/>
      <c r="Y33" s="957"/>
    </row>
    <row r="34" spans="1:46" ht="18" customHeight="1" x14ac:dyDescent="0.25">
      <c r="A34" s="957"/>
      <c r="B34" s="1731" t="s">
        <v>699</v>
      </c>
      <c r="C34" s="1732"/>
      <c r="D34" s="1065"/>
      <c r="E34" s="1748" t="s">
        <v>700</v>
      </c>
      <c r="F34" s="1748"/>
      <c r="G34" s="1067"/>
      <c r="H34" s="1748" t="s">
        <v>701</v>
      </c>
      <c r="I34" s="1748"/>
      <c r="J34" s="1067"/>
      <c r="K34" s="1748" t="s">
        <v>702</v>
      </c>
      <c r="L34" s="1748"/>
      <c r="M34" s="1067"/>
      <c r="N34" s="1748" t="s">
        <v>703</v>
      </c>
      <c r="O34" s="1748"/>
      <c r="P34" s="1067"/>
      <c r="Q34" s="1748" t="s">
        <v>704</v>
      </c>
      <c r="R34" s="1748"/>
      <c r="S34" s="1067"/>
      <c r="T34" s="1748" t="s">
        <v>705</v>
      </c>
      <c r="U34" s="1748"/>
      <c r="V34" s="1067"/>
      <c r="W34" s="1748" t="s">
        <v>706</v>
      </c>
      <c r="X34" s="1748"/>
      <c r="Y34" s="957"/>
    </row>
    <row r="35" spans="1:46" ht="15" customHeight="1" x14ac:dyDescent="0.25">
      <c r="A35" s="957"/>
      <c r="B35" s="1730" t="str">
        <f>'Phase 1 Costs'!A36</f>
        <v>Subproposer- #01</v>
      </c>
      <c r="C35" s="1288"/>
      <c r="D35" s="1078"/>
      <c r="E35" s="1747">
        <f>'Phase 1 Costs'!AD36</f>
        <v>0</v>
      </c>
      <c r="F35" s="1747"/>
      <c r="G35" s="1067"/>
      <c r="H35" s="1747">
        <f>'Phase 2 Costs '!AD36</f>
        <v>0</v>
      </c>
      <c r="I35" s="1747"/>
      <c r="J35" s="1067"/>
      <c r="K35" s="1747">
        <f>'Phase 3 Costs'!AD36</f>
        <v>0</v>
      </c>
      <c r="L35" s="1747"/>
      <c r="M35" s="1067"/>
      <c r="N35" s="1747">
        <f>'Phase 4 Costs'!AD36</f>
        <v>0</v>
      </c>
      <c r="O35" s="1747"/>
      <c r="P35" s="1067"/>
      <c r="Q35" s="1747">
        <f>'Phase 5 Costs'!AD36</f>
        <v>0</v>
      </c>
      <c r="R35" s="1747"/>
      <c r="S35" s="1067"/>
      <c r="T35" s="1747">
        <f>'Phase 6 Costs'!AD36</f>
        <v>0</v>
      </c>
      <c r="U35" s="1747"/>
      <c r="V35" s="1067"/>
      <c r="W35" s="1747">
        <f>E35+H35+K35+N35+Q35+T35</f>
        <v>0</v>
      </c>
      <c r="X35" s="1747"/>
      <c r="Y35" s="957"/>
    </row>
    <row r="36" spans="1:46" ht="15" customHeight="1" x14ac:dyDescent="0.25">
      <c r="A36" s="957"/>
      <c r="B36" s="1730" t="str">
        <f>'Phase 1 Costs'!A37</f>
        <v>Subproposer- #02</v>
      </c>
      <c r="C36" s="1288"/>
      <c r="D36" s="1078"/>
      <c r="E36" s="1747">
        <f>'Phase 1 Costs'!AD37</f>
        <v>0</v>
      </c>
      <c r="F36" s="1747"/>
      <c r="G36" s="1067"/>
      <c r="H36" s="1747">
        <f>'Phase 2 Costs '!AD37</f>
        <v>0</v>
      </c>
      <c r="I36" s="1747"/>
      <c r="J36" s="1067"/>
      <c r="K36" s="1747">
        <f>'Phase 3 Costs'!AD37</f>
        <v>0</v>
      </c>
      <c r="L36" s="1747"/>
      <c r="M36" s="1067"/>
      <c r="N36" s="1747">
        <f>'Phase 4 Costs'!AD37</f>
        <v>0</v>
      </c>
      <c r="O36" s="1747"/>
      <c r="P36" s="1067"/>
      <c r="Q36" s="1747">
        <f>'Phase 5 Costs'!AD37</f>
        <v>0</v>
      </c>
      <c r="R36" s="1747"/>
      <c r="S36" s="1067"/>
      <c r="T36" s="1747">
        <f>'Phase 6 Costs'!AD37</f>
        <v>0</v>
      </c>
      <c r="U36" s="1747"/>
      <c r="V36" s="1067"/>
      <c r="W36" s="1747">
        <f>E36+H36+K36+N36+Q36+T36</f>
        <v>0</v>
      </c>
      <c r="X36" s="1747"/>
      <c r="Y36" s="957"/>
    </row>
    <row r="37" spans="1:46" ht="15" customHeight="1" x14ac:dyDescent="0.25">
      <c r="A37" s="957"/>
      <c r="B37" s="1730" t="str">
        <f>'Phase 1 Costs'!A38</f>
        <v>Subproposer- #03</v>
      </c>
      <c r="C37" s="1288"/>
      <c r="D37" s="1078"/>
      <c r="E37" s="1747">
        <f>'Phase 1 Costs'!AD38</f>
        <v>0</v>
      </c>
      <c r="F37" s="1747"/>
      <c r="G37" s="1067"/>
      <c r="H37" s="1747">
        <f>'Phase 2 Costs '!AD38</f>
        <v>0</v>
      </c>
      <c r="I37" s="1747"/>
      <c r="J37" s="1067"/>
      <c r="K37" s="1747">
        <f>'Phase 3 Costs'!AD38</f>
        <v>0</v>
      </c>
      <c r="L37" s="1747"/>
      <c r="M37" s="1067"/>
      <c r="N37" s="1747">
        <f>'Phase 4 Costs'!AD38</f>
        <v>0</v>
      </c>
      <c r="O37" s="1747"/>
      <c r="P37" s="1067"/>
      <c r="Q37" s="1747">
        <f>'Phase 5 Costs'!AD38</f>
        <v>0</v>
      </c>
      <c r="R37" s="1747"/>
      <c r="S37" s="1067"/>
      <c r="T37" s="1747">
        <f>'Phase 6 Costs'!AD38</f>
        <v>0</v>
      </c>
      <c r="U37" s="1747"/>
      <c r="V37" s="1067"/>
      <c r="W37" s="1747">
        <f>E37+H37+K37+N37+Q37+T37</f>
        <v>0</v>
      </c>
      <c r="X37" s="1747"/>
      <c r="Y37" s="957"/>
    </row>
    <row r="38" spans="1:46" ht="15" customHeight="1" x14ac:dyDescent="0.25">
      <c r="A38" s="957"/>
      <c r="B38" s="1730" t="str">
        <f>'Phase 1 Costs'!A39</f>
        <v>Insert line(s) for additional Subproposers</v>
      </c>
      <c r="C38" s="1288"/>
      <c r="D38" s="1078"/>
      <c r="E38" s="1747">
        <f>'Phase 1 Costs'!AD39</f>
        <v>0</v>
      </c>
      <c r="F38" s="1747"/>
      <c r="G38" s="1067"/>
      <c r="H38" s="1747">
        <f>'Phase 2 Costs '!AD39</f>
        <v>0</v>
      </c>
      <c r="I38" s="1747"/>
      <c r="J38" s="1067"/>
      <c r="K38" s="1747">
        <f>'Phase 3 Costs'!AD39</f>
        <v>0</v>
      </c>
      <c r="L38" s="1747"/>
      <c r="M38" s="1067"/>
      <c r="N38" s="1747">
        <f>'Phase 4 Costs'!AD39</f>
        <v>0</v>
      </c>
      <c r="O38" s="1747"/>
      <c r="P38" s="1067"/>
      <c r="Q38" s="1747">
        <f>'Phase 5 Costs'!AD39</f>
        <v>0</v>
      </c>
      <c r="R38" s="1747"/>
      <c r="S38" s="1067"/>
      <c r="T38" s="1747">
        <f>'Phase 6 Costs'!AD39</f>
        <v>0</v>
      </c>
      <c r="U38" s="1747"/>
      <c r="V38" s="1067"/>
      <c r="W38" s="1747">
        <f>E38+H38+K38+N38+Q38+T38</f>
        <v>0</v>
      </c>
      <c r="X38" s="1747"/>
      <c r="Y38" s="957"/>
    </row>
    <row r="39" spans="1:46" ht="19.5" customHeight="1" x14ac:dyDescent="0.25">
      <c r="A39" s="957"/>
      <c r="B39" s="1742" t="s">
        <v>706</v>
      </c>
      <c r="C39" s="1742"/>
      <c r="D39" s="1040"/>
      <c r="E39" s="1748">
        <f>'Phase 1 Costs'!AD40</f>
        <v>0</v>
      </c>
      <c r="F39" s="1748"/>
      <c r="G39" s="1068"/>
      <c r="H39" s="1748">
        <f>'Phase 2 Costs '!AD40</f>
        <v>0</v>
      </c>
      <c r="I39" s="1748"/>
      <c r="J39" s="1068"/>
      <c r="K39" s="1748">
        <f>'Phase 3 Costs'!AD40</f>
        <v>0</v>
      </c>
      <c r="L39" s="1748"/>
      <c r="M39" s="1068"/>
      <c r="N39" s="1748">
        <f>'Phase 4 Costs'!AD40</f>
        <v>0</v>
      </c>
      <c r="O39" s="1748"/>
      <c r="P39" s="1068"/>
      <c r="Q39" s="1748">
        <f>'Phase 5 Costs'!AD40</f>
        <v>0</v>
      </c>
      <c r="R39" s="1748"/>
      <c r="S39" s="1068"/>
      <c r="T39" s="1748">
        <f>'Phase 6 Costs'!AD40</f>
        <v>0</v>
      </c>
      <c r="U39" s="1748"/>
      <c r="V39" s="1068"/>
      <c r="W39" s="1748">
        <f>E39+H39+K39+N39+Q39+T39</f>
        <v>0</v>
      </c>
      <c r="X39" s="1748"/>
      <c r="Y39" s="957"/>
    </row>
    <row r="40" spans="1:46" ht="15" customHeight="1" x14ac:dyDescent="0.25">
      <c r="A40" s="957"/>
      <c r="B40" s="1083"/>
      <c r="C40" s="1083"/>
      <c r="D40" s="1040"/>
      <c r="E40" s="957"/>
      <c r="F40" s="1068"/>
      <c r="G40" s="1068"/>
      <c r="H40" s="957"/>
      <c r="I40" s="1068"/>
      <c r="J40" s="1068"/>
      <c r="K40" s="957"/>
      <c r="L40" s="1068"/>
      <c r="M40" s="1068"/>
      <c r="N40" s="957"/>
      <c r="O40" s="1068"/>
      <c r="P40" s="1068"/>
      <c r="Q40" s="957"/>
      <c r="R40" s="1068"/>
      <c r="S40" s="1068"/>
      <c r="T40" s="957"/>
      <c r="U40" s="1068"/>
      <c r="V40" s="1068"/>
      <c r="W40" s="1068"/>
      <c r="X40" s="1068"/>
      <c r="Y40" s="957"/>
    </row>
    <row r="41" spans="1:46" ht="15" customHeight="1" x14ac:dyDescent="0.25">
      <c r="A41" s="957"/>
      <c r="B41" s="1744" t="s">
        <v>340</v>
      </c>
      <c r="C41" s="1744"/>
      <c r="D41" s="1040"/>
      <c r="E41" s="1670" t="s">
        <v>707</v>
      </c>
      <c r="F41" s="1670"/>
      <c r="G41" s="1068"/>
      <c r="H41" s="1670" t="s">
        <v>708</v>
      </c>
      <c r="I41" s="1670"/>
      <c r="J41" s="1068"/>
      <c r="K41" s="1670" t="s">
        <v>709</v>
      </c>
      <c r="L41" s="1670"/>
      <c r="M41" s="1068"/>
      <c r="N41" s="1670" t="s">
        <v>710</v>
      </c>
      <c r="O41" s="1670"/>
      <c r="P41" s="1068"/>
      <c r="Q41" s="1670" t="s">
        <v>711</v>
      </c>
      <c r="R41" s="1670"/>
      <c r="S41" s="1068"/>
      <c r="T41" s="1670" t="s">
        <v>712</v>
      </c>
      <c r="U41" s="1670"/>
      <c r="V41" s="1068"/>
      <c r="W41" s="1670" t="s">
        <v>342</v>
      </c>
      <c r="X41" s="1670"/>
      <c r="Y41" s="957"/>
    </row>
    <row r="42" spans="1:46" ht="18.649999999999999" customHeight="1" x14ac:dyDescent="0.25">
      <c r="A42" s="957"/>
      <c r="B42" s="1745"/>
      <c r="C42" s="1745"/>
      <c r="D42" s="1073"/>
      <c r="E42" s="810" t="s">
        <v>325</v>
      </c>
      <c r="F42" s="814" t="s">
        <v>713</v>
      </c>
      <c r="G42" s="1069"/>
      <c r="H42" s="810" t="s">
        <v>325</v>
      </c>
      <c r="I42" s="814" t="s">
        <v>713</v>
      </c>
      <c r="J42" s="1069"/>
      <c r="K42" s="810" t="s">
        <v>325</v>
      </c>
      <c r="L42" s="814" t="s">
        <v>713</v>
      </c>
      <c r="M42" s="1069"/>
      <c r="N42" s="810" t="s">
        <v>325</v>
      </c>
      <c r="O42" s="814" t="s">
        <v>713</v>
      </c>
      <c r="P42" s="1069"/>
      <c r="Q42" s="810" t="s">
        <v>325</v>
      </c>
      <c r="R42" s="814" t="s">
        <v>713</v>
      </c>
      <c r="S42" s="1069"/>
      <c r="T42" s="810" t="s">
        <v>325</v>
      </c>
      <c r="U42" s="814" t="s">
        <v>713</v>
      </c>
      <c r="V42" s="1069"/>
      <c r="W42" s="810" t="s">
        <v>325</v>
      </c>
      <c r="X42" s="814" t="s">
        <v>713</v>
      </c>
      <c r="Y42" s="957"/>
      <c r="AS42" s="811" t="s">
        <v>325</v>
      </c>
      <c r="AT42" s="812" t="s">
        <v>713</v>
      </c>
    </row>
    <row r="43" spans="1:46" ht="15" customHeight="1" x14ac:dyDescent="0.25">
      <c r="A43" s="957"/>
      <c r="B43" s="1686" t="str">
        <f>'Phase 1 Costs'!A43</f>
        <v>Consultant Name - #01</v>
      </c>
      <c r="C43" s="1686"/>
      <c r="D43" s="1079"/>
      <c r="E43" s="1138">
        <f>'Phase 1 Costs'!AC43</f>
        <v>0</v>
      </c>
      <c r="F43" s="818">
        <f>'Phase 1 Costs'!AD43</f>
        <v>0</v>
      </c>
      <c r="G43" s="1067"/>
      <c r="H43" s="1138">
        <f>'Phase 2 Costs '!AC43</f>
        <v>0</v>
      </c>
      <c r="I43" s="818">
        <f>'Phase 2 Costs '!AD43</f>
        <v>0</v>
      </c>
      <c r="J43" s="1067"/>
      <c r="K43" s="1138">
        <f>'Phase 3 Costs'!AC43</f>
        <v>0</v>
      </c>
      <c r="L43" s="818">
        <f>'Phase 3 Costs'!AD43</f>
        <v>0</v>
      </c>
      <c r="M43" s="1067"/>
      <c r="N43" s="1138">
        <f>'Phase 4 Costs'!AC43</f>
        <v>0</v>
      </c>
      <c r="O43" s="818">
        <f>'Phase 4 Costs'!AD43</f>
        <v>0</v>
      </c>
      <c r="P43" s="1067"/>
      <c r="Q43" s="1139">
        <f>'Phase 5 Costs'!AC43</f>
        <v>0</v>
      </c>
      <c r="R43" s="1149">
        <f>'Phase 5 Costs'!AD43</f>
        <v>0</v>
      </c>
      <c r="S43" s="1067"/>
      <c r="T43" s="1139">
        <f>'Phase 6 Costs'!AC43</f>
        <v>0</v>
      </c>
      <c r="U43" s="818">
        <f>'Phase 6 Costs'!AD43</f>
        <v>0</v>
      </c>
      <c r="V43" s="1067"/>
      <c r="W43" s="1138">
        <f t="shared" ref="W43:X47" si="2">E43+H43+K43+N43+Q43+T43</f>
        <v>0</v>
      </c>
      <c r="X43" s="818">
        <f t="shared" si="2"/>
        <v>0</v>
      </c>
      <c r="Y43" s="957"/>
    </row>
    <row r="44" spans="1:46" ht="15" customHeight="1" x14ac:dyDescent="0.25">
      <c r="A44" s="957"/>
      <c r="B44" s="1686" t="str">
        <f>'Phase 1 Costs'!A44</f>
        <v>Consultant Name - #02</v>
      </c>
      <c r="C44" s="1686"/>
      <c r="D44" s="1079"/>
      <c r="E44" s="1138">
        <f>'Phase 1 Costs'!AC44</f>
        <v>0</v>
      </c>
      <c r="F44" s="818">
        <f>'Phase 1 Costs'!AD44</f>
        <v>0</v>
      </c>
      <c r="G44" s="1067"/>
      <c r="H44" s="1138">
        <f>'Phase 2 Costs '!AC44</f>
        <v>0</v>
      </c>
      <c r="I44" s="818">
        <f>'Phase 2 Costs '!AD44</f>
        <v>0</v>
      </c>
      <c r="J44" s="1067"/>
      <c r="K44" s="1138">
        <f>'Phase 3 Costs'!AC44</f>
        <v>0</v>
      </c>
      <c r="L44" s="818">
        <f>'Phase 3 Costs'!AD44</f>
        <v>0</v>
      </c>
      <c r="M44" s="1067"/>
      <c r="N44" s="1138">
        <f>'Phase 4 Costs'!AC44</f>
        <v>0</v>
      </c>
      <c r="O44" s="818">
        <f>'Phase 4 Costs'!AD44</f>
        <v>0</v>
      </c>
      <c r="P44" s="1067"/>
      <c r="Q44" s="1139">
        <f>'Phase 5 Costs'!AC44</f>
        <v>0</v>
      </c>
      <c r="R44" s="1149">
        <f>'Phase 5 Costs'!AD44</f>
        <v>0</v>
      </c>
      <c r="S44" s="1067"/>
      <c r="T44" s="1139">
        <f>'Phase 6 Costs'!AC44</f>
        <v>0</v>
      </c>
      <c r="U44" s="818">
        <f>'Phase 6 Costs'!AD44</f>
        <v>0</v>
      </c>
      <c r="V44" s="1067"/>
      <c r="W44" s="1138">
        <f t="shared" si="2"/>
        <v>0</v>
      </c>
      <c r="X44" s="818">
        <f t="shared" si="2"/>
        <v>0</v>
      </c>
      <c r="Y44" s="957"/>
    </row>
    <row r="45" spans="1:46" ht="15" customHeight="1" x14ac:dyDescent="0.25">
      <c r="A45" s="957"/>
      <c r="B45" s="1686" t="str">
        <f>'Phase 1 Costs'!A45</f>
        <v>Consultant Name - #03</v>
      </c>
      <c r="C45" s="1686"/>
      <c r="D45" s="1079"/>
      <c r="E45" s="1138">
        <f>'Phase 1 Costs'!AC45</f>
        <v>0</v>
      </c>
      <c r="F45" s="818">
        <f>'Phase 1 Costs'!AD45</f>
        <v>0</v>
      </c>
      <c r="G45" s="1067"/>
      <c r="H45" s="1138">
        <f>'Phase 2 Costs '!AC45</f>
        <v>0</v>
      </c>
      <c r="I45" s="818">
        <f>'Phase 2 Costs '!AD45</f>
        <v>0</v>
      </c>
      <c r="J45" s="1067"/>
      <c r="K45" s="1138">
        <f>'Phase 3 Costs'!AC45</f>
        <v>0</v>
      </c>
      <c r="L45" s="818">
        <f>'Phase 3 Costs'!AD45</f>
        <v>0</v>
      </c>
      <c r="M45" s="1067"/>
      <c r="N45" s="1138">
        <f>'Phase 4 Costs'!AC45</f>
        <v>0</v>
      </c>
      <c r="O45" s="818">
        <f>'Phase 4 Costs'!AD45</f>
        <v>0</v>
      </c>
      <c r="P45" s="1067"/>
      <c r="Q45" s="1139">
        <f>'Phase 5 Costs'!AC45</f>
        <v>0</v>
      </c>
      <c r="R45" s="1149">
        <f>'Phase 5 Costs'!AD45</f>
        <v>0</v>
      </c>
      <c r="S45" s="1067"/>
      <c r="T45" s="1139">
        <f>'Phase 6 Costs'!AC45</f>
        <v>0</v>
      </c>
      <c r="U45" s="818">
        <f>'Phase 6 Costs'!AD45</f>
        <v>0</v>
      </c>
      <c r="V45" s="1067"/>
      <c r="W45" s="1138">
        <f t="shared" si="2"/>
        <v>0</v>
      </c>
      <c r="X45" s="818">
        <f t="shared" si="2"/>
        <v>0</v>
      </c>
      <c r="Y45" s="957"/>
    </row>
    <row r="46" spans="1:46" ht="15" customHeight="1" x14ac:dyDescent="0.25">
      <c r="A46" s="957"/>
      <c r="B46" s="1686" t="str">
        <f>'Phase 1 Costs'!A46</f>
        <v>Insert line(s) for additional Consultants</v>
      </c>
      <c r="C46" s="1686"/>
      <c r="D46" s="1079"/>
      <c r="E46" s="1138">
        <f>'Phase 1 Costs'!AC46</f>
        <v>0</v>
      </c>
      <c r="F46" s="818">
        <f>'Phase 1 Costs'!AD46</f>
        <v>0</v>
      </c>
      <c r="G46" s="1067"/>
      <c r="H46" s="1138">
        <f>'Phase 2 Costs '!AC46</f>
        <v>0</v>
      </c>
      <c r="I46" s="818">
        <f>'Phase 2 Costs '!AD46</f>
        <v>0</v>
      </c>
      <c r="J46" s="1067"/>
      <c r="K46" s="1138">
        <f>'Phase 3 Costs'!AC46</f>
        <v>0</v>
      </c>
      <c r="L46" s="818">
        <f>'Phase 3 Costs'!AD46</f>
        <v>0</v>
      </c>
      <c r="M46" s="1067"/>
      <c r="N46" s="1138">
        <f>'Phase 4 Costs'!AC46</f>
        <v>0</v>
      </c>
      <c r="O46" s="818">
        <f>'Phase 4 Costs'!AD46</f>
        <v>0</v>
      </c>
      <c r="P46" s="1067"/>
      <c r="Q46" s="1139">
        <f>'Phase 5 Costs'!AC46</f>
        <v>0</v>
      </c>
      <c r="R46" s="1149">
        <f>'Phase 5 Costs'!AD46</f>
        <v>0</v>
      </c>
      <c r="S46" s="1067"/>
      <c r="T46" s="1139">
        <f>'Phase 6 Costs'!AC46</f>
        <v>0</v>
      </c>
      <c r="U46" s="818">
        <f>'Phase 6 Costs'!AD46</f>
        <v>0</v>
      </c>
      <c r="V46" s="1067"/>
      <c r="W46" s="1138">
        <f t="shared" si="2"/>
        <v>0</v>
      </c>
      <c r="X46" s="818">
        <f t="shared" si="2"/>
        <v>0</v>
      </c>
      <c r="Y46" s="957"/>
    </row>
    <row r="47" spans="1:46" ht="22.5" customHeight="1" x14ac:dyDescent="0.25">
      <c r="A47" s="957"/>
      <c r="B47" s="1743" t="s">
        <v>342</v>
      </c>
      <c r="C47" s="1743"/>
      <c r="D47" s="1040"/>
      <c r="E47" s="1140">
        <f>'Phase 1 Costs'!AC47</f>
        <v>0</v>
      </c>
      <c r="F47" s="815">
        <f>'Phase 1 Costs'!AD47</f>
        <v>0</v>
      </c>
      <c r="G47" s="1068"/>
      <c r="H47" s="1140">
        <f>'Phase 2 Costs '!AC47</f>
        <v>0</v>
      </c>
      <c r="I47" s="815">
        <f>'Phase 2 Costs '!AD47</f>
        <v>0</v>
      </c>
      <c r="J47" s="1068"/>
      <c r="K47" s="1140">
        <f>'Phase 3 Costs'!AC47</f>
        <v>0</v>
      </c>
      <c r="L47" s="815">
        <f>'Phase 3 Costs'!AD47</f>
        <v>0</v>
      </c>
      <c r="M47" s="1068"/>
      <c r="N47" s="1140">
        <f>'Phase 4 Costs'!AC47</f>
        <v>0</v>
      </c>
      <c r="O47" s="815">
        <f>'Phase 4 Costs'!AD47</f>
        <v>0</v>
      </c>
      <c r="P47" s="1068"/>
      <c r="Q47" s="1151">
        <f>'Phase 5 Costs'!AC47</f>
        <v>0</v>
      </c>
      <c r="R47" s="1152">
        <f>'Phase 5 Costs'!AD47</f>
        <v>0</v>
      </c>
      <c r="S47" s="1068"/>
      <c r="T47" s="1151">
        <f>'Phase 6 Costs'!AC47</f>
        <v>0</v>
      </c>
      <c r="U47" s="815">
        <f>'Phase 6 Costs'!AD47</f>
        <v>0</v>
      </c>
      <c r="V47" s="1068"/>
      <c r="W47" s="1140">
        <f t="shared" si="2"/>
        <v>0</v>
      </c>
      <c r="X47" s="815">
        <f t="shared" si="2"/>
        <v>0</v>
      </c>
      <c r="Y47" s="957"/>
    </row>
    <row r="48" spans="1:46" ht="15" customHeight="1" x14ac:dyDescent="0.25">
      <c r="A48" s="957"/>
      <c r="B48" s="1083"/>
      <c r="C48" s="1083"/>
      <c r="D48" s="1040"/>
      <c r="E48" s="1074"/>
      <c r="F48" s="1068"/>
      <c r="G48" s="1068"/>
      <c r="H48" s="1075"/>
      <c r="I48" s="1068"/>
      <c r="J48" s="1068"/>
      <c r="K48" s="1076"/>
      <c r="L48" s="1068"/>
      <c r="M48" s="1068"/>
      <c r="N48" s="1076"/>
      <c r="O48" s="1068"/>
      <c r="P48" s="1068"/>
      <c r="Q48" s="1077"/>
      <c r="R48" s="1068"/>
      <c r="S48" s="1068"/>
      <c r="T48" s="1077"/>
      <c r="U48" s="1068"/>
      <c r="V48" s="1068"/>
      <c r="W48" s="1070"/>
      <c r="X48" s="1072"/>
      <c r="Y48" s="957"/>
    </row>
    <row r="49" spans="1:46" ht="21.65" customHeight="1" x14ac:dyDescent="0.25">
      <c r="A49" s="957"/>
      <c r="B49" s="1694" t="s">
        <v>350</v>
      </c>
      <c r="C49" s="1694"/>
      <c r="D49" s="1040"/>
      <c r="E49" s="1757" t="s">
        <v>714</v>
      </c>
      <c r="F49" s="1757"/>
      <c r="G49" s="1068"/>
      <c r="H49" s="1757" t="s">
        <v>715</v>
      </c>
      <c r="I49" s="1757"/>
      <c r="J49" s="1068"/>
      <c r="K49" s="1757" t="s">
        <v>716</v>
      </c>
      <c r="L49" s="1757"/>
      <c r="M49" s="1068"/>
      <c r="N49" s="1757" t="s">
        <v>717</v>
      </c>
      <c r="O49" s="1757"/>
      <c r="P49" s="1068"/>
      <c r="Q49" s="1757" t="s">
        <v>718</v>
      </c>
      <c r="R49" s="1757"/>
      <c r="S49" s="1068"/>
      <c r="T49" s="1757" t="s">
        <v>719</v>
      </c>
      <c r="U49" s="1757"/>
      <c r="V49" s="1068"/>
      <c r="W49" s="1757" t="s">
        <v>720</v>
      </c>
      <c r="X49" s="1757"/>
      <c r="Y49" s="957"/>
    </row>
    <row r="50" spans="1:46" ht="15" customHeight="1" x14ac:dyDescent="0.25">
      <c r="A50" s="957"/>
      <c r="B50" s="1686" t="str">
        <f>'Phase 1 Costs'!A50</f>
        <v>Materials/Supplies</v>
      </c>
      <c r="C50" s="1686"/>
      <c r="D50" s="1078"/>
      <c r="E50" s="1747">
        <f>'Phase 1 Costs'!AD50</f>
        <v>0</v>
      </c>
      <c r="F50" s="1747"/>
      <c r="G50" s="1067"/>
      <c r="H50" s="1747">
        <f>'Phase 2 Costs '!AD50</f>
        <v>0</v>
      </c>
      <c r="I50" s="1747"/>
      <c r="J50" s="1067"/>
      <c r="K50" s="1747">
        <f>'Phase 3 Costs'!AD50</f>
        <v>0</v>
      </c>
      <c r="L50" s="1747"/>
      <c r="M50" s="1067"/>
      <c r="N50" s="1747">
        <f>'Phase 4 Costs'!AD50</f>
        <v>0</v>
      </c>
      <c r="O50" s="1747"/>
      <c r="P50" s="1067"/>
      <c r="Q50" s="1747">
        <f>'Phase 5 Costs'!AD50</f>
        <v>0</v>
      </c>
      <c r="R50" s="1747"/>
      <c r="S50" s="1067"/>
      <c r="T50" s="1747">
        <f>'Phase 6 Costs'!AD50</f>
        <v>0</v>
      </c>
      <c r="U50" s="1747"/>
      <c r="V50" s="1067"/>
      <c r="W50" s="1747">
        <f>E50+H50+K50+N50+Q50+T50</f>
        <v>0</v>
      </c>
      <c r="X50" s="1747"/>
      <c r="Y50" s="957"/>
    </row>
    <row r="51" spans="1:46" ht="15" customHeight="1" x14ac:dyDescent="0.25">
      <c r="A51" s="957"/>
      <c r="B51" s="1686" t="str">
        <f>'Phase 1 Costs'!A51</f>
        <v>Equipment</v>
      </c>
      <c r="C51" s="1686"/>
      <c r="D51" s="1078"/>
      <c r="E51" s="1747">
        <f>'Phase 1 Costs'!AD51</f>
        <v>0</v>
      </c>
      <c r="F51" s="1747"/>
      <c r="G51" s="1067"/>
      <c r="H51" s="1747">
        <f>'Phase 2 Costs '!AD51</f>
        <v>0</v>
      </c>
      <c r="I51" s="1747"/>
      <c r="J51" s="1067"/>
      <c r="K51" s="1747">
        <f>'Phase 3 Costs'!AD51</f>
        <v>0</v>
      </c>
      <c r="L51" s="1747"/>
      <c r="M51" s="1067"/>
      <c r="N51" s="1747">
        <f>'Phase 4 Costs'!AD51</f>
        <v>0</v>
      </c>
      <c r="O51" s="1747"/>
      <c r="P51" s="1067"/>
      <c r="Q51" s="1747">
        <f>'Phase 5 Costs'!AD51</f>
        <v>0</v>
      </c>
      <c r="R51" s="1747"/>
      <c r="S51" s="1067"/>
      <c r="T51" s="1747">
        <f>'Phase 6 Costs'!AD51</f>
        <v>0</v>
      </c>
      <c r="U51" s="1747"/>
      <c r="V51" s="1067"/>
      <c r="W51" s="1747">
        <f>E51+H51+K51+N51+Q51+T51</f>
        <v>0</v>
      </c>
      <c r="X51" s="1747"/>
      <c r="Y51" s="957"/>
    </row>
    <row r="52" spans="1:46" ht="15" customHeight="1" x14ac:dyDescent="0.25">
      <c r="A52" s="957"/>
      <c r="B52" s="1686" t="str">
        <f>'Phase 1 Costs'!A52</f>
        <v>Travel</v>
      </c>
      <c r="C52" s="1686"/>
      <c r="D52" s="1078"/>
      <c r="E52" s="1747">
        <f>'Phase 1 Costs'!AD52</f>
        <v>0</v>
      </c>
      <c r="F52" s="1747"/>
      <c r="G52" s="1067"/>
      <c r="H52" s="1747">
        <f>'Phase 2 Costs '!AD52</f>
        <v>0</v>
      </c>
      <c r="I52" s="1747"/>
      <c r="J52" s="1067"/>
      <c r="K52" s="1747">
        <f>'Phase 3 Costs'!AD52</f>
        <v>0</v>
      </c>
      <c r="L52" s="1747"/>
      <c r="M52" s="1067"/>
      <c r="N52" s="1747">
        <f>'Phase 4 Costs'!AD52</f>
        <v>0</v>
      </c>
      <c r="O52" s="1747"/>
      <c r="P52" s="1067"/>
      <c r="Q52" s="1747">
        <f>'Phase 5 Costs'!AD52</f>
        <v>0</v>
      </c>
      <c r="R52" s="1747"/>
      <c r="S52" s="1067"/>
      <c r="T52" s="1747">
        <f>'Phase 6 Costs'!AD52</f>
        <v>0</v>
      </c>
      <c r="U52" s="1747"/>
      <c r="V52" s="1067"/>
      <c r="W52" s="1747">
        <f>E52+H52+K52+N52+Q52+T52</f>
        <v>0</v>
      </c>
      <c r="X52" s="1747"/>
      <c r="Y52" s="957"/>
    </row>
    <row r="53" spans="1:46" ht="15" customHeight="1" x14ac:dyDescent="0.25">
      <c r="A53" s="957"/>
      <c r="B53" s="1686" t="str">
        <f>'Phase 1 Costs'!A53</f>
        <v>Insert line(s) for other types of ODCs</v>
      </c>
      <c r="C53" s="1686"/>
      <c r="D53" s="1078"/>
      <c r="E53" s="1747">
        <f>'Phase 1 Costs'!AD53</f>
        <v>0</v>
      </c>
      <c r="F53" s="1747"/>
      <c r="G53" s="1067"/>
      <c r="H53" s="1747">
        <f>'Phase 2 Costs '!AD53</f>
        <v>0</v>
      </c>
      <c r="I53" s="1747"/>
      <c r="J53" s="1067"/>
      <c r="K53" s="1747">
        <f>'Phase 3 Costs'!AD53</f>
        <v>0</v>
      </c>
      <c r="L53" s="1747"/>
      <c r="M53" s="1067"/>
      <c r="N53" s="1747">
        <f>'Phase 4 Costs'!AD53</f>
        <v>0</v>
      </c>
      <c r="O53" s="1747"/>
      <c r="P53" s="1067"/>
      <c r="Q53" s="1747">
        <f>'Phase 5 Costs'!AD53</f>
        <v>0</v>
      </c>
      <c r="R53" s="1747"/>
      <c r="S53" s="1067"/>
      <c r="T53" s="1747">
        <f>'Phase 6 Costs'!AD53</f>
        <v>0</v>
      </c>
      <c r="U53" s="1747"/>
      <c r="V53" s="1067"/>
      <c r="W53" s="1747">
        <f>E53+H53+K53+N53+Q53+T53</f>
        <v>0</v>
      </c>
      <c r="X53" s="1747"/>
      <c r="Y53" s="957"/>
    </row>
    <row r="54" spans="1:46" ht="19" customHeight="1" x14ac:dyDescent="0.25">
      <c r="A54" s="957"/>
      <c r="B54" s="1723" t="s">
        <v>254</v>
      </c>
      <c r="C54" s="1723"/>
      <c r="D54" s="1040"/>
      <c r="E54" s="1757">
        <f>'Phase 1 Costs'!AD54</f>
        <v>0</v>
      </c>
      <c r="F54" s="1757"/>
      <c r="G54" s="1068"/>
      <c r="H54" s="1757">
        <f>'Phase 2 Costs '!AD54</f>
        <v>0</v>
      </c>
      <c r="I54" s="1757"/>
      <c r="J54" s="1068"/>
      <c r="K54" s="1757">
        <f>'Phase 3 Costs'!AD54</f>
        <v>0</v>
      </c>
      <c r="L54" s="1757"/>
      <c r="M54" s="1068"/>
      <c r="N54" s="1757">
        <f>'Phase 4 Costs'!AD54</f>
        <v>0</v>
      </c>
      <c r="O54" s="1757"/>
      <c r="P54" s="1068"/>
      <c r="Q54" s="1757">
        <f>'Phase 5 Costs'!AD54</f>
        <v>0</v>
      </c>
      <c r="R54" s="1757"/>
      <c r="S54" s="1068"/>
      <c r="T54" s="1757">
        <f>'Phase 6 Costs'!AD54</f>
        <v>0</v>
      </c>
      <c r="U54" s="1757"/>
      <c r="V54" s="1068"/>
      <c r="W54" s="1757">
        <f>E54+H54+K54+N54+Q54+T54</f>
        <v>0</v>
      </c>
      <c r="X54" s="1757"/>
      <c r="Y54" s="957"/>
    </row>
    <row r="55" spans="1:46" ht="15" customHeight="1" x14ac:dyDescent="0.25">
      <c r="A55" s="957"/>
      <c r="B55" s="1083"/>
      <c r="C55" s="1092"/>
      <c r="D55" s="1040"/>
      <c r="E55" s="1073"/>
      <c r="F55" s="1068"/>
      <c r="G55" s="1068"/>
      <c r="H55" s="1073"/>
      <c r="I55" s="1068"/>
      <c r="J55" s="1068"/>
      <c r="K55" s="1073"/>
      <c r="L55" s="1068"/>
      <c r="M55" s="1068"/>
      <c r="N55" s="1073"/>
      <c r="O55" s="1068"/>
      <c r="P55" s="1068"/>
      <c r="Q55" s="1073"/>
      <c r="R55" s="1068"/>
      <c r="S55" s="1068"/>
      <c r="T55" s="1073"/>
      <c r="U55" s="1068"/>
      <c r="V55" s="1068"/>
      <c r="W55" s="1068"/>
      <c r="X55" s="1068"/>
      <c r="Y55" s="957"/>
    </row>
    <row r="56" spans="1:46" ht="22.5" customHeight="1" x14ac:dyDescent="0.25">
      <c r="A56" s="957"/>
      <c r="B56" s="1724" t="s">
        <v>360</v>
      </c>
      <c r="C56" s="1724"/>
      <c r="D56" s="1040"/>
      <c r="E56" s="1755" t="s">
        <v>721</v>
      </c>
      <c r="F56" s="1755"/>
      <c r="G56" s="1067"/>
      <c r="H56" s="1755" t="s">
        <v>722</v>
      </c>
      <c r="I56" s="1755"/>
      <c r="J56" s="1067"/>
      <c r="K56" s="1755" t="s">
        <v>723</v>
      </c>
      <c r="L56" s="1755"/>
      <c r="M56" s="1071"/>
      <c r="N56" s="1755" t="s">
        <v>724</v>
      </c>
      <c r="O56" s="1755"/>
      <c r="P56" s="1067"/>
      <c r="Q56" s="1755" t="s">
        <v>725</v>
      </c>
      <c r="R56" s="1755"/>
      <c r="S56" s="1067"/>
      <c r="T56" s="1755" t="s">
        <v>726</v>
      </c>
      <c r="U56" s="1755"/>
      <c r="V56" s="1071"/>
      <c r="W56" s="1755" t="s">
        <v>727</v>
      </c>
      <c r="X56" s="1755"/>
      <c r="Y56" s="957"/>
      <c r="AS56" s="811" t="s">
        <v>15</v>
      </c>
      <c r="AT56" s="812" t="s">
        <v>361</v>
      </c>
    </row>
    <row r="57" spans="1:46" ht="15" customHeight="1" x14ac:dyDescent="0.25">
      <c r="A57" s="957"/>
      <c r="B57" s="1686" t="str">
        <f>'Phase 1 Costs'!A57</f>
        <v>Insert M/H O/H rate title</v>
      </c>
      <c r="C57" s="1686"/>
      <c r="D57" s="1078"/>
      <c r="E57" s="1747">
        <f>'Phase 1 Costs'!AD57</f>
        <v>0</v>
      </c>
      <c r="F57" s="1747"/>
      <c r="G57" s="1067"/>
      <c r="H57" s="1747">
        <f>'Phase 2 Costs '!AD57</f>
        <v>0</v>
      </c>
      <c r="I57" s="1747"/>
      <c r="J57" s="1067"/>
      <c r="K57" s="1747">
        <f>'Phase 3 Costs'!AD57</f>
        <v>0</v>
      </c>
      <c r="L57" s="1747"/>
      <c r="M57" s="1067"/>
      <c r="N57" s="1747">
        <f>'Phase 4 Costs'!AD57</f>
        <v>0</v>
      </c>
      <c r="O57" s="1747"/>
      <c r="P57" s="1067"/>
      <c r="Q57" s="1747">
        <f>'Phase 5 Costs'!AD57</f>
        <v>0</v>
      </c>
      <c r="R57" s="1747"/>
      <c r="S57" s="1067"/>
      <c r="T57" s="1747">
        <f>'Phase 6 Costs'!AD57</f>
        <v>0</v>
      </c>
      <c r="U57" s="1747"/>
      <c r="V57" s="1067"/>
      <c r="W57" s="1747">
        <f>E57+H57+K57+N57+Q57+T57</f>
        <v>0</v>
      </c>
      <c r="X57" s="1747"/>
      <c r="Y57" s="957"/>
    </row>
    <row r="58" spans="1:46" ht="15" customHeight="1" x14ac:dyDescent="0.25">
      <c r="A58" s="957"/>
      <c r="B58" s="1686" t="str">
        <f>'Phase 1 Costs'!A58</f>
        <v>Insert line(s) &amp; title(s) for other M/H O/H rates</v>
      </c>
      <c r="C58" s="1686"/>
      <c r="D58" s="1078"/>
      <c r="E58" s="1747">
        <f>'Phase 1 Costs'!AD58</f>
        <v>0</v>
      </c>
      <c r="F58" s="1747"/>
      <c r="G58" s="1067"/>
      <c r="H58" s="1747">
        <f>'Phase 2 Costs '!AD58</f>
        <v>0</v>
      </c>
      <c r="I58" s="1747"/>
      <c r="J58" s="1067"/>
      <c r="K58" s="1747">
        <f>'Phase 3 Costs'!AD58</f>
        <v>0</v>
      </c>
      <c r="L58" s="1747"/>
      <c r="M58" s="1067"/>
      <c r="N58" s="1747">
        <f>'Phase 4 Costs'!AD58</f>
        <v>0</v>
      </c>
      <c r="O58" s="1747"/>
      <c r="P58" s="1067"/>
      <c r="Q58" s="1747">
        <f>'Phase 5 Costs'!AD58</f>
        <v>0</v>
      </c>
      <c r="R58" s="1747"/>
      <c r="S58" s="1067"/>
      <c r="T58" s="1747">
        <f>'Phase 6 Costs'!AD58</f>
        <v>0</v>
      </c>
      <c r="U58" s="1747"/>
      <c r="V58" s="1067"/>
      <c r="W58" s="1747">
        <f>E58+H58+K58+N58+Q58+T58</f>
        <v>0</v>
      </c>
      <c r="X58" s="1747"/>
      <c r="Y58" s="957"/>
    </row>
    <row r="59" spans="1:46" ht="19" customHeight="1" x14ac:dyDescent="0.25">
      <c r="A59" s="957"/>
      <c r="B59" s="1721" t="s">
        <v>727</v>
      </c>
      <c r="C59" s="1721"/>
      <c r="D59" s="1040"/>
      <c r="E59" s="1755">
        <f>'Phase 1 Costs'!AD59</f>
        <v>0</v>
      </c>
      <c r="F59" s="1755"/>
      <c r="G59" s="1068"/>
      <c r="H59" s="1755">
        <f>'Phase 2 Costs '!AD59</f>
        <v>0</v>
      </c>
      <c r="I59" s="1755"/>
      <c r="J59" s="1068"/>
      <c r="K59" s="1755">
        <f>'Phase 3 Costs'!AD59</f>
        <v>0</v>
      </c>
      <c r="L59" s="1755"/>
      <c r="M59" s="1068"/>
      <c r="N59" s="1759">
        <f>'Phase 4 Costs'!AD59</f>
        <v>0</v>
      </c>
      <c r="O59" s="1759"/>
      <c r="P59" s="1068"/>
      <c r="Q59" s="1759">
        <f>'Phase 5 Costs'!AD59</f>
        <v>0</v>
      </c>
      <c r="R59" s="1759"/>
      <c r="S59" s="1068"/>
      <c r="T59" s="1759">
        <f>'Phase 6 Costs'!AD59</f>
        <v>0</v>
      </c>
      <c r="U59" s="1759"/>
      <c r="V59" s="1068"/>
      <c r="W59" s="1755">
        <f>E59+H59+K59+N59+Q59+T59</f>
        <v>0</v>
      </c>
      <c r="X59" s="1755"/>
      <c r="Y59" s="957"/>
    </row>
    <row r="60" spans="1:46" x14ac:dyDescent="0.25">
      <c r="A60" s="957"/>
      <c r="B60" s="1133"/>
      <c r="C60" s="1133"/>
      <c r="D60" s="1040"/>
      <c r="E60" s="957"/>
      <c r="F60" s="1068"/>
      <c r="G60" s="1068"/>
      <c r="H60" s="957"/>
      <c r="I60" s="1068"/>
      <c r="J60" s="1068"/>
      <c r="K60" s="957"/>
      <c r="L60" s="1068"/>
      <c r="M60" s="1068"/>
      <c r="N60" s="957"/>
      <c r="O60" s="1068"/>
      <c r="P60" s="1068"/>
      <c r="Q60" s="957"/>
      <c r="R60" s="1068"/>
      <c r="S60" s="1068"/>
      <c r="T60" s="957"/>
      <c r="U60" s="1068"/>
      <c r="V60" s="1068"/>
      <c r="W60" s="957"/>
      <c r="X60" s="1145"/>
      <c r="Y60" s="957"/>
    </row>
    <row r="61" spans="1:46" ht="19.5" customHeight="1" x14ac:dyDescent="0.25">
      <c r="A61" s="957"/>
      <c r="B61" s="1725" t="s">
        <v>366</v>
      </c>
      <c r="C61" s="1725"/>
      <c r="D61" s="1040"/>
      <c r="E61" s="1362" t="s">
        <v>728</v>
      </c>
      <c r="F61" s="1362"/>
      <c r="G61" s="1068"/>
      <c r="H61" s="1362" t="s">
        <v>728</v>
      </c>
      <c r="I61" s="1362"/>
      <c r="J61" s="1068"/>
      <c r="K61" s="1362" t="s">
        <v>728</v>
      </c>
      <c r="L61" s="1362"/>
      <c r="M61" s="1068"/>
      <c r="N61" s="1362" t="s">
        <v>728</v>
      </c>
      <c r="O61" s="1362"/>
      <c r="P61" s="1068"/>
      <c r="Q61" s="1362" t="s">
        <v>728</v>
      </c>
      <c r="R61" s="1362"/>
      <c r="S61" s="1068"/>
      <c r="T61" s="1362" t="s">
        <v>728</v>
      </c>
      <c r="U61" s="1362"/>
      <c r="V61" s="1068"/>
      <c r="W61" s="1751" t="s">
        <v>729</v>
      </c>
      <c r="X61" s="1751"/>
      <c r="Y61" s="957"/>
    </row>
    <row r="62" spans="1:46" s="613" customFormat="1" ht="21" customHeight="1" x14ac:dyDescent="0.25">
      <c r="A62" s="1073"/>
      <c r="B62" s="1725"/>
      <c r="C62" s="1725"/>
      <c r="D62" s="959"/>
      <c r="E62" s="1752">
        <f>'Phase 1 Costs'!AD63</f>
        <v>0</v>
      </c>
      <c r="F62" s="1752"/>
      <c r="G62" s="1068"/>
      <c r="H62" s="1752">
        <f>'Phase 2 Costs '!AD63</f>
        <v>0</v>
      </c>
      <c r="I62" s="1752"/>
      <c r="J62" s="1068"/>
      <c r="K62" s="1752">
        <f>'Phase 3 Costs'!AD63</f>
        <v>0</v>
      </c>
      <c r="L62" s="1752"/>
      <c r="M62" s="1068"/>
      <c r="N62" s="1752">
        <f>'Phase 4 Costs'!AD63</f>
        <v>0</v>
      </c>
      <c r="O62" s="1752"/>
      <c r="P62" s="1068"/>
      <c r="Q62" s="1752">
        <f>'Phase 5 Costs'!AD63</f>
        <v>0</v>
      </c>
      <c r="R62" s="1752"/>
      <c r="S62" s="1068"/>
      <c r="T62" s="1752">
        <f>'Phase 6 Costs'!AD63</f>
        <v>0</v>
      </c>
      <c r="U62" s="1752"/>
      <c r="V62" s="1068"/>
      <c r="W62" s="1752">
        <f>E62+H62+K62+N62+Q62+T62</f>
        <v>0</v>
      </c>
      <c r="X62" s="1752"/>
      <c r="Y62" s="1073"/>
    </row>
    <row r="63" spans="1:46" s="613" customFormat="1" x14ac:dyDescent="0.25">
      <c r="A63" s="1073"/>
      <c r="B63" s="1083"/>
      <c r="C63" s="1083"/>
      <c r="D63" s="1040"/>
      <c r="E63" s="1040"/>
      <c r="F63" s="1068"/>
      <c r="G63" s="1068"/>
      <c r="H63" s="1040"/>
      <c r="I63" s="1068"/>
      <c r="J63" s="1068"/>
      <c r="K63" s="1040"/>
      <c r="L63" s="1068"/>
      <c r="M63" s="1068"/>
      <c r="N63" s="1040"/>
      <c r="O63" s="1068"/>
      <c r="P63" s="1068"/>
      <c r="Q63" s="1040"/>
      <c r="R63" s="1068"/>
      <c r="S63" s="1068"/>
      <c r="T63" s="1040"/>
      <c r="U63" s="1068"/>
      <c r="V63" s="1068"/>
      <c r="W63" s="1068"/>
      <c r="X63" s="1068"/>
      <c r="Y63" s="1073"/>
    </row>
    <row r="64" spans="1:46" ht="15" customHeight="1" x14ac:dyDescent="0.25">
      <c r="A64" s="957"/>
      <c r="B64" s="1722" t="s">
        <v>367</v>
      </c>
      <c r="C64" s="1722"/>
      <c r="D64" s="1080"/>
      <c r="E64" s="1756" t="s">
        <v>730</v>
      </c>
      <c r="F64" s="1756"/>
      <c r="G64" s="1067"/>
      <c r="H64" s="1756" t="s">
        <v>731</v>
      </c>
      <c r="I64" s="1756"/>
      <c r="J64" s="1067"/>
      <c r="K64" s="1756" t="s">
        <v>732</v>
      </c>
      <c r="L64" s="1756"/>
      <c r="M64" s="1071"/>
      <c r="N64" s="1756" t="s">
        <v>733</v>
      </c>
      <c r="O64" s="1756"/>
      <c r="P64" s="1067"/>
      <c r="Q64" s="1756" t="s">
        <v>734</v>
      </c>
      <c r="R64" s="1756"/>
      <c r="S64" s="1067"/>
      <c r="T64" s="1756" t="s">
        <v>735</v>
      </c>
      <c r="U64" s="1756"/>
      <c r="V64" s="1071"/>
      <c r="W64" s="1756" t="s">
        <v>368</v>
      </c>
      <c r="X64" s="1756"/>
      <c r="Y64" s="957"/>
      <c r="AS64" s="811" t="s">
        <v>15</v>
      </c>
      <c r="AT64" s="812" t="s">
        <v>361</v>
      </c>
    </row>
    <row r="65" spans="1:46" ht="15" customHeight="1" x14ac:dyDescent="0.25">
      <c r="A65" s="957"/>
      <c r="B65" s="1686" t="str">
        <f>'Phase 1 Costs'!A66</f>
        <v>G&amp;A</v>
      </c>
      <c r="C65" s="1686"/>
      <c r="D65" s="1078"/>
      <c r="E65" s="1747">
        <f>'Phase 1 Costs'!AD66</f>
        <v>0</v>
      </c>
      <c r="F65" s="1747"/>
      <c r="G65" s="1067"/>
      <c r="H65" s="1747">
        <f>'Phase 2 Costs '!AD66</f>
        <v>0</v>
      </c>
      <c r="I65" s="1747"/>
      <c r="J65" s="1067"/>
      <c r="K65" s="1747">
        <f>'Phase 3 Costs'!AD66</f>
        <v>0</v>
      </c>
      <c r="L65" s="1747"/>
      <c r="M65" s="1067"/>
      <c r="N65" s="1747">
        <f>'Phase 4 Costs'!AD66</f>
        <v>0</v>
      </c>
      <c r="O65" s="1747"/>
      <c r="P65" s="1067"/>
      <c r="Q65" s="1747">
        <f>'Phase 5 Costs'!AD66</f>
        <v>0</v>
      </c>
      <c r="R65" s="1747"/>
      <c r="S65" s="1067"/>
      <c r="T65" s="1747">
        <f>'Phase 6 Costs'!AD66</f>
        <v>0</v>
      </c>
      <c r="U65" s="1747"/>
      <c r="V65" s="1067"/>
      <c r="W65" s="1747">
        <f>E65+H65+K65+N65+Q65+T65</f>
        <v>0</v>
      </c>
      <c r="X65" s="1747"/>
      <c r="Y65" s="957"/>
    </row>
    <row r="66" spans="1:46" ht="15" customHeight="1" x14ac:dyDescent="0.25">
      <c r="A66" s="957"/>
      <c r="B66" s="1686" t="str">
        <f>'Phase 1 Costs'!A67</f>
        <v>Insert line(s) &amp; title(s) for other G&amp;A rates</v>
      </c>
      <c r="C66" s="1686"/>
      <c r="D66" s="1078"/>
      <c r="E66" s="1747">
        <f>'Phase 1 Costs'!AD67</f>
        <v>0</v>
      </c>
      <c r="F66" s="1747"/>
      <c r="G66" s="1067"/>
      <c r="H66" s="1747">
        <f>'Phase 2 Costs '!AD67</f>
        <v>0</v>
      </c>
      <c r="I66" s="1747"/>
      <c r="J66" s="1067"/>
      <c r="K66" s="1747">
        <f>'Phase 3 Costs'!AD67</f>
        <v>0</v>
      </c>
      <c r="L66" s="1747"/>
      <c r="M66" s="1067"/>
      <c r="N66" s="1747">
        <f>'Phase 4 Costs'!AD67</f>
        <v>0</v>
      </c>
      <c r="O66" s="1747"/>
      <c r="P66" s="1067"/>
      <c r="Q66" s="1747">
        <f>'Phase 5 Costs'!AD67</f>
        <v>0</v>
      </c>
      <c r="R66" s="1747"/>
      <c r="S66" s="1067"/>
      <c r="T66" s="1747">
        <f>'Phase 6 Costs'!AD67</f>
        <v>0</v>
      </c>
      <c r="U66" s="1747"/>
      <c r="V66" s="1067"/>
      <c r="W66" s="1747">
        <f>E66+H66+K66+N66+Q66+T66</f>
        <v>0</v>
      </c>
      <c r="X66" s="1747"/>
      <c r="Y66" s="957"/>
    </row>
    <row r="67" spans="1:46" ht="15" customHeight="1" x14ac:dyDescent="0.25">
      <c r="A67" s="957"/>
      <c r="B67" s="1738" t="s">
        <v>368</v>
      </c>
      <c r="C67" s="1738"/>
      <c r="D67" s="1040"/>
      <c r="E67" s="1756">
        <f>'Phase 1 Costs'!AD68</f>
        <v>0</v>
      </c>
      <c r="F67" s="1756"/>
      <c r="G67" s="1068"/>
      <c r="H67" s="1756">
        <f>'Phase 2 Costs '!AD68</f>
        <v>0</v>
      </c>
      <c r="I67" s="1756"/>
      <c r="J67" s="1068"/>
      <c r="K67" s="1756">
        <f>'Phase 3 Costs'!AD68</f>
        <v>0</v>
      </c>
      <c r="L67" s="1756"/>
      <c r="M67" s="1068"/>
      <c r="N67" s="1756">
        <f>'Phase 4 Costs'!AD68</f>
        <v>0</v>
      </c>
      <c r="O67" s="1756"/>
      <c r="P67" s="1068"/>
      <c r="Q67" s="1756">
        <f>'Phase 5 Costs'!AD68</f>
        <v>0</v>
      </c>
      <c r="R67" s="1756"/>
      <c r="S67" s="1068"/>
      <c r="T67" s="1756">
        <f>'Phase 6 Costs'!AD68</f>
        <v>0</v>
      </c>
      <c r="U67" s="1756"/>
      <c r="V67" s="1068"/>
      <c r="W67" s="1756">
        <f>E67+H67+K67+N67+Q67+T67</f>
        <v>0</v>
      </c>
      <c r="X67" s="1756"/>
      <c r="Y67" s="957"/>
    </row>
    <row r="68" spans="1:46" x14ac:dyDescent="0.25">
      <c r="A68" s="957"/>
      <c r="B68" s="1093"/>
      <c r="C68" s="1091"/>
      <c r="D68" s="1040"/>
      <c r="E68" s="957"/>
      <c r="F68" s="1068"/>
      <c r="G68" s="1068"/>
      <c r="H68" s="957"/>
      <c r="I68" s="1068"/>
      <c r="J68" s="1068"/>
      <c r="K68" s="957"/>
      <c r="L68" s="1068"/>
      <c r="M68" s="1068"/>
      <c r="N68" s="957"/>
      <c r="O68" s="1068"/>
      <c r="P68" s="1068"/>
      <c r="Q68" s="957"/>
      <c r="R68" s="1068"/>
      <c r="S68" s="1068"/>
      <c r="T68" s="957"/>
      <c r="U68" s="1068"/>
      <c r="V68" s="1068"/>
      <c r="W68" s="957"/>
      <c r="X68" s="1145"/>
      <c r="Y68" s="957"/>
    </row>
    <row r="69" spans="1:46" ht="20.149999999999999" customHeight="1" x14ac:dyDescent="0.25">
      <c r="A69" s="957"/>
      <c r="B69" s="1726" t="s">
        <v>373</v>
      </c>
      <c r="C69" s="1727"/>
      <c r="D69" s="1040"/>
      <c r="E69" s="1751" t="s">
        <v>736</v>
      </c>
      <c r="F69" s="1751"/>
      <c r="G69" s="1068"/>
      <c r="H69" s="1751" t="s">
        <v>736</v>
      </c>
      <c r="I69" s="1751"/>
      <c r="J69" s="1068"/>
      <c r="K69" s="1751" t="s">
        <v>736</v>
      </c>
      <c r="L69" s="1751"/>
      <c r="M69" s="1068"/>
      <c r="N69" s="1751" t="s">
        <v>736</v>
      </c>
      <c r="O69" s="1751"/>
      <c r="P69" s="1068"/>
      <c r="Q69" s="1751" t="s">
        <v>736</v>
      </c>
      <c r="R69" s="1751"/>
      <c r="S69" s="1068"/>
      <c r="T69" s="1751" t="s">
        <v>736</v>
      </c>
      <c r="U69" s="1751"/>
      <c r="V69" s="1068"/>
      <c r="W69" s="1751" t="s">
        <v>737</v>
      </c>
      <c r="X69" s="1751"/>
      <c r="Y69" s="957"/>
    </row>
    <row r="70" spans="1:46" s="613" customFormat="1" ht="15" customHeight="1" x14ac:dyDescent="0.25">
      <c r="A70" s="1073"/>
      <c r="B70" s="1728"/>
      <c r="C70" s="1729"/>
      <c r="D70" s="1040"/>
      <c r="E70" s="1752">
        <f>'Phase 1 Costs'!AD72</f>
        <v>0</v>
      </c>
      <c r="F70" s="1752"/>
      <c r="G70" s="1068"/>
      <c r="H70" s="1752">
        <f>'Phase 2 Costs '!AD72</f>
        <v>0</v>
      </c>
      <c r="I70" s="1752"/>
      <c r="J70" s="1068"/>
      <c r="K70" s="1752">
        <f>'Phase 3 Costs'!AD72</f>
        <v>0</v>
      </c>
      <c r="L70" s="1752"/>
      <c r="M70" s="1068"/>
      <c r="N70" s="1752">
        <f>'Phase 4 Costs'!AD72</f>
        <v>0</v>
      </c>
      <c r="O70" s="1752"/>
      <c r="P70" s="1068"/>
      <c r="Q70" s="1752">
        <f>'Phase 5 Costs'!AD72</f>
        <v>0</v>
      </c>
      <c r="R70" s="1752"/>
      <c r="S70" s="1068"/>
      <c r="T70" s="1752">
        <f>'Phase 6 Costs'!AD72</f>
        <v>0</v>
      </c>
      <c r="U70" s="1752"/>
      <c r="V70" s="1068"/>
      <c r="W70" s="1752">
        <f>X32+W39+X47+W54+W59+W67</f>
        <v>0</v>
      </c>
      <c r="X70" s="1752"/>
      <c r="Y70" s="1073"/>
    </row>
    <row r="71" spans="1:46" s="613" customFormat="1" ht="15" customHeight="1" x14ac:dyDescent="0.25">
      <c r="A71" s="1073"/>
      <c r="B71" s="1083"/>
      <c r="C71" s="1083"/>
      <c r="D71" s="1040"/>
      <c r="E71" s="1040"/>
      <c r="F71" s="1068"/>
      <c r="G71" s="1068"/>
      <c r="H71" s="1040"/>
      <c r="I71" s="1068"/>
      <c r="J71" s="1068"/>
      <c r="K71" s="1040"/>
      <c r="L71" s="1068"/>
      <c r="M71" s="1068"/>
      <c r="N71" s="1040"/>
      <c r="O71" s="1068"/>
      <c r="P71" s="1068"/>
      <c r="Q71" s="1040"/>
      <c r="R71" s="1068"/>
      <c r="S71" s="1068"/>
      <c r="T71" s="1040"/>
      <c r="U71" s="1068"/>
      <c r="V71" s="1068"/>
      <c r="W71" s="957"/>
      <c r="X71" s="1068"/>
      <c r="Y71" s="1073"/>
    </row>
    <row r="72" spans="1:46" ht="15" customHeight="1" x14ac:dyDescent="0.25">
      <c r="A72" s="957"/>
      <c r="B72" s="1739" t="s">
        <v>374</v>
      </c>
      <c r="C72" s="1739"/>
      <c r="D72" s="1080"/>
      <c r="E72" s="1754" t="s">
        <v>738</v>
      </c>
      <c r="F72" s="1754"/>
      <c r="G72" s="1067"/>
      <c r="H72" s="1754" t="s">
        <v>739</v>
      </c>
      <c r="I72" s="1754"/>
      <c r="J72" s="1067"/>
      <c r="K72" s="1754" t="s">
        <v>740</v>
      </c>
      <c r="L72" s="1754"/>
      <c r="M72" s="1071"/>
      <c r="N72" s="1754" t="s">
        <v>741</v>
      </c>
      <c r="O72" s="1754"/>
      <c r="P72" s="1067"/>
      <c r="Q72" s="1754" t="s">
        <v>742</v>
      </c>
      <c r="R72" s="1754"/>
      <c r="S72" s="1067"/>
      <c r="T72" s="1754" t="s">
        <v>743</v>
      </c>
      <c r="U72" s="1754"/>
      <c r="V72" s="1071"/>
      <c r="W72" s="1754" t="s">
        <v>375</v>
      </c>
      <c r="X72" s="1754"/>
      <c r="Y72" s="957"/>
      <c r="AS72" s="811" t="s">
        <v>15</v>
      </c>
      <c r="AT72" s="812" t="s">
        <v>361</v>
      </c>
    </row>
    <row r="73" spans="1:46" ht="15" customHeight="1" x14ac:dyDescent="0.25">
      <c r="A73" s="957"/>
      <c r="B73" s="1686" t="str">
        <f>'Phase 1 Costs'!A75</f>
        <v>Insert FCCM rate title</v>
      </c>
      <c r="C73" s="1686"/>
      <c r="D73" s="1078"/>
      <c r="E73" s="1747">
        <f>'Phase 1 Costs'!AD75</f>
        <v>0</v>
      </c>
      <c r="F73" s="1747"/>
      <c r="G73" s="1067"/>
      <c r="H73" s="1747">
        <f>'Phase 2 Costs '!AD75</f>
        <v>0</v>
      </c>
      <c r="I73" s="1747"/>
      <c r="J73" s="1067"/>
      <c r="K73" s="1747">
        <f>'Phase 3 Costs'!AD75</f>
        <v>0</v>
      </c>
      <c r="L73" s="1747"/>
      <c r="M73" s="1067"/>
      <c r="N73" s="1747">
        <f>'Phase 4 Costs'!AD75</f>
        <v>0</v>
      </c>
      <c r="O73" s="1747"/>
      <c r="P73" s="1067"/>
      <c r="Q73" s="1747">
        <f>'Phase 5 Costs'!AD75</f>
        <v>0</v>
      </c>
      <c r="R73" s="1747"/>
      <c r="S73" s="1067"/>
      <c r="T73" s="1747">
        <f>'Phase 6 Costs'!AD75</f>
        <v>0</v>
      </c>
      <c r="U73" s="1747"/>
      <c r="V73" s="1067"/>
      <c r="W73" s="1747">
        <f>E73+H73+K73+N73+Q73+T73</f>
        <v>0</v>
      </c>
      <c r="X73" s="1747"/>
      <c r="Y73" s="957"/>
    </row>
    <row r="74" spans="1:46" ht="15" customHeight="1" x14ac:dyDescent="0.25">
      <c r="A74" s="957"/>
      <c r="B74" s="1686" t="str">
        <f>'Phase 1 Costs'!A76</f>
        <v>Insert line(s) &amp; title(s) for any other FCCM rates</v>
      </c>
      <c r="C74" s="1686"/>
      <c r="D74" s="1078"/>
      <c r="E74" s="1747">
        <f>'Phase 1 Costs'!AD76</f>
        <v>0</v>
      </c>
      <c r="F74" s="1747"/>
      <c r="G74" s="1067"/>
      <c r="H74" s="1747">
        <f>'Phase 2 Costs '!AD76</f>
        <v>0</v>
      </c>
      <c r="I74" s="1747"/>
      <c r="J74" s="1067"/>
      <c r="K74" s="1747">
        <f>'Phase 3 Costs'!AD76</f>
        <v>0</v>
      </c>
      <c r="L74" s="1747"/>
      <c r="M74" s="1067"/>
      <c r="N74" s="1747">
        <f>'Phase 4 Costs'!AD76</f>
        <v>0</v>
      </c>
      <c r="O74" s="1747"/>
      <c r="P74" s="1067"/>
      <c r="Q74" s="1747">
        <f>'Phase 5 Costs'!AD76</f>
        <v>0</v>
      </c>
      <c r="R74" s="1747"/>
      <c r="S74" s="1067"/>
      <c r="T74" s="1747">
        <f>'Phase 6 Costs'!AD76</f>
        <v>0</v>
      </c>
      <c r="U74" s="1747"/>
      <c r="V74" s="1067"/>
      <c r="W74" s="1747">
        <f>E74+H74+K74+N74+Q74+T74</f>
        <v>0</v>
      </c>
      <c r="X74" s="1747"/>
      <c r="Y74" s="957"/>
    </row>
    <row r="75" spans="1:46" ht="15" customHeight="1" x14ac:dyDescent="0.25">
      <c r="A75" s="957"/>
      <c r="B75" s="1720" t="s">
        <v>375</v>
      </c>
      <c r="C75" s="1720"/>
      <c r="D75" s="1040"/>
      <c r="E75" s="1754">
        <f>'Phase 1 Costs'!AD77</f>
        <v>0</v>
      </c>
      <c r="F75" s="1754"/>
      <c r="G75" s="1068"/>
      <c r="H75" s="1754">
        <f>'Phase 2 Costs '!AD77</f>
        <v>0</v>
      </c>
      <c r="I75" s="1754"/>
      <c r="J75" s="1068"/>
      <c r="K75" s="1758">
        <f>'Phase 3 Costs'!AD77</f>
        <v>0</v>
      </c>
      <c r="L75" s="1758"/>
      <c r="M75" s="1068"/>
      <c r="N75" s="1758">
        <f>'Phase 4 Costs'!AD77</f>
        <v>0</v>
      </c>
      <c r="O75" s="1758"/>
      <c r="P75" s="1068"/>
      <c r="Q75" s="1758">
        <f>'Phase 5 Costs'!AD77</f>
        <v>0</v>
      </c>
      <c r="R75" s="1758"/>
      <c r="S75" s="1068"/>
      <c r="T75" s="1758">
        <f>'Phase 6 Costs'!AD77</f>
        <v>0</v>
      </c>
      <c r="U75" s="1758"/>
      <c r="V75" s="1068"/>
      <c r="W75" s="1754">
        <f>E75+H75+K75+N75+Q75+T75</f>
        <v>0</v>
      </c>
      <c r="X75" s="1754"/>
      <c r="Y75" s="957"/>
    </row>
    <row r="76" spans="1:46" x14ac:dyDescent="0.25">
      <c r="A76" s="957"/>
      <c r="B76" s="1040"/>
      <c r="C76" s="1040"/>
      <c r="D76" s="1040"/>
      <c r="E76" s="957"/>
      <c r="F76" s="1068"/>
      <c r="G76" s="1068"/>
      <c r="H76" s="957"/>
      <c r="I76" s="1068"/>
      <c r="J76" s="1068"/>
      <c r="K76" s="957"/>
      <c r="L76" s="1068"/>
      <c r="M76" s="1068"/>
      <c r="N76" s="957"/>
      <c r="O76" s="1068"/>
      <c r="P76" s="1068"/>
      <c r="Q76" s="957"/>
      <c r="R76" s="1068"/>
      <c r="S76" s="1068"/>
      <c r="T76" s="957"/>
      <c r="U76" s="1068"/>
      <c r="V76" s="1068"/>
      <c r="W76" s="957"/>
      <c r="X76" s="1068"/>
      <c r="Y76" s="957"/>
    </row>
    <row r="77" spans="1:46" ht="21" customHeight="1" x14ac:dyDescent="0.25">
      <c r="A77" s="957"/>
      <c r="B77" s="1760" t="s">
        <v>380</v>
      </c>
      <c r="C77" s="1760"/>
      <c r="D77" s="1040"/>
      <c r="E77" s="1751" t="s">
        <v>744</v>
      </c>
      <c r="F77" s="1751"/>
      <c r="G77" s="1068"/>
      <c r="H77" s="1751" t="s">
        <v>744</v>
      </c>
      <c r="I77" s="1751"/>
      <c r="J77" s="1068"/>
      <c r="K77" s="1751" t="s">
        <v>744</v>
      </c>
      <c r="L77" s="1751"/>
      <c r="M77" s="1068"/>
      <c r="N77" s="1751" t="s">
        <v>744</v>
      </c>
      <c r="O77" s="1751"/>
      <c r="P77" s="1068"/>
      <c r="Q77" s="1751" t="s">
        <v>744</v>
      </c>
      <c r="R77" s="1751"/>
      <c r="S77" s="1068"/>
      <c r="T77" s="1751" t="s">
        <v>744</v>
      </c>
      <c r="U77" s="1751"/>
      <c r="V77" s="1068"/>
      <c r="W77" s="1751" t="s">
        <v>745</v>
      </c>
      <c r="X77" s="1751"/>
      <c r="Y77" s="957"/>
    </row>
    <row r="78" spans="1:46" ht="20.149999999999999" customHeight="1" x14ac:dyDescent="0.25">
      <c r="A78" s="957"/>
      <c r="B78" s="1760"/>
      <c r="C78" s="1760"/>
      <c r="D78" s="1040"/>
      <c r="E78" s="1752">
        <f>'Phase 1 Costs'!AD80</f>
        <v>0</v>
      </c>
      <c r="F78" s="1752"/>
      <c r="G78" s="1068"/>
      <c r="H78" s="1752">
        <f>'Phase 2 Costs '!AD80</f>
        <v>0</v>
      </c>
      <c r="I78" s="1752"/>
      <c r="J78" s="1068"/>
      <c r="K78" s="1752">
        <f>'Phase 3 Costs'!AD80</f>
        <v>0</v>
      </c>
      <c r="L78" s="1752"/>
      <c r="M78" s="1068"/>
      <c r="N78" s="1752">
        <f>'Phase 4 Costs'!AD80</f>
        <v>0</v>
      </c>
      <c r="O78" s="1752"/>
      <c r="P78" s="1068"/>
      <c r="Q78" s="1752">
        <f>'Phase 5 Costs'!AD80</f>
        <v>0</v>
      </c>
      <c r="R78" s="1752"/>
      <c r="S78" s="1068"/>
      <c r="T78" s="1752">
        <f>'Phase 6 Costs'!AD80</f>
        <v>0</v>
      </c>
      <c r="U78" s="1752"/>
      <c r="V78" s="1068"/>
      <c r="W78" s="1752">
        <f>E78+H78+K78+N78+Q78+T78</f>
        <v>0</v>
      </c>
      <c r="X78" s="1752"/>
      <c r="Y78" s="957"/>
    </row>
    <row r="79" spans="1:46" ht="20.149999999999999" customHeight="1" x14ac:dyDescent="0.25">
      <c r="A79" s="957"/>
      <c r="B79" s="1083"/>
      <c r="C79" s="1083"/>
      <c r="D79" s="1040"/>
      <c r="E79" s="1175"/>
      <c r="F79" s="1068"/>
      <c r="G79" s="1068"/>
      <c r="H79" s="1040"/>
      <c r="I79" s="1068"/>
      <c r="J79" s="1068"/>
      <c r="K79" s="1040"/>
      <c r="L79" s="1068"/>
      <c r="M79" s="1068"/>
      <c r="N79" s="1040"/>
      <c r="O79" s="1068"/>
      <c r="P79" s="1068"/>
      <c r="Q79" s="1040"/>
      <c r="R79" s="1068"/>
      <c r="S79" s="1068"/>
      <c r="T79" s="1040"/>
      <c r="U79" s="1068"/>
      <c r="V79" s="1068"/>
      <c r="W79" s="1068"/>
      <c r="X79" s="1068"/>
      <c r="Y79" s="957"/>
    </row>
    <row r="80" spans="1:46" ht="20.149999999999999" customHeight="1" x14ac:dyDescent="0.25">
      <c r="A80" s="957"/>
      <c r="B80" s="1761" t="s">
        <v>746</v>
      </c>
      <c r="C80" s="1761"/>
      <c r="D80" s="1040"/>
      <c r="E80" s="1753" t="s">
        <v>747</v>
      </c>
      <c r="F80" s="1753"/>
      <c r="G80" s="1068"/>
      <c r="H80" s="1753" t="s">
        <v>748</v>
      </c>
      <c r="I80" s="1753"/>
      <c r="J80" s="1068"/>
      <c r="K80" s="1753" t="s">
        <v>749</v>
      </c>
      <c r="L80" s="1753"/>
      <c r="M80" s="1068"/>
      <c r="N80" s="1753" t="s">
        <v>750</v>
      </c>
      <c r="O80" s="1753"/>
      <c r="P80" s="1068"/>
      <c r="Q80" s="1753" t="s">
        <v>751</v>
      </c>
      <c r="R80" s="1753"/>
      <c r="S80" s="1068"/>
      <c r="T80" s="1753" t="s">
        <v>752</v>
      </c>
      <c r="U80" s="1753"/>
      <c r="V80" s="1068"/>
      <c r="W80" s="1753" t="s">
        <v>753</v>
      </c>
      <c r="X80" s="1753"/>
      <c r="Y80" s="957"/>
    </row>
    <row r="81" spans="1:25" ht="23.15" customHeight="1" x14ac:dyDescent="0.25">
      <c r="A81" s="957"/>
      <c r="B81" s="1761"/>
      <c r="C81" s="1761"/>
      <c r="D81" s="1175"/>
      <c r="E81" s="1753">
        <f>'Phase 1 Costs'!AD83</f>
        <v>0</v>
      </c>
      <c r="F81" s="1753"/>
      <c r="G81" s="1068"/>
      <c r="H81" s="1753">
        <f>'Phase 2 Costs '!AD83</f>
        <v>0</v>
      </c>
      <c r="I81" s="1753"/>
      <c r="J81" s="1068"/>
      <c r="K81" s="1753">
        <f>'Phase 3 Costs'!$AD83</f>
        <v>0</v>
      </c>
      <c r="L81" s="1753"/>
      <c r="M81" s="1068"/>
      <c r="N81" s="1753">
        <f>'Phase 4 Costs'!AD83</f>
        <v>0</v>
      </c>
      <c r="O81" s="1753"/>
      <c r="P81" s="1068"/>
      <c r="Q81" s="1753">
        <f>'Phase 5 Costs'!AD83</f>
        <v>0</v>
      </c>
      <c r="R81" s="1753"/>
      <c r="S81" s="1068"/>
      <c r="T81" s="1753">
        <f>'Phase 6 Costs'!AD83</f>
        <v>0</v>
      </c>
      <c r="U81" s="1753"/>
      <c r="V81" s="1068"/>
      <c r="W81" s="1753">
        <f>E81+H81+K81+N81+Q81+T81</f>
        <v>0</v>
      </c>
      <c r="X81" s="1753"/>
      <c r="Y81" s="957"/>
    </row>
    <row r="82" spans="1:25" ht="23.15" customHeight="1" x14ac:dyDescent="0.25">
      <c r="A82" s="957"/>
      <c r="B82" s="1136"/>
      <c r="C82" s="1136"/>
      <c r="D82" s="1175"/>
      <c r="E82" s="1137"/>
      <c r="F82" s="1068"/>
      <c r="G82" s="1068"/>
      <c r="H82" s="1137"/>
      <c r="I82" s="1068"/>
      <c r="J82" s="1068"/>
      <c r="K82" s="1137"/>
      <c r="L82" s="1068"/>
      <c r="M82" s="1068"/>
      <c r="N82" s="1137"/>
      <c r="O82" s="1068"/>
      <c r="P82" s="1068"/>
      <c r="Q82" s="1137"/>
      <c r="R82" s="1068"/>
      <c r="S82" s="1068"/>
      <c r="T82" s="1137"/>
      <c r="U82" s="1068"/>
      <c r="V82" s="1068"/>
      <c r="W82" s="1067"/>
      <c r="X82" s="1068"/>
      <c r="Y82" s="957"/>
    </row>
    <row r="83" spans="1:25" ht="26.5" customHeight="1" x14ac:dyDescent="0.25">
      <c r="A83" s="957"/>
      <c r="B83" s="1762" t="s">
        <v>457</v>
      </c>
      <c r="C83" s="1762"/>
      <c r="D83" s="1175"/>
      <c r="E83" s="1749" t="s">
        <v>754</v>
      </c>
      <c r="F83" s="1749"/>
      <c r="G83" s="1068"/>
      <c r="H83" s="1749" t="s">
        <v>755</v>
      </c>
      <c r="I83" s="1749"/>
      <c r="J83" s="1068"/>
      <c r="K83" s="1749" t="s">
        <v>756</v>
      </c>
      <c r="L83" s="1749"/>
      <c r="M83" s="1068"/>
      <c r="N83" s="1749" t="s">
        <v>757</v>
      </c>
      <c r="O83" s="1749"/>
      <c r="P83" s="1068"/>
      <c r="Q83" s="1749" t="s">
        <v>758</v>
      </c>
      <c r="R83" s="1749"/>
      <c r="S83" s="1068"/>
      <c r="T83" s="1749" t="s">
        <v>759</v>
      </c>
      <c r="U83" s="1749"/>
      <c r="V83" s="1068"/>
      <c r="W83" s="1198" t="s">
        <v>390</v>
      </c>
      <c r="X83" s="1199" t="s">
        <v>760</v>
      </c>
      <c r="Y83" s="957"/>
    </row>
    <row r="84" spans="1:25" ht="20.5" customHeight="1" x14ac:dyDescent="0.25">
      <c r="A84" s="957"/>
      <c r="B84" s="1762"/>
      <c r="C84" s="1762"/>
      <c r="D84" s="1040"/>
      <c r="E84" s="1750">
        <f>'Phase 1 Costs'!AD86</f>
        <v>0</v>
      </c>
      <c r="F84" s="1750"/>
      <c r="G84" s="1068"/>
      <c r="H84" s="1750">
        <f>'Phase 2 Costs '!AD86</f>
        <v>0</v>
      </c>
      <c r="I84" s="1750"/>
      <c r="J84" s="1068"/>
      <c r="K84" s="1750">
        <f>'Phase 3 Costs'!AD86</f>
        <v>0</v>
      </c>
      <c r="L84" s="1750"/>
      <c r="M84" s="1068"/>
      <c r="N84" s="1750">
        <f>'Phase 4 Costs'!AD86</f>
        <v>0</v>
      </c>
      <c r="O84" s="1750"/>
      <c r="P84" s="1068"/>
      <c r="Q84" s="1750">
        <f>'Phase 5 Costs'!AD86</f>
        <v>0</v>
      </c>
      <c r="R84" s="1750"/>
      <c r="S84" s="1068"/>
      <c r="T84" s="1750">
        <f>'Phase 6 Costs'!AD86</f>
        <v>0</v>
      </c>
      <c r="U84" s="1750"/>
      <c r="V84" s="1068"/>
      <c r="W84" s="1150">
        <f>W47+W32</f>
        <v>0</v>
      </c>
      <c r="X84" s="1130">
        <f>E84+H84+K84+N84+Q84+T84</f>
        <v>0</v>
      </c>
      <c r="Y84" s="957"/>
    </row>
    <row r="85" spans="1:25" x14ac:dyDescent="0.25">
      <c r="A85" s="957"/>
      <c r="B85" s="957"/>
      <c r="C85" s="957"/>
      <c r="D85" s="957"/>
      <c r="E85" s="957"/>
      <c r="F85" s="957"/>
      <c r="G85" s="957"/>
      <c r="H85" s="957"/>
      <c r="I85" s="957"/>
      <c r="J85" s="957"/>
      <c r="K85" s="957"/>
      <c r="L85" s="957"/>
      <c r="M85" s="957"/>
      <c r="N85" s="957"/>
      <c r="O85" s="957"/>
      <c r="P85" s="957"/>
      <c r="Q85" s="957"/>
      <c r="R85" s="957"/>
      <c r="S85" s="957"/>
      <c r="T85" s="957"/>
      <c r="U85" s="957"/>
      <c r="V85" s="957"/>
      <c r="W85" s="957"/>
      <c r="X85" s="957"/>
      <c r="Y85" s="957"/>
    </row>
    <row r="86" spans="1:25" x14ac:dyDescent="0.25">
      <c r="A86" s="957"/>
      <c r="B86" s="957"/>
      <c r="C86" s="957"/>
      <c r="D86" s="957"/>
      <c r="E86" s="957"/>
      <c r="F86" s="957"/>
      <c r="G86" s="957"/>
      <c r="H86" s="957"/>
      <c r="I86" s="957"/>
      <c r="J86" s="957"/>
      <c r="K86" s="957"/>
      <c r="L86" s="957"/>
      <c r="M86" s="957"/>
      <c r="N86" s="957"/>
      <c r="O86" s="957"/>
      <c r="P86" s="957"/>
      <c r="Q86" s="957"/>
      <c r="R86" s="957"/>
      <c r="S86" s="957"/>
      <c r="T86" s="957"/>
      <c r="U86" s="957"/>
      <c r="V86" s="957"/>
      <c r="W86" s="957"/>
      <c r="X86" s="957"/>
      <c r="Y86" s="957"/>
    </row>
    <row r="87" spans="1:25" x14ac:dyDescent="0.25">
      <c r="A87" s="957"/>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row>
    <row r="88" spans="1:25" x14ac:dyDescent="0.25">
      <c r="C88" s="630"/>
      <c r="D88" s="630"/>
      <c r="E88" s="630"/>
    </row>
    <row r="93" spans="1:25" x14ac:dyDescent="0.25">
      <c r="C93" s="656"/>
      <c r="D93" s="656"/>
    </row>
  </sheetData>
  <mergeCells count="301">
    <mergeCell ref="B77:C78"/>
    <mergeCell ref="B80:C81"/>
    <mergeCell ref="B83:C84"/>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Q53:R53"/>
    <mergeCell ref="Q54:R54"/>
    <mergeCell ref="N49:O49"/>
    <mergeCell ref="W78:X78"/>
    <mergeCell ref="W80:X80"/>
    <mergeCell ref="W81:X81"/>
    <mergeCell ref="W34:X34"/>
    <mergeCell ref="W35:X35"/>
    <mergeCell ref="W36:X36"/>
    <mergeCell ref="W37:X37"/>
    <mergeCell ref="W38:X38"/>
    <mergeCell ref="W39:X39"/>
    <mergeCell ref="W41:X41"/>
    <mergeCell ref="W72:X72"/>
    <mergeCell ref="W73:X73"/>
    <mergeCell ref="W74:X74"/>
    <mergeCell ref="W75:X75"/>
    <mergeCell ref="W77:X77"/>
    <mergeCell ref="W65:X65"/>
    <mergeCell ref="W66:X66"/>
    <mergeCell ref="W67:X67"/>
    <mergeCell ref="W69:X69"/>
    <mergeCell ref="W70:X70"/>
    <mergeCell ref="W58:X58"/>
    <mergeCell ref="W59:X59"/>
    <mergeCell ref="W61:X61"/>
    <mergeCell ref="W62:X62"/>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Q49:R49"/>
    <mergeCell ref="Q50:R50"/>
    <mergeCell ref="Q51:R51"/>
    <mergeCell ref="Q52:R52"/>
    <mergeCell ref="N54:O54"/>
    <mergeCell ref="N53:O53"/>
    <mergeCell ref="N52:O52"/>
    <mergeCell ref="N51:O51"/>
    <mergeCell ref="N50:O50"/>
    <mergeCell ref="N61:O61"/>
    <mergeCell ref="N59:O59"/>
    <mergeCell ref="N58:O58"/>
    <mergeCell ref="N57:O57"/>
    <mergeCell ref="N56:O56"/>
    <mergeCell ref="Q56:R56"/>
    <mergeCell ref="Q57:R57"/>
    <mergeCell ref="Q58:R58"/>
    <mergeCell ref="Q59:R59"/>
    <mergeCell ref="Q61:R61"/>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H69:I69"/>
    <mergeCell ref="H70:I70"/>
    <mergeCell ref="H72:I72"/>
    <mergeCell ref="H73:I73"/>
    <mergeCell ref="H74:I74"/>
    <mergeCell ref="K51:L51"/>
    <mergeCell ref="K50:L50"/>
    <mergeCell ref="K49:L49"/>
    <mergeCell ref="K39:L39"/>
    <mergeCell ref="H65:I65"/>
    <mergeCell ref="H66:I66"/>
    <mergeCell ref="H67:I67"/>
    <mergeCell ref="K67:L67"/>
    <mergeCell ref="K66:L66"/>
    <mergeCell ref="K65:L65"/>
    <mergeCell ref="H58:I58"/>
    <mergeCell ref="H59:I59"/>
    <mergeCell ref="H61:I61"/>
    <mergeCell ref="H62:I62"/>
    <mergeCell ref="H64:I64"/>
    <mergeCell ref="H52:I52"/>
    <mergeCell ref="H53:I53"/>
    <mergeCell ref="H54:I54"/>
    <mergeCell ref="H56:I56"/>
    <mergeCell ref="K38:L38"/>
    <mergeCell ref="K57:L57"/>
    <mergeCell ref="K56:L56"/>
    <mergeCell ref="K54:L54"/>
    <mergeCell ref="K53:L53"/>
    <mergeCell ref="K52:L52"/>
    <mergeCell ref="K64:L64"/>
    <mergeCell ref="K62:L62"/>
    <mergeCell ref="K61:L61"/>
    <mergeCell ref="K59:L59"/>
    <mergeCell ref="K58:L58"/>
    <mergeCell ref="H57:I57"/>
    <mergeCell ref="E50:F50"/>
    <mergeCell ref="E49:F49"/>
    <mergeCell ref="H49:I49"/>
    <mergeCell ref="H50:I50"/>
    <mergeCell ref="H51:I51"/>
    <mergeCell ref="E56:F56"/>
    <mergeCell ref="E54:F54"/>
    <mergeCell ref="E53:F53"/>
    <mergeCell ref="E52:F52"/>
    <mergeCell ref="E51:F51"/>
    <mergeCell ref="E62:F62"/>
    <mergeCell ref="E61:F61"/>
    <mergeCell ref="E59:F59"/>
    <mergeCell ref="E58:F58"/>
    <mergeCell ref="E57:F57"/>
    <mergeCell ref="E69:F69"/>
    <mergeCell ref="E67:F67"/>
    <mergeCell ref="E66:F66"/>
    <mergeCell ref="E65:F65"/>
    <mergeCell ref="E64:F64"/>
    <mergeCell ref="E75:F75"/>
    <mergeCell ref="E74:F74"/>
    <mergeCell ref="E73:F73"/>
    <mergeCell ref="E72:F72"/>
    <mergeCell ref="E70:F70"/>
    <mergeCell ref="E77:F77"/>
    <mergeCell ref="E78:F78"/>
    <mergeCell ref="H77:I77"/>
    <mergeCell ref="H78:I78"/>
    <mergeCell ref="H75:I75"/>
    <mergeCell ref="K77:L77"/>
    <mergeCell ref="K78:L78"/>
    <mergeCell ref="K81:L81"/>
    <mergeCell ref="K80:L80"/>
    <mergeCell ref="H80:I80"/>
    <mergeCell ref="H81:I81"/>
    <mergeCell ref="E80:F80"/>
    <mergeCell ref="E81:F81"/>
    <mergeCell ref="N77:O77"/>
    <mergeCell ref="N78:O78"/>
    <mergeCell ref="Q77:R77"/>
    <mergeCell ref="Q78:R78"/>
    <mergeCell ref="T77:U77"/>
    <mergeCell ref="T78:U78"/>
    <mergeCell ref="T81:U81"/>
    <mergeCell ref="Q80:R80"/>
    <mergeCell ref="Q81:R81"/>
    <mergeCell ref="N80:O80"/>
    <mergeCell ref="N81:O81"/>
    <mergeCell ref="T80:U80"/>
    <mergeCell ref="N83:O83"/>
    <mergeCell ref="N84:O84"/>
    <mergeCell ref="Q83:R83"/>
    <mergeCell ref="Q84:R84"/>
    <mergeCell ref="T83:U83"/>
    <mergeCell ref="T84:U84"/>
    <mergeCell ref="E83:F83"/>
    <mergeCell ref="E84:F84"/>
    <mergeCell ref="H83:I83"/>
    <mergeCell ref="H84:I84"/>
    <mergeCell ref="K83:L83"/>
    <mergeCell ref="K84:L84"/>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s>
  <phoneticPr fontId="20" type="noConversion"/>
  <pageMargins left="0.25" right="0.25" top="0.75" bottom="0.75" header="0.3" footer="0.3"/>
  <pageSetup fitToHeight="3" orientation="landscape" r:id="rId1"/>
  <rowBreaks count="1" manualBreakCount="1">
    <brk id="32" min="1" max="23" man="1"/>
  </rowBreaks>
  <colBreaks count="2" manualBreakCount="2">
    <brk id="10" min="1" max="84" man="1"/>
    <brk id="22" min="1" max="8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dimension ref="A1:O29"/>
  <sheetViews>
    <sheetView view="pageBreakPreview" zoomScaleNormal="100" zoomScaleSheetLayoutView="100" workbookViewId="0"/>
  </sheetViews>
  <sheetFormatPr defaultColWidth="10.1796875" defaultRowHeight="15.5" x14ac:dyDescent="0.25"/>
  <cols>
    <col min="1" max="1" width="9.7265625" style="524" customWidth="1"/>
    <col min="2" max="2" width="16.1796875" style="527" customWidth="1"/>
    <col min="3" max="3" width="18.26953125" style="527" customWidth="1"/>
    <col min="4" max="4" width="17.54296875" style="527" customWidth="1"/>
    <col min="5" max="5" width="16.453125" style="527" customWidth="1"/>
    <col min="6" max="6" width="16.1796875" style="527" customWidth="1"/>
    <col min="7" max="7" width="16.453125" style="527" customWidth="1"/>
    <col min="8" max="8" width="17.1796875" style="527" customWidth="1"/>
    <col min="9" max="9" width="16" style="527" customWidth="1"/>
    <col min="10" max="10" width="15.7265625" style="527" customWidth="1"/>
    <col min="11" max="12" width="15.453125" style="527" customWidth="1"/>
    <col min="13" max="13" width="16" style="527" customWidth="1"/>
    <col min="14" max="14" width="19.54296875" style="528" customWidth="1"/>
    <col min="15" max="15" width="2.81640625" style="524" customWidth="1"/>
    <col min="16" max="16384" width="10.1796875" style="524"/>
  </cols>
  <sheetData>
    <row r="1" spans="1:15" x14ac:dyDescent="0.25">
      <c r="A1" s="557"/>
      <c r="B1" s="558"/>
      <c r="C1" s="558"/>
      <c r="D1" s="558"/>
      <c r="E1" s="558"/>
      <c r="F1" s="558"/>
      <c r="G1" s="558"/>
      <c r="H1" s="558"/>
      <c r="I1" s="558"/>
      <c r="J1" s="558"/>
      <c r="K1" s="558"/>
      <c r="L1" s="558"/>
      <c r="M1" s="558"/>
      <c r="N1" s="559"/>
      <c r="O1" s="560"/>
    </row>
    <row r="2" spans="1:15" s="523" customFormat="1" ht="26.15" customHeight="1" x14ac:dyDescent="0.25">
      <c r="A2" s="561"/>
      <c r="B2" s="1776" t="s">
        <v>761</v>
      </c>
      <c r="C2" s="1777"/>
      <c r="D2" s="1777"/>
      <c r="E2" s="1778"/>
      <c r="F2" s="562"/>
      <c r="G2" s="1775" t="s">
        <v>762</v>
      </c>
      <c r="H2" s="1775"/>
      <c r="I2" s="1775"/>
      <c r="J2" s="562"/>
      <c r="K2" s="562"/>
      <c r="L2" s="563"/>
      <c r="M2" s="564"/>
      <c r="N2" s="564"/>
      <c r="O2" s="565"/>
    </row>
    <row r="3" spans="1:15" s="523" customFormat="1" ht="26.15" customHeight="1" x14ac:dyDescent="0.25">
      <c r="A3" s="561"/>
      <c r="B3" s="1776" t="s">
        <v>763</v>
      </c>
      <c r="C3" s="1777"/>
      <c r="D3" s="1777"/>
      <c r="E3" s="1778"/>
      <c r="F3" s="566"/>
      <c r="G3" s="566"/>
      <c r="H3" s="566"/>
      <c r="I3" s="566"/>
      <c r="J3" s="566"/>
      <c r="K3" s="562"/>
      <c r="L3" s="563"/>
      <c r="M3" s="564"/>
      <c r="N3" s="564"/>
      <c r="O3" s="565"/>
    </row>
    <row r="4" spans="1:15" x14ac:dyDescent="0.25">
      <c r="A4" s="567"/>
      <c r="B4" s="568"/>
      <c r="C4" s="568"/>
      <c r="D4" s="568"/>
      <c r="E4" s="568"/>
      <c r="F4" s="568"/>
      <c r="G4" s="568"/>
      <c r="H4" s="568"/>
      <c r="I4" s="568"/>
      <c r="J4" s="568"/>
      <c r="K4" s="568"/>
      <c r="L4" s="568"/>
      <c r="M4" s="568"/>
      <c r="N4" s="569"/>
      <c r="O4" s="570"/>
    </row>
    <row r="5" spans="1:15" ht="23.15" customHeight="1" x14ac:dyDescent="0.25">
      <c r="A5" s="567"/>
      <c r="B5" s="760" t="s">
        <v>569</v>
      </c>
      <c r="C5" s="1766"/>
      <c r="D5" s="1767"/>
      <c r="E5" s="1767"/>
      <c r="F5" s="1767"/>
      <c r="G5" s="1767"/>
      <c r="H5" s="1767"/>
      <c r="I5" s="1767"/>
      <c r="J5" s="1767"/>
      <c r="K5" s="1767"/>
      <c r="L5" s="1767"/>
      <c r="M5" s="1767"/>
      <c r="N5" s="1768"/>
      <c r="O5" s="570"/>
    </row>
    <row r="6" spans="1:15" x14ac:dyDescent="0.25">
      <c r="A6" s="567"/>
      <c r="B6" s="525" t="s">
        <v>764</v>
      </c>
      <c r="C6" s="757"/>
      <c r="D6" s="529"/>
      <c r="E6" s="529"/>
      <c r="F6" s="529"/>
      <c r="G6" s="529"/>
      <c r="H6" s="529"/>
      <c r="I6" s="529"/>
      <c r="J6" s="529"/>
      <c r="K6" s="529"/>
      <c r="L6" s="529"/>
      <c r="M6" s="529"/>
      <c r="N6" s="529"/>
      <c r="O6" s="570"/>
    </row>
    <row r="7" spans="1:15" x14ac:dyDescent="0.25">
      <c r="A7" s="567"/>
      <c r="B7" s="756" t="s">
        <v>765</v>
      </c>
      <c r="C7" s="756" t="s">
        <v>766</v>
      </c>
      <c r="D7" s="756" t="s">
        <v>767</v>
      </c>
      <c r="E7" s="756" t="s">
        <v>768</v>
      </c>
      <c r="F7" s="756" t="s">
        <v>769</v>
      </c>
      <c r="G7" s="756" t="s">
        <v>770</v>
      </c>
      <c r="H7" s="756" t="s">
        <v>771</v>
      </c>
      <c r="I7" s="756" t="s">
        <v>772</v>
      </c>
      <c r="J7" s="756" t="s">
        <v>773</v>
      </c>
      <c r="K7" s="756" t="s">
        <v>774</v>
      </c>
      <c r="L7" s="756" t="s">
        <v>775</v>
      </c>
      <c r="M7" s="756" t="s">
        <v>776</v>
      </c>
      <c r="N7" s="756" t="s">
        <v>626</v>
      </c>
      <c r="O7" s="570"/>
    </row>
    <row r="8" spans="1:15" x14ac:dyDescent="0.25">
      <c r="A8" s="1128" t="s">
        <v>777</v>
      </c>
      <c r="B8" s="526"/>
      <c r="C8" s="526"/>
      <c r="D8" s="526"/>
      <c r="E8" s="526"/>
      <c r="F8" s="526"/>
      <c r="G8" s="526"/>
      <c r="H8" s="526"/>
      <c r="I8" s="526"/>
      <c r="J8" s="526"/>
      <c r="K8" s="526"/>
      <c r="L8" s="526"/>
      <c r="M8" s="526"/>
      <c r="N8" s="755">
        <f>SUM(B8:M8)</f>
        <v>0</v>
      </c>
      <c r="O8" s="570"/>
    </row>
    <row r="9" spans="1:15" x14ac:dyDescent="0.25">
      <c r="A9" s="1128" t="s">
        <v>778</v>
      </c>
      <c r="B9" s="526"/>
      <c r="C9" s="526"/>
      <c r="D9" s="526"/>
      <c r="E9" s="526"/>
      <c r="F9" s="526"/>
      <c r="G9" s="526"/>
      <c r="H9" s="526"/>
      <c r="I9" s="526"/>
      <c r="J9" s="526"/>
      <c r="K9" s="526"/>
      <c r="L9" s="526"/>
      <c r="M9" s="526"/>
      <c r="N9" s="755">
        <f>SUM(B9:M9)</f>
        <v>0</v>
      </c>
      <c r="O9" s="570"/>
    </row>
    <row r="10" spans="1:15" x14ac:dyDescent="0.25">
      <c r="A10" s="1128" t="s">
        <v>778</v>
      </c>
      <c r="B10" s="526"/>
      <c r="C10" s="526"/>
      <c r="D10" s="526"/>
      <c r="E10" s="526"/>
      <c r="F10" s="526"/>
      <c r="G10" s="526"/>
      <c r="H10" s="526"/>
      <c r="I10" s="526"/>
      <c r="J10" s="526"/>
      <c r="K10" s="526"/>
      <c r="L10" s="526"/>
      <c r="M10" s="526"/>
      <c r="N10" s="755">
        <f>SUM(B10:M10)</f>
        <v>0</v>
      </c>
      <c r="O10" s="570"/>
    </row>
    <row r="11" spans="1:15" x14ac:dyDescent="0.25">
      <c r="A11" s="567"/>
      <c r="B11" s="1763" t="s">
        <v>343</v>
      </c>
      <c r="C11" s="1764"/>
      <c r="D11" s="1764"/>
      <c r="E11" s="1764"/>
      <c r="F11" s="1764"/>
      <c r="G11" s="1764"/>
      <c r="H11" s="1764"/>
      <c r="I11" s="1764"/>
      <c r="J11" s="1764"/>
      <c r="K11" s="1764"/>
      <c r="L11" s="1764"/>
      <c r="M11" s="1765"/>
      <c r="N11" s="761">
        <f>SUM(N8:N10)</f>
        <v>0</v>
      </c>
      <c r="O11" s="570"/>
    </row>
    <row r="12" spans="1:15" x14ac:dyDescent="0.25">
      <c r="A12" s="567"/>
      <c r="B12" s="568"/>
      <c r="C12" s="568"/>
      <c r="D12" s="568"/>
      <c r="E12" s="568"/>
      <c r="F12" s="568"/>
      <c r="G12" s="568"/>
      <c r="H12" s="568"/>
      <c r="I12" s="568"/>
      <c r="J12" s="568"/>
      <c r="K12" s="568"/>
      <c r="L12" s="568"/>
      <c r="M12" s="568"/>
      <c r="N12" s="569"/>
      <c r="O12" s="570"/>
    </row>
    <row r="13" spans="1:15" ht="21.65" customHeight="1" x14ac:dyDescent="0.25">
      <c r="A13" s="567"/>
      <c r="B13" s="759" t="s">
        <v>570</v>
      </c>
      <c r="C13" s="1769"/>
      <c r="D13" s="1770"/>
      <c r="E13" s="1770"/>
      <c r="F13" s="1770"/>
      <c r="G13" s="1770"/>
      <c r="H13" s="1770"/>
      <c r="I13" s="1770"/>
      <c r="J13" s="1770"/>
      <c r="K13" s="1770"/>
      <c r="L13" s="1770"/>
      <c r="M13" s="1770"/>
      <c r="N13" s="1771"/>
      <c r="O13" s="570"/>
    </row>
    <row r="14" spans="1:15" x14ac:dyDescent="0.25">
      <c r="A14" s="567"/>
      <c r="B14" s="525" t="s">
        <v>764</v>
      </c>
      <c r="C14" s="757"/>
      <c r="D14" s="529"/>
      <c r="E14" s="529"/>
      <c r="F14" s="529"/>
      <c r="G14" s="529"/>
      <c r="H14" s="529"/>
      <c r="I14" s="529"/>
      <c r="J14" s="529"/>
      <c r="K14" s="529"/>
      <c r="L14" s="529"/>
      <c r="M14" s="529"/>
      <c r="N14" s="529"/>
      <c r="O14" s="570"/>
    </row>
    <row r="15" spans="1:15" x14ac:dyDescent="0.25">
      <c r="A15" s="567"/>
      <c r="B15" s="756" t="s">
        <v>765</v>
      </c>
      <c r="C15" s="756" t="s">
        <v>766</v>
      </c>
      <c r="D15" s="756" t="s">
        <v>767</v>
      </c>
      <c r="E15" s="756" t="s">
        <v>768</v>
      </c>
      <c r="F15" s="756" t="s">
        <v>769</v>
      </c>
      <c r="G15" s="756" t="s">
        <v>770</v>
      </c>
      <c r="H15" s="756" t="s">
        <v>771</v>
      </c>
      <c r="I15" s="756" t="s">
        <v>772</v>
      </c>
      <c r="J15" s="756" t="s">
        <v>773</v>
      </c>
      <c r="K15" s="756" t="s">
        <v>774</v>
      </c>
      <c r="L15" s="756" t="s">
        <v>775</v>
      </c>
      <c r="M15" s="756" t="s">
        <v>776</v>
      </c>
      <c r="N15" s="756" t="s">
        <v>626</v>
      </c>
      <c r="O15" s="570"/>
    </row>
    <row r="16" spans="1:15" x14ac:dyDescent="0.25">
      <c r="A16" s="1128" t="s">
        <v>777</v>
      </c>
      <c r="B16" s="526"/>
      <c r="C16" s="526"/>
      <c r="D16" s="526"/>
      <c r="E16" s="526"/>
      <c r="F16" s="526"/>
      <c r="G16" s="526"/>
      <c r="H16" s="526"/>
      <c r="I16" s="526"/>
      <c r="J16" s="526"/>
      <c r="K16" s="526"/>
      <c r="L16" s="526"/>
      <c r="M16" s="526"/>
      <c r="N16" s="755">
        <f>SUM(B16:M16)</f>
        <v>0</v>
      </c>
      <c r="O16" s="570"/>
    </row>
    <row r="17" spans="1:15" x14ac:dyDescent="0.25">
      <c r="A17" s="1128" t="s">
        <v>778</v>
      </c>
      <c r="B17" s="526"/>
      <c r="C17" s="526"/>
      <c r="D17" s="526"/>
      <c r="E17" s="526"/>
      <c r="F17" s="526"/>
      <c r="G17" s="526"/>
      <c r="H17" s="526"/>
      <c r="I17" s="526"/>
      <c r="J17" s="526"/>
      <c r="K17" s="526"/>
      <c r="L17" s="526"/>
      <c r="M17" s="526"/>
      <c r="N17" s="755">
        <f>SUM(B17:M17)</f>
        <v>0</v>
      </c>
      <c r="O17" s="570"/>
    </row>
    <row r="18" spans="1:15" x14ac:dyDescent="0.25">
      <c r="A18" s="1128" t="s">
        <v>778</v>
      </c>
      <c r="B18" s="526"/>
      <c r="C18" s="526"/>
      <c r="D18" s="526"/>
      <c r="E18" s="526"/>
      <c r="F18" s="526"/>
      <c r="G18" s="526"/>
      <c r="H18" s="526"/>
      <c r="I18" s="526"/>
      <c r="J18" s="526"/>
      <c r="K18" s="526"/>
      <c r="L18" s="526"/>
      <c r="M18" s="526"/>
      <c r="N18" s="755">
        <f>SUM(B18:M18)</f>
        <v>0</v>
      </c>
      <c r="O18" s="570"/>
    </row>
    <row r="19" spans="1:15" x14ac:dyDescent="0.25">
      <c r="A19" s="567"/>
      <c r="B19" s="1763" t="s">
        <v>343</v>
      </c>
      <c r="C19" s="1764"/>
      <c r="D19" s="1764"/>
      <c r="E19" s="1764"/>
      <c r="F19" s="1764"/>
      <c r="G19" s="1764"/>
      <c r="H19" s="1764"/>
      <c r="I19" s="1764"/>
      <c r="J19" s="1764"/>
      <c r="K19" s="1764"/>
      <c r="L19" s="1764"/>
      <c r="M19" s="1765"/>
      <c r="N19" s="753">
        <f>SUM(N16:N18)</f>
        <v>0</v>
      </c>
      <c r="O19" s="570"/>
    </row>
    <row r="20" spans="1:15" x14ac:dyDescent="0.25">
      <c r="A20" s="567"/>
      <c r="B20" s="568"/>
      <c r="C20" s="568"/>
      <c r="D20" s="568"/>
      <c r="E20" s="568"/>
      <c r="F20" s="568"/>
      <c r="G20" s="568"/>
      <c r="H20" s="568"/>
      <c r="I20" s="568"/>
      <c r="J20" s="568"/>
      <c r="K20" s="568"/>
      <c r="L20" s="568"/>
      <c r="M20" s="568"/>
      <c r="N20" s="569"/>
      <c r="O20" s="570"/>
    </row>
    <row r="21" spans="1:15" ht="27.65" customHeight="1" x14ac:dyDescent="0.25">
      <c r="A21" s="567"/>
      <c r="B21" s="758" t="s">
        <v>571</v>
      </c>
      <c r="C21" s="1772"/>
      <c r="D21" s="1773"/>
      <c r="E21" s="1773"/>
      <c r="F21" s="1773"/>
      <c r="G21" s="1773"/>
      <c r="H21" s="1773"/>
      <c r="I21" s="1773"/>
      <c r="J21" s="1773"/>
      <c r="K21" s="1773"/>
      <c r="L21" s="1773"/>
      <c r="M21" s="1773"/>
      <c r="N21" s="1774"/>
      <c r="O21" s="570"/>
    </row>
    <row r="22" spans="1:15" x14ac:dyDescent="0.25">
      <c r="A22" s="567"/>
      <c r="B22" s="525" t="s">
        <v>764</v>
      </c>
      <c r="C22" s="757"/>
      <c r="D22" s="529"/>
      <c r="E22" s="529"/>
      <c r="F22" s="529"/>
      <c r="G22" s="529"/>
      <c r="H22" s="529"/>
      <c r="I22" s="529"/>
      <c r="J22" s="529"/>
      <c r="K22" s="529"/>
      <c r="L22" s="529"/>
      <c r="M22" s="529"/>
      <c r="N22" s="529"/>
      <c r="O22" s="570"/>
    </row>
    <row r="23" spans="1:15" x14ac:dyDescent="0.25">
      <c r="A23" s="567"/>
      <c r="B23" s="756" t="s">
        <v>765</v>
      </c>
      <c r="C23" s="756" t="s">
        <v>766</v>
      </c>
      <c r="D23" s="756" t="s">
        <v>767</v>
      </c>
      <c r="E23" s="756" t="s">
        <v>768</v>
      </c>
      <c r="F23" s="756" t="s">
        <v>769</v>
      </c>
      <c r="G23" s="756" t="s">
        <v>770</v>
      </c>
      <c r="H23" s="756" t="s">
        <v>771</v>
      </c>
      <c r="I23" s="756" t="s">
        <v>772</v>
      </c>
      <c r="J23" s="756" t="s">
        <v>773</v>
      </c>
      <c r="K23" s="756" t="s">
        <v>774</v>
      </c>
      <c r="L23" s="756" t="s">
        <v>775</v>
      </c>
      <c r="M23" s="756" t="s">
        <v>776</v>
      </c>
      <c r="N23" s="756" t="s">
        <v>626</v>
      </c>
      <c r="O23" s="570"/>
    </row>
    <row r="24" spans="1:15" x14ac:dyDescent="0.25">
      <c r="A24" s="1128" t="s">
        <v>777</v>
      </c>
      <c r="B24" s="526"/>
      <c r="C24" s="526"/>
      <c r="D24" s="526"/>
      <c r="E24" s="526"/>
      <c r="F24" s="526"/>
      <c r="G24" s="526"/>
      <c r="H24" s="526"/>
      <c r="I24" s="526"/>
      <c r="J24" s="526"/>
      <c r="K24" s="526"/>
      <c r="L24" s="526"/>
      <c r="M24" s="526"/>
      <c r="N24" s="755">
        <f>SUM(B24:M24)</f>
        <v>0</v>
      </c>
      <c r="O24" s="570"/>
    </row>
    <row r="25" spans="1:15" x14ac:dyDescent="0.25">
      <c r="A25" s="1128" t="s">
        <v>778</v>
      </c>
      <c r="B25" s="526"/>
      <c r="C25" s="526"/>
      <c r="D25" s="526"/>
      <c r="E25" s="526"/>
      <c r="F25" s="526"/>
      <c r="G25" s="526"/>
      <c r="H25" s="526"/>
      <c r="I25" s="526"/>
      <c r="J25" s="526"/>
      <c r="K25" s="526"/>
      <c r="L25" s="526"/>
      <c r="M25" s="526"/>
      <c r="N25" s="755">
        <f>SUM(B25:M25)</f>
        <v>0</v>
      </c>
      <c r="O25" s="570"/>
    </row>
    <row r="26" spans="1:15" x14ac:dyDescent="0.25">
      <c r="A26" s="1128" t="s">
        <v>778</v>
      </c>
      <c r="B26" s="526"/>
      <c r="C26" s="526"/>
      <c r="D26" s="526"/>
      <c r="E26" s="526"/>
      <c r="F26" s="526"/>
      <c r="G26" s="526"/>
      <c r="H26" s="526"/>
      <c r="I26" s="526"/>
      <c r="J26" s="526"/>
      <c r="K26" s="526"/>
      <c r="L26" s="526"/>
      <c r="M26" s="526"/>
      <c r="N26" s="755">
        <f>SUM(B26:M26)</f>
        <v>0</v>
      </c>
      <c r="O26" s="570"/>
    </row>
    <row r="27" spans="1:15" x14ac:dyDescent="0.25">
      <c r="A27" s="567"/>
      <c r="B27" s="1763" t="s">
        <v>343</v>
      </c>
      <c r="C27" s="1764"/>
      <c r="D27" s="1764"/>
      <c r="E27" s="1764"/>
      <c r="F27" s="1764"/>
      <c r="G27" s="1764"/>
      <c r="H27" s="1764"/>
      <c r="I27" s="1764"/>
      <c r="J27" s="1764"/>
      <c r="K27" s="1764"/>
      <c r="L27" s="1764"/>
      <c r="M27" s="1765"/>
      <c r="N27" s="754">
        <f>SUM(N24:N26)</f>
        <v>0</v>
      </c>
      <c r="O27" s="570"/>
    </row>
    <row r="28" spans="1:15" x14ac:dyDescent="0.25">
      <c r="A28" s="567"/>
      <c r="B28" s="568"/>
      <c r="C28" s="568"/>
      <c r="D28" s="568"/>
      <c r="E28" s="568"/>
      <c r="F28" s="568"/>
      <c r="G28" s="568"/>
      <c r="H28" s="568"/>
      <c r="I28" s="568"/>
      <c r="J28" s="568"/>
      <c r="K28" s="568"/>
      <c r="L28" s="568"/>
      <c r="M28" s="568"/>
      <c r="N28" s="569"/>
      <c r="O28" s="570"/>
    </row>
    <row r="29" spans="1:15" ht="16" thickBot="1" x14ac:dyDescent="0.3">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53125" defaultRowHeight="13" x14ac:dyDescent="0.3"/>
  <cols>
    <col min="1" max="1" width="10.453125" style="244"/>
    <col min="2" max="2" width="15.453125" style="244" bestFit="1" customWidth="1"/>
    <col min="3" max="4" width="10.453125" style="244"/>
    <col min="5" max="5" width="1.453125" style="244" customWidth="1"/>
    <col min="6" max="6" width="10.453125" style="244"/>
    <col min="7" max="7" width="15.453125" style="244" bestFit="1" customWidth="1"/>
    <col min="8" max="9" width="10.453125" style="244"/>
    <col min="10" max="10" width="1.453125" style="244" customWidth="1"/>
    <col min="11" max="11" width="10.453125" style="244"/>
    <col min="12" max="12" width="15.453125" style="244" bestFit="1" customWidth="1"/>
    <col min="13" max="14" width="10.453125" style="244"/>
    <col min="15" max="15" width="1.453125" style="244" customWidth="1"/>
    <col min="16" max="16384" width="10.453125" style="244"/>
  </cols>
  <sheetData>
    <row r="1" spans="1:15" ht="23.5" x14ac:dyDescent="0.3">
      <c r="A1" s="238" t="s">
        <v>779</v>
      </c>
      <c r="B1" s="239"/>
      <c r="C1" s="239"/>
      <c r="D1" s="240"/>
      <c r="E1" s="241"/>
      <c r="F1" s="242"/>
      <c r="G1" s="243"/>
      <c r="H1" s="243"/>
      <c r="I1" s="241"/>
      <c r="J1" s="241"/>
      <c r="K1" s="242"/>
      <c r="L1" s="243"/>
      <c r="M1" s="243"/>
      <c r="N1" s="241"/>
      <c r="O1" s="241"/>
    </row>
    <row r="2" spans="1:15" ht="23.5" x14ac:dyDescent="0.3">
      <c r="A2" s="238" t="s">
        <v>780</v>
      </c>
      <c r="B2" s="239"/>
      <c r="C2" s="239"/>
      <c r="D2" s="240"/>
      <c r="E2" s="241"/>
      <c r="F2" s="242"/>
      <c r="G2" s="243"/>
      <c r="H2" s="243"/>
      <c r="I2" s="241"/>
      <c r="J2" s="241"/>
      <c r="K2" s="242"/>
      <c r="L2" s="243"/>
      <c r="M2" s="243"/>
      <c r="N2" s="241"/>
      <c r="O2" s="241"/>
    </row>
    <row r="3" spans="1:15" ht="23.5" x14ac:dyDescent="0.3">
      <c r="A3" s="245" t="s">
        <v>781</v>
      </c>
      <c r="B3" s="243"/>
      <c r="C3" s="243"/>
      <c r="D3" s="241"/>
      <c r="E3" s="241"/>
      <c r="F3" s="245"/>
      <c r="G3" s="243"/>
      <c r="H3" s="243"/>
      <c r="I3" s="241"/>
      <c r="J3" s="241"/>
      <c r="K3" s="245"/>
      <c r="L3" s="243"/>
      <c r="M3" s="243"/>
      <c r="N3" s="241"/>
      <c r="O3" s="241"/>
    </row>
    <row r="4" spans="1:15" ht="23.5" x14ac:dyDescent="0.3">
      <c r="A4" s="245"/>
      <c r="B4" s="243"/>
      <c r="C4" s="243"/>
      <c r="D4" s="241"/>
      <c r="E4" s="241"/>
      <c r="F4" s="245"/>
      <c r="G4" s="243"/>
      <c r="H4" s="243"/>
      <c r="I4" s="241"/>
      <c r="J4" s="241"/>
      <c r="K4" s="245"/>
      <c r="L4" s="243"/>
      <c r="M4" s="243"/>
      <c r="N4" s="241"/>
      <c r="O4" s="241"/>
    </row>
    <row r="5" spans="1:15" ht="15.5" x14ac:dyDescent="0.3">
      <c r="A5" s="1779" t="s">
        <v>782</v>
      </c>
      <c r="B5" s="1780"/>
      <c r="C5" s="1780"/>
      <c r="D5" s="1781"/>
      <c r="E5" s="246"/>
      <c r="F5" s="1782" t="s">
        <v>783</v>
      </c>
      <c r="G5" s="1783"/>
      <c r="H5" s="1783"/>
      <c r="I5" s="1784"/>
      <c r="J5" s="246"/>
      <c r="K5" s="1785" t="s">
        <v>784</v>
      </c>
      <c r="L5" s="1786"/>
      <c r="M5" s="1786"/>
      <c r="N5" s="1787"/>
      <c r="O5" s="246"/>
    </row>
    <row r="6" spans="1:15" ht="31" x14ac:dyDescent="0.3">
      <c r="A6" s="247" t="s">
        <v>785</v>
      </c>
      <c r="B6" s="247" t="s">
        <v>786</v>
      </c>
      <c r="C6" s="248" t="s">
        <v>787</v>
      </c>
      <c r="D6" s="248" t="s">
        <v>788</v>
      </c>
      <c r="E6" s="246"/>
      <c r="F6" s="247" t="s">
        <v>785</v>
      </c>
      <c r="G6" s="247" t="s">
        <v>786</v>
      </c>
      <c r="H6" s="248" t="s">
        <v>787</v>
      </c>
      <c r="I6" s="248" t="s">
        <v>788</v>
      </c>
      <c r="J6" s="246"/>
      <c r="K6" s="247" t="s">
        <v>785</v>
      </c>
      <c r="L6" s="247" t="s">
        <v>786</v>
      </c>
      <c r="M6" s="248" t="s">
        <v>787</v>
      </c>
      <c r="N6" s="248" t="s">
        <v>788</v>
      </c>
      <c r="O6" s="246"/>
    </row>
    <row r="7" spans="1:15" ht="15.5" x14ac:dyDescent="0.3">
      <c r="A7" s="249">
        <v>1</v>
      </c>
      <c r="B7" s="250" t="s">
        <v>789</v>
      </c>
      <c r="C7" s="251"/>
      <c r="D7" s="251"/>
      <c r="E7" s="252"/>
      <c r="F7" s="249">
        <v>1</v>
      </c>
      <c r="G7" s="250" t="s">
        <v>789</v>
      </c>
      <c r="H7" s="251"/>
      <c r="I7" s="251"/>
      <c r="J7" s="252"/>
      <c r="K7" s="249">
        <v>1</v>
      </c>
      <c r="L7" s="250" t="s">
        <v>789</v>
      </c>
      <c r="M7" s="251"/>
      <c r="N7" s="251"/>
      <c r="O7" s="252"/>
    </row>
    <row r="8" spans="1:15" ht="15.5" x14ac:dyDescent="0.3">
      <c r="A8" s="253">
        <v>2</v>
      </c>
      <c r="B8" s="250" t="s">
        <v>790</v>
      </c>
      <c r="C8" s="251"/>
      <c r="D8" s="251"/>
      <c r="E8" s="252"/>
      <c r="F8" s="253">
        <v>2</v>
      </c>
      <c r="G8" s="250" t="s">
        <v>790</v>
      </c>
      <c r="H8" s="251"/>
      <c r="I8" s="251"/>
      <c r="J8" s="252"/>
      <c r="K8" s="253">
        <v>2</v>
      </c>
      <c r="L8" s="250" t="s">
        <v>790</v>
      </c>
      <c r="M8" s="251"/>
      <c r="N8" s="251"/>
      <c r="O8" s="252"/>
    </row>
    <row r="10" spans="1:15" x14ac:dyDescent="0.3">
      <c r="A10" s="244" t="s">
        <v>791</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792</v>
      </c>
      <c r="B1" s="50"/>
      <c r="C1" s="50"/>
      <c r="D1" s="58" t="str">
        <f>General!D4</f>
        <v>Name</v>
      </c>
      <c r="E1" s="58"/>
      <c r="F1" s="50"/>
      <c r="G1" s="50"/>
      <c r="H1" s="50"/>
      <c r="I1" s="50"/>
      <c r="J1" s="50"/>
      <c r="K1" s="290"/>
      <c r="L1" s="290"/>
      <c r="M1" s="290"/>
      <c r="N1" s="290"/>
      <c r="O1" s="290"/>
    </row>
    <row r="2" spans="1:15" ht="15.5" x14ac:dyDescent="0.35">
      <c r="A2" s="1788"/>
      <c r="B2" s="1788"/>
      <c r="C2" s="1788"/>
      <c r="D2" s="1788"/>
      <c r="E2" s="1788"/>
      <c r="F2" s="1788"/>
      <c r="G2" s="1788"/>
      <c r="H2" s="1788"/>
      <c r="I2" s="1200"/>
      <c r="J2" s="1200"/>
      <c r="K2" s="290"/>
      <c r="L2" s="290"/>
      <c r="M2" s="290"/>
      <c r="N2" s="290"/>
      <c r="O2" s="290"/>
    </row>
    <row r="3" spans="1:15" ht="62" x14ac:dyDescent="0.35">
      <c r="A3" s="52" t="s">
        <v>793</v>
      </c>
      <c r="B3" s="52" t="s">
        <v>794</v>
      </c>
      <c r="C3" s="51" t="s">
        <v>633</v>
      </c>
      <c r="D3" s="51" t="s">
        <v>634</v>
      </c>
      <c r="E3" s="52" t="s">
        <v>795</v>
      </c>
      <c r="F3" s="51" t="s">
        <v>635</v>
      </c>
      <c r="G3" s="52" t="s">
        <v>637</v>
      </c>
      <c r="H3" s="53" t="s">
        <v>796</v>
      </c>
      <c r="I3" s="48" t="s">
        <v>797</v>
      </c>
      <c r="J3" s="48" t="s">
        <v>568</v>
      </c>
      <c r="L3" s="290"/>
      <c r="M3" s="290"/>
      <c r="N3" s="290"/>
      <c r="O3" s="290"/>
    </row>
    <row r="4" spans="1:15" ht="15.5" x14ac:dyDescent="0.35">
      <c r="A4" s="33" t="s">
        <v>15</v>
      </c>
      <c r="B4" s="254"/>
      <c r="C4" s="255"/>
      <c r="D4" s="256"/>
      <c r="E4" s="256"/>
      <c r="F4" s="35">
        <f>C4*D4</f>
        <v>0</v>
      </c>
      <c r="G4" s="34"/>
      <c r="H4" s="44"/>
      <c r="I4" s="46"/>
      <c r="J4" s="46"/>
      <c r="K4" s="55" t="s">
        <v>798</v>
      </c>
      <c r="L4" s="290"/>
      <c r="M4" s="290"/>
      <c r="N4" s="290"/>
      <c r="O4" s="290"/>
    </row>
    <row r="5" spans="1:15" ht="15.5" x14ac:dyDescent="0.35">
      <c r="A5" s="34">
        <v>1</v>
      </c>
      <c r="B5" s="254"/>
      <c r="C5" s="255"/>
      <c r="D5" s="256"/>
      <c r="E5" s="256"/>
      <c r="F5" s="35">
        <f t="shared" ref="F5:F18" si="0">C5*D5</f>
        <v>0</v>
      </c>
      <c r="G5" s="34"/>
      <c r="H5" s="45"/>
      <c r="I5" s="46"/>
      <c r="J5" s="46"/>
      <c r="K5" s="55" t="s">
        <v>799</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800</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801</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644</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290</v>
      </c>
      <c r="B22" s="1789" t="s">
        <v>802</v>
      </c>
      <c r="C22" s="1790"/>
      <c r="D22" s="1790"/>
      <c r="E22" s="1790"/>
      <c r="F22" s="1790"/>
      <c r="G22" s="1790"/>
      <c r="H22" s="1790"/>
      <c r="I22" s="1790"/>
      <c r="J22" s="1790"/>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803</v>
      </c>
      <c r="B1" s="50"/>
      <c r="C1" s="50"/>
      <c r="D1" s="58" t="str">
        <f>General!D4</f>
        <v>Name</v>
      </c>
      <c r="E1" s="58"/>
      <c r="F1" s="50"/>
      <c r="G1" s="50"/>
      <c r="H1" s="50"/>
      <c r="I1" s="50"/>
      <c r="J1" s="50"/>
      <c r="K1" s="290"/>
      <c r="L1" s="290"/>
      <c r="M1" s="290"/>
      <c r="N1" s="290"/>
      <c r="O1" s="290"/>
    </row>
    <row r="2" spans="1:15" ht="15.5" x14ac:dyDescent="0.35">
      <c r="A2" s="1788"/>
      <c r="B2" s="1788"/>
      <c r="C2" s="1788"/>
      <c r="D2" s="1788"/>
      <c r="E2" s="1788"/>
      <c r="F2" s="1788"/>
      <c r="G2" s="1788"/>
      <c r="H2" s="1788"/>
      <c r="I2" s="1200"/>
      <c r="J2" s="1200"/>
      <c r="K2" s="290"/>
      <c r="L2" s="290"/>
      <c r="M2" s="290"/>
      <c r="N2" s="290"/>
      <c r="O2" s="290"/>
    </row>
    <row r="3" spans="1:15" ht="77.5" x14ac:dyDescent="0.35">
      <c r="A3" s="52" t="s">
        <v>793</v>
      </c>
      <c r="B3" s="52" t="s">
        <v>804</v>
      </c>
      <c r="C3" s="51" t="s">
        <v>633</v>
      </c>
      <c r="D3" s="51" t="s">
        <v>634</v>
      </c>
      <c r="E3" s="52" t="s">
        <v>805</v>
      </c>
      <c r="F3" s="51" t="s">
        <v>635</v>
      </c>
      <c r="G3" s="52" t="s">
        <v>637</v>
      </c>
      <c r="H3" s="53" t="s">
        <v>796</v>
      </c>
      <c r="I3" s="48" t="s">
        <v>797</v>
      </c>
      <c r="J3" s="48" t="s">
        <v>568</v>
      </c>
      <c r="L3" s="290"/>
      <c r="M3" s="290"/>
      <c r="N3" s="290"/>
      <c r="O3" s="290"/>
    </row>
    <row r="4" spans="1:15" ht="15.5" x14ac:dyDescent="0.35">
      <c r="A4" s="33" t="s">
        <v>15</v>
      </c>
      <c r="B4" s="254"/>
      <c r="C4" s="255"/>
      <c r="D4" s="256"/>
      <c r="E4" s="256"/>
      <c r="F4" s="35">
        <f>C4*D4</f>
        <v>0</v>
      </c>
      <c r="G4" s="34"/>
      <c r="H4" s="44"/>
      <c r="I4" s="46"/>
      <c r="J4" s="46"/>
      <c r="K4" s="55" t="s">
        <v>798</v>
      </c>
      <c r="L4" s="290"/>
      <c r="M4" s="290"/>
      <c r="N4" s="290"/>
      <c r="O4" s="290"/>
    </row>
    <row r="5" spans="1:15" ht="15.5" x14ac:dyDescent="0.35">
      <c r="A5" s="34">
        <v>1</v>
      </c>
      <c r="B5" s="254"/>
      <c r="C5" s="255"/>
      <c r="D5" s="256"/>
      <c r="E5" s="256"/>
      <c r="F5" s="35">
        <f t="shared" ref="F5:F18" si="0">C5*D5</f>
        <v>0</v>
      </c>
      <c r="G5" s="34"/>
      <c r="H5" s="45"/>
      <c r="I5" s="46"/>
      <c r="J5" s="46"/>
      <c r="K5" s="55" t="s">
        <v>799</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800</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801</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644</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290</v>
      </c>
      <c r="B22" s="1789" t="s">
        <v>806</v>
      </c>
      <c r="C22" s="1790"/>
      <c r="D22" s="1790"/>
      <c r="E22" s="1790"/>
      <c r="F22" s="1790"/>
      <c r="G22" s="1790"/>
      <c r="H22" s="1790"/>
      <c r="I22" s="1790"/>
      <c r="J22" s="1790"/>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53125" defaultRowHeight="23.5" x14ac:dyDescent="0.25"/>
  <cols>
    <col min="1" max="1" width="19.453125" style="258" customWidth="1"/>
    <col min="2" max="2" width="19.453125" style="280" customWidth="1"/>
    <col min="3" max="3" width="47.453125" style="281" customWidth="1"/>
    <col min="4" max="4" width="19.453125" style="282" customWidth="1"/>
    <col min="5" max="5" width="21.453125" style="258" customWidth="1"/>
    <col min="6" max="6" width="65.453125" style="283" customWidth="1"/>
    <col min="7" max="8" width="42.453125" style="283" customWidth="1"/>
    <col min="9" max="10" width="19.453125" style="284" customWidth="1"/>
    <col min="11" max="11" width="22.453125" style="284" bestFit="1" customWidth="1"/>
    <col min="12" max="24" width="10.453125" style="258"/>
    <col min="25" max="25" width="9.453125" style="258" customWidth="1"/>
    <col min="26" max="16384" width="10.453125" style="258"/>
  </cols>
  <sheetData>
    <row r="1" spans="1:11" ht="37.5" customHeight="1" x14ac:dyDescent="0.25">
      <c r="A1" s="1811" t="s">
        <v>807</v>
      </c>
      <c r="B1" s="1812"/>
      <c r="C1" s="1812"/>
      <c r="D1" s="1812"/>
      <c r="E1" s="1812"/>
      <c r="F1" s="1812"/>
      <c r="G1" s="1812"/>
      <c r="H1" s="1812"/>
      <c r="I1" s="1812"/>
      <c r="J1" s="1812"/>
      <c r="K1" s="1813"/>
    </row>
    <row r="2" spans="1:11" ht="30" customHeight="1" x14ac:dyDescent="0.25">
      <c r="A2" s="1814" t="s">
        <v>779</v>
      </c>
      <c r="B2" s="1814"/>
      <c r="C2" s="1815"/>
      <c r="D2" s="1815"/>
      <c r="E2" s="1815"/>
      <c r="F2" s="1815"/>
      <c r="G2" s="1815"/>
      <c r="H2" s="1815"/>
      <c r="I2" s="1815"/>
      <c r="J2" s="1815"/>
      <c r="K2" s="1815"/>
    </row>
    <row r="3" spans="1:11" ht="30" customHeight="1" x14ac:dyDescent="0.25">
      <c r="A3" s="1814" t="s">
        <v>780</v>
      </c>
      <c r="B3" s="1814"/>
      <c r="C3" s="1815"/>
      <c r="D3" s="1815"/>
      <c r="E3" s="1815"/>
      <c r="F3" s="1815"/>
      <c r="G3" s="1815"/>
      <c r="H3" s="1815"/>
      <c r="I3" s="1815"/>
      <c r="J3" s="1815"/>
      <c r="K3" s="1815"/>
    </row>
    <row r="4" spans="1:11" s="263" customFormat="1" ht="42" x14ac:dyDescent="0.25">
      <c r="A4" s="259" t="s">
        <v>808</v>
      </c>
      <c r="B4" s="260" t="s">
        <v>809</v>
      </c>
      <c r="C4" s="259" t="s">
        <v>810</v>
      </c>
      <c r="D4" s="261" t="s">
        <v>811</v>
      </c>
      <c r="E4" s="259" t="s">
        <v>812</v>
      </c>
      <c r="F4" s="259" t="s">
        <v>813</v>
      </c>
      <c r="G4" s="259" t="s">
        <v>814</v>
      </c>
      <c r="H4" s="259" t="s">
        <v>815</v>
      </c>
      <c r="I4" s="262" t="s">
        <v>816</v>
      </c>
      <c r="J4" s="262" t="s">
        <v>817</v>
      </c>
      <c r="K4" s="262" t="s">
        <v>818</v>
      </c>
    </row>
    <row r="5" spans="1:11" x14ac:dyDescent="0.25">
      <c r="A5" s="1809" t="s">
        <v>782</v>
      </c>
      <c r="B5" s="264">
        <v>1</v>
      </c>
      <c r="C5" s="265" t="s">
        <v>819</v>
      </c>
      <c r="D5" s="266">
        <f>SUM(D6:D15)</f>
        <v>0</v>
      </c>
      <c r="E5" s="267" t="s">
        <v>820</v>
      </c>
      <c r="F5" s="265" t="s">
        <v>821</v>
      </c>
      <c r="G5" s="265" t="s">
        <v>822</v>
      </c>
      <c r="H5" s="265" t="s">
        <v>822</v>
      </c>
      <c r="I5" s="268" t="s">
        <v>823</v>
      </c>
      <c r="J5" s="268" t="s">
        <v>823</v>
      </c>
      <c r="K5" s="268" t="s">
        <v>823</v>
      </c>
    </row>
    <row r="6" spans="1:11" ht="23.25" customHeight="1" x14ac:dyDescent="0.25">
      <c r="A6" s="1810"/>
      <c r="B6" s="269">
        <v>1.1000000000000001</v>
      </c>
      <c r="C6" s="270" t="s">
        <v>824</v>
      </c>
      <c r="D6" s="271">
        <v>0</v>
      </c>
      <c r="E6" s="272" t="s">
        <v>777</v>
      </c>
      <c r="F6" s="270" t="s">
        <v>821</v>
      </c>
      <c r="G6" s="270" t="s">
        <v>822</v>
      </c>
      <c r="H6" s="270" t="s">
        <v>822</v>
      </c>
      <c r="I6" s="273" t="s">
        <v>823</v>
      </c>
      <c r="J6" s="273" t="s">
        <v>823</v>
      </c>
      <c r="K6" s="273" t="s">
        <v>823</v>
      </c>
    </row>
    <row r="7" spans="1:11" ht="23.25" customHeight="1" x14ac:dyDescent="0.25">
      <c r="A7" s="1810"/>
      <c r="B7" s="269">
        <v>1.2</v>
      </c>
      <c r="C7" s="270" t="s">
        <v>824</v>
      </c>
      <c r="D7" s="271">
        <v>0</v>
      </c>
      <c r="E7" s="272" t="s">
        <v>777</v>
      </c>
      <c r="F7" s="270" t="s">
        <v>821</v>
      </c>
      <c r="G7" s="270" t="s">
        <v>822</v>
      </c>
      <c r="H7" s="270" t="s">
        <v>822</v>
      </c>
      <c r="I7" s="273" t="s">
        <v>823</v>
      </c>
      <c r="J7" s="273" t="s">
        <v>823</v>
      </c>
      <c r="K7" s="273" t="s">
        <v>823</v>
      </c>
    </row>
    <row r="8" spans="1:11" ht="23.25" customHeight="1" x14ac:dyDescent="0.25">
      <c r="A8" s="1810"/>
      <c r="B8" s="269">
        <v>1.3</v>
      </c>
      <c r="C8" s="270" t="s">
        <v>824</v>
      </c>
      <c r="D8" s="271">
        <v>0</v>
      </c>
      <c r="E8" s="272" t="s">
        <v>825</v>
      </c>
      <c r="F8" s="270" t="s">
        <v>821</v>
      </c>
      <c r="G8" s="270" t="s">
        <v>822</v>
      </c>
      <c r="H8" s="270" t="s">
        <v>822</v>
      </c>
      <c r="I8" s="273" t="s">
        <v>823</v>
      </c>
      <c r="J8" s="273" t="s">
        <v>823</v>
      </c>
      <c r="K8" s="273" t="s">
        <v>823</v>
      </c>
    </row>
    <row r="9" spans="1:11" ht="23.25" customHeight="1" x14ac:dyDescent="0.25">
      <c r="A9" s="1810"/>
      <c r="B9" s="269">
        <v>1.4</v>
      </c>
      <c r="C9" s="270" t="s">
        <v>824</v>
      </c>
      <c r="D9" s="271">
        <v>0</v>
      </c>
      <c r="E9" s="272" t="s">
        <v>777</v>
      </c>
      <c r="F9" s="270" t="s">
        <v>821</v>
      </c>
      <c r="G9" s="270" t="s">
        <v>822</v>
      </c>
      <c r="H9" s="270" t="s">
        <v>822</v>
      </c>
      <c r="I9" s="273" t="s">
        <v>823</v>
      </c>
      <c r="J9" s="273" t="s">
        <v>823</v>
      </c>
      <c r="K9" s="273" t="s">
        <v>823</v>
      </c>
    </row>
    <row r="10" spans="1:11" ht="23.25" customHeight="1" x14ac:dyDescent="0.25">
      <c r="A10" s="1810"/>
      <c r="B10" s="269">
        <v>1.5</v>
      </c>
      <c r="C10" s="270" t="s">
        <v>824</v>
      </c>
      <c r="D10" s="271">
        <v>0</v>
      </c>
      <c r="E10" s="272" t="s">
        <v>826</v>
      </c>
      <c r="F10" s="270" t="s">
        <v>821</v>
      </c>
      <c r="G10" s="270" t="s">
        <v>822</v>
      </c>
      <c r="H10" s="270" t="s">
        <v>822</v>
      </c>
      <c r="I10" s="273" t="s">
        <v>823</v>
      </c>
      <c r="J10" s="273" t="s">
        <v>823</v>
      </c>
      <c r="K10" s="273" t="s">
        <v>823</v>
      </c>
    </row>
    <row r="11" spans="1:11" ht="23.25" customHeight="1" x14ac:dyDescent="0.25">
      <c r="A11" s="1810"/>
      <c r="B11" s="269">
        <v>1.6</v>
      </c>
      <c r="C11" s="270" t="s">
        <v>824</v>
      </c>
      <c r="D11" s="271">
        <v>0</v>
      </c>
      <c r="E11" s="272" t="s">
        <v>827</v>
      </c>
      <c r="F11" s="270" t="s">
        <v>821</v>
      </c>
      <c r="G11" s="270" t="s">
        <v>822</v>
      </c>
      <c r="H11" s="270" t="s">
        <v>822</v>
      </c>
      <c r="I11" s="273" t="s">
        <v>823</v>
      </c>
      <c r="J11" s="273" t="s">
        <v>823</v>
      </c>
      <c r="K11" s="273" t="s">
        <v>823</v>
      </c>
    </row>
    <row r="12" spans="1:11" ht="23.25" customHeight="1" x14ac:dyDescent="0.25">
      <c r="A12" s="1810"/>
      <c r="B12" s="269">
        <v>1.7</v>
      </c>
      <c r="C12" s="270" t="s">
        <v>824</v>
      </c>
      <c r="D12" s="271">
        <v>0</v>
      </c>
      <c r="E12" s="272" t="s">
        <v>777</v>
      </c>
      <c r="F12" s="270" t="s">
        <v>821</v>
      </c>
      <c r="G12" s="270" t="s">
        <v>822</v>
      </c>
      <c r="H12" s="270" t="s">
        <v>822</v>
      </c>
      <c r="I12" s="273" t="s">
        <v>823</v>
      </c>
      <c r="J12" s="273" t="s">
        <v>823</v>
      </c>
      <c r="K12" s="273" t="s">
        <v>823</v>
      </c>
    </row>
    <row r="13" spans="1:11" ht="23.25" customHeight="1" x14ac:dyDescent="0.25">
      <c r="A13" s="1810"/>
      <c r="B13" s="269">
        <v>1.8</v>
      </c>
      <c r="C13" s="270" t="s">
        <v>824</v>
      </c>
      <c r="D13" s="271">
        <v>0</v>
      </c>
      <c r="E13" s="272" t="s">
        <v>828</v>
      </c>
      <c r="F13" s="270" t="s">
        <v>821</v>
      </c>
      <c r="G13" s="270" t="s">
        <v>822</v>
      </c>
      <c r="H13" s="270" t="s">
        <v>822</v>
      </c>
      <c r="I13" s="273" t="s">
        <v>823</v>
      </c>
      <c r="J13" s="273" t="s">
        <v>823</v>
      </c>
      <c r="K13" s="273" t="s">
        <v>823</v>
      </c>
    </row>
    <row r="14" spans="1:11" ht="23.25" customHeight="1" x14ac:dyDescent="0.25">
      <c r="A14" s="1810"/>
      <c r="B14" s="269">
        <v>1.9</v>
      </c>
      <c r="C14" s="270" t="s">
        <v>824</v>
      </c>
      <c r="D14" s="271">
        <v>0</v>
      </c>
      <c r="E14" s="272" t="s">
        <v>829</v>
      </c>
      <c r="F14" s="270" t="s">
        <v>821</v>
      </c>
      <c r="G14" s="270" t="s">
        <v>822</v>
      </c>
      <c r="H14" s="270" t="s">
        <v>822</v>
      </c>
      <c r="I14" s="273" t="s">
        <v>823</v>
      </c>
      <c r="J14" s="273" t="s">
        <v>823</v>
      </c>
      <c r="K14" s="273" t="s">
        <v>823</v>
      </c>
    </row>
    <row r="15" spans="1:11" ht="23.25" customHeight="1" x14ac:dyDescent="0.25">
      <c r="A15" s="1810"/>
      <c r="B15" s="274">
        <v>1.1000000000000001</v>
      </c>
      <c r="C15" s="270" t="s">
        <v>824</v>
      </c>
      <c r="D15" s="271">
        <v>0</v>
      </c>
      <c r="E15" s="272" t="s">
        <v>777</v>
      </c>
      <c r="F15" s="270" t="s">
        <v>821</v>
      </c>
      <c r="G15" s="270" t="s">
        <v>822</v>
      </c>
      <c r="H15" s="270" t="s">
        <v>822</v>
      </c>
      <c r="I15" s="273" t="s">
        <v>823</v>
      </c>
      <c r="J15" s="273" t="s">
        <v>823</v>
      </c>
      <c r="K15" s="273" t="s">
        <v>823</v>
      </c>
    </row>
    <row r="16" spans="1:11" x14ac:dyDescent="0.25">
      <c r="A16" s="1810"/>
      <c r="B16" s="275">
        <v>2</v>
      </c>
      <c r="C16" s="276" t="s">
        <v>830</v>
      </c>
      <c r="D16" s="277">
        <f>SUM(D17:D26)</f>
        <v>0</v>
      </c>
      <c r="E16" s="278"/>
      <c r="F16" s="276"/>
      <c r="G16" s="276"/>
      <c r="H16" s="276"/>
      <c r="I16" s="279"/>
      <c r="J16" s="279"/>
      <c r="K16" s="279"/>
    </row>
    <row r="17" spans="1:11" ht="23.25" customHeight="1" x14ac:dyDescent="0.25">
      <c r="A17" s="1810"/>
      <c r="B17" s="269">
        <v>2.1</v>
      </c>
      <c r="C17" s="270"/>
      <c r="D17" s="271">
        <v>0</v>
      </c>
      <c r="E17" s="272"/>
      <c r="F17" s="270"/>
      <c r="G17" s="270"/>
      <c r="H17" s="270"/>
      <c r="I17" s="273"/>
      <c r="J17" s="273"/>
      <c r="K17" s="273"/>
    </row>
    <row r="18" spans="1:11" ht="23.25" customHeight="1" x14ac:dyDescent="0.25">
      <c r="A18" s="1810"/>
      <c r="B18" s="269">
        <v>2.2000000000000002</v>
      </c>
      <c r="C18" s="270"/>
      <c r="D18" s="271">
        <v>0</v>
      </c>
      <c r="E18" s="272"/>
      <c r="F18" s="270"/>
      <c r="G18" s="270"/>
      <c r="H18" s="270"/>
      <c r="I18" s="273"/>
      <c r="J18" s="273"/>
      <c r="K18" s="273"/>
    </row>
    <row r="19" spans="1:11" ht="23.25" customHeight="1" x14ac:dyDescent="0.25">
      <c r="A19" s="1810"/>
      <c r="B19" s="269">
        <v>2.2999999999999998</v>
      </c>
      <c r="C19" s="270"/>
      <c r="D19" s="271">
        <v>0</v>
      </c>
      <c r="E19" s="272"/>
      <c r="F19" s="270"/>
      <c r="G19" s="270"/>
      <c r="H19" s="270"/>
      <c r="I19" s="273"/>
      <c r="J19" s="273"/>
      <c r="K19" s="273"/>
    </row>
    <row r="20" spans="1:11" ht="23.25" customHeight="1" x14ac:dyDescent="0.25">
      <c r="A20" s="1810"/>
      <c r="B20" s="269">
        <v>2.4</v>
      </c>
      <c r="C20" s="270"/>
      <c r="D20" s="271">
        <v>0</v>
      </c>
      <c r="E20" s="272"/>
      <c r="F20" s="270"/>
      <c r="G20" s="270"/>
      <c r="H20" s="270"/>
      <c r="I20" s="273"/>
      <c r="J20" s="273"/>
      <c r="K20" s="273"/>
    </row>
    <row r="21" spans="1:11" ht="23.25" customHeight="1" x14ac:dyDescent="0.25">
      <c r="A21" s="1810"/>
      <c r="B21" s="269">
        <v>2.5</v>
      </c>
      <c r="C21" s="270"/>
      <c r="D21" s="271">
        <v>0</v>
      </c>
      <c r="E21" s="272"/>
      <c r="F21" s="270"/>
      <c r="G21" s="270"/>
      <c r="H21" s="270"/>
      <c r="I21" s="273"/>
      <c r="J21" s="273"/>
      <c r="K21" s="273"/>
    </row>
    <row r="22" spans="1:11" ht="23.25" customHeight="1" x14ac:dyDescent="0.25">
      <c r="A22" s="1810"/>
      <c r="B22" s="269">
        <v>2.6</v>
      </c>
      <c r="C22" s="270"/>
      <c r="D22" s="271">
        <v>0</v>
      </c>
      <c r="E22" s="272"/>
      <c r="F22" s="270"/>
      <c r="G22" s="270"/>
      <c r="H22" s="270"/>
      <c r="I22" s="273"/>
      <c r="J22" s="273"/>
      <c r="K22" s="273"/>
    </row>
    <row r="23" spans="1:11" ht="23.25" customHeight="1" x14ac:dyDescent="0.25">
      <c r="A23" s="1810"/>
      <c r="B23" s="269">
        <v>2.7</v>
      </c>
      <c r="C23" s="270"/>
      <c r="D23" s="271">
        <v>0</v>
      </c>
      <c r="E23" s="272"/>
      <c r="F23" s="270"/>
      <c r="G23" s="270"/>
      <c r="H23" s="270"/>
      <c r="I23" s="273"/>
      <c r="J23" s="273"/>
      <c r="K23" s="273"/>
    </row>
    <row r="24" spans="1:11" ht="23.25" customHeight="1" x14ac:dyDescent="0.25">
      <c r="A24" s="1810"/>
      <c r="B24" s="269">
        <v>2.8</v>
      </c>
      <c r="C24" s="270"/>
      <c r="D24" s="271">
        <v>0</v>
      </c>
      <c r="E24" s="272"/>
      <c r="F24" s="270"/>
      <c r="G24" s="270"/>
      <c r="H24" s="270"/>
      <c r="I24" s="273"/>
      <c r="J24" s="273"/>
      <c r="K24" s="273"/>
    </row>
    <row r="25" spans="1:11" ht="23.25" customHeight="1" x14ac:dyDescent="0.25">
      <c r="A25" s="1810"/>
      <c r="B25" s="269">
        <v>2.9</v>
      </c>
      <c r="C25" s="270"/>
      <c r="D25" s="271">
        <v>0</v>
      </c>
      <c r="E25" s="272"/>
      <c r="F25" s="270"/>
      <c r="G25" s="270"/>
      <c r="H25" s="270"/>
      <c r="I25" s="273"/>
      <c r="J25" s="273"/>
      <c r="K25" s="273"/>
    </row>
    <row r="26" spans="1:11" ht="23.25" customHeight="1" x14ac:dyDescent="0.25">
      <c r="A26" s="1810"/>
      <c r="B26" s="274">
        <v>2.1</v>
      </c>
      <c r="C26" s="270"/>
      <c r="D26" s="271">
        <v>0</v>
      </c>
      <c r="E26" s="272"/>
      <c r="F26" s="270"/>
      <c r="G26" s="270"/>
      <c r="H26" s="270"/>
      <c r="I26" s="273"/>
      <c r="J26" s="273"/>
      <c r="K26" s="273"/>
    </row>
    <row r="27" spans="1:11" ht="32.15" customHeight="1" x14ac:dyDescent="0.25">
      <c r="A27" s="1793" t="s">
        <v>626</v>
      </c>
      <c r="B27" s="1794"/>
      <c r="C27" s="1795"/>
      <c r="D27" s="1796">
        <f>SUM(D5,D16)</f>
        <v>0</v>
      </c>
      <c r="E27" s="1796"/>
      <c r="F27" s="1797"/>
      <c r="G27" s="1798"/>
      <c r="H27" s="1798"/>
      <c r="I27" s="1798"/>
      <c r="J27" s="1798"/>
      <c r="K27" s="1799"/>
    </row>
    <row r="28" spans="1:11" x14ac:dyDescent="0.25">
      <c r="A28" s="1807" t="s">
        <v>783</v>
      </c>
      <c r="B28" s="264">
        <v>1</v>
      </c>
      <c r="C28" s="265" t="s">
        <v>819</v>
      </c>
      <c r="D28" s="266">
        <f>SUM(D29:D38)</f>
        <v>0</v>
      </c>
      <c r="E28" s="267"/>
      <c r="F28" s="265"/>
      <c r="G28" s="265"/>
      <c r="H28" s="265"/>
      <c r="I28" s="268"/>
      <c r="J28" s="268"/>
      <c r="K28" s="268"/>
    </row>
    <row r="29" spans="1:11" ht="23.25" customHeight="1" x14ac:dyDescent="0.25">
      <c r="A29" s="1808"/>
      <c r="B29" s="269">
        <v>1.1000000000000001</v>
      </c>
      <c r="C29" s="270"/>
      <c r="D29" s="271">
        <v>0</v>
      </c>
      <c r="E29" s="272"/>
      <c r="F29" s="270"/>
      <c r="G29" s="270"/>
      <c r="H29" s="270"/>
      <c r="I29" s="273"/>
      <c r="J29" s="273"/>
      <c r="K29" s="273"/>
    </row>
    <row r="30" spans="1:11" ht="23.25" customHeight="1" x14ac:dyDescent="0.25">
      <c r="A30" s="1808"/>
      <c r="B30" s="269">
        <v>1.2</v>
      </c>
      <c r="C30" s="270"/>
      <c r="D30" s="271">
        <v>0</v>
      </c>
      <c r="E30" s="272"/>
      <c r="F30" s="270"/>
      <c r="G30" s="270"/>
      <c r="H30" s="270"/>
      <c r="I30" s="273"/>
      <c r="J30" s="273"/>
      <c r="K30" s="273"/>
    </row>
    <row r="31" spans="1:11" ht="23.25" customHeight="1" x14ac:dyDescent="0.25">
      <c r="A31" s="1808"/>
      <c r="B31" s="269">
        <v>1.3</v>
      </c>
      <c r="C31" s="270"/>
      <c r="D31" s="271">
        <v>0</v>
      </c>
      <c r="E31" s="272"/>
      <c r="F31" s="270"/>
      <c r="G31" s="270"/>
      <c r="H31" s="270"/>
      <c r="I31" s="273"/>
      <c r="J31" s="273"/>
      <c r="K31" s="273"/>
    </row>
    <row r="32" spans="1:11" ht="23.25" customHeight="1" x14ac:dyDescent="0.25">
      <c r="A32" s="1808"/>
      <c r="B32" s="269">
        <v>1.4</v>
      </c>
      <c r="C32" s="270"/>
      <c r="D32" s="271">
        <v>0</v>
      </c>
      <c r="E32" s="272"/>
      <c r="F32" s="270"/>
      <c r="G32" s="270"/>
      <c r="H32" s="270"/>
      <c r="I32" s="273"/>
      <c r="J32" s="273"/>
      <c r="K32" s="273"/>
    </row>
    <row r="33" spans="1:11" ht="23.25" customHeight="1" x14ac:dyDescent="0.25">
      <c r="A33" s="1808"/>
      <c r="B33" s="269">
        <v>1.5</v>
      </c>
      <c r="C33" s="270"/>
      <c r="D33" s="271">
        <v>0</v>
      </c>
      <c r="E33" s="272"/>
      <c r="F33" s="270"/>
      <c r="G33" s="270"/>
      <c r="H33" s="270"/>
      <c r="I33" s="273"/>
      <c r="J33" s="273"/>
      <c r="K33" s="273"/>
    </row>
    <row r="34" spans="1:11" ht="23.25" customHeight="1" x14ac:dyDescent="0.25">
      <c r="A34" s="1808"/>
      <c r="B34" s="269">
        <v>1.6</v>
      </c>
      <c r="C34" s="270"/>
      <c r="D34" s="271">
        <v>0</v>
      </c>
      <c r="E34" s="272"/>
      <c r="F34" s="270"/>
      <c r="G34" s="270"/>
      <c r="H34" s="270"/>
      <c r="I34" s="273"/>
      <c r="J34" s="273"/>
      <c r="K34" s="273"/>
    </row>
    <row r="35" spans="1:11" ht="23.25" customHeight="1" x14ac:dyDescent="0.25">
      <c r="A35" s="1808"/>
      <c r="B35" s="269">
        <v>1.7</v>
      </c>
      <c r="C35" s="270"/>
      <c r="D35" s="271">
        <v>0</v>
      </c>
      <c r="E35" s="272"/>
      <c r="F35" s="270"/>
      <c r="G35" s="270"/>
      <c r="H35" s="270"/>
      <c r="I35" s="273"/>
      <c r="J35" s="273"/>
      <c r="K35" s="273"/>
    </row>
    <row r="36" spans="1:11" ht="23.25" customHeight="1" x14ac:dyDescent="0.25">
      <c r="A36" s="1808"/>
      <c r="B36" s="269">
        <v>1.8</v>
      </c>
      <c r="C36" s="270"/>
      <c r="D36" s="271">
        <v>0</v>
      </c>
      <c r="E36" s="272"/>
      <c r="F36" s="270"/>
      <c r="G36" s="270"/>
      <c r="H36" s="270"/>
      <c r="I36" s="273"/>
      <c r="J36" s="273"/>
      <c r="K36" s="273"/>
    </row>
    <row r="37" spans="1:11" ht="23.25" customHeight="1" x14ac:dyDescent="0.25">
      <c r="A37" s="1808"/>
      <c r="B37" s="269">
        <v>1.9</v>
      </c>
      <c r="C37" s="270"/>
      <c r="D37" s="271">
        <v>0</v>
      </c>
      <c r="E37" s="272"/>
      <c r="F37" s="270"/>
      <c r="G37" s="270"/>
      <c r="H37" s="270"/>
      <c r="I37" s="273"/>
      <c r="J37" s="273"/>
      <c r="K37" s="273"/>
    </row>
    <row r="38" spans="1:11" ht="23.25" customHeight="1" x14ac:dyDescent="0.25">
      <c r="A38" s="1808"/>
      <c r="B38" s="274">
        <v>1.1000000000000001</v>
      </c>
      <c r="C38" s="270"/>
      <c r="D38" s="271">
        <v>0</v>
      </c>
      <c r="E38" s="272"/>
      <c r="F38" s="270"/>
      <c r="G38" s="270"/>
      <c r="H38" s="270"/>
      <c r="I38" s="273"/>
      <c r="J38" s="273"/>
      <c r="K38" s="273"/>
    </row>
    <row r="39" spans="1:11" x14ac:dyDescent="0.25">
      <c r="A39" s="1808"/>
      <c r="B39" s="275">
        <v>2</v>
      </c>
      <c r="C39" s="276" t="s">
        <v>830</v>
      </c>
      <c r="D39" s="277">
        <f>SUM(D40:D49)</f>
        <v>0</v>
      </c>
      <c r="E39" s="278"/>
      <c r="F39" s="276"/>
      <c r="G39" s="276"/>
      <c r="H39" s="276"/>
      <c r="I39" s="279"/>
      <c r="J39" s="279"/>
      <c r="K39" s="279"/>
    </row>
    <row r="40" spans="1:11" ht="23.25" customHeight="1" x14ac:dyDescent="0.25">
      <c r="A40" s="1808"/>
      <c r="B40" s="269">
        <v>2.1</v>
      </c>
      <c r="C40" s="270"/>
      <c r="D40" s="271">
        <v>0</v>
      </c>
      <c r="E40" s="272"/>
      <c r="F40" s="270"/>
      <c r="G40" s="270"/>
      <c r="H40" s="270"/>
      <c r="I40" s="273"/>
      <c r="J40" s="273"/>
      <c r="K40" s="273"/>
    </row>
    <row r="41" spans="1:11" ht="23.25" customHeight="1" x14ac:dyDescent="0.25">
      <c r="A41" s="1808"/>
      <c r="B41" s="269">
        <v>2.2000000000000002</v>
      </c>
      <c r="C41" s="270"/>
      <c r="D41" s="271">
        <v>0</v>
      </c>
      <c r="E41" s="272"/>
      <c r="F41" s="270"/>
      <c r="G41" s="270"/>
      <c r="H41" s="270"/>
      <c r="I41" s="273"/>
      <c r="J41" s="273"/>
      <c r="K41" s="273"/>
    </row>
    <row r="42" spans="1:11" ht="23.25" customHeight="1" x14ac:dyDescent="0.25">
      <c r="A42" s="1808"/>
      <c r="B42" s="269">
        <v>2.2999999999999998</v>
      </c>
      <c r="C42" s="270"/>
      <c r="D42" s="271">
        <v>0</v>
      </c>
      <c r="E42" s="272"/>
      <c r="F42" s="270"/>
      <c r="G42" s="270"/>
      <c r="H42" s="270"/>
      <c r="I42" s="273"/>
      <c r="J42" s="273"/>
      <c r="K42" s="273"/>
    </row>
    <row r="43" spans="1:11" ht="23.25" customHeight="1" x14ac:dyDescent="0.25">
      <c r="A43" s="1808"/>
      <c r="B43" s="269">
        <v>2.4</v>
      </c>
      <c r="C43" s="270"/>
      <c r="D43" s="271">
        <v>0</v>
      </c>
      <c r="E43" s="272"/>
      <c r="F43" s="270"/>
      <c r="G43" s="270"/>
      <c r="H43" s="270"/>
      <c r="I43" s="273"/>
      <c r="J43" s="273"/>
      <c r="K43" s="273"/>
    </row>
    <row r="44" spans="1:11" ht="23.25" customHeight="1" x14ac:dyDescent="0.25">
      <c r="A44" s="1808"/>
      <c r="B44" s="269">
        <v>2.5</v>
      </c>
      <c r="C44" s="270"/>
      <c r="D44" s="271">
        <v>0</v>
      </c>
      <c r="E44" s="272"/>
      <c r="F44" s="270"/>
      <c r="G44" s="270"/>
      <c r="H44" s="270"/>
      <c r="I44" s="273"/>
      <c r="J44" s="273"/>
      <c r="K44" s="273"/>
    </row>
    <row r="45" spans="1:11" ht="23.25" customHeight="1" x14ac:dyDescent="0.25">
      <c r="A45" s="1808"/>
      <c r="B45" s="269">
        <v>2.6</v>
      </c>
      <c r="C45" s="270"/>
      <c r="D45" s="271">
        <v>0</v>
      </c>
      <c r="E45" s="272"/>
      <c r="F45" s="270"/>
      <c r="G45" s="270"/>
      <c r="H45" s="270"/>
      <c r="I45" s="273"/>
      <c r="J45" s="273"/>
      <c r="K45" s="273"/>
    </row>
    <row r="46" spans="1:11" ht="23.25" customHeight="1" x14ac:dyDescent="0.25">
      <c r="A46" s="1808"/>
      <c r="B46" s="269">
        <v>2.7</v>
      </c>
      <c r="C46" s="270"/>
      <c r="D46" s="271">
        <v>0</v>
      </c>
      <c r="E46" s="272"/>
      <c r="F46" s="270"/>
      <c r="G46" s="270"/>
      <c r="H46" s="270"/>
      <c r="I46" s="273"/>
      <c r="J46" s="273"/>
      <c r="K46" s="273"/>
    </row>
    <row r="47" spans="1:11" ht="23.25" customHeight="1" x14ac:dyDescent="0.25">
      <c r="A47" s="1808"/>
      <c r="B47" s="269">
        <v>2.8</v>
      </c>
      <c r="C47" s="270"/>
      <c r="D47" s="271">
        <v>0</v>
      </c>
      <c r="E47" s="272"/>
      <c r="F47" s="270"/>
      <c r="G47" s="270"/>
      <c r="H47" s="270"/>
      <c r="I47" s="273"/>
      <c r="J47" s="273"/>
      <c r="K47" s="273"/>
    </row>
    <row r="48" spans="1:11" ht="23.25" customHeight="1" x14ac:dyDescent="0.25">
      <c r="A48" s="1808"/>
      <c r="B48" s="269">
        <v>2.9</v>
      </c>
      <c r="C48" s="270"/>
      <c r="D48" s="271">
        <v>0</v>
      </c>
      <c r="E48" s="272"/>
      <c r="F48" s="270"/>
      <c r="G48" s="270"/>
      <c r="H48" s="270"/>
      <c r="I48" s="273"/>
      <c r="J48" s="273"/>
      <c r="K48" s="273"/>
    </row>
    <row r="49" spans="1:11" ht="23.25" customHeight="1" x14ac:dyDescent="0.25">
      <c r="A49" s="1808"/>
      <c r="B49" s="274">
        <v>2.1</v>
      </c>
      <c r="C49" s="270"/>
      <c r="D49" s="271">
        <v>0</v>
      </c>
      <c r="E49" s="272"/>
      <c r="F49" s="270"/>
      <c r="G49" s="270"/>
      <c r="H49" s="270"/>
      <c r="I49" s="273"/>
      <c r="J49" s="273"/>
      <c r="K49" s="273"/>
    </row>
    <row r="50" spans="1:11" ht="32.15" customHeight="1" x14ac:dyDescent="0.25">
      <c r="A50" s="1793" t="s">
        <v>626</v>
      </c>
      <c r="B50" s="1794"/>
      <c r="C50" s="1795"/>
      <c r="D50" s="1796">
        <f>SUM(D28,D39)</f>
        <v>0</v>
      </c>
      <c r="E50" s="1796"/>
      <c r="F50" s="1797"/>
      <c r="G50" s="1798"/>
      <c r="H50" s="1798"/>
      <c r="I50" s="1798"/>
      <c r="J50" s="1798"/>
      <c r="K50" s="1799"/>
    </row>
    <row r="51" spans="1:11" x14ac:dyDescent="0.25">
      <c r="A51" s="1791" t="s">
        <v>784</v>
      </c>
      <c r="B51" s="264">
        <v>1</v>
      </c>
      <c r="C51" s="265" t="s">
        <v>819</v>
      </c>
      <c r="D51" s="266">
        <f>SUM(D52:D61)</f>
        <v>0</v>
      </c>
      <c r="E51" s="267"/>
      <c r="F51" s="265"/>
      <c r="G51" s="265"/>
      <c r="H51" s="265"/>
      <c r="I51" s="268"/>
      <c r="J51" s="268"/>
      <c r="K51" s="268"/>
    </row>
    <row r="52" spans="1:11" ht="23.25" customHeight="1" x14ac:dyDescent="0.25">
      <c r="A52" s="1792"/>
      <c r="B52" s="269">
        <v>1.1000000000000001</v>
      </c>
      <c r="C52" s="270"/>
      <c r="D52" s="271">
        <v>0</v>
      </c>
      <c r="E52" s="272"/>
      <c r="F52" s="270"/>
      <c r="G52" s="270"/>
      <c r="H52" s="270"/>
      <c r="I52" s="273"/>
      <c r="J52" s="273"/>
      <c r="K52" s="273"/>
    </row>
    <row r="53" spans="1:11" ht="23.25" customHeight="1" x14ac:dyDescent="0.25">
      <c r="A53" s="1792"/>
      <c r="B53" s="269">
        <v>1.2</v>
      </c>
      <c r="C53" s="270"/>
      <c r="D53" s="271">
        <v>0</v>
      </c>
      <c r="E53" s="272"/>
      <c r="F53" s="270"/>
      <c r="G53" s="270"/>
      <c r="H53" s="270"/>
      <c r="I53" s="273"/>
      <c r="J53" s="273"/>
      <c r="K53" s="273"/>
    </row>
    <row r="54" spans="1:11" ht="23.25" customHeight="1" x14ac:dyDescent="0.25">
      <c r="A54" s="1792"/>
      <c r="B54" s="269">
        <v>1.3</v>
      </c>
      <c r="C54" s="270"/>
      <c r="D54" s="271">
        <v>0</v>
      </c>
      <c r="E54" s="272"/>
      <c r="F54" s="270"/>
      <c r="G54" s="270"/>
      <c r="H54" s="270"/>
      <c r="I54" s="273"/>
      <c r="J54" s="273"/>
      <c r="K54" s="273"/>
    </row>
    <row r="55" spans="1:11" ht="23.25" customHeight="1" x14ac:dyDescent="0.25">
      <c r="A55" s="1792"/>
      <c r="B55" s="269">
        <v>1.4</v>
      </c>
      <c r="C55" s="270"/>
      <c r="D55" s="271">
        <v>0</v>
      </c>
      <c r="E55" s="272"/>
      <c r="F55" s="270"/>
      <c r="G55" s="270"/>
      <c r="H55" s="270"/>
      <c r="I55" s="273"/>
      <c r="J55" s="273"/>
      <c r="K55" s="273"/>
    </row>
    <row r="56" spans="1:11" ht="23.25" customHeight="1" x14ac:dyDescent="0.25">
      <c r="A56" s="1792"/>
      <c r="B56" s="269">
        <v>1.5</v>
      </c>
      <c r="C56" s="270"/>
      <c r="D56" s="271">
        <v>0</v>
      </c>
      <c r="E56" s="272"/>
      <c r="F56" s="270"/>
      <c r="G56" s="270"/>
      <c r="H56" s="270"/>
      <c r="I56" s="273"/>
      <c r="J56" s="273"/>
      <c r="K56" s="273"/>
    </row>
    <row r="57" spans="1:11" ht="23.25" customHeight="1" x14ac:dyDescent="0.25">
      <c r="A57" s="1792"/>
      <c r="B57" s="269">
        <v>1.6</v>
      </c>
      <c r="C57" s="270"/>
      <c r="D57" s="271">
        <v>0</v>
      </c>
      <c r="E57" s="272"/>
      <c r="F57" s="270"/>
      <c r="G57" s="270"/>
      <c r="H57" s="270"/>
      <c r="I57" s="273"/>
      <c r="J57" s="273"/>
      <c r="K57" s="273"/>
    </row>
    <row r="58" spans="1:11" ht="23.25" customHeight="1" x14ac:dyDescent="0.25">
      <c r="A58" s="1792"/>
      <c r="B58" s="269">
        <v>1.7</v>
      </c>
      <c r="C58" s="270"/>
      <c r="D58" s="271">
        <v>0</v>
      </c>
      <c r="E58" s="272"/>
      <c r="F58" s="270"/>
      <c r="G58" s="270"/>
      <c r="H58" s="270"/>
      <c r="I58" s="273"/>
      <c r="J58" s="273"/>
      <c r="K58" s="273"/>
    </row>
    <row r="59" spans="1:11" ht="23.25" customHeight="1" x14ac:dyDescent="0.25">
      <c r="A59" s="1792"/>
      <c r="B59" s="269">
        <v>1.8</v>
      </c>
      <c r="C59" s="270"/>
      <c r="D59" s="271">
        <v>0</v>
      </c>
      <c r="E59" s="272"/>
      <c r="F59" s="270"/>
      <c r="G59" s="270"/>
      <c r="H59" s="270"/>
      <c r="I59" s="273"/>
      <c r="J59" s="273"/>
      <c r="K59" s="273"/>
    </row>
    <row r="60" spans="1:11" ht="23.25" customHeight="1" x14ac:dyDescent="0.25">
      <c r="A60" s="1792"/>
      <c r="B60" s="269">
        <v>1.9</v>
      </c>
      <c r="C60" s="270"/>
      <c r="D60" s="271">
        <v>0</v>
      </c>
      <c r="E60" s="272"/>
      <c r="F60" s="270"/>
      <c r="G60" s="270"/>
      <c r="H60" s="270"/>
      <c r="I60" s="273"/>
      <c r="J60" s="273"/>
      <c r="K60" s="273"/>
    </row>
    <row r="61" spans="1:11" ht="23.25" customHeight="1" x14ac:dyDescent="0.25">
      <c r="A61" s="1792"/>
      <c r="B61" s="274">
        <v>1.1000000000000001</v>
      </c>
      <c r="C61" s="270"/>
      <c r="D61" s="271">
        <v>0</v>
      </c>
      <c r="E61" s="272"/>
      <c r="F61" s="270"/>
      <c r="G61" s="270"/>
      <c r="H61" s="270"/>
      <c r="I61" s="273"/>
      <c r="J61" s="273"/>
      <c r="K61" s="273"/>
    </row>
    <row r="62" spans="1:11" x14ac:dyDescent="0.25">
      <c r="A62" s="1792"/>
      <c r="B62" s="275">
        <v>2</v>
      </c>
      <c r="C62" s="276" t="s">
        <v>830</v>
      </c>
      <c r="D62" s="277">
        <f>SUM(D63:D72)</f>
        <v>0</v>
      </c>
      <c r="E62" s="278"/>
      <c r="F62" s="276"/>
      <c r="G62" s="276"/>
      <c r="H62" s="276"/>
      <c r="I62" s="279"/>
      <c r="J62" s="279"/>
      <c r="K62" s="279"/>
    </row>
    <row r="63" spans="1:11" ht="23.25" customHeight="1" x14ac:dyDescent="0.25">
      <c r="A63" s="1792"/>
      <c r="B63" s="269">
        <v>2.1</v>
      </c>
      <c r="C63" s="270"/>
      <c r="D63" s="271">
        <v>0</v>
      </c>
      <c r="E63" s="272"/>
      <c r="F63" s="270"/>
      <c r="G63" s="270"/>
      <c r="H63" s="270"/>
      <c r="I63" s="273"/>
      <c r="J63" s="273"/>
      <c r="K63" s="273"/>
    </row>
    <row r="64" spans="1:11" ht="23.25" customHeight="1" x14ac:dyDescent="0.25">
      <c r="A64" s="1792"/>
      <c r="B64" s="269">
        <v>2.2000000000000002</v>
      </c>
      <c r="C64" s="270"/>
      <c r="D64" s="271">
        <v>0</v>
      </c>
      <c r="E64" s="272"/>
      <c r="F64" s="270"/>
      <c r="G64" s="270"/>
      <c r="H64" s="270"/>
      <c r="I64" s="273"/>
      <c r="J64" s="273"/>
      <c r="K64" s="273"/>
    </row>
    <row r="65" spans="1:11" ht="23.25" customHeight="1" x14ac:dyDescent="0.25">
      <c r="A65" s="1792"/>
      <c r="B65" s="269">
        <v>2.2999999999999998</v>
      </c>
      <c r="C65" s="270"/>
      <c r="D65" s="271">
        <v>0</v>
      </c>
      <c r="E65" s="272"/>
      <c r="F65" s="270"/>
      <c r="G65" s="270"/>
      <c r="H65" s="270"/>
      <c r="I65" s="273"/>
      <c r="J65" s="273"/>
      <c r="K65" s="273"/>
    </row>
    <row r="66" spans="1:11" ht="23.25" customHeight="1" x14ac:dyDescent="0.25">
      <c r="A66" s="1792"/>
      <c r="B66" s="269">
        <v>2.4</v>
      </c>
      <c r="C66" s="270"/>
      <c r="D66" s="271">
        <v>0</v>
      </c>
      <c r="E66" s="272"/>
      <c r="F66" s="270"/>
      <c r="G66" s="270"/>
      <c r="H66" s="270"/>
      <c r="I66" s="273"/>
      <c r="J66" s="273"/>
      <c r="K66" s="273"/>
    </row>
    <row r="67" spans="1:11" ht="23.25" customHeight="1" x14ac:dyDescent="0.25">
      <c r="A67" s="1792"/>
      <c r="B67" s="269">
        <v>2.5</v>
      </c>
      <c r="C67" s="270"/>
      <c r="D67" s="271">
        <v>0</v>
      </c>
      <c r="E67" s="272"/>
      <c r="F67" s="270"/>
      <c r="G67" s="270"/>
      <c r="H67" s="270"/>
      <c r="I67" s="273"/>
      <c r="J67" s="273"/>
      <c r="K67" s="273"/>
    </row>
    <row r="68" spans="1:11" ht="23.25" customHeight="1" x14ac:dyDescent="0.25">
      <c r="A68" s="1792"/>
      <c r="B68" s="269">
        <v>2.6</v>
      </c>
      <c r="C68" s="270"/>
      <c r="D68" s="271">
        <v>0</v>
      </c>
      <c r="E68" s="272"/>
      <c r="F68" s="270"/>
      <c r="G68" s="270"/>
      <c r="H68" s="270"/>
      <c r="I68" s="273"/>
      <c r="J68" s="273"/>
      <c r="K68" s="273"/>
    </row>
    <row r="69" spans="1:11" ht="23.25" customHeight="1" x14ac:dyDescent="0.25">
      <c r="A69" s="1792"/>
      <c r="B69" s="269">
        <v>2.7</v>
      </c>
      <c r="C69" s="270"/>
      <c r="D69" s="271">
        <v>0</v>
      </c>
      <c r="E69" s="272"/>
      <c r="F69" s="270"/>
      <c r="G69" s="270"/>
      <c r="H69" s="270"/>
      <c r="I69" s="273"/>
      <c r="J69" s="273"/>
      <c r="K69" s="273"/>
    </row>
    <row r="70" spans="1:11" ht="23.25" customHeight="1" x14ac:dyDescent="0.25">
      <c r="A70" s="1792"/>
      <c r="B70" s="269">
        <v>2.8</v>
      </c>
      <c r="C70" s="270"/>
      <c r="D70" s="271">
        <v>0</v>
      </c>
      <c r="E70" s="272"/>
      <c r="F70" s="270"/>
      <c r="G70" s="270"/>
      <c r="H70" s="270"/>
      <c r="I70" s="273"/>
      <c r="J70" s="273"/>
      <c r="K70" s="273"/>
    </row>
    <row r="71" spans="1:11" ht="23.25" customHeight="1" x14ac:dyDescent="0.25">
      <c r="A71" s="1792"/>
      <c r="B71" s="269">
        <v>2.9</v>
      </c>
      <c r="C71" s="270"/>
      <c r="D71" s="271">
        <v>0</v>
      </c>
      <c r="E71" s="272"/>
      <c r="F71" s="270"/>
      <c r="G71" s="270"/>
      <c r="H71" s="270"/>
      <c r="I71" s="273"/>
      <c r="J71" s="273"/>
      <c r="K71" s="273"/>
    </row>
    <row r="72" spans="1:11" ht="23.25" customHeight="1" x14ac:dyDescent="0.25">
      <c r="A72" s="1792"/>
      <c r="B72" s="274">
        <v>2.1</v>
      </c>
      <c r="C72" s="270"/>
      <c r="D72" s="271">
        <v>0</v>
      </c>
      <c r="E72" s="272"/>
      <c r="F72" s="270"/>
      <c r="G72" s="270"/>
      <c r="H72" s="270"/>
      <c r="I72" s="273"/>
      <c r="J72" s="273"/>
      <c r="K72" s="273"/>
    </row>
    <row r="73" spans="1:11" ht="32.15" customHeight="1" x14ac:dyDescent="0.25">
      <c r="A73" s="1793" t="s">
        <v>626</v>
      </c>
      <c r="B73" s="1794"/>
      <c r="C73" s="1795"/>
      <c r="D73" s="1796">
        <f>SUM(D51,D62,)</f>
        <v>0</v>
      </c>
      <c r="E73" s="1796"/>
      <c r="F73" s="1797"/>
      <c r="G73" s="1798"/>
      <c r="H73" s="1798"/>
      <c r="I73" s="1798"/>
      <c r="J73" s="1798"/>
      <c r="K73" s="1799"/>
    </row>
    <row r="74" spans="1:11" ht="32.15" customHeight="1" x14ac:dyDescent="0.25">
      <c r="A74" s="1800" t="s">
        <v>831</v>
      </c>
      <c r="B74" s="1801"/>
      <c r="C74" s="1802" t="s">
        <v>832</v>
      </c>
      <c r="D74" s="1803">
        <f>SUM(D73,D50,D27)</f>
        <v>0</v>
      </c>
      <c r="E74" s="1803"/>
      <c r="F74" s="1804"/>
      <c r="G74" s="1805"/>
      <c r="H74" s="1805"/>
      <c r="I74" s="1805"/>
      <c r="J74" s="1805"/>
      <c r="K74" s="1806"/>
    </row>
  </sheetData>
  <mergeCells count="20">
    <mergeCell ref="A5:A26"/>
    <mergeCell ref="A1:K1"/>
    <mergeCell ref="A2:B2"/>
    <mergeCell ref="C2:K2"/>
    <mergeCell ref="A3:B3"/>
    <mergeCell ref="C3:K3"/>
    <mergeCell ref="A27:C27"/>
    <mergeCell ref="D27:E27"/>
    <mergeCell ref="F27:K27"/>
    <mergeCell ref="A28:A49"/>
    <mergeCell ref="A50:C50"/>
    <mergeCell ref="D50:E50"/>
    <mergeCell ref="F50:K50"/>
    <mergeCell ref="A51:A72"/>
    <mergeCell ref="A73:C73"/>
    <mergeCell ref="D73:E73"/>
    <mergeCell ref="F73:K73"/>
    <mergeCell ref="A74:C74"/>
    <mergeCell ref="D74:E74"/>
    <mergeCell ref="F74:K74"/>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db8662-8e58-4ce2-8f93-98280d5ba547">
      <Terms xmlns="http://schemas.microsoft.com/office/infopath/2007/PartnerControls"/>
    </lcf76f155ced4ddcb4097134ff3c332f>
    <Hyperlink xmlns="2bdb8662-8e58-4ce2-8f93-98280d5ba547">
      <Url xsi:nil="true"/>
      <Description xsi:nil="true"/>
    </Hyperlink>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052E94A9D0F24D93E363CBA30CF1E9" ma:contentTypeVersion="15" ma:contentTypeDescription="Create a new document." ma:contentTypeScope="" ma:versionID="ed4d62183b46fdef9eba613fb6bcb639">
  <xsd:schema xmlns:xsd="http://www.w3.org/2001/XMLSchema" xmlns:xs="http://www.w3.org/2001/XMLSchema" xmlns:p="http://schemas.microsoft.com/office/2006/metadata/properties" xmlns:ns2="2bdb8662-8e58-4ce2-8f93-98280d5ba547" xmlns:ns3="f95b840c-9fe6-4b81-93fa-feb0ed7bd6e5" targetNamespace="http://schemas.microsoft.com/office/2006/metadata/properties" ma:root="true" ma:fieldsID="f8fa8478d5655df4365ebd820522c919" ns2:_="" ns3:_="">
    <xsd:import namespace="2bdb8662-8e58-4ce2-8f93-98280d5ba547"/>
    <xsd:import namespace="f95b840c-9fe6-4b81-93fa-feb0ed7bd6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SearchProperties"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b8662-8e58-4ce2-8f93-98280d5ba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Hyperlink" ma:index="2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5b840c-9fe6-4b81-93fa-feb0ed7bd6e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0A2EA-FE61-4F31-9686-08BF63970FCB}">
  <ds:schemaRefs>
    <ds:schemaRef ds:uri="http://schemas.microsoft.com/sharepoint/v3/contenttype/forms"/>
  </ds:schemaRefs>
</ds:datastoreItem>
</file>

<file path=customXml/itemProps2.xml><?xml version="1.0" encoding="utf-8"?>
<ds:datastoreItem xmlns:ds="http://schemas.openxmlformats.org/officeDocument/2006/customXml" ds:itemID="{79AF25EF-EC6C-4A37-ACF4-FB2EFB6CF702}">
  <ds:schemaRefs>
    <ds:schemaRef ds:uri="http://schemas.microsoft.com/office/2006/metadata/properties"/>
    <ds:schemaRef ds:uri="http://schemas.microsoft.com/office/infopath/2007/PartnerControls"/>
    <ds:schemaRef ds:uri="2bdb8662-8e58-4ce2-8f93-98280d5ba547"/>
  </ds:schemaRefs>
</ds:datastoreItem>
</file>

<file path=customXml/itemProps3.xml><?xml version="1.0" encoding="utf-8"?>
<ds:datastoreItem xmlns:ds="http://schemas.openxmlformats.org/officeDocument/2006/customXml" ds:itemID="{59DADFBA-6F62-475F-AC1B-2DAF8B3A8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b8662-8e58-4ce2-8f93-98280d5ba547"/>
    <ds:schemaRef ds:uri="f95b840c-9fe6-4b81-93fa-feb0ed7bd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vt:i4>
      </vt:variant>
    </vt:vector>
  </HeadingPairs>
  <TitlesOfParts>
    <vt:vector size="155" baseType="lpstr">
      <vt:lpstr>Change Notes</vt:lpstr>
      <vt:lpstr>Constants</vt:lpstr>
      <vt:lpstr>Instructions</vt:lpstr>
      <vt:lpstr>General</vt:lpstr>
      <vt:lpstr>Proposer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Subproposer</vt:lpstr>
      <vt:lpstr>Consultants</vt:lpstr>
      <vt:lpstr>Travel</vt:lpstr>
      <vt:lpstr>Materials-Supplies</vt:lpstr>
      <vt:lpstr>Equipment</vt:lpstr>
      <vt:lpstr>ODC Details</vt:lpstr>
      <vt:lpstr>Total Amount</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ff.dlrs.Op2</vt:lpstr>
      <vt:lpstr>ff.dlrs.Op3</vt:lpstr>
      <vt:lpstr>ff.dlrs.Op4</vt:lpstr>
      <vt:lpstr>ff.dlrs.Op5</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Equipment!Print_Area</vt:lpstr>
      <vt:lpstr>General!Print_Area</vt:lpstr>
      <vt:lpstr>Instructions!Print_Area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'Proposer Constants'!Print_Area</vt:lpstr>
      <vt:lpstr>Subproposer!Print_Area</vt:lpstr>
      <vt:lpstr>'Task 1'!Print_Area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Speciale, Stephen (ARPA-H) [CTR]</cp:lastModifiedBy>
  <cp:revision/>
  <dcterms:created xsi:type="dcterms:W3CDTF">2006-01-30T20:56:29Z</dcterms:created>
  <dcterms:modified xsi:type="dcterms:W3CDTF">2025-06-04T13:30:48Z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0x010100A0052E94A9D0F24D93E363CBA30CF1E9</vt:lpwstr>
  </property>
  <property fmtid="{D5CDD505-2E9C-101B-9397-08002B2CF9AE}" pid="3" name="MediaServiceImageTags">
    <vt:lpwstr/>
  </property>
</Properties>
</file>